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171d64511631018/Desktop/"/>
    </mc:Choice>
  </mc:AlternateContent>
  <xr:revisionPtr revIDLastSave="0" documentId="13_ncr:1_{6A723EBE-B637-F34C-AC8C-BE65DBDD0DA7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Final Solution (Simulation)" sheetId="20" r:id="rId1"/>
    <sheet name="Solution(Macros)" sheetId="21" r:id="rId2"/>
    <sheet name="Raw Data(Heuristic)" sheetId="2" r:id="rId3"/>
    <sheet name="Test Data (Case2 Worked)" sheetId="15" r:id="rId4"/>
    <sheet name="H1 Size (Case 3)" sheetId="16" r:id="rId5"/>
    <sheet name="H2 Cost (Case3)" sheetId="17" r:id="rId6"/>
    <sheet name="H3 Annual Usage (Case3)" sheetId="18" r:id="rId7"/>
    <sheet name="H4 Benefit value ( Case 3) " sheetId="19" r:id="rId8"/>
  </sheets>
  <definedNames>
    <definedName name="_xlnm._FilterDatabase" localSheetId="0" hidden="1">'Final Solution (Simulation)'!$A$1:$U$419</definedName>
    <definedName name="_xlchart.v1.0" hidden="1">'Final Solution (Simulation)'!$Q$419:$DL$419</definedName>
    <definedName name="_xlchart.v1.1" hidden="1">'Final Solution (Simulation)'!$Q$421:$DL$421</definedName>
    <definedName name="_xleta.COUNTIF" hidden="1" xlm="1">#NAME?</definedName>
    <definedName name="_xleta.SUM" hidden="1" xlm="1">#NAME?</definedName>
    <definedName name="solver_adj" localSheetId="3" hidden="1">'Test Data (Case2 Worked)'!$H$2:$H$31</definedName>
    <definedName name="solver_cvg" localSheetId="3" hidden="1">0.0001</definedName>
    <definedName name="solver_drv" localSheetId="3" hidden="1">1</definedName>
    <definedName name="solver_eng" localSheetId="6" hidden="1">1</definedName>
    <definedName name="solver_eng" localSheetId="3" hidden="1">2</definedName>
    <definedName name="solver_itr" localSheetId="3" hidden="1">2147483647</definedName>
    <definedName name="solver_lhs1" localSheetId="3" hidden="1">'Test Data (Case2 Worked)'!$H$2:$H$31</definedName>
    <definedName name="solver_lhs2" localSheetId="3" hidden="1">'Test Data (Case2 Worked)'!$L$3</definedName>
    <definedName name="solver_lin" localSheetId="3" hidden="1">1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6" hidden="1">1</definedName>
    <definedName name="solver_neg" localSheetId="3" hidden="1">1</definedName>
    <definedName name="solver_nod" localSheetId="3" hidden="1">2147483647</definedName>
    <definedName name="solver_num" localSheetId="6" hidden="1">0</definedName>
    <definedName name="solver_num" localSheetId="3" hidden="1">2</definedName>
    <definedName name="solver_opt" localSheetId="6" hidden="1">'H3 Annual Usage (Case3)'!$H$2</definedName>
    <definedName name="solver_opt" localSheetId="3" hidden="1">'Test Data (Case2 Worked)'!$L$2</definedName>
    <definedName name="solver_pre" localSheetId="3" hidden="1">0.000001</definedName>
    <definedName name="solver_rbv" localSheetId="3" hidden="1">1</definedName>
    <definedName name="solver_rel1" localSheetId="3" hidden="1">5</definedName>
    <definedName name="solver_rel2" localSheetId="3" hidden="1">1</definedName>
    <definedName name="solver_rhs1" localSheetId="3" hidden="1">"binary"</definedName>
    <definedName name="solver_rhs2" localSheetId="3" hidden="1">50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6" hidden="1">1</definedName>
    <definedName name="solver_typ" localSheetId="3" hidden="1">2</definedName>
    <definedName name="solver_val" localSheetId="6" hidden="1">0</definedName>
    <definedName name="solver_val" localSheetId="3" hidden="1">0</definedName>
    <definedName name="solver_ver" localSheetId="6" hidden="1">3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53" i="21" l="1"/>
  <c r="AL53" i="21"/>
  <c r="AM53" i="21"/>
  <c r="AN53" i="21"/>
  <c r="AO53" i="21"/>
  <c r="AP53" i="21"/>
  <c r="AQ53" i="21"/>
  <c r="AR53" i="21"/>
  <c r="AS53" i="21"/>
  <c r="AT53" i="21"/>
  <c r="AU53" i="21"/>
  <c r="AV53" i="21"/>
  <c r="AW53" i="21"/>
  <c r="AX53" i="21"/>
  <c r="AY53" i="21"/>
  <c r="AZ53" i="21"/>
  <c r="BA53" i="21"/>
  <c r="BB53" i="21"/>
  <c r="BC53" i="21"/>
  <c r="BD53" i="21"/>
  <c r="BE53" i="21"/>
  <c r="BF53" i="21"/>
  <c r="BG53" i="21"/>
  <c r="BH53" i="21"/>
  <c r="BI53" i="21"/>
  <c r="BJ53" i="21"/>
  <c r="BK53" i="21"/>
  <c r="BL53" i="21"/>
  <c r="BM53" i="21"/>
  <c r="BN53" i="21"/>
  <c r="BO53" i="21"/>
  <c r="BP53" i="21"/>
  <c r="BQ53" i="21"/>
  <c r="BR53" i="21"/>
  <c r="BS53" i="21"/>
  <c r="BT53" i="21"/>
  <c r="BU53" i="21"/>
  <c r="BV53" i="21"/>
  <c r="BW53" i="21"/>
  <c r="BX53" i="21"/>
  <c r="BY53" i="21"/>
  <c r="BZ53" i="21"/>
  <c r="CA53" i="21"/>
  <c r="CB53" i="21"/>
  <c r="CC53" i="21"/>
  <c r="CD53" i="21"/>
  <c r="CE53" i="21"/>
  <c r="CF53" i="21"/>
  <c r="CG53" i="21"/>
  <c r="CH53" i="21"/>
  <c r="CI53" i="21"/>
  <c r="CJ53" i="21"/>
  <c r="CK53" i="21"/>
  <c r="CL53" i="21"/>
  <c r="CM53" i="21"/>
  <c r="CN53" i="21"/>
  <c r="CO53" i="21"/>
  <c r="CP53" i="21"/>
  <c r="CQ53" i="21"/>
  <c r="CR53" i="21"/>
  <c r="CS53" i="21"/>
  <c r="CT53" i="21"/>
  <c r="CU53" i="21"/>
  <c r="CV53" i="21"/>
  <c r="CW53" i="21"/>
  <c r="CX53" i="21"/>
  <c r="CY53" i="21"/>
  <c r="CZ53" i="21"/>
  <c r="DA53" i="21"/>
  <c r="DB53" i="21"/>
  <c r="DC53" i="21"/>
  <c r="DD53" i="21"/>
  <c r="DE53" i="21"/>
  <c r="DF53" i="21"/>
  <c r="DG53" i="21"/>
  <c r="DH53" i="21"/>
  <c r="DI53" i="21"/>
  <c r="DJ53" i="21"/>
  <c r="DK53" i="21"/>
  <c r="DL53" i="21"/>
  <c r="DM53" i="21"/>
  <c r="DN53" i="21"/>
  <c r="DO53" i="21"/>
  <c r="DP53" i="21"/>
  <c r="DQ53" i="21"/>
  <c r="DR53" i="21"/>
  <c r="DS53" i="21"/>
  <c r="DT53" i="21"/>
  <c r="DU53" i="21"/>
  <c r="DV53" i="21"/>
  <c r="DW53" i="21"/>
  <c r="DX53" i="21"/>
  <c r="DY53" i="21"/>
  <c r="DZ53" i="21"/>
  <c r="EA53" i="21"/>
  <c r="EB53" i="21"/>
  <c r="EC53" i="21"/>
  <c r="ED53" i="21"/>
  <c r="EE53" i="21"/>
  <c r="EF53" i="21"/>
  <c r="EG53" i="21"/>
  <c r="EH53" i="21"/>
  <c r="EI53" i="21"/>
  <c r="EJ53" i="21"/>
  <c r="EK53" i="21"/>
  <c r="EL53" i="21"/>
  <c r="EM53" i="21"/>
  <c r="EN53" i="21"/>
  <c r="EO53" i="21"/>
  <c r="EP53" i="21"/>
  <c r="EQ53" i="21"/>
  <c r="ER53" i="21"/>
  <c r="ES53" i="21"/>
  <c r="ET53" i="21"/>
  <c r="EU53" i="21"/>
  <c r="EV53" i="21"/>
  <c r="EW53" i="21"/>
  <c r="EX53" i="21"/>
  <c r="EY53" i="21"/>
  <c r="EZ53" i="21"/>
  <c r="FA53" i="21"/>
  <c r="FB53" i="21"/>
  <c r="FC53" i="21"/>
  <c r="FD53" i="21"/>
  <c r="FE53" i="21"/>
  <c r="FF53" i="21"/>
  <c r="FG53" i="21"/>
  <c r="FH53" i="21"/>
  <c r="FI53" i="21"/>
  <c r="FJ53" i="21"/>
  <c r="FK53" i="21"/>
  <c r="FL53" i="21"/>
  <c r="FM53" i="21"/>
  <c r="FN53" i="21"/>
  <c r="FO53" i="21"/>
  <c r="FP53" i="21"/>
  <c r="FQ53" i="21"/>
  <c r="FR53" i="21"/>
  <c r="FS53" i="21"/>
  <c r="FT53" i="21"/>
  <c r="FU53" i="21"/>
  <c r="FV53" i="21"/>
  <c r="FW53" i="21"/>
  <c r="FX53" i="21"/>
  <c r="FY53" i="21"/>
  <c r="FZ53" i="21"/>
  <c r="GA53" i="21"/>
  <c r="GB53" i="21"/>
  <c r="GC53" i="21"/>
  <c r="GD53" i="21"/>
  <c r="GE53" i="21"/>
  <c r="GF53" i="21"/>
  <c r="GG53" i="21"/>
  <c r="GH53" i="21"/>
  <c r="GI53" i="21"/>
  <c r="GJ53" i="21"/>
  <c r="GK53" i="21"/>
  <c r="GL53" i="21"/>
  <c r="GM53" i="21"/>
  <c r="GN53" i="21"/>
  <c r="GO53" i="21"/>
  <c r="GP53" i="21"/>
  <c r="GQ53" i="21"/>
  <c r="GR53" i="21"/>
  <c r="GS53" i="21"/>
  <c r="GT53" i="21"/>
  <c r="GU53" i="21"/>
  <c r="GV53" i="21"/>
  <c r="GW53" i="21"/>
  <c r="GX53" i="21"/>
  <c r="GY53" i="21"/>
  <c r="GZ53" i="21"/>
  <c r="HA53" i="21"/>
  <c r="HB53" i="21"/>
  <c r="HC53" i="21"/>
  <c r="HD53" i="21"/>
  <c r="HE53" i="21"/>
  <c r="HF53" i="21"/>
  <c r="HG53" i="21"/>
  <c r="HH53" i="21"/>
  <c r="HI53" i="21"/>
  <c r="HJ53" i="21"/>
  <c r="HK53" i="21"/>
  <c r="HL53" i="21"/>
  <c r="HM53" i="21"/>
  <c r="HN53" i="21"/>
  <c r="HO53" i="21"/>
  <c r="HP53" i="21"/>
  <c r="HQ53" i="21"/>
  <c r="HR53" i="21"/>
  <c r="HS53" i="21"/>
  <c r="HT53" i="21"/>
  <c r="HU53" i="21"/>
  <c r="HV53" i="21"/>
  <c r="HW53" i="21"/>
  <c r="HX53" i="21"/>
  <c r="HY53" i="21"/>
  <c r="HZ53" i="21"/>
  <c r="IA53" i="21"/>
  <c r="IB53" i="21"/>
  <c r="IC53" i="21"/>
  <c r="ID53" i="21"/>
  <c r="IE53" i="21"/>
  <c r="IF53" i="21"/>
  <c r="IG53" i="21"/>
  <c r="IH53" i="21"/>
  <c r="II53" i="21"/>
  <c r="IJ53" i="21"/>
  <c r="IK53" i="21"/>
  <c r="IL53" i="21"/>
  <c r="IM53" i="21"/>
  <c r="IN53" i="21"/>
  <c r="IO53" i="21"/>
  <c r="IP53" i="21"/>
  <c r="IQ53" i="21"/>
  <c r="IR53" i="21"/>
  <c r="IS53" i="21"/>
  <c r="IT53" i="21"/>
  <c r="IU53" i="21"/>
  <c r="IV53" i="21"/>
  <c r="IW53" i="21"/>
  <c r="IX53" i="21"/>
  <c r="IY53" i="21"/>
  <c r="IZ53" i="21"/>
  <c r="JA53" i="21"/>
  <c r="JB53" i="21"/>
  <c r="JC53" i="21"/>
  <c r="JD53" i="21"/>
  <c r="JE53" i="21"/>
  <c r="JF53" i="21"/>
  <c r="JG53" i="21"/>
  <c r="JH53" i="21"/>
  <c r="JI53" i="21"/>
  <c r="JJ53" i="21"/>
  <c r="JK53" i="21"/>
  <c r="JL53" i="21"/>
  <c r="JM53" i="21"/>
  <c r="JN53" i="21"/>
  <c r="JO53" i="21"/>
  <c r="JP53" i="21"/>
  <c r="JQ53" i="21"/>
  <c r="JR53" i="21"/>
  <c r="JS53" i="21"/>
  <c r="JT53" i="21"/>
  <c r="JU53" i="21"/>
  <c r="JV53" i="21"/>
  <c r="JW53" i="21"/>
  <c r="JX53" i="21"/>
  <c r="JY53" i="21"/>
  <c r="JZ53" i="21"/>
  <c r="KA53" i="21"/>
  <c r="KB53" i="21"/>
  <c r="KC53" i="21"/>
  <c r="KD53" i="21"/>
  <c r="KE53" i="21"/>
  <c r="KF53" i="21"/>
  <c r="KG53" i="21"/>
  <c r="KH53" i="21"/>
  <c r="KI53" i="21"/>
  <c r="KJ53" i="21"/>
  <c r="KK53" i="21"/>
  <c r="KL53" i="21"/>
  <c r="KM53" i="21"/>
  <c r="KN53" i="21"/>
  <c r="KO53" i="21"/>
  <c r="KP53" i="21"/>
  <c r="KQ53" i="21"/>
  <c r="KR53" i="21"/>
  <c r="KS53" i="21"/>
  <c r="KT53" i="21"/>
  <c r="KU53" i="21"/>
  <c r="KV53" i="21"/>
  <c r="KW53" i="21"/>
  <c r="KX53" i="21"/>
  <c r="KY53" i="21"/>
  <c r="KZ53" i="21"/>
  <c r="LA53" i="21"/>
  <c r="LB53" i="21"/>
  <c r="LC53" i="21"/>
  <c r="LD53" i="21"/>
  <c r="LE53" i="21"/>
  <c r="LF53" i="21"/>
  <c r="LG53" i="21"/>
  <c r="LH53" i="21"/>
  <c r="LI53" i="21"/>
  <c r="LJ53" i="21"/>
  <c r="LK53" i="21"/>
  <c r="LL53" i="21"/>
  <c r="LM53" i="21"/>
  <c r="LN53" i="21"/>
  <c r="LO53" i="21"/>
  <c r="LP53" i="21"/>
  <c r="LQ53" i="21"/>
  <c r="LR53" i="21"/>
  <c r="LS53" i="21"/>
  <c r="LT53" i="21"/>
  <c r="LU53" i="21"/>
  <c r="LV53" i="21"/>
  <c r="LW53" i="21"/>
  <c r="LX53" i="21"/>
  <c r="LY53" i="21"/>
  <c r="LZ53" i="21"/>
  <c r="MA53" i="21"/>
  <c r="MB53" i="21"/>
  <c r="MC53" i="21"/>
  <c r="MD53" i="21"/>
  <c r="ME53" i="21"/>
  <c r="MF53" i="21"/>
  <c r="MG53" i="21"/>
  <c r="MH53" i="21"/>
  <c r="MI53" i="21"/>
  <c r="MJ53" i="21"/>
  <c r="MK53" i="21"/>
  <c r="ML53" i="21"/>
  <c r="MM53" i="21"/>
  <c r="MN53" i="21"/>
  <c r="MO53" i="21"/>
  <c r="MP53" i="21"/>
  <c r="MQ53" i="21"/>
  <c r="MR53" i="21"/>
  <c r="MS53" i="21"/>
  <c r="MT53" i="21"/>
  <c r="MU53" i="21"/>
  <c r="MV53" i="21"/>
  <c r="MW53" i="21"/>
  <c r="MX53" i="21"/>
  <c r="MY53" i="21"/>
  <c r="MZ53" i="21"/>
  <c r="NA53" i="21"/>
  <c r="NB53" i="21"/>
  <c r="NC53" i="21"/>
  <c r="ND53" i="21"/>
  <c r="NE53" i="21"/>
  <c r="NF53" i="21"/>
  <c r="NG53" i="21"/>
  <c r="NH53" i="21"/>
  <c r="NI53" i="21"/>
  <c r="NJ53" i="21"/>
  <c r="NK53" i="21"/>
  <c r="NL53" i="21"/>
  <c r="NM53" i="21"/>
  <c r="NN53" i="21"/>
  <c r="NO53" i="21"/>
  <c r="NP53" i="21"/>
  <c r="NQ53" i="21"/>
  <c r="NR53" i="21"/>
  <c r="NS53" i="21"/>
  <c r="NT53" i="21"/>
  <c r="NU53" i="21"/>
  <c r="NV53" i="21"/>
  <c r="NW53" i="21"/>
  <c r="NX53" i="21"/>
  <c r="NY53" i="21"/>
  <c r="NZ53" i="21"/>
  <c r="OA53" i="21"/>
  <c r="OB53" i="21"/>
  <c r="OC53" i="21"/>
  <c r="OD53" i="21"/>
  <c r="OE53" i="21"/>
  <c r="OF53" i="21"/>
  <c r="OG53" i="21"/>
  <c r="OH53" i="21"/>
  <c r="OI53" i="21"/>
  <c r="OJ53" i="21"/>
  <c r="OK53" i="21"/>
  <c r="OL53" i="21"/>
  <c r="OM53" i="21"/>
  <c r="ON53" i="21"/>
  <c r="OO53" i="21"/>
  <c r="OP53" i="21"/>
  <c r="OQ53" i="21"/>
  <c r="OR53" i="21"/>
  <c r="OS53" i="21"/>
  <c r="OT53" i="21"/>
  <c r="OU53" i="21"/>
  <c r="OV53" i="21"/>
  <c r="OW53" i="21"/>
  <c r="OX53" i="21"/>
  <c r="OY53" i="21"/>
  <c r="OZ53" i="21"/>
  <c r="PA53" i="21"/>
  <c r="PB53" i="21"/>
  <c r="PC53" i="21"/>
  <c r="PD53" i="21"/>
  <c r="PE53" i="21"/>
  <c r="PF53" i="21"/>
  <c r="PG53" i="21"/>
  <c r="PH53" i="21"/>
  <c r="PI53" i="21"/>
  <c r="PJ53" i="21"/>
  <c r="PK53" i="21"/>
  <c r="PL53" i="21"/>
  <c r="PM53" i="21"/>
  <c r="PN53" i="21"/>
  <c r="PO53" i="21"/>
  <c r="PP53" i="21"/>
  <c r="PQ53" i="21"/>
  <c r="PR53" i="21"/>
  <c r="PS53" i="21"/>
  <c r="PT53" i="21"/>
  <c r="PU53" i="21"/>
  <c r="PV53" i="21"/>
  <c r="AE53" i="21"/>
  <c r="AF53" i="21"/>
  <c r="AG53" i="21"/>
  <c r="AH53" i="21"/>
  <c r="AI53" i="21"/>
  <c r="AJ53" i="21"/>
  <c r="Y53" i="21"/>
  <c r="Z53" i="21"/>
  <c r="AA53" i="21"/>
  <c r="AB53" i="21"/>
  <c r="AC53" i="21"/>
  <c r="AD53" i="21"/>
  <c r="X53" i="21"/>
  <c r="W53" i="21"/>
  <c r="H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H77" i="21"/>
  <c r="H78" i="21"/>
  <c r="H79" i="21"/>
  <c r="H80" i="21"/>
  <c r="H81" i="21"/>
  <c r="H82" i="21"/>
  <c r="H83" i="21"/>
  <c r="H84" i="21"/>
  <c r="H85" i="21"/>
  <c r="H86" i="21"/>
  <c r="H87" i="21"/>
  <c r="H88" i="21"/>
  <c r="H89" i="21"/>
  <c r="H90" i="21"/>
  <c r="H91" i="21"/>
  <c r="H92" i="21"/>
  <c r="H93" i="21"/>
  <c r="H94" i="21"/>
  <c r="H95" i="21"/>
  <c r="H96" i="21"/>
  <c r="H97" i="21"/>
  <c r="H98" i="21"/>
  <c r="H99" i="21"/>
  <c r="H100" i="21"/>
  <c r="H101" i="21"/>
  <c r="H102" i="21"/>
  <c r="H103" i="21"/>
  <c r="H104" i="21"/>
  <c r="H105" i="21"/>
  <c r="H106" i="21"/>
  <c r="H107" i="21"/>
  <c r="H108" i="21"/>
  <c r="H109" i="21"/>
  <c r="H110" i="21"/>
  <c r="H111" i="21"/>
  <c r="H112" i="21"/>
  <c r="H113" i="21"/>
  <c r="H114" i="21"/>
  <c r="H115" i="21"/>
  <c r="H116" i="21"/>
  <c r="H117" i="21"/>
  <c r="H118" i="21"/>
  <c r="H119" i="21"/>
  <c r="H120" i="21"/>
  <c r="H121" i="21"/>
  <c r="H122" i="21"/>
  <c r="H123" i="21"/>
  <c r="H124" i="21"/>
  <c r="H125" i="21"/>
  <c r="H126" i="21"/>
  <c r="H127" i="21"/>
  <c r="H128" i="21"/>
  <c r="H129" i="21"/>
  <c r="H130" i="21"/>
  <c r="H131" i="21"/>
  <c r="H132" i="21"/>
  <c r="H133" i="21"/>
  <c r="H134" i="21"/>
  <c r="H135" i="21"/>
  <c r="H136" i="21"/>
  <c r="H137" i="21"/>
  <c r="H138" i="21"/>
  <c r="H139" i="21"/>
  <c r="H140" i="21"/>
  <c r="H141" i="21"/>
  <c r="H142" i="21"/>
  <c r="H143" i="21"/>
  <c r="H144" i="21"/>
  <c r="H145" i="21"/>
  <c r="H146" i="21"/>
  <c r="H147" i="21"/>
  <c r="H148" i="21"/>
  <c r="H149" i="21"/>
  <c r="H150" i="21"/>
  <c r="H151" i="21"/>
  <c r="H152" i="21"/>
  <c r="H153" i="21"/>
  <c r="H154" i="21"/>
  <c r="H155" i="21"/>
  <c r="H156" i="21"/>
  <c r="H157" i="21"/>
  <c r="H158" i="21"/>
  <c r="H159" i="21"/>
  <c r="H160" i="21"/>
  <c r="H161" i="21"/>
  <c r="H162" i="21"/>
  <c r="H163" i="21"/>
  <c r="H164" i="21"/>
  <c r="H165" i="21"/>
  <c r="H166" i="21"/>
  <c r="H167" i="21"/>
  <c r="H168" i="21"/>
  <c r="H169" i="21"/>
  <c r="H170" i="21"/>
  <c r="H171" i="21"/>
  <c r="H172" i="21"/>
  <c r="H173" i="21"/>
  <c r="H174" i="21"/>
  <c r="H175" i="21"/>
  <c r="H176" i="21"/>
  <c r="H177" i="21"/>
  <c r="H178" i="21"/>
  <c r="H179" i="21"/>
  <c r="H180" i="21"/>
  <c r="H181" i="21"/>
  <c r="H182" i="21"/>
  <c r="H183" i="21"/>
  <c r="H184" i="21"/>
  <c r="H185" i="21"/>
  <c r="H186" i="21"/>
  <c r="H187" i="21"/>
  <c r="H188" i="21"/>
  <c r="H189" i="21"/>
  <c r="H190" i="21"/>
  <c r="H191" i="21"/>
  <c r="H192" i="21"/>
  <c r="H193" i="21"/>
  <c r="H194" i="21"/>
  <c r="H195" i="21"/>
  <c r="H196" i="21"/>
  <c r="H197" i="21"/>
  <c r="H198" i="21"/>
  <c r="H199" i="21"/>
  <c r="H200" i="21"/>
  <c r="H201" i="21"/>
  <c r="H202" i="21"/>
  <c r="H203" i="21"/>
  <c r="H204" i="21"/>
  <c r="H205" i="21"/>
  <c r="H206" i="21"/>
  <c r="H207" i="21"/>
  <c r="H208" i="21"/>
  <c r="H209" i="21"/>
  <c r="H210" i="21"/>
  <c r="H211" i="21"/>
  <c r="H212" i="21"/>
  <c r="H213" i="21"/>
  <c r="H214" i="21"/>
  <c r="H215" i="21"/>
  <c r="H216" i="21"/>
  <c r="H217" i="21"/>
  <c r="H218" i="21"/>
  <c r="H219" i="21"/>
  <c r="H220" i="21"/>
  <c r="H221" i="21"/>
  <c r="H222" i="21"/>
  <c r="H223" i="21"/>
  <c r="H224" i="21"/>
  <c r="H225" i="21"/>
  <c r="H226" i="21"/>
  <c r="H227" i="21"/>
  <c r="H228" i="21"/>
  <c r="H229" i="21"/>
  <c r="H230" i="21"/>
  <c r="H231" i="21"/>
  <c r="H232" i="21"/>
  <c r="H233" i="21"/>
  <c r="H234" i="21"/>
  <c r="H235" i="21"/>
  <c r="H236" i="21"/>
  <c r="H237" i="21"/>
  <c r="H238" i="21"/>
  <c r="H239" i="21"/>
  <c r="H240" i="21"/>
  <c r="H241" i="21"/>
  <c r="H242" i="21"/>
  <c r="H243" i="21"/>
  <c r="H244" i="21"/>
  <c r="H245" i="21"/>
  <c r="H246" i="21"/>
  <c r="H247" i="21"/>
  <c r="H248" i="21"/>
  <c r="H249" i="21"/>
  <c r="H250" i="21"/>
  <c r="H251" i="21"/>
  <c r="H252" i="21"/>
  <c r="H253" i="21"/>
  <c r="H254" i="21"/>
  <c r="H255" i="21"/>
  <c r="H256" i="21"/>
  <c r="H257" i="21"/>
  <c r="H258" i="21"/>
  <c r="H259" i="21"/>
  <c r="H260" i="21"/>
  <c r="H261" i="21"/>
  <c r="H262" i="21"/>
  <c r="H263" i="21"/>
  <c r="H264" i="21"/>
  <c r="H265" i="21"/>
  <c r="H266" i="21"/>
  <c r="H267" i="21"/>
  <c r="H268" i="21"/>
  <c r="H269" i="21"/>
  <c r="H270" i="21"/>
  <c r="H271" i="21"/>
  <c r="H272" i="21"/>
  <c r="H273" i="21"/>
  <c r="H274" i="21"/>
  <c r="H275" i="21"/>
  <c r="H276" i="21"/>
  <c r="H277" i="21"/>
  <c r="H278" i="21"/>
  <c r="H279" i="21"/>
  <c r="H280" i="21"/>
  <c r="H281" i="21"/>
  <c r="H282" i="21"/>
  <c r="H283" i="21"/>
  <c r="H284" i="21"/>
  <c r="H285" i="21"/>
  <c r="H286" i="21"/>
  <c r="H287" i="21"/>
  <c r="H288" i="21"/>
  <c r="H289" i="21"/>
  <c r="H290" i="21"/>
  <c r="H291" i="21"/>
  <c r="H292" i="21"/>
  <c r="H293" i="21"/>
  <c r="H294" i="21"/>
  <c r="H295" i="21"/>
  <c r="H296" i="21"/>
  <c r="H297" i="21"/>
  <c r="H298" i="21"/>
  <c r="H299" i="21"/>
  <c r="H300" i="21"/>
  <c r="H301" i="21"/>
  <c r="H302" i="21"/>
  <c r="H303" i="21"/>
  <c r="H304" i="21"/>
  <c r="H305" i="21"/>
  <c r="H306" i="21"/>
  <c r="H307" i="21"/>
  <c r="H308" i="21"/>
  <c r="H309" i="21"/>
  <c r="H310" i="21"/>
  <c r="H311" i="21"/>
  <c r="H312" i="21"/>
  <c r="H313" i="21"/>
  <c r="H314" i="21"/>
  <c r="H315" i="21"/>
  <c r="H316" i="21"/>
  <c r="H317" i="21"/>
  <c r="H318" i="21"/>
  <c r="H319" i="21"/>
  <c r="H320" i="21"/>
  <c r="H321" i="21"/>
  <c r="H322" i="21"/>
  <c r="H323" i="21"/>
  <c r="H324" i="21"/>
  <c r="H325" i="21"/>
  <c r="H326" i="21"/>
  <c r="H327" i="21"/>
  <c r="H328" i="21"/>
  <c r="H329" i="21"/>
  <c r="H330" i="21"/>
  <c r="H331" i="21"/>
  <c r="H332" i="21"/>
  <c r="H333" i="21"/>
  <c r="H334" i="21"/>
  <c r="H335" i="21"/>
  <c r="H336" i="21"/>
  <c r="H337" i="21"/>
  <c r="H338" i="21"/>
  <c r="H339" i="21"/>
  <c r="H340" i="21"/>
  <c r="H341" i="21"/>
  <c r="H342" i="21"/>
  <c r="H343" i="21"/>
  <c r="H344" i="21"/>
  <c r="H345" i="21"/>
  <c r="H346" i="21"/>
  <c r="H347" i="21"/>
  <c r="H348" i="21"/>
  <c r="H349" i="21"/>
  <c r="H350" i="21"/>
  <c r="H351" i="21"/>
  <c r="H352" i="21"/>
  <c r="H353" i="21"/>
  <c r="H354" i="21"/>
  <c r="H355" i="21"/>
  <c r="H356" i="21"/>
  <c r="H357" i="21"/>
  <c r="H358" i="21"/>
  <c r="H359" i="21"/>
  <c r="H360" i="21"/>
  <c r="H361" i="21"/>
  <c r="H362" i="21"/>
  <c r="H363" i="21"/>
  <c r="H364" i="21"/>
  <c r="H365" i="21"/>
  <c r="H366" i="21"/>
  <c r="H367" i="21"/>
  <c r="H368" i="21"/>
  <c r="H369" i="21"/>
  <c r="H370" i="21"/>
  <c r="H371" i="21"/>
  <c r="H372" i="21"/>
  <c r="H373" i="21"/>
  <c r="H374" i="21"/>
  <c r="H375" i="21"/>
  <c r="H376" i="21"/>
  <c r="H377" i="21"/>
  <c r="H378" i="21"/>
  <c r="H379" i="21"/>
  <c r="H380" i="21"/>
  <c r="H381" i="21"/>
  <c r="H382" i="21"/>
  <c r="H383" i="21"/>
  <c r="H384" i="21"/>
  <c r="H385" i="21"/>
  <c r="H386" i="21"/>
  <c r="H387" i="21"/>
  <c r="H388" i="21"/>
  <c r="H389" i="21"/>
  <c r="H390" i="21"/>
  <c r="H391" i="21"/>
  <c r="H392" i="21"/>
  <c r="H393" i="21"/>
  <c r="H394" i="21"/>
  <c r="H395" i="21"/>
  <c r="H396" i="21"/>
  <c r="H397" i="21"/>
  <c r="H398" i="21"/>
  <c r="H399" i="21"/>
  <c r="H400" i="21"/>
  <c r="H401" i="21"/>
  <c r="H402" i="21"/>
  <c r="H403" i="21"/>
  <c r="H404" i="21"/>
  <c r="H405" i="21"/>
  <c r="H406" i="21"/>
  <c r="H407" i="21"/>
  <c r="H408" i="21"/>
  <c r="H409" i="21"/>
  <c r="H410" i="21"/>
  <c r="H411" i="21"/>
  <c r="H412" i="21"/>
  <c r="H413" i="21"/>
  <c r="H414" i="21"/>
  <c r="H415" i="21"/>
  <c r="H416" i="21"/>
  <c r="H417" i="21"/>
  <c r="H2" i="21"/>
  <c r="M5" i="20"/>
  <c r="G2" i="21"/>
  <c r="G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97" i="21"/>
  <c r="G98" i="21"/>
  <c r="G99" i="21"/>
  <c r="G100" i="21"/>
  <c r="G101" i="21"/>
  <c r="G102" i="21"/>
  <c r="G103" i="21"/>
  <c r="G104" i="21"/>
  <c r="G105" i="21"/>
  <c r="G106" i="21"/>
  <c r="G107" i="21"/>
  <c r="G108" i="21"/>
  <c r="G109" i="21"/>
  <c r="G110" i="21"/>
  <c r="G111" i="21"/>
  <c r="G112" i="21"/>
  <c r="G113" i="21"/>
  <c r="G114" i="21"/>
  <c r="G115" i="21"/>
  <c r="G116" i="21"/>
  <c r="G117" i="21"/>
  <c r="G118" i="21"/>
  <c r="G119" i="21"/>
  <c r="G120" i="21"/>
  <c r="G121" i="21"/>
  <c r="G122" i="21"/>
  <c r="G123" i="21"/>
  <c r="G124" i="21"/>
  <c r="G125" i="21"/>
  <c r="G126" i="21"/>
  <c r="G127" i="21"/>
  <c r="G128" i="21"/>
  <c r="G129" i="21"/>
  <c r="G130" i="21"/>
  <c r="G131" i="21"/>
  <c r="G132" i="21"/>
  <c r="G133" i="21"/>
  <c r="G134" i="21"/>
  <c r="G135" i="21"/>
  <c r="G136" i="21"/>
  <c r="G137" i="21"/>
  <c r="G138" i="21"/>
  <c r="G139" i="21"/>
  <c r="G140" i="21"/>
  <c r="G141" i="21"/>
  <c r="G142" i="21"/>
  <c r="G143" i="21"/>
  <c r="G144" i="21"/>
  <c r="G145" i="21"/>
  <c r="G146" i="21"/>
  <c r="G147" i="21"/>
  <c r="G148" i="21"/>
  <c r="G149" i="21"/>
  <c r="G150" i="21"/>
  <c r="G151" i="21"/>
  <c r="G152" i="21"/>
  <c r="G153" i="21"/>
  <c r="G154" i="21"/>
  <c r="G155" i="21"/>
  <c r="G156" i="21"/>
  <c r="G157" i="21"/>
  <c r="G158" i="21"/>
  <c r="G159" i="21"/>
  <c r="G160" i="21"/>
  <c r="G161" i="21"/>
  <c r="G162" i="21"/>
  <c r="G163" i="21"/>
  <c r="G164" i="21"/>
  <c r="G165" i="21"/>
  <c r="G166" i="21"/>
  <c r="G167" i="21"/>
  <c r="G168" i="21"/>
  <c r="G169" i="21"/>
  <c r="G170" i="21"/>
  <c r="G171" i="21"/>
  <c r="G172" i="21"/>
  <c r="G173" i="21"/>
  <c r="G174" i="21"/>
  <c r="G175" i="21"/>
  <c r="G176" i="21"/>
  <c r="G177" i="21"/>
  <c r="G178" i="21"/>
  <c r="G179" i="21"/>
  <c r="G180" i="21"/>
  <c r="G181" i="21"/>
  <c r="G182" i="21"/>
  <c r="G183" i="21"/>
  <c r="G184" i="21"/>
  <c r="G185" i="21"/>
  <c r="G186" i="21"/>
  <c r="G187" i="21"/>
  <c r="G188" i="21"/>
  <c r="G189" i="21"/>
  <c r="G190" i="21"/>
  <c r="G191" i="21"/>
  <c r="G192" i="21"/>
  <c r="G193" i="21"/>
  <c r="G194" i="21"/>
  <c r="G195" i="21"/>
  <c r="G196" i="21"/>
  <c r="G197" i="21"/>
  <c r="G198" i="21"/>
  <c r="G199" i="21"/>
  <c r="G200" i="21"/>
  <c r="G201" i="21"/>
  <c r="G202" i="21"/>
  <c r="G203" i="21"/>
  <c r="G204" i="21"/>
  <c r="G205" i="21"/>
  <c r="G206" i="21"/>
  <c r="G207" i="21"/>
  <c r="G208" i="21"/>
  <c r="G209" i="21"/>
  <c r="G210" i="21"/>
  <c r="G211" i="21"/>
  <c r="G212" i="21"/>
  <c r="G213" i="21"/>
  <c r="G214" i="21"/>
  <c r="G215" i="21"/>
  <c r="G216" i="21"/>
  <c r="G217" i="21"/>
  <c r="G218" i="21"/>
  <c r="G219" i="21"/>
  <c r="G220" i="21"/>
  <c r="G221" i="21"/>
  <c r="G222" i="21"/>
  <c r="G223" i="21"/>
  <c r="G224" i="21"/>
  <c r="G225" i="21"/>
  <c r="G226" i="21"/>
  <c r="G227" i="21"/>
  <c r="G228" i="21"/>
  <c r="G229" i="21"/>
  <c r="G230" i="21"/>
  <c r="G231" i="21"/>
  <c r="G232" i="21"/>
  <c r="G233" i="21"/>
  <c r="G234" i="21"/>
  <c r="G235" i="21"/>
  <c r="G236" i="21"/>
  <c r="G237" i="21"/>
  <c r="G238" i="21"/>
  <c r="G239" i="21"/>
  <c r="G240" i="21"/>
  <c r="G241" i="21"/>
  <c r="G242" i="21"/>
  <c r="G243" i="21"/>
  <c r="G244" i="21"/>
  <c r="G245" i="21"/>
  <c r="G246" i="21"/>
  <c r="G247" i="21"/>
  <c r="G248" i="21"/>
  <c r="G249" i="21"/>
  <c r="G250" i="21"/>
  <c r="G251" i="21"/>
  <c r="G252" i="21"/>
  <c r="G253" i="21"/>
  <c r="G254" i="21"/>
  <c r="G255" i="21"/>
  <c r="G256" i="21"/>
  <c r="G257" i="21"/>
  <c r="G258" i="21"/>
  <c r="G259" i="21"/>
  <c r="G260" i="21"/>
  <c r="G261" i="21"/>
  <c r="G262" i="21"/>
  <c r="G263" i="21"/>
  <c r="G264" i="21"/>
  <c r="G265" i="21"/>
  <c r="G266" i="21"/>
  <c r="G267" i="21"/>
  <c r="G268" i="21"/>
  <c r="G269" i="21"/>
  <c r="G270" i="21"/>
  <c r="G271" i="21"/>
  <c r="G272" i="21"/>
  <c r="G273" i="21"/>
  <c r="G274" i="21"/>
  <c r="G275" i="21"/>
  <c r="G276" i="21"/>
  <c r="G277" i="21"/>
  <c r="G278" i="21"/>
  <c r="G279" i="21"/>
  <c r="G280" i="21"/>
  <c r="G281" i="21"/>
  <c r="G282" i="21"/>
  <c r="G283" i="21"/>
  <c r="G284" i="21"/>
  <c r="G285" i="21"/>
  <c r="G286" i="21"/>
  <c r="G287" i="21"/>
  <c r="G288" i="21"/>
  <c r="G289" i="21"/>
  <c r="G290" i="21"/>
  <c r="G291" i="21"/>
  <c r="G292" i="21"/>
  <c r="G293" i="21"/>
  <c r="G294" i="21"/>
  <c r="G295" i="21"/>
  <c r="G296" i="21"/>
  <c r="G297" i="21"/>
  <c r="G298" i="21"/>
  <c r="G299" i="21"/>
  <c r="G300" i="21"/>
  <c r="G301" i="21"/>
  <c r="G302" i="21"/>
  <c r="G303" i="21"/>
  <c r="G304" i="21"/>
  <c r="G305" i="21"/>
  <c r="G306" i="21"/>
  <c r="G307" i="21"/>
  <c r="G308" i="21"/>
  <c r="G309" i="21"/>
  <c r="G310" i="21"/>
  <c r="G311" i="21"/>
  <c r="G312" i="21"/>
  <c r="G313" i="21"/>
  <c r="G314" i="21"/>
  <c r="G315" i="21"/>
  <c r="G316" i="21"/>
  <c r="G317" i="21"/>
  <c r="G318" i="21"/>
  <c r="G319" i="21"/>
  <c r="G320" i="21"/>
  <c r="G321" i="21"/>
  <c r="G322" i="21"/>
  <c r="G323" i="21"/>
  <c r="G324" i="21"/>
  <c r="G325" i="21"/>
  <c r="G326" i="21"/>
  <c r="G327" i="21"/>
  <c r="G328" i="21"/>
  <c r="G329" i="21"/>
  <c r="G330" i="21"/>
  <c r="G331" i="21"/>
  <c r="G332" i="21"/>
  <c r="G333" i="21"/>
  <c r="G334" i="21"/>
  <c r="G335" i="21"/>
  <c r="G336" i="21"/>
  <c r="G337" i="21"/>
  <c r="G338" i="21"/>
  <c r="G339" i="21"/>
  <c r="G340" i="21"/>
  <c r="G341" i="21"/>
  <c r="G342" i="21"/>
  <c r="G343" i="21"/>
  <c r="G344" i="21"/>
  <c r="G345" i="21"/>
  <c r="G346" i="21"/>
  <c r="G347" i="21"/>
  <c r="G348" i="21"/>
  <c r="G349" i="21"/>
  <c r="G350" i="21"/>
  <c r="G351" i="21"/>
  <c r="G352" i="21"/>
  <c r="G353" i="21"/>
  <c r="G354" i="21"/>
  <c r="G355" i="21"/>
  <c r="G356" i="21"/>
  <c r="G357" i="21"/>
  <c r="G358" i="21"/>
  <c r="G359" i="21"/>
  <c r="G360" i="21"/>
  <c r="G361" i="21"/>
  <c r="G362" i="21"/>
  <c r="G363" i="21"/>
  <c r="G364" i="21"/>
  <c r="G365" i="21"/>
  <c r="G366" i="21"/>
  <c r="G367" i="21"/>
  <c r="G368" i="21"/>
  <c r="G369" i="21"/>
  <c r="G370" i="21"/>
  <c r="G371" i="21"/>
  <c r="G372" i="21"/>
  <c r="G373" i="21"/>
  <c r="G374" i="21"/>
  <c r="G375" i="21"/>
  <c r="G376" i="21"/>
  <c r="G377" i="21"/>
  <c r="G378" i="21"/>
  <c r="G379" i="21"/>
  <c r="G380" i="21"/>
  <c r="G381" i="21"/>
  <c r="G382" i="21"/>
  <c r="G383" i="21"/>
  <c r="G384" i="21"/>
  <c r="G385" i="21"/>
  <c r="G386" i="21"/>
  <c r="G387" i="21"/>
  <c r="G388" i="21"/>
  <c r="G389" i="21"/>
  <c r="G390" i="21"/>
  <c r="G391" i="21"/>
  <c r="G392" i="21"/>
  <c r="G393" i="21"/>
  <c r="G394" i="21"/>
  <c r="G395" i="21"/>
  <c r="G396" i="21"/>
  <c r="G397" i="21"/>
  <c r="G398" i="21"/>
  <c r="G399" i="21"/>
  <c r="G400" i="21"/>
  <c r="G401" i="21"/>
  <c r="G402" i="21"/>
  <c r="G403" i="21"/>
  <c r="G404" i="21"/>
  <c r="G405" i="21"/>
  <c r="G406" i="21"/>
  <c r="G407" i="21"/>
  <c r="G408" i="21"/>
  <c r="G409" i="21"/>
  <c r="G410" i="21"/>
  <c r="G411" i="21"/>
  <c r="G412" i="21"/>
  <c r="G413" i="21"/>
  <c r="G414" i="21"/>
  <c r="G415" i="21"/>
  <c r="G416" i="21"/>
  <c r="G417" i="21"/>
  <c r="F3" i="21"/>
  <c r="O5" i="21" l="1"/>
  <c r="O6" i="21"/>
  <c r="O7" i="21"/>
  <c r="O8" i="21"/>
  <c r="O9" i="21"/>
  <c r="O4" i="21"/>
  <c r="O10" i="21"/>
  <c r="O3" i="21"/>
  <c r="O11" i="21"/>
  <c r="O2" i="21"/>
  <c r="O12" i="21"/>
  <c r="F363" i="21"/>
  <c r="F360" i="21"/>
  <c r="F272" i="21"/>
  <c r="F254" i="21"/>
  <c r="F15" i="21"/>
  <c r="F269" i="21"/>
  <c r="F258" i="21"/>
  <c r="F366" i="21"/>
  <c r="F390" i="21"/>
  <c r="F153" i="21"/>
  <c r="F167" i="21"/>
  <c r="F35" i="21"/>
  <c r="F139" i="21"/>
  <c r="F116" i="21"/>
  <c r="F100" i="21"/>
  <c r="F131" i="21"/>
  <c r="F351" i="21"/>
  <c r="F381" i="21"/>
  <c r="F98" i="21"/>
  <c r="F28" i="21"/>
  <c r="F48" i="21"/>
  <c r="F408" i="21"/>
  <c r="F274" i="21"/>
  <c r="F13" i="21"/>
  <c r="F156" i="21"/>
  <c r="F411" i="21"/>
  <c r="F74" i="21"/>
  <c r="F371" i="21"/>
  <c r="F383" i="21"/>
  <c r="F107" i="21"/>
  <c r="F37" i="21"/>
  <c r="F211" i="21"/>
  <c r="F228" i="21"/>
  <c r="F203" i="21"/>
  <c r="F232" i="21"/>
  <c r="F30" i="21"/>
  <c r="F117" i="21"/>
  <c r="F36" i="21"/>
  <c r="F375" i="21"/>
  <c r="F40" i="21"/>
  <c r="F198" i="21"/>
  <c r="F316" i="21"/>
  <c r="F288" i="21"/>
  <c r="F325" i="21"/>
  <c r="F230" i="21"/>
  <c r="F83" i="21"/>
  <c r="F339" i="21"/>
  <c r="F222" i="21"/>
  <c r="F56" i="21"/>
  <c r="F118" i="21"/>
  <c r="F251" i="21"/>
  <c r="F277" i="21"/>
  <c r="F266" i="21"/>
  <c r="F140" i="21"/>
  <c r="F373" i="21"/>
  <c r="F22" i="21"/>
  <c r="F187" i="21"/>
  <c r="F165" i="21"/>
  <c r="F271" i="21"/>
  <c r="F176" i="21"/>
  <c r="F183" i="21"/>
  <c r="F404" i="21"/>
  <c r="F389" i="21"/>
  <c r="F79" i="21"/>
  <c r="F119" i="21"/>
  <c r="F414" i="21"/>
  <c r="F51" i="21"/>
  <c r="F322" i="21"/>
  <c r="F129" i="21"/>
  <c r="F170" i="21"/>
  <c r="F293" i="21"/>
  <c r="F400" i="21"/>
  <c r="F106" i="21"/>
  <c r="F201" i="21"/>
  <c r="F298" i="21"/>
  <c r="F20" i="21"/>
  <c r="F175" i="21"/>
  <c r="F104" i="21"/>
  <c r="F278" i="21"/>
  <c r="F121" i="21"/>
  <c r="F317" i="21"/>
  <c r="F393" i="21"/>
  <c r="F155" i="21"/>
  <c r="F352" i="21"/>
  <c r="F401" i="21"/>
  <c r="F113" i="21"/>
  <c r="F10" i="21"/>
  <c r="F49" i="21"/>
  <c r="F179" i="21"/>
  <c r="F301" i="21"/>
  <c r="F279" i="21"/>
  <c r="F110" i="21"/>
  <c r="F244" i="21"/>
  <c r="F159" i="21"/>
  <c r="F397" i="21"/>
  <c r="F364" i="21"/>
  <c r="F348" i="21"/>
  <c r="F67" i="21"/>
  <c r="F86" i="21"/>
  <c r="F29" i="21"/>
  <c r="F216" i="21"/>
  <c r="F321" i="21"/>
  <c r="F221" i="21"/>
  <c r="F43" i="21"/>
  <c r="F73" i="21"/>
  <c r="F14" i="21"/>
  <c r="F93" i="21"/>
  <c r="F173" i="21"/>
  <c r="F182" i="21"/>
  <c r="F362" i="21"/>
  <c r="F346" i="21"/>
  <c r="F164" i="21"/>
  <c r="F415" i="21"/>
  <c r="F372" i="21"/>
  <c r="F105" i="21"/>
  <c r="F260" i="21"/>
  <c r="F50" i="21"/>
  <c r="F313" i="21"/>
  <c r="F238" i="21"/>
  <c r="F194" i="21"/>
  <c r="F137" i="21"/>
  <c r="F19" i="21"/>
  <c r="F234" i="21"/>
  <c r="F403" i="21"/>
  <c r="F292" i="21"/>
  <c r="F47" i="21"/>
  <c r="F374" i="21"/>
  <c r="F407" i="21"/>
  <c r="F267" i="21"/>
  <c r="F248" i="21"/>
  <c r="F396" i="21"/>
  <c r="F410" i="21"/>
  <c r="F25" i="21"/>
  <c r="F195" i="21"/>
  <c r="F136" i="21"/>
  <c r="F257" i="21"/>
  <c r="F297" i="21"/>
  <c r="F231" i="21"/>
  <c r="F224" i="21"/>
  <c r="F287" i="21"/>
  <c r="F92" i="21"/>
  <c r="F286" i="21"/>
  <c r="F335" i="21"/>
  <c r="F368" i="21"/>
  <c r="F152" i="21"/>
  <c r="F2" i="21"/>
  <c r="F115" i="21"/>
  <c r="F370" i="21"/>
  <c r="F361" i="21"/>
  <c r="F168" i="21"/>
  <c r="F135" i="21"/>
  <c r="F398" i="21"/>
  <c r="F26" i="21"/>
  <c r="F102" i="21"/>
  <c r="F189" i="21"/>
  <c r="F395" i="21"/>
  <c r="F350" i="21"/>
  <c r="F78" i="21"/>
  <c r="F147" i="21"/>
  <c r="F409" i="21"/>
  <c r="F413" i="21"/>
  <c r="F307" i="21"/>
  <c r="F97" i="21"/>
  <c r="F158" i="21"/>
  <c r="F82" i="21"/>
  <c r="F344" i="21"/>
  <c r="F235" i="21"/>
  <c r="F190" i="21"/>
  <c r="F108" i="21"/>
  <c r="F161" i="21"/>
  <c r="F199" i="21"/>
  <c r="F185" i="21"/>
  <c r="F206" i="21"/>
  <c r="F259" i="21"/>
  <c r="F249" i="21"/>
  <c r="F196" i="21"/>
  <c r="F132" i="21"/>
  <c r="F188" i="21"/>
  <c r="F236" i="21"/>
  <c r="F213" i="21"/>
  <c r="F126" i="21"/>
  <c r="F55" i="21"/>
  <c r="F96" i="21"/>
  <c r="F341" i="21"/>
  <c r="F151" i="21"/>
  <c r="F300" i="21"/>
  <c r="F87" i="21"/>
  <c r="F41" i="21"/>
  <c r="F142" i="21"/>
  <c r="F285" i="21"/>
  <c r="F340" i="21"/>
  <c r="F217" i="21"/>
  <c r="F8" i="21"/>
  <c r="F256" i="21"/>
  <c r="F264" i="21"/>
  <c r="F304" i="21"/>
  <c r="F387" i="21"/>
  <c r="F166" i="21"/>
  <c r="F226" i="21"/>
  <c r="F16" i="21"/>
  <c r="F130" i="21"/>
  <c r="F311" i="21"/>
  <c r="F91" i="21"/>
  <c r="F68" i="21"/>
  <c r="F109" i="21"/>
  <c r="F281" i="21"/>
  <c r="F39" i="21"/>
  <c r="F21" i="21"/>
  <c r="F7" i="21"/>
  <c r="F333" i="21"/>
  <c r="F336" i="21"/>
  <c r="F6" i="21"/>
  <c r="F219" i="21"/>
  <c r="F347" i="21"/>
  <c r="F268" i="21"/>
  <c r="F349" i="21"/>
  <c r="F386" i="21"/>
  <c r="F220" i="21"/>
  <c r="F283" i="21"/>
  <c r="F4" i="21"/>
  <c r="F146" i="21"/>
  <c r="F357" i="21"/>
  <c r="F270" i="21"/>
  <c r="F124" i="21"/>
  <c r="F328" i="21"/>
  <c r="F240" i="21"/>
  <c r="F205" i="21"/>
  <c r="F294" i="21"/>
  <c r="F33" i="21"/>
  <c r="F114" i="21"/>
  <c r="F57" i="21"/>
  <c r="F214" i="21"/>
  <c r="F359" i="21"/>
  <c r="F120" i="21"/>
  <c r="F192" i="21"/>
  <c r="F200" i="21"/>
  <c r="F406" i="21"/>
  <c r="F233" i="21"/>
  <c r="F392" i="21"/>
  <c r="F58" i="21"/>
  <c r="F38" i="21"/>
  <c r="F365" i="21"/>
  <c r="F245" i="21"/>
  <c r="F202" i="21"/>
  <c r="F334" i="21"/>
  <c r="F402" i="21"/>
  <c r="F326" i="21"/>
  <c r="F184" i="21"/>
  <c r="F84" i="21"/>
  <c r="F17" i="21"/>
  <c r="F345" i="21"/>
  <c r="F318" i="21"/>
  <c r="F111" i="21"/>
  <c r="F60" i="21"/>
  <c r="F385" i="21"/>
  <c r="F27" i="21"/>
  <c r="F54" i="21"/>
  <c r="F88" i="21"/>
  <c r="F133" i="21"/>
  <c r="F305" i="21"/>
  <c r="F273" i="21"/>
  <c r="F282" i="21"/>
  <c r="F218" i="21"/>
  <c r="F197" i="21"/>
  <c r="F394" i="21"/>
  <c r="F95" i="21"/>
  <c r="F24" i="21"/>
  <c r="F207" i="21"/>
  <c r="F11" i="21"/>
  <c r="F309" i="21"/>
  <c r="F417" i="21"/>
  <c r="F308" i="21"/>
  <c r="F94" i="21"/>
  <c r="F338" i="21"/>
  <c r="F209" i="21"/>
  <c r="F227" i="21"/>
  <c r="F42" i="21"/>
  <c r="F149" i="21"/>
  <c r="F186" i="21"/>
  <c r="F242" i="21"/>
  <c r="F112" i="21"/>
  <c r="F215" i="21"/>
  <c r="F329" i="21"/>
  <c r="F382" i="21"/>
  <c r="F76" i="21"/>
  <c r="F123" i="21"/>
  <c r="F141" i="21"/>
  <c r="F337" i="21"/>
  <c r="F62" i="21"/>
  <c r="F5" i="21"/>
  <c r="F23" i="21"/>
  <c r="F80" i="21"/>
  <c r="F169" i="21"/>
  <c r="F223" i="21"/>
  <c r="F128" i="21"/>
  <c r="F72" i="21"/>
  <c r="F262" i="21"/>
  <c r="F353" i="21"/>
  <c r="F323" i="21"/>
  <c r="F127" i="21"/>
  <c r="F310" i="21"/>
  <c r="F276" i="21"/>
  <c r="F34" i="21"/>
  <c r="F65" i="21"/>
  <c r="F295" i="21"/>
  <c r="F212" i="21"/>
  <c r="F377" i="21"/>
  <c r="F81" i="21"/>
  <c r="F280" i="21"/>
  <c r="F332" i="21"/>
  <c r="F376" i="21"/>
  <c r="F163" i="21"/>
  <c r="F85" i="21"/>
  <c r="F405" i="21"/>
  <c r="F241" i="21"/>
  <c r="F89" i="21"/>
  <c r="F77" i="21"/>
  <c r="F178" i="21"/>
  <c r="F61" i="21"/>
  <c r="F32" i="21"/>
  <c r="F148" i="21"/>
  <c r="F143" i="21"/>
  <c r="F253" i="21"/>
  <c r="F331" i="21"/>
  <c r="F64" i="21"/>
  <c r="F204" i="21"/>
  <c r="F134" i="21"/>
  <c r="F290" i="21"/>
  <c r="F355" i="21"/>
  <c r="F101" i="21"/>
  <c r="F384" i="21"/>
  <c r="F302" i="21"/>
  <c r="F75" i="21"/>
  <c r="F399" i="21"/>
  <c r="F343" i="21"/>
  <c r="F299" i="21"/>
  <c r="F342" i="21"/>
  <c r="F174" i="21"/>
  <c r="F18" i="21"/>
  <c r="F378" i="21"/>
  <c r="F265" i="21"/>
  <c r="F239" i="21"/>
  <c r="F327" i="21"/>
  <c r="F246" i="21"/>
  <c r="F369" i="21"/>
  <c r="F138" i="21"/>
  <c r="F160" i="21"/>
  <c r="F356" i="21"/>
  <c r="F275" i="21"/>
  <c r="F358" i="21"/>
  <c r="F144" i="21"/>
  <c r="F59" i="21"/>
  <c r="F412" i="21"/>
  <c r="F208" i="21"/>
  <c r="F90" i="21"/>
  <c r="F66" i="21"/>
  <c r="F177" i="21"/>
  <c r="F191" i="21"/>
  <c r="F125" i="21"/>
  <c r="F247" i="21"/>
  <c r="F46" i="21"/>
  <c r="F289" i="21"/>
  <c r="F162" i="21"/>
  <c r="F180" i="21"/>
  <c r="F243" i="21"/>
  <c r="F312" i="21"/>
  <c r="F171" i="21"/>
  <c r="F44" i="21"/>
  <c r="F324" i="21"/>
  <c r="F103" i="21"/>
  <c r="F367" i="21"/>
  <c r="F181" i="21"/>
  <c r="F145" i="21"/>
  <c r="F330" i="21"/>
  <c r="F319" i="21"/>
  <c r="F99" i="21"/>
  <c r="F122" i="21"/>
  <c r="F45" i="21"/>
  <c r="F315" i="21"/>
  <c r="F150" i="21"/>
  <c r="F306" i="21"/>
  <c r="F70" i="21"/>
  <c r="F237" i="21"/>
  <c r="F154" i="21"/>
  <c r="F263" i="21"/>
  <c r="F53" i="21"/>
  <c r="F193" i="21"/>
  <c r="F354" i="21"/>
  <c r="F314" i="21"/>
  <c r="F52" i="21"/>
  <c r="F12" i="21"/>
  <c r="F296" i="21"/>
  <c r="F229" i="21"/>
  <c r="F391" i="21"/>
  <c r="F380" i="21"/>
  <c r="F320" i="21"/>
  <c r="F255" i="21"/>
  <c r="F9" i="21"/>
  <c r="F172" i="21"/>
  <c r="F291" i="21"/>
  <c r="F261" i="21"/>
  <c r="F225" i="21"/>
  <c r="F69" i="21"/>
  <c r="F250" i="21"/>
  <c r="F303" i="21"/>
  <c r="F388" i="21"/>
  <c r="F379" i="21"/>
  <c r="F284" i="21"/>
  <c r="F252" i="21"/>
  <c r="F416" i="21"/>
  <c r="F71" i="21"/>
  <c r="F210" i="21"/>
  <c r="F63" i="21"/>
  <c r="F31" i="21"/>
  <c r="F157" i="21"/>
  <c r="E363" i="21"/>
  <c r="I363" i="21" s="1"/>
  <c r="E360" i="21"/>
  <c r="I360" i="21" s="1"/>
  <c r="E272" i="21"/>
  <c r="I272" i="21" s="1"/>
  <c r="E254" i="21"/>
  <c r="I254" i="21" s="1"/>
  <c r="E15" i="21"/>
  <c r="I15" i="21" s="1"/>
  <c r="E269" i="21"/>
  <c r="I269" i="21" s="1"/>
  <c r="E258" i="21"/>
  <c r="I258" i="21" s="1"/>
  <c r="E366" i="21"/>
  <c r="I366" i="21" s="1"/>
  <c r="E390" i="21"/>
  <c r="I390" i="21" s="1"/>
  <c r="E153" i="21"/>
  <c r="I153" i="21" s="1"/>
  <c r="E167" i="21"/>
  <c r="I167" i="21" s="1"/>
  <c r="E35" i="21"/>
  <c r="I35" i="21" s="1"/>
  <c r="E139" i="21"/>
  <c r="I139" i="21" s="1"/>
  <c r="E116" i="21"/>
  <c r="I116" i="21" s="1"/>
  <c r="E100" i="21"/>
  <c r="I100" i="21" s="1"/>
  <c r="E131" i="21"/>
  <c r="I131" i="21" s="1"/>
  <c r="E351" i="21"/>
  <c r="I351" i="21" s="1"/>
  <c r="E381" i="21"/>
  <c r="I381" i="21" s="1"/>
  <c r="E98" i="21"/>
  <c r="I98" i="21" s="1"/>
  <c r="E28" i="21"/>
  <c r="I28" i="21" s="1"/>
  <c r="E48" i="21"/>
  <c r="I48" i="21" s="1"/>
  <c r="E408" i="21"/>
  <c r="I408" i="21" s="1"/>
  <c r="E274" i="21"/>
  <c r="I274" i="21" s="1"/>
  <c r="E13" i="21"/>
  <c r="I13" i="21" s="1"/>
  <c r="E156" i="21"/>
  <c r="I156" i="21" s="1"/>
  <c r="E411" i="21"/>
  <c r="I411" i="21" s="1"/>
  <c r="E74" i="21"/>
  <c r="I74" i="21" s="1"/>
  <c r="E371" i="21"/>
  <c r="I371" i="21" s="1"/>
  <c r="E383" i="21"/>
  <c r="I383" i="21" s="1"/>
  <c r="E107" i="21"/>
  <c r="I107" i="21" s="1"/>
  <c r="E37" i="21"/>
  <c r="I37" i="21" s="1"/>
  <c r="E211" i="21"/>
  <c r="I211" i="21" s="1"/>
  <c r="E228" i="21"/>
  <c r="I228" i="21" s="1"/>
  <c r="E203" i="21"/>
  <c r="I203" i="21" s="1"/>
  <c r="E232" i="21"/>
  <c r="I232" i="21" s="1"/>
  <c r="E30" i="21"/>
  <c r="I30" i="21" s="1"/>
  <c r="E117" i="21"/>
  <c r="I117" i="21" s="1"/>
  <c r="E36" i="21"/>
  <c r="I36" i="21" s="1"/>
  <c r="E375" i="21"/>
  <c r="I375" i="21" s="1"/>
  <c r="E40" i="21"/>
  <c r="I40" i="21" s="1"/>
  <c r="E198" i="21"/>
  <c r="I198" i="21" s="1"/>
  <c r="E316" i="21"/>
  <c r="I316" i="21" s="1"/>
  <c r="E288" i="21"/>
  <c r="I288" i="21" s="1"/>
  <c r="E325" i="21"/>
  <c r="I325" i="21" s="1"/>
  <c r="E230" i="21"/>
  <c r="I230" i="21" s="1"/>
  <c r="E83" i="21"/>
  <c r="I83" i="21" s="1"/>
  <c r="E339" i="21"/>
  <c r="I339" i="21" s="1"/>
  <c r="E222" i="21"/>
  <c r="I222" i="21" s="1"/>
  <c r="E56" i="21"/>
  <c r="I56" i="21" s="1"/>
  <c r="E118" i="21"/>
  <c r="I118" i="21" s="1"/>
  <c r="E251" i="21"/>
  <c r="I251" i="21" s="1"/>
  <c r="E277" i="21"/>
  <c r="I277" i="21" s="1"/>
  <c r="E266" i="21"/>
  <c r="I266" i="21" s="1"/>
  <c r="E140" i="21"/>
  <c r="I140" i="21" s="1"/>
  <c r="E373" i="21"/>
  <c r="I373" i="21" s="1"/>
  <c r="E22" i="21"/>
  <c r="I22" i="21" s="1"/>
  <c r="E187" i="21"/>
  <c r="I187" i="21" s="1"/>
  <c r="E165" i="21"/>
  <c r="I165" i="21" s="1"/>
  <c r="E271" i="21"/>
  <c r="I271" i="21" s="1"/>
  <c r="E176" i="21"/>
  <c r="I176" i="21" s="1"/>
  <c r="E183" i="21"/>
  <c r="I183" i="21" s="1"/>
  <c r="E404" i="21"/>
  <c r="I404" i="21" s="1"/>
  <c r="E389" i="21"/>
  <c r="I389" i="21" s="1"/>
  <c r="E79" i="21"/>
  <c r="I79" i="21" s="1"/>
  <c r="E119" i="21"/>
  <c r="I119" i="21" s="1"/>
  <c r="E414" i="21"/>
  <c r="I414" i="21" s="1"/>
  <c r="E51" i="21"/>
  <c r="I51" i="21" s="1"/>
  <c r="E322" i="21"/>
  <c r="I322" i="21" s="1"/>
  <c r="E129" i="21"/>
  <c r="I129" i="21" s="1"/>
  <c r="E170" i="21"/>
  <c r="I170" i="21" s="1"/>
  <c r="E293" i="21"/>
  <c r="I293" i="21" s="1"/>
  <c r="E400" i="21"/>
  <c r="I400" i="21" s="1"/>
  <c r="E106" i="21"/>
  <c r="I106" i="21" s="1"/>
  <c r="E201" i="21"/>
  <c r="I201" i="21" s="1"/>
  <c r="E298" i="21"/>
  <c r="I298" i="21" s="1"/>
  <c r="E20" i="21"/>
  <c r="I20" i="21" s="1"/>
  <c r="E175" i="21"/>
  <c r="I175" i="21" s="1"/>
  <c r="E104" i="21"/>
  <c r="I104" i="21" s="1"/>
  <c r="E278" i="21"/>
  <c r="I278" i="21" s="1"/>
  <c r="E121" i="21"/>
  <c r="I121" i="21" s="1"/>
  <c r="E317" i="21"/>
  <c r="I317" i="21" s="1"/>
  <c r="E393" i="21"/>
  <c r="I393" i="21" s="1"/>
  <c r="E155" i="21"/>
  <c r="I155" i="21" s="1"/>
  <c r="E352" i="21"/>
  <c r="I352" i="21" s="1"/>
  <c r="E401" i="21"/>
  <c r="I401" i="21" s="1"/>
  <c r="E113" i="21"/>
  <c r="I113" i="21" s="1"/>
  <c r="E10" i="21"/>
  <c r="I10" i="21" s="1"/>
  <c r="E49" i="21"/>
  <c r="I49" i="21" s="1"/>
  <c r="E179" i="21"/>
  <c r="I179" i="21" s="1"/>
  <c r="E301" i="21"/>
  <c r="I301" i="21" s="1"/>
  <c r="E279" i="21"/>
  <c r="I279" i="21" s="1"/>
  <c r="E110" i="21"/>
  <c r="I110" i="21" s="1"/>
  <c r="E244" i="21"/>
  <c r="I244" i="21" s="1"/>
  <c r="E159" i="21"/>
  <c r="I159" i="21" s="1"/>
  <c r="E397" i="21"/>
  <c r="I397" i="21" s="1"/>
  <c r="E364" i="21"/>
  <c r="I364" i="21" s="1"/>
  <c r="E348" i="21"/>
  <c r="I348" i="21" s="1"/>
  <c r="E67" i="21"/>
  <c r="I67" i="21" s="1"/>
  <c r="E86" i="21"/>
  <c r="I86" i="21" s="1"/>
  <c r="E29" i="21"/>
  <c r="I29" i="21" s="1"/>
  <c r="E216" i="21"/>
  <c r="I216" i="21" s="1"/>
  <c r="E321" i="21"/>
  <c r="I321" i="21" s="1"/>
  <c r="E221" i="21"/>
  <c r="I221" i="21" s="1"/>
  <c r="E43" i="21"/>
  <c r="I43" i="21" s="1"/>
  <c r="E73" i="21"/>
  <c r="I73" i="21" s="1"/>
  <c r="E14" i="21"/>
  <c r="I14" i="21" s="1"/>
  <c r="E93" i="21"/>
  <c r="I93" i="21" s="1"/>
  <c r="E173" i="21"/>
  <c r="I173" i="21" s="1"/>
  <c r="E182" i="21"/>
  <c r="I182" i="21" s="1"/>
  <c r="E362" i="21"/>
  <c r="I362" i="21" s="1"/>
  <c r="E346" i="21"/>
  <c r="I346" i="21" s="1"/>
  <c r="E164" i="21"/>
  <c r="I164" i="21" s="1"/>
  <c r="E415" i="21"/>
  <c r="I415" i="21" s="1"/>
  <c r="E372" i="21"/>
  <c r="I372" i="21" s="1"/>
  <c r="E105" i="21"/>
  <c r="I105" i="21" s="1"/>
  <c r="E260" i="21"/>
  <c r="I260" i="21" s="1"/>
  <c r="E50" i="21"/>
  <c r="I50" i="21" s="1"/>
  <c r="E313" i="21"/>
  <c r="I313" i="21" s="1"/>
  <c r="E238" i="21"/>
  <c r="I238" i="21" s="1"/>
  <c r="E194" i="21"/>
  <c r="I194" i="21" s="1"/>
  <c r="E137" i="21"/>
  <c r="I137" i="21" s="1"/>
  <c r="E19" i="21"/>
  <c r="I19" i="21" s="1"/>
  <c r="E234" i="21"/>
  <c r="I234" i="21" s="1"/>
  <c r="E403" i="21"/>
  <c r="I403" i="21" s="1"/>
  <c r="E292" i="21"/>
  <c r="I292" i="21" s="1"/>
  <c r="E47" i="21"/>
  <c r="I47" i="21" s="1"/>
  <c r="E374" i="21"/>
  <c r="I374" i="21" s="1"/>
  <c r="E407" i="21"/>
  <c r="I407" i="21" s="1"/>
  <c r="E3" i="21"/>
  <c r="I3" i="21" s="1"/>
  <c r="E267" i="21"/>
  <c r="I267" i="21" s="1"/>
  <c r="E248" i="21"/>
  <c r="I248" i="21" s="1"/>
  <c r="E396" i="21"/>
  <c r="I396" i="21" s="1"/>
  <c r="E410" i="21"/>
  <c r="I410" i="21" s="1"/>
  <c r="E25" i="21"/>
  <c r="I25" i="21" s="1"/>
  <c r="E195" i="21"/>
  <c r="I195" i="21" s="1"/>
  <c r="E136" i="21"/>
  <c r="I136" i="21" s="1"/>
  <c r="E257" i="21"/>
  <c r="I257" i="21" s="1"/>
  <c r="E297" i="21"/>
  <c r="I297" i="21" s="1"/>
  <c r="E231" i="21"/>
  <c r="I231" i="21" s="1"/>
  <c r="E224" i="21"/>
  <c r="I224" i="21" s="1"/>
  <c r="E287" i="21"/>
  <c r="I287" i="21" s="1"/>
  <c r="E92" i="21"/>
  <c r="I92" i="21" s="1"/>
  <c r="E286" i="21"/>
  <c r="I286" i="21" s="1"/>
  <c r="E335" i="21"/>
  <c r="I335" i="21" s="1"/>
  <c r="E368" i="21"/>
  <c r="I368" i="21" s="1"/>
  <c r="E152" i="21"/>
  <c r="I152" i="21" s="1"/>
  <c r="E2" i="21"/>
  <c r="I2" i="21" s="1"/>
  <c r="E115" i="21"/>
  <c r="I115" i="21" s="1"/>
  <c r="E370" i="21"/>
  <c r="I370" i="21" s="1"/>
  <c r="E361" i="21"/>
  <c r="I361" i="21" s="1"/>
  <c r="E168" i="21"/>
  <c r="I168" i="21" s="1"/>
  <c r="E135" i="21"/>
  <c r="I135" i="21" s="1"/>
  <c r="E398" i="21"/>
  <c r="I398" i="21" s="1"/>
  <c r="E26" i="21"/>
  <c r="I26" i="21" s="1"/>
  <c r="E102" i="21"/>
  <c r="I102" i="21" s="1"/>
  <c r="E189" i="21"/>
  <c r="I189" i="21" s="1"/>
  <c r="E395" i="21"/>
  <c r="I395" i="21" s="1"/>
  <c r="E350" i="21"/>
  <c r="I350" i="21" s="1"/>
  <c r="E78" i="21"/>
  <c r="I78" i="21" s="1"/>
  <c r="E147" i="21"/>
  <c r="I147" i="21" s="1"/>
  <c r="E409" i="21"/>
  <c r="I409" i="21" s="1"/>
  <c r="E413" i="21"/>
  <c r="I413" i="21" s="1"/>
  <c r="E307" i="21"/>
  <c r="I307" i="21" s="1"/>
  <c r="E97" i="21"/>
  <c r="I97" i="21" s="1"/>
  <c r="E158" i="21"/>
  <c r="I158" i="21" s="1"/>
  <c r="E82" i="21"/>
  <c r="I82" i="21" s="1"/>
  <c r="E344" i="21"/>
  <c r="I344" i="21" s="1"/>
  <c r="E235" i="21"/>
  <c r="I235" i="21" s="1"/>
  <c r="E190" i="21"/>
  <c r="I190" i="21" s="1"/>
  <c r="E108" i="21"/>
  <c r="I108" i="21" s="1"/>
  <c r="E161" i="21"/>
  <c r="I161" i="21" s="1"/>
  <c r="E199" i="21"/>
  <c r="I199" i="21" s="1"/>
  <c r="E185" i="21"/>
  <c r="I185" i="21" s="1"/>
  <c r="E206" i="21"/>
  <c r="I206" i="21" s="1"/>
  <c r="E259" i="21"/>
  <c r="I259" i="21" s="1"/>
  <c r="E249" i="21"/>
  <c r="I249" i="21" s="1"/>
  <c r="E196" i="21"/>
  <c r="I196" i="21" s="1"/>
  <c r="E132" i="21"/>
  <c r="I132" i="21" s="1"/>
  <c r="E188" i="21"/>
  <c r="I188" i="21" s="1"/>
  <c r="E236" i="21"/>
  <c r="I236" i="21" s="1"/>
  <c r="E213" i="21"/>
  <c r="I213" i="21" s="1"/>
  <c r="E126" i="21"/>
  <c r="I126" i="21" s="1"/>
  <c r="E55" i="21"/>
  <c r="I55" i="21" s="1"/>
  <c r="E96" i="21"/>
  <c r="I96" i="21" s="1"/>
  <c r="E341" i="21"/>
  <c r="I341" i="21" s="1"/>
  <c r="E151" i="21"/>
  <c r="I151" i="21" s="1"/>
  <c r="E300" i="21"/>
  <c r="I300" i="21" s="1"/>
  <c r="E87" i="21"/>
  <c r="I87" i="21" s="1"/>
  <c r="E41" i="21"/>
  <c r="I41" i="21" s="1"/>
  <c r="E142" i="21"/>
  <c r="I142" i="21" s="1"/>
  <c r="E285" i="21"/>
  <c r="I285" i="21" s="1"/>
  <c r="E340" i="21"/>
  <c r="I340" i="21" s="1"/>
  <c r="E217" i="21"/>
  <c r="I217" i="21" s="1"/>
  <c r="E8" i="21"/>
  <c r="I8" i="21" s="1"/>
  <c r="E256" i="21"/>
  <c r="I256" i="21" s="1"/>
  <c r="E264" i="21"/>
  <c r="I264" i="21" s="1"/>
  <c r="E304" i="21"/>
  <c r="I304" i="21" s="1"/>
  <c r="E387" i="21"/>
  <c r="I387" i="21" s="1"/>
  <c r="E166" i="21"/>
  <c r="I166" i="21" s="1"/>
  <c r="E226" i="21"/>
  <c r="I226" i="21" s="1"/>
  <c r="E16" i="21"/>
  <c r="I16" i="21" s="1"/>
  <c r="E130" i="21"/>
  <c r="I130" i="21" s="1"/>
  <c r="E311" i="21"/>
  <c r="I311" i="21" s="1"/>
  <c r="E91" i="21"/>
  <c r="I91" i="21" s="1"/>
  <c r="E68" i="21"/>
  <c r="I68" i="21" s="1"/>
  <c r="E109" i="21"/>
  <c r="I109" i="21" s="1"/>
  <c r="E281" i="21"/>
  <c r="I281" i="21" s="1"/>
  <c r="E39" i="21"/>
  <c r="I39" i="21" s="1"/>
  <c r="E21" i="21"/>
  <c r="I21" i="21" s="1"/>
  <c r="E7" i="21"/>
  <c r="I7" i="21" s="1"/>
  <c r="E333" i="21"/>
  <c r="I333" i="21" s="1"/>
  <c r="E336" i="21"/>
  <c r="I336" i="21" s="1"/>
  <c r="E6" i="21"/>
  <c r="I6" i="21" s="1"/>
  <c r="E219" i="21"/>
  <c r="I219" i="21" s="1"/>
  <c r="E347" i="21"/>
  <c r="I347" i="21" s="1"/>
  <c r="E268" i="21"/>
  <c r="I268" i="21" s="1"/>
  <c r="E349" i="21"/>
  <c r="I349" i="21" s="1"/>
  <c r="E386" i="21"/>
  <c r="I386" i="21" s="1"/>
  <c r="E220" i="21"/>
  <c r="I220" i="21" s="1"/>
  <c r="E283" i="21"/>
  <c r="I283" i="21" s="1"/>
  <c r="E4" i="21"/>
  <c r="I4" i="21" s="1"/>
  <c r="E146" i="21"/>
  <c r="I146" i="21" s="1"/>
  <c r="E357" i="21"/>
  <c r="I357" i="21" s="1"/>
  <c r="E270" i="21"/>
  <c r="I270" i="21" s="1"/>
  <c r="E124" i="21"/>
  <c r="I124" i="21" s="1"/>
  <c r="E328" i="21"/>
  <c r="I328" i="21" s="1"/>
  <c r="E240" i="21"/>
  <c r="I240" i="21" s="1"/>
  <c r="E205" i="21"/>
  <c r="I205" i="21" s="1"/>
  <c r="E294" i="21"/>
  <c r="I294" i="21" s="1"/>
  <c r="E33" i="21"/>
  <c r="I33" i="21" s="1"/>
  <c r="E114" i="21"/>
  <c r="I114" i="21" s="1"/>
  <c r="E57" i="21"/>
  <c r="I57" i="21" s="1"/>
  <c r="E214" i="21"/>
  <c r="I214" i="21" s="1"/>
  <c r="E359" i="21"/>
  <c r="I359" i="21" s="1"/>
  <c r="E120" i="21"/>
  <c r="I120" i="21" s="1"/>
  <c r="E192" i="21"/>
  <c r="I192" i="21" s="1"/>
  <c r="E200" i="21"/>
  <c r="I200" i="21" s="1"/>
  <c r="E406" i="21"/>
  <c r="I406" i="21" s="1"/>
  <c r="E233" i="21"/>
  <c r="I233" i="21" s="1"/>
  <c r="E392" i="21"/>
  <c r="I392" i="21" s="1"/>
  <c r="E58" i="21"/>
  <c r="I58" i="21" s="1"/>
  <c r="E38" i="21"/>
  <c r="I38" i="21" s="1"/>
  <c r="E365" i="21"/>
  <c r="I365" i="21" s="1"/>
  <c r="E245" i="21"/>
  <c r="I245" i="21" s="1"/>
  <c r="E202" i="21"/>
  <c r="I202" i="21" s="1"/>
  <c r="E334" i="21"/>
  <c r="I334" i="21" s="1"/>
  <c r="E402" i="21"/>
  <c r="I402" i="21" s="1"/>
  <c r="E326" i="21"/>
  <c r="I326" i="21" s="1"/>
  <c r="E184" i="21"/>
  <c r="I184" i="21" s="1"/>
  <c r="E84" i="21"/>
  <c r="I84" i="21" s="1"/>
  <c r="E17" i="21"/>
  <c r="I17" i="21" s="1"/>
  <c r="E345" i="21"/>
  <c r="I345" i="21" s="1"/>
  <c r="E318" i="21"/>
  <c r="I318" i="21" s="1"/>
  <c r="E111" i="21"/>
  <c r="I111" i="21" s="1"/>
  <c r="E60" i="21"/>
  <c r="I60" i="21" s="1"/>
  <c r="E385" i="21"/>
  <c r="I385" i="21" s="1"/>
  <c r="E27" i="21"/>
  <c r="I27" i="21" s="1"/>
  <c r="E54" i="21"/>
  <c r="I54" i="21" s="1"/>
  <c r="E88" i="21"/>
  <c r="I88" i="21" s="1"/>
  <c r="E133" i="21"/>
  <c r="I133" i="21" s="1"/>
  <c r="E305" i="21"/>
  <c r="I305" i="21" s="1"/>
  <c r="E273" i="21"/>
  <c r="I273" i="21" s="1"/>
  <c r="E282" i="21"/>
  <c r="I282" i="21" s="1"/>
  <c r="E218" i="21"/>
  <c r="I218" i="21" s="1"/>
  <c r="E197" i="21"/>
  <c r="I197" i="21" s="1"/>
  <c r="E394" i="21"/>
  <c r="I394" i="21" s="1"/>
  <c r="E95" i="21"/>
  <c r="I95" i="21" s="1"/>
  <c r="E24" i="21"/>
  <c r="I24" i="21" s="1"/>
  <c r="E207" i="21"/>
  <c r="I207" i="21" s="1"/>
  <c r="E11" i="21"/>
  <c r="I11" i="21" s="1"/>
  <c r="E309" i="21"/>
  <c r="I309" i="21" s="1"/>
  <c r="E417" i="21"/>
  <c r="I417" i="21" s="1"/>
  <c r="E308" i="21"/>
  <c r="I308" i="21" s="1"/>
  <c r="E94" i="21"/>
  <c r="I94" i="21" s="1"/>
  <c r="E338" i="21"/>
  <c r="I338" i="21" s="1"/>
  <c r="E209" i="21"/>
  <c r="I209" i="21" s="1"/>
  <c r="E227" i="21"/>
  <c r="I227" i="21" s="1"/>
  <c r="E42" i="21"/>
  <c r="I42" i="21" s="1"/>
  <c r="E149" i="21"/>
  <c r="I149" i="21" s="1"/>
  <c r="E186" i="21"/>
  <c r="I186" i="21" s="1"/>
  <c r="E242" i="21"/>
  <c r="I242" i="21" s="1"/>
  <c r="E112" i="21"/>
  <c r="I112" i="21" s="1"/>
  <c r="E215" i="21"/>
  <c r="I215" i="21" s="1"/>
  <c r="E329" i="21"/>
  <c r="I329" i="21" s="1"/>
  <c r="E382" i="21"/>
  <c r="I382" i="21" s="1"/>
  <c r="E76" i="21"/>
  <c r="I76" i="21" s="1"/>
  <c r="E123" i="21"/>
  <c r="I123" i="21" s="1"/>
  <c r="E141" i="21"/>
  <c r="I141" i="21" s="1"/>
  <c r="E337" i="21"/>
  <c r="I337" i="21" s="1"/>
  <c r="E62" i="21"/>
  <c r="I62" i="21" s="1"/>
  <c r="E5" i="21"/>
  <c r="I5" i="21" s="1"/>
  <c r="E23" i="21"/>
  <c r="I23" i="21" s="1"/>
  <c r="E80" i="21"/>
  <c r="I80" i="21" s="1"/>
  <c r="E169" i="21"/>
  <c r="I169" i="21" s="1"/>
  <c r="E223" i="21"/>
  <c r="I223" i="21" s="1"/>
  <c r="E128" i="21"/>
  <c r="I128" i="21" s="1"/>
  <c r="E72" i="21"/>
  <c r="I72" i="21" s="1"/>
  <c r="E262" i="21"/>
  <c r="I262" i="21" s="1"/>
  <c r="E353" i="21"/>
  <c r="I353" i="21" s="1"/>
  <c r="E323" i="21"/>
  <c r="I323" i="21" s="1"/>
  <c r="E127" i="21"/>
  <c r="I127" i="21" s="1"/>
  <c r="E310" i="21"/>
  <c r="I310" i="21" s="1"/>
  <c r="E276" i="21"/>
  <c r="I276" i="21" s="1"/>
  <c r="E34" i="21"/>
  <c r="I34" i="21" s="1"/>
  <c r="E65" i="21"/>
  <c r="I65" i="21" s="1"/>
  <c r="E295" i="21"/>
  <c r="I295" i="21" s="1"/>
  <c r="E212" i="21"/>
  <c r="I212" i="21" s="1"/>
  <c r="E377" i="21"/>
  <c r="I377" i="21" s="1"/>
  <c r="E81" i="21"/>
  <c r="I81" i="21" s="1"/>
  <c r="E280" i="21"/>
  <c r="I280" i="21" s="1"/>
  <c r="E332" i="21"/>
  <c r="I332" i="21" s="1"/>
  <c r="E376" i="21"/>
  <c r="I376" i="21" s="1"/>
  <c r="E163" i="21"/>
  <c r="I163" i="21" s="1"/>
  <c r="E85" i="21"/>
  <c r="I85" i="21" s="1"/>
  <c r="E405" i="21"/>
  <c r="I405" i="21" s="1"/>
  <c r="E241" i="21"/>
  <c r="I241" i="21" s="1"/>
  <c r="E89" i="21"/>
  <c r="I89" i="21" s="1"/>
  <c r="E77" i="21"/>
  <c r="I77" i="21" s="1"/>
  <c r="E178" i="21"/>
  <c r="I178" i="21" s="1"/>
  <c r="E61" i="21"/>
  <c r="I61" i="21" s="1"/>
  <c r="E32" i="21"/>
  <c r="I32" i="21" s="1"/>
  <c r="E148" i="21"/>
  <c r="I148" i="21" s="1"/>
  <c r="E143" i="21"/>
  <c r="I143" i="21" s="1"/>
  <c r="E253" i="21"/>
  <c r="I253" i="21" s="1"/>
  <c r="E331" i="21"/>
  <c r="I331" i="21" s="1"/>
  <c r="E64" i="21"/>
  <c r="I64" i="21" s="1"/>
  <c r="E204" i="21"/>
  <c r="I204" i="21" s="1"/>
  <c r="E134" i="21"/>
  <c r="I134" i="21" s="1"/>
  <c r="E290" i="21"/>
  <c r="I290" i="21" s="1"/>
  <c r="E355" i="21"/>
  <c r="I355" i="21" s="1"/>
  <c r="E101" i="21"/>
  <c r="I101" i="21" s="1"/>
  <c r="E384" i="21"/>
  <c r="I384" i="21" s="1"/>
  <c r="E302" i="21"/>
  <c r="I302" i="21" s="1"/>
  <c r="E75" i="21"/>
  <c r="I75" i="21" s="1"/>
  <c r="E399" i="21"/>
  <c r="I399" i="21" s="1"/>
  <c r="E343" i="21"/>
  <c r="I343" i="21" s="1"/>
  <c r="E299" i="21"/>
  <c r="I299" i="21" s="1"/>
  <c r="E342" i="21"/>
  <c r="I342" i="21" s="1"/>
  <c r="E174" i="21"/>
  <c r="I174" i="21" s="1"/>
  <c r="E18" i="21"/>
  <c r="I18" i="21" s="1"/>
  <c r="E378" i="21"/>
  <c r="I378" i="21" s="1"/>
  <c r="E265" i="21"/>
  <c r="I265" i="21" s="1"/>
  <c r="E239" i="21"/>
  <c r="I239" i="21" s="1"/>
  <c r="E327" i="21"/>
  <c r="I327" i="21" s="1"/>
  <c r="E246" i="21"/>
  <c r="I246" i="21" s="1"/>
  <c r="E369" i="21"/>
  <c r="I369" i="21" s="1"/>
  <c r="E138" i="21"/>
  <c r="I138" i="21" s="1"/>
  <c r="E160" i="21"/>
  <c r="I160" i="21" s="1"/>
  <c r="E356" i="21"/>
  <c r="I356" i="21" s="1"/>
  <c r="E275" i="21"/>
  <c r="I275" i="21" s="1"/>
  <c r="E358" i="21"/>
  <c r="I358" i="21" s="1"/>
  <c r="E144" i="21"/>
  <c r="I144" i="21" s="1"/>
  <c r="E59" i="21"/>
  <c r="I59" i="21" s="1"/>
  <c r="E412" i="21"/>
  <c r="I412" i="21" s="1"/>
  <c r="E208" i="21"/>
  <c r="I208" i="21" s="1"/>
  <c r="E90" i="21"/>
  <c r="I90" i="21" s="1"/>
  <c r="E66" i="21"/>
  <c r="I66" i="21" s="1"/>
  <c r="E177" i="21"/>
  <c r="I177" i="21" s="1"/>
  <c r="E191" i="21"/>
  <c r="I191" i="21" s="1"/>
  <c r="E125" i="21"/>
  <c r="I125" i="21" s="1"/>
  <c r="E247" i="21"/>
  <c r="I247" i="21" s="1"/>
  <c r="E46" i="21"/>
  <c r="I46" i="21" s="1"/>
  <c r="E289" i="21"/>
  <c r="I289" i="21" s="1"/>
  <c r="E162" i="21"/>
  <c r="I162" i="21" s="1"/>
  <c r="E180" i="21"/>
  <c r="I180" i="21" s="1"/>
  <c r="E243" i="21"/>
  <c r="I243" i="21" s="1"/>
  <c r="E312" i="21"/>
  <c r="I312" i="21" s="1"/>
  <c r="E171" i="21"/>
  <c r="I171" i="21" s="1"/>
  <c r="E44" i="21"/>
  <c r="I44" i="21" s="1"/>
  <c r="E324" i="21"/>
  <c r="I324" i="21" s="1"/>
  <c r="E103" i="21"/>
  <c r="I103" i="21" s="1"/>
  <c r="E367" i="21"/>
  <c r="I367" i="21" s="1"/>
  <c r="E181" i="21"/>
  <c r="I181" i="21" s="1"/>
  <c r="E145" i="21"/>
  <c r="I145" i="21" s="1"/>
  <c r="E330" i="21"/>
  <c r="I330" i="21" s="1"/>
  <c r="E319" i="21"/>
  <c r="I319" i="21" s="1"/>
  <c r="E99" i="21"/>
  <c r="I99" i="21" s="1"/>
  <c r="E122" i="21"/>
  <c r="I122" i="21" s="1"/>
  <c r="E45" i="21"/>
  <c r="I45" i="21" s="1"/>
  <c r="E315" i="21"/>
  <c r="I315" i="21" s="1"/>
  <c r="E150" i="21"/>
  <c r="I150" i="21" s="1"/>
  <c r="E306" i="21"/>
  <c r="I306" i="21" s="1"/>
  <c r="E70" i="21"/>
  <c r="I70" i="21" s="1"/>
  <c r="E237" i="21"/>
  <c r="I237" i="21" s="1"/>
  <c r="E154" i="21"/>
  <c r="I154" i="21" s="1"/>
  <c r="E263" i="21"/>
  <c r="I263" i="21" s="1"/>
  <c r="E53" i="21"/>
  <c r="I53" i="21" s="1"/>
  <c r="E193" i="21"/>
  <c r="I193" i="21" s="1"/>
  <c r="E354" i="21"/>
  <c r="I354" i="21" s="1"/>
  <c r="E314" i="21"/>
  <c r="I314" i="21" s="1"/>
  <c r="E52" i="21"/>
  <c r="I52" i="21" s="1"/>
  <c r="E12" i="21"/>
  <c r="I12" i="21" s="1"/>
  <c r="E296" i="21"/>
  <c r="I296" i="21" s="1"/>
  <c r="E229" i="21"/>
  <c r="I229" i="21" s="1"/>
  <c r="E391" i="21"/>
  <c r="I391" i="21" s="1"/>
  <c r="E380" i="21"/>
  <c r="I380" i="21" s="1"/>
  <c r="E320" i="21"/>
  <c r="I320" i="21" s="1"/>
  <c r="E255" i="21"/>
  <c r="I255" i="21" s="1"/>
  <c r="E9" i="21"/>
  <c r="I9" i="21" s="1"/>
  <c r="E172" i="21"/>
  <c r="I172" i="21" s="1"/>
  <c r="E291" i="21"/>
  <c r="I291" i="21" s="1"/>
  <c r="E261" i="21"/>
  <c r="I261" i="21" s="1"/>
  <c r="E225" i="21"/>
  <c r="I225" i="21" s="1"/>
  <c r="E69" i="21"/>
  <c r="I69" i="21" s="1"/>
  <c r="E250" i="21"/>
  <c r="I250" i="21" s="1"/>
  <c r="E303" i="21"/>
  <c r="I303" i="21" s="1"/>
  <c r="E388" i="21"/>
  <c r="I388" i="21" s="1"/>
  <c r="E379" i="21"/>
  <c r="I379" i="21" s="1"/>
  <c r="E284" i="21"/>
  <c r="I284" i="21" s="1"/>
  <c r="E252" i="21"/>
  <c r="I252" i="21" s="1"/>
  <c r="E416" i="21"/>
  <c r="I416" i="21" s="1"/>
  <c r="E71" i="21"/>
  <c r="I71" i="21" s="1"/>
  <c r="E210" i="21"/>
  <c r="I210" i="21" s="1"/>
  <c r="E63" i="21"/>
  <c r="I63" i="21" s="1"/>
  <c r="E31" i="21"/>
  <c r="I31" i="21" s="1"/>
  <c r="E157" i="21"/>
  <c r="I157" i="21" s="1"/>
  <c r="O13" i="21" l="1"/>
  <c r="I2" i="20"/>
  <c r="I3" i="20" s="1"/>
  <c r="I4" i="20" s="1"/>
  <c r="I5" i="20" s="1"/>
  <c r="I6" i="20" s="1"/>
  <c r="I7" i="20" s="1"/>
  <c r="I8" i="20" s="1"/>
  <c r="I9" i="20" s="1"/>
  <c r="I10" i="20" s="1"/>
  <c r="I11" i="20" s="1"/>
  <c r="I12" i="20" s="1"/>
  <c r="I13" i="20" s="1"/>
  <c r="I14" i="20" s="1"/>
  <c r="I15" i="20" s="1"/>
  <c r="I16" i="20" s="1"/>
  <c r="I17" i="20" s="1"/>
  <c r="I18" i="20" s="1"/>
  <c r="I19" i="20" s="1"/>
  <c r="I20" i="20" s="1"/>
  <c r="I21" i="20" s="1"/>
  <c r="I22" i="20" s="1"/>
  <c r="I23" i="20" s="1"/>
  <c r="I24" i="20" s="1"/>
  <c r="I25" i="20" s="1"/>
  <c r="I26" i="20" s="1"/>
  <c r="I27" i="20" s="1"/>
  <c r="I28" i="20" s="1"/>
  <c r="I29" i="20" s="1"/>
  <c r="I30" i="20" s="1"/>
  <c r="I31" i="20" s="1"/>
  <c r="I32" i="20" s="1"/>
  <c r="I33" i="20" s="1"/>
  <c r="I34" i="20" s="1"/>
  <c r="I35" i="20" s="1"/>
  <c r="I36" i="20" s="1"/>
  <c r="I37" i="20" s="1"/>
  <c r="I38" i="20" s="1"/>
  <c r="I39" i="20" s="1"/>
  <c r="I40" i="20" s="1"/>
  <c r="I41" i="20" s="1"/>
  <c r="I42" i="20" s="1"/>
  <c r="I43" i="20" s="1"/>
  <c r="I44" i="20" s="1"/>
  <c r="I45" i="20" s="1"/>
  <c r="I46" i="20" s="1"/>
  <c r="I47" i="20" s="1"/>
  <c r="I48" i="20" s="1"/>
  <c r="I49" i="20" s="1"/>
  <c r="I50" i="20" s="1"/>
  <c r="I51" i="20" s="1"/>
  <c r="I52" i="20" s="1"/>
  <c r="I53" i="20" s="1"/>
  <c r="I54" i="20" s="1"/>
  <c r="I55" i="20" s="1"/>
  <c r="I56" i="20" s="1"/>
  <c r="I57" i="20" s="1"/>
  <c r="I58" i="20" s="1"/>
  <c r="I59" i="20" s="1"/>
  <c r="I60" i="20" s="1"/>
  <c r="I61" i="20" s="1"/>
  <c r="I62" i="20" s="1"/>
  <c r="I63" i="20" s="1"/>
  <c r="I64" i="20" s="1"/>
  <c r="I65" i="20" s="1"/>
  <c r="I66" i="20" s="1"/>
  <c r="I67" i="20" s="1"/>
  <c r="I68" i="20" s="1"/>
  <c r="I69" i="20" s="1"/>
  <c r="I70" i="20" s="1"/>
  <c r="I71" i="20" s="1"/>
  <c r="I72" i="20" s="1"/>
  <c r="I73" i="20" s="1"/>
  <c r="I74" i="20" s="1"/>
  <c r="I75" i="20" s="1"/>
  <c r="I76" i="20" s="1"/>
  <c r="I77" i="20" s="1"/>
  <c r="I78" i="20" s="1"/>
  <c r="I79" i="20" s="1"/>
  <c r="I80" i="20" s="1"/>
  <c r="I81" i="20" s="1"/>
  <c r="I82" i="20" s="1"/>
  <c r="I83" i="20" s="1"/>
  <c r="I84" i="20" s="1"/>
  <c r="I85" i="20" s="1"/>
  <c r="I86" i="20" s="1"/>
  <c r="I87" i="20" s="1"/>
  <c r="I88" i="20" s="1"/>
  <c r="I89" i="20" s="1"/>
  <c r="I90" i="20" s="1"/>
  <c r="I91" i="20" s="1"/>
  <c r="I92" i="20" s="1"/>
  <c r="I93" i="20" s="1"/>
  <c r="I94" i="20" s="1"/>
  <c r="I95" i="20" s="1"/>
  <c r="I96" i="20" s="1"/>
  <c r="I97" i="20" s="1"/>
  <c r="I98" i="20" s="1"/>
  <c r="I99" i="20" s="1"/>
  <c r="I100" i="20" s="1"/>
  <c r="I101" i="20" s="1"/>
  <c r="I102" i="20" s="1"/>
  <c r="I103" i="20" s="1"/>
  <c r="I104" i="20" s="1"/>
  <c r="I105" i="20" s="1"/>
  <c r="I106" i="20" s="1"/>
  <c r="I107" i="20" s="1"/>
  <c r="I108" i="20" s="1"/>
  <c r="I109" i="20" s="1"/>
  <c r="I110" i="20" s="1"/>
  <c r="I111" i="20" s="1"/>
  <c r="I112" i="20" s="1"/>
  <c r="I113" i="20" s="1"/>
  <c r="I114" i="20" s="1"/>
  <c r="I115" i="20" s="1"/>
  <c r="I116" i="20" s="1"/>
  <c r="I117" i="20" s="1"/>
  <c r="I118" i="20" s="1"/>
  <c r="I119" i="20" s="1"/>
  <c r="I120" i="20" s="1"/>
  <c r="I121" i="20" s="1"/>
  <c r="I122" i="20" s="1"/>
  <c r="I123" i="20" s="1"/>
  <c r="I124" i="20" s="1"/>
  <c r="I125" i="20" s="1"/>
  <c r="I126" i="20" s="1"/>
  <c r="I127" i="20" s="1"/>
  <c r="I128" i="20" s="1"/>
  <c r="I129" i="20" s="1"/>
  <c r="I130" i="20" s="1"/>
  <c r="I131" i="20" s="1"/>
  <c r="I132" i="20" s="1"/>
  <c r="I133" i="20" s="1"/>
  <c r="I134" i="20" s="1"/>
  <c r="I135" i="20" s="1"/>
  <c r="I136" i="20" s="1"/>
  <c r="I137" i="20" s="1"/>
  <c r="I138" i="20" s="1"/>
  <c r="I139" i="20" s="1"/>
  <c r="I140" i="20" s="1"/>
  <c r="I141" i="20" s="1"/>
  <c r="I142" i="20" s="1"/>
  <c r="I143" i="20" s="1"/>
  <c r="I144" i="20" s="1"/>
  <c r="I145" i="20" s="1"/>
  <c r="I146" i="20" s="1"/>
  <c r="I147" i="20" s="1"/>
  <c r="I148" i="20" s="1"/>
  <c r="I149" i="20" s="1"/>
  <c r="I150" i="20" s="1"/>
  <c r="I151" i="20" s="1"/>
  <c r="I152" i="20" s="1"/>
  <c r="I153" i="20" s="1"/>
  <c r="I154" i="20" s="1"/>
  <c r="I155" i="20" s="1"/>
  <c r="I156" i="20" s="1"/>
  <c r="I157" i="20" s="1"/>
  <c r="I158" i="20" s="1"/>
  <c r="I159" i="20" s="1"/>
  <c r="I160" i="20" s="1"/>
  <c r="I161" i="20" s="1"/>
  <c r="I162" i="20" s="1"/>
  <c r="I163" i="20" s="1"/>
  <c r="I164" i="20" s="1"/>
  <c r="I165" i="20" s="1"/>
  <c r="I166" i="20" s="1"/>
  <c r="I167" i="20" s="1"/>
  <c r="I168" i="20" s="1"/>
  <c r="I169" i="20" s="1"/>
  <c r="I170" i="20" s="1"/>
  <c r="I171" i="20" s="1"/>
  <c r="I172" i="20" s="1"/>
  <c r="I173" i="20" s="1"/>
  <c r="I174" i="20" s="1"/>
  <c r="I175" i="20" s="1"/>
  <c r="I176" i="20" s="1"/>
  <c r="I177" i="20" s="1"/>
  <c r="I178" i="20" s="1"/>
  <c r="I179" i="20" s="1"/>
  <c r="I180" i="20" s="1"/>
  <c r="I181" i="20" s="1"/>
  <c r="I182" i="20" s="1"/>
  <c r="I183" i="20" s="1"/>
  <c r="I184" i="20" s="1"/>
  <c r="I185" i="20" s="1"/>
  <c r="I186" i="20" s="1"/>
  <c r="I187" i="20" s="1"/>
  <c r="I188" i="20" s="1"/>
  <c r="I189" i="20" s="1"/>
  <c r="I190" i="20" s="1"/>
  <c r="I191" i="20" s="1"/>
  <c r="I192" i="20" s="1"/>
  <c r="I193" i="20" s="1"/>
  <c r="I194" i="20" s="1"/>
  <c r="I195" i="20" s="1"/>
  <c r="I196" i="20" s="1"/>
  <c r="I197" i="20" s="1"/>
  <c r="I198" i="20" s="1"/>
  <c r="I199" i="20" s="1"/>
  <c r="I200" i="20" s="1"/>
  <c r="I201" i="20" s="1"/>
  <c r="I202" i="20" s="1"/>
  <c r="I203" i="20" s="1"/>
  <c r="I204" i="20" s="1"/>
  <c r="I205" i="20" s="1"/>
  <c r="I206" i="20" s="1"/>
  <c r="I207" i="20" s="1"/>
  <c r="I208" i="20" s="1"/>
  <c r="I209" i="20" s="1"/>
  <c r="I210" i="20" s="1"/>
  <c r="I211" i="20" s="1"/>
  <c r="I212" i="20" s="1"/>
  <c r="I213" i="20" s="1"/>
  <c r="I214" i="20" s="1"/>
  <c r="I215" i="20" s="1"/>
  <c r="I216" i="20" s="1"/>
  <c r="I217" i="20" s="1"/>
  <c r="I218" i="20" s="1"/>
  <c r="I219" i="20" s="1"/>
  <c r="I220" i="20" s="1"/>
  <c r="I221" i="20" s="1"/>
  <c r="I222" i="20" s="1"/>
  <c r="I223" i="20" s="1"/>
  <c r="I224" i="20" s="1"/>
  <c r="I225" i="20" s="1"/>
  <c r="I226" i="20" s="1"/>
  <c r="I227" i="20" s="1"/>
  <c r="I228" i="20" s="1"/>
  <c r="I229" i="20" s="1"/>
  <c r="I230" i="20" s="1"/>
  <c r="I231" i="20" s="1"/>
  <c r="I232" i="20" s="1"/>
  <c r="I233" i="20" s="1"/>
  <c r="I234" i="20" s="1"/>
  <c r="I235" i="20" s="1"/>
  <c r="I236" i="20" s="1"/>
  <c r="I237" i="20" s="1"/>
  <c r="I238" i="20" s="1"/>
  <c r="I239" i="20" s="1"/>
  <c r="I240" i="20" s="1"/>
  <c r="I241" i="20" s="1"/>
  <c r="I242" i="20" s="1"/>
  <c r="I243" i="20" s="1"/>
  <c r="I244" i="20" s="1"/>
  <c r="I245" i="20" s="1"/>
  <c r="I246" i="20" s="1"/>
  <c r="I247" i="20" s="1"/>
  <c r="I248" i="20" s="1"/>
  <c r="I249" i="20" s="1"/>
  <c r="I250" i="20" s="1"/>
  <c r="I251" i="20" s="1"/>
  <c r="I252" i="20" s="1"/>
  <c r="I253" i="20" s="1"/>
  <c r="I254" i="20" s="1"/>
  <c r="I255" i="20" s="1"/>
  <c r="I256" i="20" s="1"/>
  <c r="I257" i="20" s="1"/>
  <c r="I258" i="20" s="1"/>
  <c r="I259" i="20" s="1"/>
  <c r="I260" i="20" s="1"/>
  <c r="I261" i="20" s="1"/>
  <c r="I262" i="20" s="1"/>
  <c r="I263" i="20" s="1"/>
  <c r="I264" i="20" s="1"/>
  <c r="I265" i="20" s="1"/>
  <c r="I266" i="20" s="1"/>
  <c r="I267" i="20" s="1"/>
  <c r="I268" i="20" s="1"/>
  <c r="I269" i="20" s="1"/>
  <c r="I270" i="20" s="1"/>
  <c r="I271" i="20" s="1"/>
  <c r="I272" i="20" s="1"/>
  <c r="I273" i="20" s="1"/>
  <c r="I274" i="20" s="1"/>
  <c r="I275" i="20" s="1"/>
  <c r="I276" i="20" s="1"/>
  <c r="I277" i="20" s="1"/>
  <c r="I278" i="20" s="1"/>
  <c r="I279" i="20" s="1"/>
  <c r="I280" i="20" s="1"/>
  <c r="I281" i="20" s="1"/>
  <c r="I282" i="20" s="1"/>
  <c r="I283" i="20" s="1"/>
  <c r="I284" i="20" s="1"/>
  <c r="I285" i="20" s="1"/>
  <c r="I286" i="20" s="1"/>
  <c r="I287" i="20" s="1"/>
  <c r="I288" i="20" s="1"/>
  <c r="I289" i="20" s="1"/>
  <c r="I290" i="20" s="1"/>
  <c r="I291" i="20" s="1"/>
  <c r="I292" i="20" s="1"/>
  <c r="I293" i="20" s="1"/>
  <c r="I294" i="20" s="1"/>
  <c r="I295" i="20" s="1"/>
  <c r="I296" i="20" s="1"/>
  <c r="I297" i="20" s="1"/>
  <c r="I298" i="20" s="1"/>
  <c r="I299" i="20" s="1"/>
  <c r="I300" i="20" s="1"/>
  <c r="I301" i="20" s="1"/>
  <c r="I302" i="20" s="1"/>
  <c r="I303" i="20" s="1"/>
  <c r="I304" i="20" s="1"/>
  <c r="I305" i="20" s="1"/>
  <c r="I306" i="20" s="1"/>
  <c r="I307" i="20" s="1"/>
  <c r="I308" i="20" s="1"/>
  <c r="I309" i="20" s="1"/>
  <c r="I310" i="20" s="1"/>
  <c r="I311" i="20" s="1"/>
  <c r="I312" i="20" s="1"/>
  <c r="I313" i="20" s="1"/>
  <c r="I314" i="20" s="1"/>
  <c r="I315" i="20" s="1"/>
  <c r="I316" i="20" s="1"/>
  <c r="I317" i="20" s="1"/>
  <c r="I318" i="20" s="1"/>
  <c r="I319" i="20" s="1"/>
  <c r="I320" i="20" s="1"/>
  <c r="I321" i="20" s="1"/>
  <c r="I322" i="20" s="1"/>
  <c r="I323" i="20" s="1"/>
  <c r="I324" i="20" s="1"/>
  <c r="I325" i="20" s="1"/>
  <c r="I326" i="20" s="1"/>
  <c r="I327" i="20" s="1"/>
  <c r="I328" i="20" s="1"/>
  <c r="I329" i="20" s="1"/>
  <c r="I330" i="20" s="1"/>
  <c r="I331" i="20" s="1"/>
  <c r="I332" i="20" s="1"/>
  <c r="I333" i="20" s="1"/>
  <c r="I334" i="20" s="1"/>
  <c r="I335" i="20" s="1"/>
  <c r="I336" i="20" s="1"/>
  <c r="I337" i="20" s="1"/>
  <c r="I338" i="20" s="1"/>
  <c r="I339" i="20" s="1"/>
  <c r="I340" i="20" s="1"/>
  <c r="I341" i="20" s="1"/>
  <c r="I342" i="20" s="1"/>
  <c r="I343" i="20" s="1"/>
  <c r="I344" i="20" s="1"/>
  <c r="I345" i="20" s="1"/>
  <c r="I346" i="20" s="1"/>
  <c r="I347" i="20" s="1"/>
  <c r="I348" i="20" s="1"/>
  <c r="I349" i="20" s="1"/>
  <c r="I350" i="20" s="1"/>
  <c r="I351" i="20" s="1"/>
  <c r="I352" i="20" s="1"/>
  <c r="I353" i="20" s="1"/>
  <c r="I354" i="20" s="1"/>
  <c r="I355" i="20" s="1"/>
  <c r="I356" i="20" s="1"/>
  <c r="I357" i="20" s="1"/>
  <c r="I358" i="20" s="1"/>
  <c r="I359" i="20" s="1"/>
  <c r="I360" i="20" s="1"/>
  <c r="I361" i="20" s="1"/>
  <c r="I362" i="20" s="1"/>
  <c r="I363" i="20" s="1"/>
  <c r="I364" i="20" s="1"/>
  <c r="I365" i="20" s="1"/>
  <c r="I366" i="20" s="1"/>
  <c r="I367" i="20" s="1"/>
  <c r="I368" i="20" s="1"/>
  <c r="I369" i="20" s="1"/>
  <c r="I370" i="20" s="1"/>
  <c r="I371" i="20" s="1"/>
  <c r="I372" i="20" s="1"/>
  <c r="I373" i="20" s="1"/>
  <c r="I374" i="20" s="1"/>
  <c r="I375" i="20" s="1"/>
  <c r="I376" i="20" s="1"/>
  <c r="I377" i="20" s="1"/>
  <c r="I378" i="20" s="1"/>
  <c r="I379" i="20" s="1"/>
  <c r="I380" i="20" s="1"/>
  <c r="I381" i="20" s="1"/>
  <c r="I382" i="20" s="1"/>
  <c r="I383" i="20" s="1"/>
  <c r="I384" i="20" s="1"/>
  <c r="I385" i="20" s="1"/>
  <c r="I386" i="20" s="1"/>
  <c r="I387" i="20" s="1"/>
  <c r="I388" i="20" s="1"/>
  <c r="I389" i="20" s="1"/>
  <c r="I390" i="20" s="1"/>
  <c r="I391" i="20" s="1"/>
  <c r="I392" i="20" s="1"/>
  <c r="I393" i="20" s="1"/>
  <c r="I394" i="20" s="1"/>
  <c r="I395" i="20" s="1"/>
  <c r="I396" i="20" s="1"/>
  <c r="I397" i="20" s="1"/>
  <c r="I398" i="20" s="1"/>
  <c r="I399" i="20" s="1"/>
  <c r="I400" i="20" s="1"/>
  <c r="I401" i="20" s="1"/>
  <c r="I402" i="20" s="1"/>
  <c r="I403" i="20" s="1"/>
  <c r="I404" i="20" s="1"/>
  <c r="I405" i="20" s="1"/>
  <c r="I406" i="20" s="1"/>
  <c r="I407" i="20" s="1"/>
  <c r="I408" i="20" s="1"/>
  <c r="I409" i="20" s="1"/>
  <c r="I410" i="20" s="1"/>
  <c r="I411" i="20" s="1"/>
  <c r="I412" i="20" s="1"/>
  <c r="I413" i="20" s="1"/>
  <c r="I414" i="20" s="1"/>
  <c r="I415" i="20" s="1"/>
  <c r="I416" i="20" s="1"/>
  <c r="I417" i="20" s="1"/>
  <c r="F14" i="20"/>
  <c r="G14" i="20"/>
  <c r="F36" i="20"/>
  <c r="G36" i="20"/>
  <c r="F194" i="20"/>
  <c r="G194" i="20"/>
  <c r="F39" i="20"/>
  <c r="G39" i="20"/>
  <c r="F233" i="20"/>
  <c r="G233" i="20"/>
  <c r="F279" i="20"/>
  <c r="G279" i="20"/>
  <c r="F313" i="20"/>
  <c r="H313" i="20" s="1"/>
  <c r="G313" i="20"/>
  <c r="F303" i="20"/>
  <c r="G303" i="20"/>
  <c r="F327" i="20"/>
  <c r="G327" i="20"/>
  <c r="F325" i="20"/>
  <c r="G325" i="20"/>
  <c r="F270" i="20"/>
  <c r="G270" i="20"/>
  <c r="F295" i="20"/>
  <c r="G295" i="20"/>
  <c r="F324" i="20"/>
  <c r="G324" i="20"/>
  <c r="F306" i="20"/>
  <c r="G306" i="20"/>
  <c r="F336" i="20"/>
  <c r="G336" i="20"/>
  <c r="F220" i="20"/>
  <c r="G220" i="20"/>
  <c r="F192" i="20"/>
  <c r="G192" i="20"/>
  <c r="F314" i="20"/>
  <c r="G314" i="20"/>
  <c r="F349" i="20"/>
  <c r="G349" i="20"/>
  <c r="F262" i="20"/>
  <c r="G262" i="20"/>
  <c r="F258" i="20"/>
  <c r="G258" i="20"/>
  <c r="F345" i="20"/>
  <c r="G345" i="20"/>
  <c r="F277" i="20"/>
  <c r="G277" i="20"/>
  <c r="F347" i="20"/>
  <c r="G347" i="20"/>
  <c r="F228" i="20"/>
  <c r="G228" i="20"/>
  <c r="F217" i="20"/>
  <c r="G217" i="20"/>
  <c r="F380" i="20"/>
  <c r="G380" i="20"/>
  <c r="F248" i="20"/>
  <c r="G248" i="20"/>
  <c r="F187" i="20"/>
  <c r="G187" i="20"/>
  <c r="F225" i="20"/>
  <c r="G225" i="20"/>
  <c r="F264" i="20"/>
  <c r="G264" i="20"/>
  <c r="F355" i="20"/>
  <c r="G355" i="20"/>
  <c r="F222" i="20"/>
  <c r="G222" i="20"/>
  <c r="F268" i="20"/>
  <c r="G268" i="20"/>
  <c r="F164" i="20"/>
  <c r="G164" i="20"/>
  <c r="F235" i="20"/>
  <c r="G235" i="20"/>
  <c r="F384" i="20"/>
  <c r="G384" i="20"/>
  <c r="F216" i="20"/>
  <c r="G216" i="20"/>
  <c r="F363" i="20"/>
  <c r="G363" i="20"/>
  <c r="F80" i="20"/>
  <c r="G80" i="20"/>
  <c r="F301" i="20"/>
  <c r="G301" i="20"/>
  <c r="F374" i="20"/>
  <c r="G374" i="20"/>
  <c r="F211" i="20"/>
  <c r="G211" i="20"/>
  <c r="F348" i="20"/>
  <c r="G348" i="20"/>
  <c r="F373" i="20"/>
  <c r="G373" i="20"/>
  <c r="F259" i="20"/>
  <c r="G259" i="20"/>
  <c r="F367" i="20"/>
  <c r="G367" i="20"/>
  <c r="F315" i="20"/>
  <c r="G315" i="20"/>
  <c r="F293" i="20"/>
  <c r="G293" i="20"/>
  <c r="F290" i="20"/>
  <c r="G290" i="20"/>
  <c r="F209" i="20"/>
  <c r="G209" i="20"/>
  <c r="F361" i="20"/>
  <c r="G361" i="20"/>
  <c r="F296" i="20"/>
  <c r="G296" i="20"/>
  <c r="F236" i="20"/>
  <c r="G236" i="20"/>
  <c r="F321" i="20"/>
  <c r="G321" i="20"/>
  <c r="F377" i="20"/>
  <c r="G377" i="20"/>
  <c r="F341" i="20"/>
  <c r="G341" i="20"/>
  <c r="F188" i="20"/>
  <c r="G188" i="20"/>
  <c r="F331" i="20"/>
  <c r="G331" i="20"/>
  <c r="F249" i="20"/>
  <c r="G249" i="20"/>
  <c r="F177" i="20"/>
  <c r="G177" i="20"/>
  <c r="F162" i="20"/>
  <c r="G162" i="20"/>
  <c r="F372" i="20"/>
  <c r="G372" i="20"/>
  <c r="F332" i="20"/>
  <c r="G332" i="20"/>
  <c r="F213" i="20"/>
  <c r="G213" i="20"/>
  <c r="F297" i="20"/>
  <c r="G297" i="20"/>
  <c r="F133" i="20"/>
  <c r="G133" i="20"/>
  <c r="F362" i="20"/>
  <c r="G362" i="20"/>
  <c r="F333" i="20"/>
  <c r="G333" i="20"/>
  <c r="F226" i="20"/>
  <c r="G226" i="20"/>
  <c r="F385" i="20"/>
  <c r="G385" i="20"/>
  <c r="F344" i="20"/>
  <c r="G344" i="20"/>
  <c r="F375" i="20"/>
  <c r="G375" i="20"/>
  <c r="F246" i="20"/>
  <c r="G246" i="20"/>
  <c r="F20" i="20"/>
  <c r="G20" i="20"/>
  <c r="F284" i="20"/>
  <c r="G284" i="20"/>
  <c r="F359" i="20"/>
  <c r="G359" i="20"/>
  <c r="F64" i="20"/>
  <c r="G64" i="20"/>
  <c r="F27" i="20"/>
  <c r="G27" i="20"/>
  <c r="F253" i="20"/>
  <c r="G253" i="20"/>
  <c r="F369" i="20"/>
  <c r="G369" i="20"/>
  <c r="F243" i="20"/>
  <c r="G243" i="20"/>
  <c r="F354" i="20"/>
  <c r="G354" i="20"/>
  <c r="F298" i="20"/>
  <c r="G298" i="20"/>
  <c r="F255" i="20"/>
  <c r="G255" i="20"/>
  <c r="F176" i="20"/>
  <c r="G176" i="20"/>
  <c r="F285" i="20"/>
  <c r="G285" i="20"/>
  <c r="F229" i="20"/>
  <c r="G229" i="20"/>
  <c r="F240" i="20"/>
  <c r="G240" i="20"/>
  <c r="F287" i="20"/>
  <c r="G287" i="20"/>
  <c r="F22" i="20"/>
  <c r="G22" i="20"/>
  <c r="F93" i="20"/>
  <c r="G93" i="20"/>
  <c r="F52" i="20"/>
  <c r="G52" i="20"/>
  <c r="F131" i="20"/>
  <c r="G131" i="20"/>
  <c r="F218" i="20"/>
  <c r="G218" i="20"/>
  <c r="F340" i="20"/>
  <c r="G340" i="20"/>
  <c r="F105" i="20"/>
  <c r="G105" i="20"/>
  <c r="F65" i="20"/>
  <c r="G65" i="20"/>
  <c r="F135" i="20"/>
  <c r="G135" i="20"/>
  <c r="F350" i="20"/>
  <c r="G350" i="20"/>
  <c r="F77" i="20"/>
  <c r="G77" i="20"/>
  <c r="F292" i="20"/>
  <c r="G292" i="20"/>
  <c r="F214" i="20"/>
  <c r="G214" i="20"/>
  <c r="F223" i="20"/>
  <c r="G223" i="20"/>
  <c r="F274" i="20"/>
  <c r="G274" i="20"/>
  <c r="F91" i="20"/>
  <c r="G91" i="20"/>
  <c r="F63" i="20"/>
  <c r="G63" i="20"/>
  <c r="F365" i="20"/>
  <c r="G365" i="20"/>
  <c r="F288" i="20"/>
  <c r="G288" i="20"/>
  <c r="F161" i="20"/>
  <c r="G161" i="20"/>
  <c r="F173" i="20"/>
  <c r="G173" i="20"/>
  <c r="F219" i="20"/>
  <c r="G219" i="20"/>
  <c r="F261" i="20"/>
  <c r="G261" i="20"/>
  <c r="F166" i="20"/>
  <c r="G166" i="20"/>
  <c r="F271" i="20"/>
  <c r="G271" i="20"/>
  <c r="F200" i="20"/>
  <c r="G200" i="20"/>
  <c r="F74" i="20"/>
  <c r="G74" i="20"/>
  <c r="F25" i="20"/>
  <c r="G25" i="20"/>
  <c r="F311" i="20"/>
  <c r="H311" i="20" s="1"/>
  <c r="G311" i="20"/>
  <c r="F302" i="20"/>
  <c r="G302" i="20"/>
  <c r="F273" i="20"/>
  <c r="G273" i="20"/>
  <c r="F307" i="20"/>
  <c r="G307" i="20"/>
  <c r="F241" i="20"/>
  <c r="G241" i="20"/>
  <c r="F159" i="20"/>
  <c r="G159" i="20"/>
  <c r="F381" i="20"/>
  <c r="G381" i="20"/>
  <c r="F142" i="20"/>
  <c r="G142" i="20"/>
  <c r="F234" i="20"/>
  <c r="G234" i="20"/>
  <c r="F145" i="20"/>
  <c r="G145" i="20"/>
  <c r="F291" i="20"/>
  <c r="G291" i="20"/>
  <c r="F139" i="20"/>
  <c r="G139" i="20"/>
  <c r="F136" i="20"/>
  <c r="G136" i="20"/>
  <c r="F85" i="20"/>
  <c r="G85" i="20"/>
  <c r="F144" i="20"/>
  <c r="G144" i="20"/>
  <c r="F281" i="20"/>
  <c r="G281" i="20"/>
  <c r="F351" i="20"/>
  <c r="G351" i="20"/>
  <c r="F308" i="20"/>
  <c r="G308" i="20"/>
  <c r="F12" i="20"/>
  <c r="G12" i="20"/>
  <c r="F68" i="20"/>
  <c r="G68" i="20"/>
  <c r="F319" i="20"/>
  <c r="G319" i="20"/>
  <c r="F129" i="20"/>
  <c r="G129" i="20"/>
  <c r="F169" i="20"/>
  <c r="G169" i="20"/>
  <c r="F112" i="20"/>
  <c r="G112" i="20"/>
  <c r="F317" i="20"/>
  <c r="G317" i="20"/>
  <c r="F101" i="20"/>
  <c r="G101" i="20"/>
  <c r="F309" i="20"/>
  <c r="G309" i="20"/>
  <c r="F283" i="20"/>
  <c r="G283" i="20"/>
  <c r="F17" i="20"/>
  <c r="G17" i="20"/>
  <c r="F278" i="20"/>
  <c r="G278" i="20"/>
  <c r="F137" i="20"/>
  <c r="G137" i="20"/>
  <c r="F116" i="20"/>
  <c r="G116" i="20"/>
  <c r="F89" i="20"/>
  <c r="G89" i="20"/>
  <c r="F310" i="20"/>
  <c r="G310" i="20"/>
  <c r="F153" i="20"/>
  <c r="G153" i="20"/>
  <c r="F19" i="20"/>
  <c r="G19" i="20"/>
  <c r="F272" i="20"/>
  <c r="H272" i="20" s="1"/>
  <c r="G272" i="20"/>
  <c r="F154" i="20"/>
  <c r="G154" i="20"/>
  <c r="F37" i="20"/>
  <c r="G37" i="20"/>
  <c r="F29" i="20"/>
  <c r="G29" i="20"/>
  <c r="F106" i="20"/>
  <c r="G106" i="20"/>
  <c r="F299" i="20"/>
  <c r="G299" i="20"/>
  <c r="F70" i="20"/>
  <c r="G70" i="20"/>
  <c r="F103" i="20"/>
  <c r="G103" i="20"/>
  <c r="F190" i="20"/>
  <c r="G190" i="20"/>
  <c r="F130" i="20"/>
  <c r="G130" i="20"/>
  <c r="F300" i="20"/>
  <c r="G300" i="20"/>
  <c r="F207" i="20"/>
  <c r="G207" i="20"/>
  <c r="F320" i="20"/>
  <c r="G320" i="20"/>
  <c r="F168" i="20"/>
  <c r="G168" i="20"/>
  <c r="F389" i="20"/>
  <c r="G389" i="20"/>
  <c r="F276" i="20"/>
  <c r="G276" i="20"/>
  <c r="F265" i="20"/>
  <c r="G265" i="20"/>
  <c r="F238" i="20"/>
  <c r="G238" i="20"/>
  <c r="F49" i="20"/>
  <c r="G49" i="20"/>
  <c r="F185" i="20"/>
  <c r="G185" i="20"/>
  <c r="F76" i="20"/>
  <c r="H76" i="20" s="1"/>
  <c r="G76" i="20"/>
  <c r="F312" i="20"/>
  <c r="G312" i="20"/>
  <c r="F155" i="20"/>
  <c r="G155" i="20"/>
  <c r="F210" i="20"/>
  <c r="G210" i="20"/>
  <c r="F180" i="20"/>
  <c r="G180" i="20"/>
  <c r="F326" i="20"/>
  <c r="G326" i="20"/>
  <c r="F99" i="20"/>
  <c r="G99" i="20"/>
  <c r="F189" i="20"/>
  <c r="G189" i="20"/>
  <c r="F191" i="20"/>
  <c r="G191" i="20"/>
  <c r="F151" i="20"/>
  <c r="G151" i="20"/>
  <c r="F150" i="20"/>
  <c r="G150" i="20"/>
  <c r="F81" i="20"/>
  <c r="G81" i="20"/>
  <c r="F182" i="20"/>
  <c r="G182" i="20"/>
  <c r="F237" i="20"/>
  <c r="G237" i="20"/>
  <c r="F147" i="20"/>
  <c r="G147" i="20"/>
  <c r="H147" i="20" s="1"/>
  <c r="F95" i="20"/>
  <c r="G95" i="20"/>
  <c r="F111" i="20"/>
  <c r="G111" i="20"/>
  <c r="F252" i="20"/>
  <c r="G252" i="20"/>
  <c r="F205" i="20"/>
  <c r="G205" i="20"/>
  <c r="F386" i="20"/>
  <c r="G386" i="20"/>
  <c r="F242" i="20"/>
  <c r="G242" i="20"/>
  <c r="F254" i="20"/>
  <c r="G254" i="20"/>
  <c r="F206" i="20"/>
  <c r="G206" i="20"/>
  <c r="F353" i="20"/>
  <c r="G353" i="20"/>
  <c r="F175" i="20"/>
  <c r="G175" i="20"/>
  <c r="F83" i="20"/>
  <c r="G83" i="20"/>
  <c r="F152" i="20"/>
  <c r="G152" i="20"/>
  <c r="F157" i="20"/>
  <c r="G157" i="20"/>
  <c r="F247" i="20"/>
  <c r="G247" i="20"/>
  <c r="F179" i="20"/>
  <c r="G179" i="20"/>
  <c r="F72" i="20"/>
  <c r="G72" i="20"/>
  <c r="F260" i="20"/>
  <c r="G260" i="20"/>
  <c r="F251" i="20"/>
  <c r="G251" i="20"/>
  <c r="F289" i="20"/>
  <c r="G289" i="20"/>
  <c r="F250" i="20"/>
  <c r="G250" i="20"/>
  <c r="F97" i="20"/>
  <c r="G97" i="20"/>
  <c r="F275" i="20"/>
  <c r="G275" i="20"/>
  <c r="F143" i="20"/>
  <c r="G143" i="20"/>
  <c r="F110" i="20"/>
  <c r="G110" i="20"/>
  <c r="H110" i="20" s="1"/>
  <c r="F201" i="20"/>
  <c r="G201" i="20"/>
  <c r="F156" i="20"/>
  <c r="G156" i="20"/>
  <c r="F195" i="20"/>
  <c r="G195" i="20"/>
  <c r="F59" i="20"/>
  <c r="G59" i="20"/>
  <c r="F44" i="20"/>
  <c r="G44" i="20"/>
  <c r="F230" i="20"/>
  <c r="G230" i="20"/>
  <c r="F357" i="20"/>
  <c r="G357" i="20"/>
  <c r="F330" i="20"/>
  <c r="G330" i="20"/>
  <c r="H330" i="20" s="1"/>
  <c r="F148" i="20"/>
  <c r="G148" i="20"/>
  <c r="F212" i="20"/>
  <c r="G212" i="20"/>
  <c r="F115" i="20"/>
  <c r="G115" i="20"/>
  <c r="F286" i="20"/>
  <c r="G286" i="20"/>
  <c r="H286" i="20" s="1"/>
  <c r="F35" i="20"/>
  <c r="G35" i="20"/>
  <c r="F121" i="20"/>
  <c r="G121" i="20"/>
  <c r="F46" i="20"/>
  <c r="G46" i="20"/>
  <c r="F56" i="20"/>
  <c r="G56" i="20"/>
  <c r="F263" i="20"/>
  <c r="G263" i="20"/>
  <c r="F203" i="20"/>
  <c r="G203" i="20"/>
  <c r="F379" i="20"/>
  <c r="G379" i="20"/>
  <c r="F57" i="20"/>
  <c r="G57" i="20"/>
  <c r="F204" i="20"/>
  <c r="G204" i="20"/>
  <c r="F30" i="20"/>
  <c r="G30" i="20"/>
  <c r="F208" i="20"/>
  <c r="G208" i="20"/>
  <c r="F123" i="20"/>
  <c r="G123" i="20"/>
  <c r="H123" i="20" s="1"/>
  <c r="F244" i="20"/>
  <c r="G244" i="20"/>
  <c r="F224" i="20"/>
  <c r="G224" i="20"/>
  <c r="F73" i="20"/>
  <c r="G73" i="20"/>
  <c r="F94" i="20"/>
  <c r="G94" i="20"/>
  <c r="H94" i="20" s="1"/>
  <c r="F118" i="20"/>
  <c r="G118" i="20"/>
  <c r="F158" i="20"/>
  <c r="G158" i="20"/>
  <c r="F193" i="20"/>
  <c r="G193" i="20"/>
  <c r="F40" i="20"/>
  <c r="G40" i="20"/>
  <c r="H40" i="20" s="1"/>
  <c r="F305" i="20"/>
  <c r="G305" i="20"/>
  <c r="F316" i="20"/>
  <c r="G316" i="20"/>
  <c r="F82" i="20"/>
  <c r="G82" i="20"/>
  <c r="F267" i="20"/>
  <c r="G267" i="20"/>
  <c r="H267" i="20" s="1"/>
  <c r="F60" i="20"/>
  <c r="G60" i="20"/>
  <c r="F376" i="20"/>
  <c r="G376" i="20"/>
  <c r="F163" i="20"/>
  <c r="G163" i="20"/>
  <c r="F102" i="20"/>
  <c r="G102" i="20"/>
  <c r="H102" i="20" s="1"/>
  <c r="F128" i="20"/>
  <c r="G128" i="20"/>
  <c r="F126" i="20"/>
  <c r="G126" i="20"/>
  <c r="F45" i="20"/>
  <c r="G45" i="20"/>
  <c r="F71" i="20"/>
  <c r="G71" i="20"/>
  <c r="H71" i="20" s="1"/>
  <c r="F53" i="20"/>
  <c r="G53" i="20"/>
  <c r="F32" i="20"/>
  <c r="G32" i="20"/>
  <c r="F132" i="20"/>
  <c r="G132" i="20"/>
  <c r="F282" i="20"/>
  <c r="G282" i="20"/>
  <c r="H282" i="20" s="1"/>
  <c r="F172" i="20"/>
  <c r="G172" i="20"/>
  <c r="F160" i="20"/>
  <c r="G160" i="20"/>
  <c r="F109" i="20"/>
  <c r="G109" i="20"/>
  <c r="F117" i="20"/>
  <c r="G117" i="20"/>
  <c r="F41" i="20"/>
  <c r="G41" i="20"/>
  <c r="F125" i="20"/>
  <c r="G125" i="20"/>
  <c r="F391" i="20"/>
  <c r="G391" i="20"/>
  <c r="F395" i="20"/>
  <c r="G395" i="20"/>
  <c r="H395" i="20" s="1"/>
  <c r="F167" i="20"/>
  <c r="G167" i="20"/>
  <c r="F197" i="20"/>
  <c r="G197" i="20"/>
  <c r="F26" i="20"/>
  <c r="G26" i="20"/>
  <c r="F16" i="20"/>
  <c r="G16" i="20"/>
  <c r="F232" i="20"/>
  <c r="G232" i="20"/>
  <c r="F90" i="20"/>
  <c r="G90" i="20"/>
  <c r="F170" i="20"/>
  <c r="G170" i="20"/>
  <c r="F78" i="20"/>
  <c r="G78" i="20"/>
  <c r="H78" i="20" s="1"/>
  <c r="F184" i="20"/>
  <c r="G184" i="20"/>
  <c r="F323" i="20"/>
  <c r="G323" i="20"/>
  <c r="F269" i="20"/>
  <c r="G269" i="20"/>
  <c r="F174" i="20"/>
  <c r="G174" i="20"/>
  <c r="H174" i="20" s="1"/>
  <c r="F124" i="20"/>
  <c r="G124" i="20"/>
  <c r="H124" i="20" s="1"/>
  <c r="F183" i="20"/>
  <c r="G183" i="20"/>
  <c r="F21" i="20"/>
  <c r="G21" i="20"/>
  <c r="F370" i="20"/>
  <c r="G370" i="20"/>
  <c r="H370" i="20" s="1"/>
  <c r="F88" i="20"/>
  <c r="G88" i="20"/>
  <c r="F42" i="20"/>
  <c r="G42" i="20"/>
  <c r="F186" i="20"/>
  <c r="G186" i="20"/>
  <c r="F178" i="20"/>
  <c r="G178" i="20"/>
  <c r="H178" i="20" s="1"/>
  <c r="F338" i="20"/>
  <c r="G338" i="20"/>
  <c r="H338" i="20" s="1"/>
  <c r="F50" i="20"/>
  <c r="G50" i="20"/>
  <c r="F55" i="20"/>
  <c r="G55" i="20"/>
  <c r="F114" i="20"/>
  <c r="G114" i="20"/>
  <c r="F198" i="20"/>
  <c r="G198" i="20"/>
  <c r="F141" i="20"/>
  <c r="G141" i="20"/>
  <c r="F104" i="20"/>
  <c r="G104" i="20"/>
  <c r="F394" i="20"/>
  <c r="G394" i="20"/>
  <c r="F392" i="20"/>
  <c r="G392" i="20"/>
  <c r="F239" i="20"/>
  <c r="G239" i="20"/>
  <c r="F401" i="20"/>
  <c r="G401" i="20"/>
  <c r="F318" i="20"/>
  <c r="G318" i="20"/>
  <c r="F280" i="20"/>
  <c r="G280" i="20"/>
  <c r="F79" i="20"/>
  <c r="G79" i="20"/>
  <c r="F346" i="20"/>
  <c r="G346" i="20"/>
  <c r="H346" i="20" s="1"/>
  <c r="F368" i="20"/>
  <c r="G368" i="20"/>
  <c r="F47" i="20"/>
  <c r="G47" i="20"/>
  <c r="F181" i="20"/>
  <c r="G181" i="20"/>
  <c r="F171" i="20"/>
  <c r="G171" i="20"/>
  <c r="H171" i="20" s="1"/>
  <c r="F360" i="20"/>
  <c r="G360" i="20"/>
  <c r="F140" i="20"/>
  <c r="G140" i="20"/>
  <c r="F390" i="20"/>
  <c r="G390" i="20"/>
  <c r="F127" i="20"/>
  <c r="G127" i="20"/>
  <c r="H127" i="20" s="1"/>
  <c r="F256" i="20"/>
  <c r="G256" i="20"/>
  <c r="H256" i="20" s="1"/>
  <c r="F31" i="20"/>
  <c r="G31" i="20"/>
  <c r="F407" i="20"/>
  <c r="G407" i="20"/>
  <c r="F107" i="20"/>
  <c r="G107" i="20"/>
  <c r="F202" i="20"/>
  <c r="G202" i="20"/>
  <c r="H202" i="20" s="1"/>
  <c r="F58" i="20"/>
  <c r="G58" i="20"/>
  <c r="F66" i="20"/>
  <c r="G66" i="20"/>
  <c r="F334" i="20"/>
  <c r="G334" i="20"/>
  <c r="F138" i="20"/>
  <c r="G138" i="20"/>
  <c r="H138" i="20" s="1"/>
  <c r="F398" i="20"/>
  <c r="G398" i="20"/>
  <c r="H398" i="20" s="1"/>
  <c r="F266" i="20"/>
  <c r="G266" i="20"/>
  <c r="F61" i="20"/>
  <c r="G61" i="20"/>
  <c r="H61" i="20" s="1"/>
  <c r="F403" i="20"/>
  <c r="G403" i="20"/>
  <c r="H403" i="20" s="1"/>
  <c r="F75" i="20"/>
  <c r="G75" i="20"/>
  <c r="F399" i="20"/>
  <c r="G399" i="20"/>
  <c r="F343" i="20"/>
  <c r="G343" i="20"/>
  <c r="F149" i="20"/>
  <c r="G149" i="20"/>
  <c r="H149" i="20" s="1"/>
  <c r="F48" i="20"/>
  <c r="G48" i="20"/>
  <c r="F304" i="20"/>
  <c r="G304" i="20"/>
  <c r="F84" i="20"/>
  <c r="G84" i="20"/>
  <c r="H84" i="20" s="1"/>
  <c r="F328" i="20"/>
  <c r="G328" i="20"/>
  <c r="H328" i="20" s="1"/>
  <c r="F108" i="20"/>
  <c r="G108" i="20"/>
  <c r="F337" i="20"/>
  <c r="G337" i="20"/>
  <c r="F371" i="20"/>
  <c r="G371" i="20"/>
  <c r="F9" i="20"/>
  <c r="G9" i="20"/>
  <c r="H9" i="20" s="1"/>
  <c r="F100" i="20"/>
  <c r="G100" i="20"/>
  <c r="F119" i="20"/>
  <c r="G119" i="20"/>
  <c r="F196" i="20"/>
  <c r="G196" i="20"/>
  <c r="F409" i="20"/>
  <c r="G409" i="20"/>
  <c r="H409" i="20" s="1"/>
  <c r="F86" i="20"/>
  <c r="G86" i="20"/>
  <c r="F122" i="20"/>
  <c r="G122" i="20"/>
  <c r="F120" i="20"/>
  <c r="G120" i="20"/>
  <c r="F257" i="20"/>
  <c r="G257" i="20"/>
  <c r="H257" i="20" s="1"/>
  <c r="F400" i="20"/>
  <c r="G400" i="20"/>
  <c r="F364" i="20"/>
  <c r="G364" i="20"/>
  <c r="F51" i="20"/>
  <c r="G51" i="20"/>
  <c r="H51" i="20" s="1"/>
  <c r="F67" i="20"/>
  <c r="G67" i="20"/>
  <c r="H67" i="20" s="1"/>
  <c r="F356" i="20"/>
  <c r="G356" i="20"/>
  <c r="F408" i="20"/>
  <c r="G408" i="20"/>
  <c r="F405" i="20"/>
  <c r="G405" i="20"/>
  <c r="F33" i="20"/>
  <c r="G33" i="20"/>
  <c r="H33" i="20" s="1"/>
  <c r="F215" i="20"/>
  <c r="G215" i="20"/>
  <c r="H215" i="20" s="1"/>
  <c r="F28" i="20"/>
  <c r="G28" i="20"/>
  <c r="F245" i="20"/>
  <c r="G245" i="20"/>
  <c r="F404" i="20"/>
  <c r="G404" i="20"/>
  <c r="F231" i="20"/>
  <c r="G231" i="20"/>
  <c r="F221" i="20"/>
  <c r="G221" i="20"/>
  <c r="F24" i="20"/>
  <c r="G24" i="20"/>
  <c r="H24" i="20" s="1"/>
  <c r="F342" i="20"/>
  <c r="G342" i="20"/>
  <c r="H342" i="20" s="1"/>
  <c r="F393" i="20"/>
  <c r="G393" i="20"/>
  <c r="F366" i="20"/>
  <c r="G366" i="20"/>
  <c r="F23" i="20"/>
  <c r="G23" i="20"/>
  <c r="F92" i="20"/>
  <c r="G92" i="20"/>
  <c r="H92" i="20" s="1"/>
  <c r="F43" i="20"/>
  <c r="G43" i="20"/>
  <c r="F54" i="20"/>
  <c r="G54" i="20"/>
  <c r="F388" i="20"/>
  <c r="G388" i="20"/>
  <c r="F378" i="20"/>
  <c r="G378" i="20"/>
  <c r="H378" i="20" s="1"/>
  <c r="F146" i="20"/>
  <c r="G146" i="20"/>
  <c r="F62" i="20"/>
  <c r="G62" i="20"/>
  <c r="F96" i="20"/>
  <c r="G96" i="20"/>
  <c r="F396" i="20"/>
  <c r="G396" i="20"/>
  <c r="H396" i="20" s="1"/>
  <c r="F18" i="20"/>
  <c r="G18" i="20"/>
  <c r="F34" i="20"/>
  <c r="G34" i="20"/>
  <c r="F7" i="20"/>
  <c r="G7" i="20"/>
  <c r="F402" i="20"/>
  <c r="G402" i="20"/>
  <c r="H402" i="20" s="1"/>
  <c r="F335" i="20"/>
  <c r="G335" i="20"/>
  <c r="F339" i="20"/>
  <c r="G339" i="20"/>
  <c r="F383" i="20"/>
  <c r="G383" i="20"/>
  <c r="H383" i="20" s="1"/>
  <c r="F6" i="20"/>
  <c r="G6" i="20"/>
  <c r="H6" i="20" s="1"/>
  <c r="F294" i="20"/>
  <c r="G294" i="20"/>
  <c r="F382" i="20"/>
  <c r="G382" i="20"/>
  <c r="F113" i="20"/>
  <c r="G113" i="20"/>
  <c r="H113" i="20" s="1"/>
  <c r="F410" i="20"/>
  <c r="G410" i="20"/>
  <c r="H410" i="20" s="1"/>
  <c r="F38" i="20"/>
  <c r="G38" i="20"/>
  <c r="F406" i="20"/>
  <c r="G406" i="20"/>
  <c r="F69" i="20"/>
  <c r="G69" i="20"/>
  <c r="F227" i="20"/>
  <c r="G227" i="20"/>
  <c r="H227" i="20" s="1"/>
  <c r="F411" i="20"/>
  <c r="G411" i="20"/>
  <c r="F358" i="20"/>
  <c r="G358" i="20"/>
  <c r="F329" i="20"/>
  <c r="G329" i="20"/>
  <c r="F397" i="20"/>
  <c r="G397" i="20"/>
  <c r="H397" i="20" s="1"/>
  <c r="F13" i="20"/>
  <c r="G13" i="20"/>
  <c r="F134" i="20"/>
  <c r="G134" i="20"/>
  <c r="F15" i="20"/>
  <c r="G15" i="20"/>
  <c r="F412" i="20"/>
  <c r="G412" i="20"/>
  <c r="H412" i="20" s="1"/>
  <c r="F199" i="20"/>
  <c r="G199" i="20"/>
  <c r="F10" i="20"/>
  <c r="H10" i="20" s="1"/>
  <c r="G10" i="20"/>
  <c r="F5" i="20"/>
  <c r="G5" i="20"/>
  <c r="F87" i="20"/>
  <c r="G87" i="20"/>
  <c r="H87" i="20" s="1"/>
  <c r="F415" i="20"/>
  <c r="G415" i="20"/>
  <c r="F387" i="20"/>
  <c r="H387" i="20" s="1"/>
  <c r="G387" i="20"/>
  <c r="F8" i="20"/>
  <c r="G8" i="20"/>
  <c r="F322" i="20"/>
  <c r="G322" i="20"/>
  <c r="F352" i="20"/>
  <c r="G352" i="20"/>
  <c r="F4" i="20"/>
  <c r="G4" i="20"/>
  <c r="F2" i="20"/>
  <c r="G2" i="20"/>
  <c r="F413" i="20"/>
  <c r="G413" i="20"/>
  <c r="F98" i="20"/>
  <c r="G98" i="20"/>
  <c r="F3" i="20"/>
  <c r="G3" i="20"/>
  <c r="F414" i="20"/>
  <c r="G414" i="20"/>
  <c r="F165" i="20"/>
  <c r="G165" i="20"/>
  <c r="F417" i="20"/>
  <c r="G417" i="20"/>
  <c r="F416" i="20"/>
  <c r="G416" i="20"/>
  <c r="F11" i="20"/>
  <c r="G11" i="20"/>
  <c r="E11" i="20"/>
  <c r="E14" i="20"/>
  <c r="E36" i="20"/>
  <c r="E194" i="20"/>
  <c r="E39" i="20"/>
  <c r="E233" i="20"/>
  <c r="CO233" i="20" s="1"/>
  <c r="E279" i="20"/>
  <c r="E313" i="20"/>
  <c r="E303" i="20"/>
  <c r="T303" i="20" s="1"/>
  <c r="E327" i="20"/>
  <c r="E325" i="20"/>
  <c r="E270" i="20"/>
  <c r="E295" i="20"/>
  <c r="E324" i="20"/>
  <c r="E306" i="20"/>
  <c r="E336" i="20"/>
  <c r="E220" i="20"/>
  <c r="AK220" i="20" s="1"/>
  <c r="E192" i="20"/>
  <c r="X192" i="20" s="1"/>
  <c r="E314" i="20"/>
  <c r="E349" i="20"/>
  <c r="E262" i="20"/>
  <c r="E258" i="20"/>
  <c r="E345" i="20"/>
  <c r="V345" i="20" s="1"/>
  <c r="E277" i="20"/>
  <c r="BA277" i="20" s="1"/>
  <c r="E347" i="20"/>
  <c r="T347" i="20" s="1"/>
  <c r="E228" i="20"/>
  <c r="E217" i="20"/>
  <c r="E380" i="20"/>
  <c r="BY380" i="20" s="1"/>
  <c r="E248" i="20"/>
  <c r="E187" i="20"/>
  <c r="E225" i="20"/>
  <c r="AK225" i="20" s="1"/>
  <c r="E264" i="20"/>
  <c r="AX264" i="20" s="1"/>
  <c r="E355" i="20"/>
  <c r="E222" i="20"/>
  <c r="E268" i="20"/>
  <c r="E164" i="20"/>
  <c r="CY164" i="20" s="1"/>
  <c r="E235" i="20"/>
  <c r="E384" i="20"/>
  <c r="CA384" i="20" s="1"/>
  <c r="E216" i="20"/>
  <c r="AY216" i="20" s="1"/>
  <c r="E363" i="20"/>
  <c r="V363" i="20" s="1"/>
  <c r="E80" i="20"/>
  <c r="E301" i="20"/>
  <c r="E374" i="20"/>
  <c r="BH374" i="20" s="1"/>
  <c r="E211" i="20"/>
  <c r="AT211" i="20" s="1"/>
  <c r="E348" i="20"/>
  <c r="E373" i="20"/>
  <c r="Y373" i="20" s="1"/>
  <c r="E259" i="20"/>
  <c r="E367" i="20"/>
  <c r="DK367" i="20" s="1"/>
  <c r="E315" i="20"/>
  <c r="E293" i="20"/>
  <c r="CB293" i="20" s="1"/>
  <c r="E290" i="20"/>
  <c r="E209" i="20"/>
  <c r="BK209" i="20" s="1"/>
  <c r="E361" i="20"/>
  <c r="E296" i="20"/>
  <c r="X296" i="20" s="1"/>
  <c r="E236" i="20"/>
  <c r="AR236" i="20" s="1"/>
  <c r="E321" i="20"/>
  <c r="E377" i="20"/>
  <c r="E341" i="20"/>
  <c r="Y341" i="20" s="1"/>
  <c r="E188" i="20"/>
  <c r="E331" i="20"/>
  <c r="E249" i="20"/>
  <c r="AR249" i="20" s="1"/>
  <c r="E177" i="20"/>
  <c r="AQ177" i="20" s="1"/>
  <c r="E162" i="20"/>
  <c r="E372" i="20"/>
  <c r="CQ372" i="20" s="1"/>
  <c r="E332" i="20"/>
  <c r="E213" i="20"/>
  <c r="E297" i="20"/>
  <c r="E133" i="20"/>
  <c r="E362" i="20"/>
  <c r="E333" i="20"/>
  <c r="AA333" i="20" s="1"/>
  <c r="E226" i="20"/>
  <c r="E385" i="20"/>
  <c r="BT385" i="20" s="1"/>
  <c r="E344" i="20"/>
  <c r="E375" i="20"/>
  <c r="BR375" i="20" s="1"/>
  <c r="E246" i="20"/>
  <c r="E20" i="20"/>
  <c r="E284" i="20"/>
  <c r="E359" i="20"/>
  <c r="Z359" i="20" s="1"/>
  <c r="E64" i="20"/>
  <c r="E27" i="20"/>
  <c r="E253" i="20"/>
  <c r="E369" i="20"/>
  <c r="Z369" i="20" s="1"/>
  <c r="E243" i="20"/>
  <c r="E354" i="20"/>
  <c r="E298" i="20"/>
  <c r="AD298" i="20" s="1"/>
  <c r="E255" i="20"/>
  <c r="E176" i="20"/>
  <c r="E285" i="20"/>
  <c r="E229" i="20"/>
  <c r="E240" i="20"/>
  <c r="E287" i="20"/>
  <c r="E22" i="20"/>
  <c r="E93" i="20"/>
  <c r="E52" i="20"/>
  <c r="E131" i="20"/>
  <c r="E218" i="20"/>
  <c r="E340" i="20"/>
  <c r="E105" i="20"/>
  <c r="E65" i="20"/>
  <c r="E135" i="20"/>
  <c r="E350" i="20"/>
  <c r="E77" i="20"/>
  <c r="E292" i="20"/>
  <c r="E214" i="20"/>
  <c r="E223" i="20"/>
  <c r="E274" i="20"/>
  <c r="E91" i="20"/>
  <c r="E63" i="20"/>
  <c r="E365" i="20"/>
  <c r="AH365" i="20" s="1"/>
  <c r="E288" i="20"/>
  <c r="E161" i="20"/>
  <c r="E173" i="20"/>
  <c r="AG173" i="20" s="1"/>
  <c r="E219" i="20"/>
  <c r="CH219" i="20" s="1"/>
  <c r="E261" i="20"/>
  <c r="AH261" i="20" s="1"/>
  <c r="E166" i="20"/>
  <c r="CH166" i="20" s="1"/>
  <c r="E271" i="20"/>
  <c r="E200" i="20"/>
  <c r="E74" i="20"/>
  <c r="E25" i="20"/>
  <c r="E311" i="20"/>
  <c r="E302" i="20"/>
  <c r="E273" i="20"/>
  <c r="AB273" i="20" s="1"/>
  <c r="E307" i="20"/>
  <c r="E241" i="20"/>
  <c r="E159" i="20"/>
  <c r="E381" i="20"/>
  <c r="DC381" i="20" s="1"/>
  <c r="E142" i="20"/>
  <c r="E234" i="20"/>
  <c r="E145" i="20"/>
  <c r="E291" i="20"/>
  <c r="E139" i="20"/>
  <c r="E136" i="20"/>
  <c r="E85" i="20"/>
  <c r="E144" i="20"/>
  <c r="E281" i="20"/>
  <c r="E351" i="20"/>
  <c r="E308" i="20"/>
  <c r="E12" i="20"/>
  <c r="E68" i="20"/>
  <c r="E319" i="20"/>
  <c r="E129" i="20"/>
  <c r="CX129" i="20" s="1"/>
  <c r="E169" i="20"/>
  <c r="E112" i="20"/>
  <c r="E317" i="20"/>
  <c r="E101" i="20"/>
  <c r="E309" i="20"/>
  <c r="CF309" i="20" s="1"/>
  <c r="E283" i="20"/>
  <c r="E17" i="20"/>
  <c r="E278" i="20"/>
  <c r="E137" i="20"/>
  <c r="E116" i="20"/>
  <c r="E89" i="20"/>
  <c r="E310" i="20"/>
  <c r="E153" i="20"/>
  <c r="E19" i="20"/>
  <c r="E272" i="20"/>
  <c r="E154" i="20"/>
  <c r="E37" i="20"/>
  <c r="E29" i="20"/>
  <c r="E106" i="20"/>
  <c r="E299" i="20"/>
  <c r="E70" i="20"/>
  <c r="E103" i="20"/>
  <c r="E190" i="20"/>
  <c r="E130" i="20"/>
  <c r="E300" i="20"/>
  <c r="E207" i="20"/>
  <c r="E320" i="20"/>
  <c r="E168" i="20"/>
  <c r="BO168" i="20" s="1"/>
  <c r="E389" i="20"/>
  <c r="AE389" i="20" s="1"/>
  <c r="E276" i="20"/>
  <c r="E265" i="20"/>
  <c r="E238" i="20"/>
  <c r="E49" i="20"/>
  <c r="E185" i="20"/>
  <c r="E76" i="20"/>
  <c r="E312" i="20"/>
  <c r="E155" i="20"/>
  <c r="E210" i="20"/>
  <c r="E180" i="20"/>
  <c r="E326" i="20"/>
  <c r="E99" i="20"/>
  <c r="E189" i="20"/>
  <c r="E191" i="20"/>
  <c r="E151" i="20"/>
  <c r="E150" i="20"/>
  <c r="E81" i="20"/>
  <c r="E182" i="20"/>
  <c r="E237" i="20"/>
  <c r="E147" i="20"/>
  <c r="E95" i="20"/>
  <c r="E111" i="20"/>
  <c r="E252" i="20"/>
  <c r="E205" i="20"/>
  <c r="AW205" i="20" s="1"/>
  <c r="E386" i="20"/>
  <c r="U386" i="20" s="1"/>
  <c r="E242" i="20"/>
  <c r="E254" i="20"/>
  <c r="E206" i="20"/>
  <c r="Z206" i="20" s="1"/>
  <c r="E353" i="20"/>
  <c r="BW353" i="20" s="1"/>
  <c r="E175" i="20"/>
  <c r="Z175" i="20" s="1"/>
  <c r="E83" i="20"/>
  <c r="E152" i="20"/>
  <c r="E157" i="20"/>
  <c r="E247" i="20"/>
  <c r="E179" i="20"/>
  <c r="BK179" i="20" s="1"/>
  <c r="E72" i="20"/>
  <c r="E260" i="20"/>
  <c r="E251" i="20"/>
  <c r="E289" i="20"/>
  <c r="E250" i="20"/>
  <c r="E97" i="20"/>
  <c r="E275" i="20"/>
  <c r="E143" i="20"/>
  <c r="AT143" i="20" s="1"/>
  <c r="E110" i="20"/>
  <c r="E201" i="20"/>
  <c r="X201" i="20" s="1"/>
  <c r="E156" i="20"/>
  <c r="E195" i="20"/>
  <c r="X195" i="20" s="1"/>
  <c r="E59" i="20"/>
  <c r="E44" i="20"/>
  <c r="E230" i="20"/>
  <c r="E357" i="20"/>
  <c r="E330" i="20"/>
  <c r="E148" i="20"/>
  <c r="E212" i="20"/>
  <c r="E115" i="20"/>
  <c r="E286" i="20"/>
  <c r="E35" i="20"/>
  <c r="E121" i="20"/>
  <c r="E46" i="20"/>
  <c r="E56" i="20"/>
  <c r="E263" i="20"/>
  <c r="E203" i="20"/>
  <c r="CG203" i="20" s="1"/>
  <c r="E379" i="20"/>
  <c r="CA379" i="20" s="1"/>
  <c r="E57" i="20"/>
  <c r="E204" i="20"/>
  <c r="BX204" i="20" s="1"/>
  <c r="E30" i="20"/>
  <c r="E208" i="20"/>
  <c r="E123" i="20"/>
  <c r="CH123" i="20" s="1"/>
  <c r="E244" i="20"/>
  <c r="E224" i="20"/>
  <c r="E73" i="20"/>
  <c r="E94" i="20"/>
  <c r="E118" i="20"/>
  <c r="E158" i="20"/>
  <c r="E193" i="20"/>
  <c r="E40" i="20"/>
  <c r="E305" i="20"/>
  <c r="Z305" i="20" s="1"/>
  <c r="E316" i="20"/>
  <c r="E82" i="20"/>
  <c r="E267" i="20"/>
  <c r="E60" i="20"/>
  <c r="E376" i="20"/>
  <c r="AL376" i="20" s="1"/>
  <c r="E163" i="20"/>
  <c r="E102" i="20"/>
  <c r="E128" i="20"/>
  <c r="E126" i="20"/>
  <c r="AP126" i="20" s="1"/>
  <c r="E45" i="20"/>
  <c r="E71" i="20"/>
  <c r="E53" i="20"/>
  <c r="E32" i="20"/>
  <c r="E132" i="20"/>
  <c r="E282" i="20"/>
  <c r="E172" i="20"/>
  <c r="E160" i="20"/>
  <c r="E109" i="20"/>
  <c r="E117" i="20"/>
  <c r="E41" i="20"/>
  <c r="E125" i="20"/>
  <c r="E391" i="20"/>
  <c r="AJ391" i="20" s="1"/>
  <c r="E395" i="20"/>
  <c r="AL395" i="20" s="1"/>
  <c r="E167" i="20"/>
  <c r="BV167" i="20" s="1"/>
  <c r="E197" i="20"/>
  <c r="E26" i="20"/>
  <c r="E16" i="20"/>
  <c r="E232" i="20"/>
  <c r="E90" i="20"/>
  <c r="E170" i="20"/>
  <c r="E78" i="20"/>
  <c r="E184" i="20"/>
  <c r="E323" i="20"/>
  <c r="S323" i="20" s="1"/>
  <c r="E269" i="20"/>
  <c r="E174" i="20"/>
  <c r="E124" i="20"/>
  <c r="E183" i="20"/>
  <c r="T183" i="20" s="1"/>
  <c r="E21" i="20"/>
  <c r="E370" i="20"/>
  <c r="BJ370" i="20" s="1"/>
  <c r="E88" i="20"/>
  <c r="E42" i="20"/>
  <c r="E186" i="20"/>
  <c r="E178" i="20"/>
  <c r="DA178" i="20" s="1"/>
  <c r="E338" i="20"/>
  <c r="CD338" i="20" s="1"/>
  <c r="E50" i="20"/>
  <c r="E55" i="20"/>
  <c r="E114" i="20"/>
  <c r="E198" i="20"/>
  <c r="CM198" i="20" s="1"/>
  <c r="E141" i="20"/>
  <c r="E104" i="20"/>
  <c r="E394" i="20"/>
  <c r="AQ394" i="20" s="1"/>
  <c r="E392" i="20"/>
  <c r="BL392" i="20" s="1"/>
  <c r="E239" i="20"/>
  <c r="BB239" i="20" s="1"/>
  <c r="E401" i="20"/>
  <c r="AL401" i="20" s="1"/>
  <c r="E318" i="20"/>
  <c r="E280" i="20"/>
  <c r="E79" i="20"/>
  <c r="E346" i="20"/>
  <c r="AS346" i="20" s="1"/>
  <c r="E368" i="20"/>
  <c r="E47" i="20"/>
  <c r="E181" i="20"/>
  <c r="AD181" i="20" s="1"/>
  <c r="E171" i="20"/>
  <c r="E360" i="20"/>
  <c r="AU360" i="20" s="1"/>
  <c r="E140" i="20"/>
  <c r="E390" i="20"/>
  <c r="BF390" i="20" s="1"/>
  <c r="E127" i="20"/>
  <c r="E256" i="20"/>
  <c r="E31" i="20"/>
  <c r="E407" i="20"/>
  <c r="BP407" i="20" s="1"/>
  <c r="E107" i="20"/>
  <c r="E202" i="20"/>
  <c r="E58" i="20"/>
  <c r="E66" i="20"/>
  <c r="Q66" i="20" s="1"/>
  <c r="E334" i="20"/>
  <c r="BC334" i="20" s="1"/>
  <c r="E138" i="20"/>
  <c r="E398" i="20"/>
  <c r="R398" i="20" s="1"/>
  <c r="E266" i="20"/>
  <c r="BL266" i="20" s="1"/>
  <c r="E61" i="20"/>
  <c r="E403" i="20"/>
  <c r="AD403" i="20" s="1"/>
  <c r="E75" i="20"/>
  <c r="E399" i="20"/>
  <c r="AH399" i="20" s="1"/>
  <c r="E343" i="20"/>
  <c r="E149" i="20"/>
  <c r="E48" i="20"/>
  <c r="E304" i="20"/>
  <c r="E84" i="20"/>
  <c r="E328" i="20"/>
  <c r="E108" i="20"/>
  <c r="E337" i="20"/>
  <c r="AW337" i="20" s="1"/>
  <c r="E371" i="20"/>
  <c r="X371" i="20" s="1"/>
  <c r="E9" i="20"/>
  <c r="E100" i="20"/>
  <c r="E119" i="20"/>
  <c r="E196" i="20"/>
  <c r="T196" i="20" s="1"/>
  <c r="E409" i="20"/>
  <c r="R409" i="20" s="1"/>
  <c r="E86" i="20"/>
  <c r="E122" i="20"/>
  <c r="E120" i="20"/>
  <c r="E257" i="20"/>
  <c r="E400" i="20"/>
  <c r="E364" i="20"/>
  <c r="E51" i="20"/>
  <c r="E67" i="20"/>
  <c r="E356" i="20"/>
  <c r="BJ356" i="20" s="1"/>
  <c r="E408" i="20"/>
  <c r="BJ408" i="20" s="1"/>
  <c r="E405" i="20"/>
  <c r="AL405" i="20" s="1"/>
  <c r="E33" i="20"/>
  <c r="E215" i="20"/>
  <c r="CZ215" i="20" s="1"/>
  <c r="E28" i="20"/>
  <c r="E245" i="20"/>
  <c r="E404" i="20"/>
  <c r="V404" i="20" s="1"/>
  <c r="E231" i="20"/>
  <c r="BX231" i="20" s="1"/>
  <c r="E221" i="20"/>
  <c r="CP221" i="20" s="1"/>
  <c r="E24" i="20"/>
  <c r="E342" i="20"/>
  <c r="E393" i="20"/>
  <c r="W393" i="20" s="1"/>
  <c r="E366" i="20"/>
  <c r="E23" i="20"/>
  <c r="E92" i="20"/>
  <c r="E43" i="20"/>
  <c r="E54" i="20"/>
  <c r="E388" i="20"/>
  <c r="AQ388" i="20" s="1"/>
  <c r="H388" i="20"/>
  <c r="E378" i="20"/>
  <c r="V378" i="20" s="1"/>
  <c r="E146" i="20"/>
  <c r="E62" i="20"/>
  <c r="E96" i="20"/>
  <c r="E396" i="20"/>
  <c r="CJ396" i="20" s="1"/>
  <c r="E18" i="20"/>
  <c r="E34" i="20"/>
  <c r="E7" i="20"/>
  <c r="E402" i="20"/>
  <c r="BL402" i="20" s="1"/>
  <c r="E335" i="20"/>
  <c r="DK335" i="20" s="1"/>
  <c r="E339" i="20"/>
  <c r="E383" i="20"/>
  <c r="CC383" i="20" s="1"/>
  <c r="E6" i="20"/>
  <c r="E294" i="20"/>
  <c r="E382" i="20"/>
  <c r="DD382" i="20" s="1"/>
  <c r="E113" i="20"/>
  <c r="E410" i="20"/>
  <c r="E38" i="20"/>
  <c r="E406" i="20"/>
  <c r="AH406" i="20" s="1"/>
  <c r="E69" i="20"/>
  <c r="E227" i="20"/>
  <c r="CK227" i="20" s="1"/>
  <c r="E411" i="20"/>
  <c r="AZ411" i="20" s="1"/>
  <c r="E358" i="20"/>
  <c r="E329" i="20"/>
  <c r="AJ329" i="20" s="1"/>
  <c r="E397" i="20"/>
  <c r="U397" i="20" s="1"/>
  <c r="E13" i="20"/>
  <c r="E134" i="20"/>
  <c r="E15" i="20"/>
  <c r="E412" i="20"/>
  <c r="X412" i="20" s="1"/>
  <c r="E199" i="20"/>
  <c r="E10" i="20"/>
  <c r="E5" i="20"/>
  <c r="E87" i="20"/>
  <c r="E415" i="20"/>
  <c r="AD415" i="20" s="1"/>
  <c r="E387" i="20"/>
  <c r="DD387" i="20" s="1"/>
  <c r="E8" i="20"/>
  <c r="E322" i="20"/>
  <c r="E352" i="20"/>
  <c r="AT352" i="20" s="1"/>
  <c r="E4" i="20"/>
  <c r="E2" i="20"/>
  <c r="Y2" i="20" s="1"/>
  <c r="E413" i="20"/>
  <c r="AT413" i="20" s="1"/>
  <c r="E98" i="20"/>
  <c r="E3" i="20"/>
  <c r="E414" i="20"/>
  <c r="AV414" i="20" s="1"/>
  <c r="E165" i="20"/>
  <c r="E417" i="20"/>
  <c r="T417" i="20" s="1"/>
  <c r="E416" i="20"/>
  <c r="CR416" i="20" s="1"/>
  <c r="I3" i="2"/>
  <c r="I4" i="2" s="1"/>
  <c r="J4" i="2" s="1"/>
  <c r="I2" i="2"/>
  <c r="J2" i="2" s="1"/>
  <c r="K2" i="2" s="1"/>
  <c r="J3" i="2"/>
  <c r="H173" i="2"/>
  <c r="H216" i="2"/>
  <c r="H365" i="2"/>
  <c r="G6" i="2"/>
  <c r="G7" i="2"/>
  <c r="H7" i="2" s="1"/>
  <c r="G22" i="2"/>
  <c r="H22" i="2" s="1"/>
  <c r="G32" i="2"/>
  <c r="G40" i="2"/>
  <c r="H40" i="2"/>
  <c r="G45" i="2"/>
  <c r="H46" i="2"/>
  <c r="G63" i="2"/>
  <c r="H63" i="2" s="1"/>
  <c r="G64" i="2"/>
  <c r="G65" i="2"/>
  <c r="H65" i="2" s="1"/>
  <c r="G66" i="2"/>
  <c r="H66" i="2" s="1"/>
  <c r="G67" i="2"/>
  <c r="G80" i="2"/>
  <c r="H80" i="2" s="1"/>
  <c r="G89" i="2"/>
  <c r="H89" i="2"/>
  <c r="G90" i="2"/>
  <c r="H90" i="2" s="1"/>
  <c r="G92" i="2"/>
  <c r="G118" i="2"/>
  <c r="H118" i="2" s="1"/>
  <c r="G122" i="2"/>
  <c r="G154" i="2"/>
  <c r="G162" i="2"/>
  <c r="G165" i="2"/>
  <c r="H165" i="2" s="1"/>
  <c r="G198" i="2"/>
  <c r="H198" i="2" s="1"/>
  <c r="G202" i="2"/>
  <c r="G213" i="2"/>
  <c r="H213" i="2" s="1"/>
  <c r="H221" i="2"/>
  <c r="G224" i="2"/>
  <c r="G225" i="2"/>
  <c r="H225" i="2" s="1"/>
  <c r="G282" i="2"/>
  <c r="G294" i="2"/>
  <c r="H294" i="2" s="1"/>
  <c r="H295" i="2"/>
  <c r="G296" i="2"/>
  <c r="G309" i="2"/>
  <c r="G340" i="2"/>
  <c r="H353" i="2"/>
  <c r="G367" i="2"/>
  <c r="G398" i="2"/>
  <c r="H398" i="2" s="1"/>
  <c r="G413" i="2"/>
  <c r="H413" i="2" s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H28" i="2" s="1"/>
  <c r="F29" i="2"/>
  <c r="H29" i="2" s="1"/>
  <c r="F30" i="2"/>
  <c r="F31" i="2"/>
  <c r="F32" i="2"/>
  <c r="F33" i="2"/>
  <c r="F34" i="2"/>
  <c r="F35" i="2"/>
  <c r="F36" i="2"/>
  <c r="H36" i="2" s="1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H52" i="2" s="1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H92" i="2" s="1"/>
  <c r="F93" i="2"/>
  <c r="F94" i="2"/>
  <c r="F95" i="2"/>
  <c r="F96" i="2"/>
  <c r="F97" i="2"/>
  <c r="F98" i="2"/>
  <c r="F99" i="2"/>
  <c r="F100" i="2"/>
  <c r="H100" i="2" s="1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H115" i="2" s="1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H139" i="2" s="1"/>
  <c r="F140" i="2"/>
  <c r="H140" i="2" s="1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H161" i="2" s="1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H180" i="2" s="1"/>
  <c r="F181" i="2"/>
  <c r="F182" i="2"/>
  <c r="F183" i="2"/>
  <c r="F184" i="2"/>
  <c r="F185" i="2"/>
  <c r="F186" i="2"/>
  <c r="H186" i="2" s="1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H203" i="2" s="1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H239" i="2" s="1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H252" i="2" s="1"/>
  <c r="F253" i="2"/>
  <c r="F254" i="2"/>
  <c r="F255" i="2"/>
  <c r="F256" i="2"/>
  <c r="F257" i="2"/>
  <c r="F258" i="2"/>
  <c r="F259" i="2"/>
  <c r="F260" i="2"/>
  <c r="H260" i="2" s="1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H314" i="2" s="1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H367" i="2" s="1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H394" i="2" s="1"/>
  <c r="F395" i="2"/>
  <c r="F396" i="2"/>
  <c r="F397" i="2"/>
  <c r="F398" i="2"/>
  <c r="F399" i="2"/>
  <c r="F400" i="2"/>
  <c r="F401" i="2"/>
  <c r="F402" i="2"/>
  <c r="H402" i="2" s="1"/>
  <c r="F403" i="2"/>
  <c r="F404" i="2"/>
  <c r="H404" i="2" s="1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E3" i="2"/>
  <c r="G3" i="2" s="1"/>
  <c r="H3" i="2" s="1"/>
  <c r="E4" i="2"/>
  <c r="G4" i="2" s="1"/>
  <c r="H4" i="2" s="1"/>
  <c r="E5" i="2"/>
  <c r="G5" i="2" s="1"/>
  <c r="H5" i="2" s="1"/>
  <c r="E6" i="2"/>
  <c r="E7" i="2"/>
  <c r="E8" i="2"/>
  <c r="G8" i="2" s="1"/>
  <c r="H8" i="2" s="1"/>
  <c r="E9" i="2"/>
  <c r="G9" i="2" s="1"/>
  <c r="H9" i="2" s="1"/>
  <c r="E10" i="2"/>
  <c r="G10" i="2" s="1"/>
  <c r="E11" i="2"/>
  <c r="G11" i="2" s="1"/>
  <c r="H11" i="2" s="1"/>
  <c r="E12" i="2"/>
  <c r="G12" i="2" s="1"/>
  <c r="H12" i="2" s="1"/>
  <c r="E13" i="2"/>
  <c r="G13" i="2" s="1"/>
  <c r="H13" i="2" s="1"/>
  <c r="E14" i="2"/>
  <c r="G14" i="2" s="1"/>
  <c r="H14" i="2"/>
  <c r="E15" i="2"/>
  <c r="G15" i="2"/>
  <c r="H15" i="2" s="1"/>
  <c r="E16" i="2"/>
  <c r="G16" i="2" s="1"/>
  <c r="H16" i="2" s="1"/>
  <c r="E17" i="2"/>
  <c r="G17" i="2" s="1"/>
  <c r="E18" i="2"/>
  <c r="G18" i="2" s="1"/>
  <c r="H18" i="2" s="1"/>
  <c r="E19" i="2"/>
  <c r="G19" i="2" s="1"/>
  <c r="E20" i="2"/>
  <c r="G20" i="2" s="1"/>
  <c r="E21" i="2"/>
  <c r="G21" i="2" s="1"/>
  <c r="H21" i="2" s="1"/>
  <c r="E22" i="2"/>
  <c r="E23" i="2"/>
  <c r="G23" i="2"/>
  <c r="H23" i="2" s="1"/>
  <c r="E24" i="2"/>
  <c r="G24" i="2"/>
  <c r="E25" i="2"/>
  <c r="G25" i="2" s="1"/>
  <c r="H25" i="2" s="1"/>
  <c r="E26" i="2"/>
  <c r="G26" i="2" s="1"/>
  <c r="H26" i="2" s="1"/>
  <c r="E27" i="2"/>
  <c r="G27" i="2" s="1"/>
  <c r="E28" i="2"/>
  <c r="G28" i="2" s="1"/>
  <c r="E29" i="2"/>
  <c r="G29" i="2" s="1"/>
  <c r="E30" i="2"/>
  <c r="G30" i="2" s="1"/>
  <c r="E31" i="2"/>
  <c r="G31" i="2" s="1"/>
  <c r="H31" i="2" s="1"/>
  <c r="E32" i="2"/>
  <c r="E33" i="2"/>
  <c r="G33" i="2" s="1"/>
  <c r="H33" i="2" s="1"/>
  <c r="E34" i="2"/>
  <c r="G34" i="2" s="1"/>
  <c r="H34" i="2" s="1"/>
  <c r="E35" i="2"/>
  <c r="G35" i="2"/>
  <c r="E36" i="2"/>
  <c r="G36" i="2" s="1"/>
  <c r="E37" i="2"/>
  <c r="G37" i="2" s="1"/>
  <c r="E38" i="2"/>
  <c r="G38" i="2" s="1"/>
  <c r="H38" i="2" s="1"/>
  <c r="E39" i="2"/>
  <c r="G39" i="2" s="1"/>
  <c r="H39" i="2" s="1"/>
  <c r="E40" i="2"/>
  <c r="E41" i="2"/>
  <c r="G41" i="2" s="1"/>
  <c r="H41" i="2" s="1"/>
  <c r="E42" i="2"/>
  <c r="G42" i="2" s="1"/>
  <c r="H42" i="2" s="1"/>
  <c r="E43" i="2"/>
  <c r="G43" i="2" s="1"/>
  <c r="E44" i="2"/>
  <c r="G44" i="2" s="1"/>
  <c r="E45" i="2"/>
  <c r="E46" i="2"/>
  <c r="G46" i="2" s="1"/>
  <c r="E47" i="2"/>
  <c r="G47" i="2" s="1"/>
  <c r="H47" i="2" s="1"/>
  <c r="E48" i="2"/>
  <c r="G48" i="2"/>
  <c r="H48" i="2" s="1"/>
  <c r="E49" i="2"/>
  <c r="G49" i="2" s="1"/>
  <c r="H49" i="2" s="1"/>
  <c r="E50" i="2"/>
  <c r="G50" i="2" s="1"/>
  <c r="H50" i="2" s="1"/>
  <c r="E51" i="2"/>
  <c r="G51" i="2" s="1"/>
  <c r="E52" i="2"/>
  <c r="G52" i="2" s="1"/>
  <c r="E53" i="2"/>
  <c r="G53" i="2" s="1"/>
  <c r="E54" i="2"/>
  <c r="G54" i="2" s="1"/>
  <c r="H54" i="2" s="1"/>
  <c r="E55" i="2"/>
  <c r="G55" i="2" s="1"/>
  <c r="H55" i="2" s="1"/>
  <c r="E56" i="2"/>
  <c r="G56" i="2" s="1"/>
  <c r="H56" i="2" s="1"/>
  <c r="E57" i="2"/>
  <c r="G57" i="2" s="1"/>
  <c r="H57" i="2" s="1"/>
  <c r="E58" i="2"/>
  <c r="G58" i="2" s="1"/>
  <c r="H58" i="2" s="1"/>
  <c r="E59" i="2"/>
  <c r="G59" i="2" s="1"/>
  <c r="E60" i="2"/>
  <c r="G60" i="2"/>
  <c r="E61" i="2"/>
  <c r="G61" i="2" s="1"/>
  <c r="E62" i="2"/>
  <c r="G62" i="2" s="1"/>
  <c r="H62" i="2" s="1"/>
  <c r="E63" i="2"/>
  <c r="E64" i="2"/>
  <c r="E65" i="2"/>
  <c r="E66" i="2"/>
  <c r="E67" i="2"/>
  <c r="E68" i="2"/>
  <c r="G68" i="2" s="1"/>
  <c r="E69" i="2"/>
  <c r="G69" i="2" s="1"/>
  <c r="E70" i="2"/>
  <c r="G70" i="2" s="1"/>
  <c r="H70" i="2" s="1"/>
  <c r="E71" i="2"/>
  <c r="G71" i="2" s="1"/>
  <c r="H71" i="2" s="1"/>
  <c r="E72" i="2"/>
  <c r="G72" i="2" s="1"/>
  <c r="H72" i="2" s="1"/>
  <c r="E73" i="2"/>
  <c r="G73" i="2"/>
  <c r="H73" i="2" s="1"/>
  <c r="E74" i="2"/>
  <c r="G74" i="2"/>
  <c r="H74" i="2" s="1"/>
  <c r="E75" i="2"/>
  <c r="G75" i="2"/>
  <c r="E76" i="2"/>
  <c r="G76" i="2" s="1"/>
  <c r="E77" i="2"/>
  <c r="G77" i="2" s="1"/>
  <c r="E78" i="2"/>
  <c r="G78" i="2" s="1"/>
  <c r="H78" i="2" s="1"/>
  <c r="E79" i="2"/>
  <c r="G79" i="2" s="1"/>
  <c r="H79" i="2" s="1"/>
  <c r="E80" i="2"/>
  <c r="E81" i="2"/>
  <c r="G81" i="2" s="1"/>
  <c r="H81" i="2" s="1"/>
  <c r="E82" i="2"/>
  <c r="G82" i="2" s="1"/>
  <c r="H82" i="2" s="1"/>
  <c r="E83" i="2"/>
  <c r="G83" i="2" s="1"/>
  <c r="E84" i="2"/>
  <c r="G84" i="2" s="1"/>
  <c r="E85" i="2"/>
  <c r="G85" i="2" s="1"/>
  <c r="E86" i="2"/>
  <c r="G86" i="2"/>
  <c r="H86" i="2" s="1"/>
  <c r="E87" i="2"/>
  <c r="G87" i="2"/>
  <c r="H87" i="2" s="1"/>
  <c r="E88" i="2"/>
  <c r="G88" i="2" s="1"/>
  <c r="H88" i="2" s="1"/>
  <c r="E89" i="2"/>
  <c r="E90" i="2"/>
  <c r="E91" i="2"/>
  <c r="G91" i="2" s="1"/>
  <c r="E92" i="2"/>
  <c r="E93" i="2"/>
  <c r="G93" i="2" s="1"/>
  <c r="E94" i="2"/>
  <c r="G94" i="2" s="1"/>
  <c r="E95" i="2"/>
  <c r="G95" i="2" s="1"/>
  <c r="E96" i="2"/>
  <c r="G96" i="2" s="1"/>
  <c r="H96" i="2" s="1"/>
  <c r="E97" i="2"/>
  <c r="G97" i="2" s="1"/>
  <c r="H97" i="2" s="1"/>
  <c r="E98" i="2"/>
  <c r="G98" i="2" s="1"/>
  <c r="H98" i="2" s="1"/>
  <c r="E99" i="2"/>
  <c r="G99" i="2" s="1"/>
  <c r="E100" i="2"/>
  <c r="G100" i="2" s="1"/>
  <c r="E101" i="2"/>
  <c r="G101" i="2" s="1"/>
  <c r="E102" i="2"/>
  <c r="G102" i="2" s="1"/>
  <c r="H102" i="2" s="1"/>
  <c r="E103" i="2"/>
  <c r="G103" i="2" s="1"/>
  <c r="H103" i="2" s="1"/>
  <c r="E104" i="2"/>
  <c r="G104" i="2" s="1"/>
  <c r="H104" i="2" s="1"/>
  <c r="E105" i="2"/>
  <c r="G105" i="2" s="1"/>
  <c r="H105" i="2" s="1"/>
  <c r="E106" i="2"/>
  <c r="G106" i="2" s="1"/>
  <c r="E107" i="2"/>
  <c r="G107" i="2" s="1"/>
  <c r="E108" i="2"/>
  <c r="G108" i="2"/>
  <c r="E109" i="2"/>
  <c r="G109" i="2" s="1"/>
  <c r="H109" i="2" s="1"/>
  <c r="E110" i="2"/>
  <c r="G110" i="2"/>
  <c r="H110" i="2" s="1"/>
  <c r="E111" i="2"/>
  <c r="G111" i="2" s="1"/>
  <c r="H111" i="2" s="1"/>
  <c r="E112" i="2"/>
  <c r="G112" i="2" s="1"/>
  <c r="H112" i="2" s="1"/>
  <c r="E113" i="2"/>
  <c r="G113" i="2" s="1"/>
  <c r="E114" i="2"/>
  <c r="G114" i="2" s="1"/>
  <c r="E115" i="2"/>
  <c r="G115" i="2" s="1"/>
  <c r="E116" i="2"/>
  <c r="G116" i="2" s="1"/>
  <c r="E117" i="2"/>
  <c r="G117" i="2" s="1"/>
  <c r="H117" i="2" s="1"/>
  <c r="E118" i="2"/>
  <c r="E119" i="2"/>
  <c r="G119" i="2" s="1"/>
  <c r="E120" i="2"/>
  <c r="G120" i="2" s="1"/>
  <c r="H120" i="2" s="1"/>
  <c r="E121" i="2"/>
  <c r="G121" i="2" s="1"/>
  <c r="E122" i="2"/>
  <c r="E123" i="2"/>
  <c r="G123" i="2" s="1"/>
  <c r="E124" i="2"/>
  <c r="G124" i="2" s="1"/>
  <c r="E125" i="2"/>
  <c r="G125" i="2" s="1"/>
  <c r="H125" i="2" s="1"/>
  <c r="E126" i="2"/>
  <c r="G126" i="2" s="1"/>
  <c r="H126" i="2" s="1"/>
  <c r="E127" i="2"/>
  <c r="G127" i="2" s="1"/>
  <c r="H127" i="2"/>
  <c r="E128" i="2"/>
  <c r="G128" i="2"/>
  <c r="H128" i="2"/>
  <c r="E129" i="2"/>
  <c r="G129" i="2" s="1"/>
  <c r="E130" i="2"/>
  <c r="G130" i="2" s="1"/>
  <c r="H130" i="2" s="1"/>
  <c r="E131" i="2"/>
  <c r="G131" i="2" s="1"/>
  <c r="E132" i="2"/>
  <c r="G132" i="2" s="1"/>
  <c r="E133" i="2"/>
  <c r="G133" i="2" s="1"/>
  <c r="E134" i="2"/>
  <c r="G134" i="2"/>
  <c r="H134" i="2" s="1"/>
  <c r="E135" i="2"/>
  <c r="G135" i="2" s="1"/>
  <c r="H135" i="2" s="1"/>
  <c r="E136" i="2"/>
  <c r="G136" i="2" s="1"/>
  <c r="H136" i="2" s="1"/>
  <c r="E137" i="2"/>
  <c r="G137" i="2" s="1"/>
  <c r="E138" i="2"/>
  <c r="G138" i="2" s="1"/>
  <c r="H138" i="2" s="1"/>
  <c r="E139" i="2"/>
  <c r="G139" i="2" s="1"/>
  <c r="E140" i="2"/>
  <c r="G140" i="2" s="1"/>
  <c r="E141" i="2"/>
  <c r="G141" i="2" s="1"/>
  <c r="E142" i="2"/>
  <c r="G142" i="2" s="1"/>
  <c r="H142" i="2" s="1"/>
  <c r="E143" i="2"/>
  <c r="G143" i="2"/>
  <c r="H143" i="2" s="1"/>
  <c r="E144" i="2"/>
  <c r="G144" i="2" s="1"/>
  <c r="H144" i="2" s="1"/>
  <c r="E145" i="2"/>
  <c r="G145" i="2" s="1"/>
  <c r="E146" i="2"/>
  <c r="G146" i="2" s="1"/>
  <c r="H146" i="2" s="1"/>
  <c r="E147" i="2"/>
  <c r="G147" i="2" s="1"/>
  <c r="E148" i="2"/>
  <c r="G148" i="2" s="1"/>
  <c r="H148" i="2" s="1"/>
  <c r="E149" i="2"/>
  <c r="G149" i="2" s="1"/>
  <c r="H149" i="2" s="1"/>
  <c r="E150" i="2"/>
  <c r="G150" i="2" s="1"/>
  <c r="H150" i="2" s="1"/>
  <c r="E151" i="2"/>
  <c r="G151" i="2" s="1"/>
  <c r="H151" i="2" s="1"/>
  <c r="E152" i="2"/>
  <c r="G152" i="2" s="1"/>
  <c r="H152" i="2" s="1"/>
  <c r="E153" i="2"/>
  <c r="G153" i="2" s="1"/>
  <c r="E154" i="2"/>
  <c r="E155" i="2"/>
  <c r="G155" i="2"/>
  <c r="E156" i="2"/>
  <c r="G156" i="2" s="1"/>
  <c r="E157" i="2"/>
  <c r="G157" i="2" s="1"/>
  <c r="H157" i="2" s="1"/>
  <c r="E158" i="2"/>
  <c r="G158" i="2"/>
  <c r="H158" i="2"/>
  <c r="E159" i="2"/>
  <c r="G159" i="2" s="1"/>
  <c r="H159" i="2" s="1"/>
  <c r="E160" i="2"/>
  <c r="G160" i="2" s="1"/>
  <c r="E161" i="2"/>
  <c r="G161" i="2" s="1"/>
  <c r="E162" i="2"/>
  <c r="E163" i="2"/>
  <c r="G163" i="2" s="1"/>
  <c r="E164" i="2"/>
  <c r="G164" i="2" s="1"/>
  <c r="E165" i="2"/>
  <c r="E166" i="2"/>
  <c r="G166" i="2" s="1"/>
  <c r="H166" i="2" s="1"/>
  <c r="E167" i="2"/>
  <c r="G167" i="2" s="1"/>
  <c r="H167" i="2" s="1"/>
  <c r="E168" i="2"/>
  <c r="G168" i="2" s="1"/>
  <c r="H168" i="2" s="1"/>
  <c r="E169" i="2"/>
  <c r="G169" i="2" s="1"/>
  <c r="E170" i="2"/>
  <c r="G170" i="2" s="1"/>
  <c r="H170" i="2"/>
  <c r="E171" i="2"/>
  <c r="G171" i="2" s="1"/>
  <c r="E172" i="2"/>
  <c r="G172" i="2" s="1"/>
  <c r="E173" i="2"/>
  <c r="G173" i="2" s="1"/>
  <c r="E174" i="2"/>
  <c r="G174" i="2" s="1"/>
  <c r="H174" i="2" s="1"/>
  <c r="E175" i="2"/>
  <c r="G175" i="2" s="1"/>
  <c r="E176" i="2"/>
  <c r="G176" i="2" s="1"/>
  <c r="H176" i="2" s="1"/>
  <c r="E177" i="2"/>
  <c r="G177" i="2" s="1"/>
  <c r="H177" i="2" s="1"/>
  <c r="E178" i="2"/>
  <c r="G178" i="2" s="1"/>
  <c r="H178" i="2" s="1"/>
  <c r="E179" i="2"/>
  <c r="G179" i="2" s="1"/>
  <c r="E180" i="2"/>
  <c r="G180" i="2" s="1"/>
  <c r="E181" i="2"/>
  <c r="G181" i="2" s="1"/>
  <c r="H181" i="2" s="1"/>
  <c r="E182" i="2"/>
  <c r="G182" i="2" s="1"/>
  <c r="H182" i="2" s="1"/>
  <c r="E183" i="2"/>
  <c r="G183" i="2" s="1"/>
  <c r="H183" i="2" s="1"/>
  <c r="E184" i="2"/>
  <c r="G184" i="2" s="1"/>
  <c r="H184" i="2" s="1"/>
  <c r="E185" i="2"/>
  <c r="G185" i="2"/>
  <c r="E186" i="2"/>
  <c r="G186" i="2"/>
  <c r="E187" i="2"/>
  <c r="G187" i="2" s="1"/>
  <c r="E188" i="2"/>
  <c r="G188" i="2"/>
  <c r="E189" i="2"/>
  <c r="G189" i="2" s="1"/>
  <c r="H189" i="2" s="1"/>
  <c r="E190" i="2"/>
  <c r="G190" i="2" s="1"/>
  <c r="H190" i="2" s="1"/>
  <c r="E191" i="2"/>
  <c r="G191" i="2" s="1"/>
  <c r="E192" i="2"/>
  <c r="G192" i="2"/>
  <c r="H192" i="2" s="1"/>
  <c r="E193" i="2"/>
  <c r="G193" i="2"/>
  <c r="E194" i="2"/>
  <c r="G194" i="2"/>
  <c r="H194" i="2" s="1"/>
  <c r="E195" i="2"/>
  <c r="G195" i="2" s="1"/>
  <c r="H195" i="2" s="1"/>
  <c r="E196" i="2"/>
  <c r="G196" i="2" s="1"/>
  <c r="E197" i="2"/>
  <c r="G197" i="2" s="1"/>
  <c r="H197" i="2" s="1"/>
  <c r="E198" i="2"/>
  <c r="E199" i="2"/>
  <c r="G199" i="2" s="1"/>
  <c r="H199" i="2" s="1"/>
  <c r="E200" i="2"/>
  <c r="G200" i="2" s="1"/>
  <c r="H200" i="2" s="1"/>
  <c r="E201" i="2"/>
  <c r="G201" i="2" s="1"/>
  <c r="E202" i="2"/>
  <c r="E203" i="2"/>
  <c r="G203" i="2"/>
  <c r="E204" i="2"/>
  <c r="G204" i="2" s="1"/>
  <c r="E205" i="2"/>
  <c r="G205" i="2" s="1"/>
  <c r="H205" i="2" s="1"/>
  <c r="E206" i="2"/>
  <c r="G206" i="2" s="1"/>
  <c r="H206" i="2" s="1"/>
  <c r="E207" i="2"/>
  <c r="G207" i="2"/>
  <c r="H207" i="2" s="1"/>
  <c r="E208" i="2"/>
  <c r="G208" i="2" s="1"/>
  <c r="H208" i="2" s="1"/>
  <c r="E209" i="2"/>
  <c r="G209" i="2" s="1"/>
  <c r="E210" i="2"/>
  <c r="G210" i="2" s="1"/>
  <c r="E211" i="2"/>
  <c r="G211" i="2" s="1"/>
  <c r="E212" i="2"/>
  <c r="G212" i="2" s="1"/>
  <c r="E213" i="2"/>
  <c r="E214" i="2"/>
  <c r="G214" i="2" s="1"/>
  <c r="H214" i="2" s="1"/>
  <c r="E215" i="2"/>
  <c r="G215" i="2" s="1"/>
  <c r="E216" i="2"/>
  <c r="G216" i="2"/>
  <c r="E217" i="2"/>
  <c r="G217" i="2"/>
  <c r="H217" i="2" s="1"/>
  <c r="E218" i="2"/>
  <c r="G218" i="2" s="1"/>
  <c r="E219" i="2"/>
  <c r="G219" i="2"/>
  <c r="E220" i="2"/>
  <c r="G220" i="2" s="1"/>
  <c r="E221" i="2"/>
  <c r="G221" i="2" s="1"/>
  <c r="E222" i="2"/>
  <c r="G222" i="2" s="1"/>
  <c r="H222" i="2" s="1"/>
  <c r="E223" i="2"/>
  <c r="G223" i="2" s="1"/>
  <c r="H223" i="2" s="1"/>
  <c r="E224" i="2"/>
  <c r="E225" i="2"/>
  <c r="E226" i="2"/>
  <c r="G226" i="2" s="1"/>
  <c r="H226" i="2" s="1"/>
  <c r="E227" i="2"/>
  <c r="G227" i="2" s="1"/>
  <c r="H227" i="2" s="1"/>
  <c r="E228" i="2"/>
  <c r="G228" i="2"/>
  <c r="H228" i="2" s="1"/>
  <c r="E229" i="2"/>
  <c r="G229" i="2" s="1"/>
  <c r="H229" i="2" s="1"/>
  <c r="E230" i="2"/>
  <c r="G230" i="2" s="1"/>
  <c r="E231" i="2"/>
  <c r="G231" i="2"/>
  <c r="H231" i="2" s="1"/>
  <c r="E232" i="2"/>
  <c r="G232" i="2"/>
  <c r="H232" i="2" s="1"/>
  <c r="E233" i="2"/>
  <c r="G233" i="2" s="1"/>
  <c r="H233" i="2" s="1"/>
  <c r="E234" i="2"/>
  <c r="G234" i="2" s="1"/>
  <c r="E235" i="2"/>
  <c r="G235" i="2" s="1"/>
  <c r="E236" i="2"/>
  <c r="G236" i="2" s="1"/>
  <c r="E237" i="2"/>
  <c r="G237" i="2" s="1"/>
  <c r="H237" i="2" s="1"/>
  <c r="E238" i="2"/>
  <c r="G238" i="2" s="1"/>
  <c r="H238" i="2" s="1"/>
  <c r="E239" i="2"/>
  <c r="G239" i="2" s="1"/>
  <c r="E240" i="2"/>
  <c r="G240" i="2" s="1"/>
  <c r="H240" i="2" s="1"/>
  <c r="E241" i="2"/>
  <c r="G241" i="2" s="1"/>
  <c r="H241" i="2" s="1"/>
  <c r="E242" i="2"/>
  <c r="G242" i="2" s="1"/>
  <c r="E243" i="2"/>
  <c r="G243" i="2" s="1"/>
  <c r="E244" i="2"/>
  <c r="G244" i="2" s="1"/>
  <c r="E245" i="2"/>
  <c r="G245" i="2" s="1"/>
  <c r="E246" i="2"/>
  <c r="G246" i="2" s="1"/>
  <c r="H246" i="2" s="1"/>
  <c r="E247" i="2"/>
  <c r="G247" i="2" s="1"/>
  <c r="H247" i="2" s="1"/>
  <c r="E248" i="2"/>
  <c r="G248" i="2" s="1"/>
  <c r="H248" i="2" s="1"/>
  <c r="E249" i="2"/>
  <c r="G249" i="2" s="1"/>
  <c r="H249" i="2" s="1"/>
  <c r="E250" i="2"/>
  <c r="G250" i="2" s="1"/>
  <c r="E251" i="2"/>
  <c r="G251" i="2" s="1"/>
  <c r="E252" i="2"/>
  <c r="G252" i="2" s="1"/>
  <c r="E253" i="2"/>
  <c r="G253" i="2" s="1"/>
  <c r="H253" i="2" s="1"/>
  <c r="E254" i="2"/>
  <c r="G254" i="2" s="1"/>
  <c r="H254" i="2" s="1"/>
  <c r="E255" i="2"/>
  <c r="G255" i="2" s="1"/>
  <c r="H255" i="2" s="1"/>
  <c r="E256" i="2"/>
  <c r="G256" i="2" s="1"/>
  <c r="H256" i="2" s="1"/>
  <c r="E257" i="2"/>
  <c r="G257" i="2" s="1"/>
  <c r="H257" i="2" s="1"/>
  <c r="E258" i="2"/>
  <c r="G258" i="2"/>
  <c r="E259" i="2"/>
  <c r="G259" i="2" s="1"/>
  <c r="E260" i="2"/>
  <c r="G260" i="2"/>
  <c r="E261" i="2"/>
  <c r="G261" i="2" s="1"/>
  <c r="H261" i="2" s="1"/>
  <c r="E262" i="2"/>
  <c r="G262" i="2" s="1"/>
  <c r="E263" i="2"/>
  <c r="G263" i="2" s="1"/>
  <c r="H263" i="2" s="1"/>
  <c r="E264" i="2"/>
  <c r="G264" i="2" s="1"/>
  <c r="H264" i="2" s="1"/>
  <c r="E265" i="2"/>
  <c r="G265" i="2" s="1"/>
  <c r="H265" i="2" s="1"/>
  <c r="E266" i="2"/>
  <c r="G266" i="2" s="1"/>
  <c r="E267" i="2"/>
  <c r="G267" i="2" s="1"/>
  <c r="E268" i="2"/>
  <c r="G268" i="2" s="1"/>
  <c r="H268" i="2"/>
  <c r="E269" i="2"/>
  <c r="G269" i="2" s="1"/>
  <c r="H269" i="2" s="1"/>
  <c r="E270" i="2"/>
  <c r="G270" i="2" s="1"/>
  <c r="E271" i="2"/>
  <c r="G271" i="2" s="1"/>
  <c r="H271" i="2" s="1"/>
  <c r="E272" i="2"/>
  <c r="G272" i="2" s="1"/>
  <c r="H272" i="2" s="1"/>
  <c r="E273" i="2"/>
  <c r="G273" i="2" s="1"/>
  <c r="H273" i="2" s="1"/>
  <c r="E274" i="2"/>
  <c r="G274" i="2" s="1"/>
  <c r="E275" i="2"/>
  <c r="G275" i="2" s="1"/>
  <c r="H275" i="2" s="1"/>
  <c r="E276" i="2"/>
  <c r="G276" i="2" s="1"/>
  <c r="E277" i="2"/>
  <c r="G277" i="2" s="1"/>
  <c r="H277" i="2" s="1"/>
  <c r="E278" i="2"/>
  <c r="G278" i="2" s="1"/>
  <c r="H278" i="2" s="1"/>
  <c r="E279" i="2"/>
  <c r="G279" i="2" s="1"/>
  <c r="H279" i="2" s="1"/>
  <c r="E280" i="2"/>
  <c r="G280" i="2" s="1"/>
  <c r="E281" i="2"/>
  <c r="G281" i="2" s="1"/>
  <c r="H281" i="2" s="1"/>
  <c r="E282" i="2"/>
  <c r="E283" i="2"/>
  <c r="G283" i="2" s="1"/>
  <c r="E284" i="2"/>
  <c r="G284" i="2" s="1"/>
  <c r="H284" i="2" s="1"/>
  <c r="E285" i="2"/>
  <c r="G285" i="2" s="1"/>
  <c r="H285" i="2" s="1"/>
  <c r="E286" i="2"/>
  <c r="G286" i="2" s="1"/>
  <c r="H286" i="2" s="1"/>
  <c r="E287" i="2"/>
  <c r="G287" i="2" s="1"/>
  <c r="E288" i="2"/>
  <c r="G288" i="2" s="1"/>
  <c r="E289" i="2"/>
  <c r="G289" i="2" s="1"/>
  <c r="E290" i="2"/>
  <c r="G290" i="2" s="1"/>
  <c r="H290" i="2" s="1"/>
  <c r="E291" i="2"/>
  <c r="G291" i="2" s="1"/>
  <c r="H291" i="2" s="1"/>
  <c r="E292" i="2"/>
  <c r="G292" i="2" s="1"/>
  <c r="H292" i="2" s="1"/>
  <c r="E293" i="2"/>
  <c r="G293" i="2" s="1"/>
  <c r="E294" i="2"/>
  <c r="E295" i="2"/>
  <c r="G295" i="2" s="1"/>
  <c r="E296" i="2"/>
  <c r="E297" i="2"/>
  <c r="G297" i="2" s="1"/>
  <c r="H297" i="2" s="1"/>
  <c r="E298" i="2"/>
  <c r="G298" i="2" s="1"/>
  <c r="E299" i="2"/>
  <c r="G299" i="2" s="1"/>
  <c r="E300" i="2"/>
  <c r="G300" i="2" s="1"/>
  <c r="E301" i="2"/>
  <c r="G301" i="2" s="1"/>
  <c r="H301" i="2" s="1"/>
  <c r="E302" i="2"/>
  <c r="G302" i="2" s="1"/>
  <c r="H302" i="2" s="1"/>
  <c r="E303" i="2"/>
  <c r="G303" i="2" s="1"/>
  <c r="H303" i="2"/>
  <c r="E304" i="2"/>
  <c r="G304" i="2" s="1"/>
  <c r="H304" i="2"/>
  <c r="E305" i="2"/>
  <c r="G305" i="2" s="1"/>
  <c r="E306" i="2"/>
  <c r="G306" i="2" s="1"/>
  <c r="E307" i="2"/>
  <c r="G307" i="2" s="1"/>
  <c r="E308" i="2"/>
  <c r="G308" i="2" s="1"/>
  <c r="E309" i="2"/>
  <c r="E310" i="2"/>
  <c r="G310" i="2" s="1"/>
  <c r="H310" i="2" s="1"/>
  <c r="E311" i="2"/>
  <c r="G311" i="2"/>
  <c r="H311" i="2" s="1"/>
  <c r="E312" i="2"/>
  <c r="G312" i="2" s="1"/>
  <c r="E313" i="2"/>
  <c r="G313" i="2" s="1"/>
  <c r="H313" i="2" s="1"/>
  <c r="E314" i="2"/>
  <c r="G314" i="2" s="1"/>
  <c r="E315" i="2"/>
  <c r="G315" i="2" s="1"/>
  <c r="E316" i="2"/>
  <c r="G316" i="2" s="1"/>
  <c r="H316" i="2" s="1"/>
  <c r="E317" i="2"/>
  <c r="G317" i="2" s="1"/>
  <c r="H317" i="2" s="1"/>
  <c r="E318" i="2"/>
  <c r="G318" i="2" s="1"/>
  <c r="H318" i="2" s="1"/>
  <c r="E319" i="2"/>
  <c r="G319" i="2" s="1"/>
  <c r="H319" i="2" s="1"/>
  <c r="E320" i="2"/>
  <c r="G320" i="2" s="1"/>
  <c r="E321" i="2"/>
  <c r="G321" i="2" s="1"/>
  <c r="E322" i="2"/>
  <c r="G322" i="2" s="1"/>
  <c r="E323" i="2"/>
  <c r="G323" i="2" s="1"/>
  <c r="H323" i="2" s="1"/>
  <c r="E324" i="2"/>
  <c r="G324" i="2" s="1"/>
  <c r="H324" i="2" s="1"/>
  <c r="E325" i="2"/>
  <c r="G325" i="2"/>
  <c r="H325" i="2" s="1"/>
  <c r="E326" i="2"/>
  <c r="G326" i="2" s="1"/>
  <c r="H326" i="2" s="1"/>
  <c r="E327" i="2"/>
  <c r="G327" i="2" s="1"/>
  <c r="E328" i="2"/>
  <c r="G328" i="2"/>
  <c r="H328" i="2" s="1"/>
  <c r="E329" i="2"/>
  <c r="G329" i="2"/>
  <c r="H329" i="2" s="1"/>
  <c r="E330" i="2"/>
  <c r="G330" i="2" s="1"/>
  <c r="H330" i="2" s="1"/>
  <c r="E331" i="2"/>
  <c r="G331" i="2" s="1"/>
  <c r="H331" i="2" s="1"/>
  <c r="E332" i="2"/>
  <c r="G332" i="2" s="1"/>
  <c r="E333" i="2"/>
  <c r="G333" i="2" s="1"/>
  <c r="H333" i="2" s="1"/>
  <c r="E334" i="2"/>
  <c r="G334" i="2" s="1"/>
  <c r="H334" i="2" s="1"/>
  <c r="E335" i="2"/>
  <c r="G335" i="2" s="1"/>
  <c r="E336" i="2"/>
  <c r="G336" i="2" s="1"/>
  <c r="H336" i="2" s="1"/>
  <c r="E337" i="2"/>
  <c r="G337" i="2" s="1"/>
  <c r="H337" i="2" s="1"/>
  <c r="E338" i="2"/>
  <c r="G338" i="2" s="1"/>
  <c r="H338" i="2" s="1"/>
  <c r="E339" i="2"/>
  <c r="G339" i="2" s="1"/>
  <c r="E340" i="2"/>
  <c r="E341" i="2"/>
  <c r="G341" i="2" s="1"/>
  <c r="H341" i="2" s="1"/>
  <c r="E342" i="2"/>
  <c r="G342" i="2" s="1"/>
  <c r="H342" i="2" s="1"/>
  <c r="E343" i="2"/>
  <c r="G343" i="2" s="1"/>
  <c r="E344" i="2"/>
  <c r="G344" i="2" s="1"/>
  <c r="H344" i="2" s="1"/>
  <c r="E345" i="2"/>
  <c r="G345" i="2" s="1"/>
  <c r="H345" i="2" s="1"/>
  <c r="E346" i="2"/>
  <c r="G346" i="2" s="1"/>
  <c r="H346" i="2" s="1"/>
  <c r="E347" i="2"/>
  <c r="G347" i="2" s="1"/>
  <c r="E348" i="2"/>
  <c r="G348" i="2" s="1"/>
  <c r="E349" i="2"/>
  <c r="G349" i="2" s="1"/>
  <c r="H349" i="2" s="1"/>
  <c r="E350" i="2"/>
  <c r="G350" i="2"/>
  <c r="H350" i="2" s="1"/>
  <c r="E351" i="2"/>
  <c r="G351" i="2"/>
  <c r="E352" i="2"/>
  <c r="G352" i="2" s="1"/>
  <c r="H352" i="2" s="1"/>
  <c r="E353" i="2"/>
  <c r="G353" i="2" s="1"/>
  <c r="E354" i="2"/>
  <c r="G354" i="2" s="1"/>
  <c r="E355" i="2"/>
  <c r="G355" i="2" s="1"/>
  <c r="E356" i="2"/>
  <c r="G356" i="2" s="1"/>
  <c r="E357" i="2"/>
  <c r="G357" i="2" s="1"/>
  <c r="H357" i="2" s="1"/>
  <c r="E358" i="2"/>
  <c r="G358" i="2" s="1"/>
  <c r="E359" i="2"/>
  <c r="G359" i="2" s="1"/>
  <c r="E360" i="2"/>
  <c r="G360" i="2"/>
  <c r="H360" i="2" s="1"/>
  <c r="E361" i="2"/>
  <c r="G361" i="2" s="1"/>
  <c r="H361" i="2" s="1"/>
  <c r="E362" i="2"/>
  <c r="G362" i="2"/>
  <c r="E363" i="2"/>
  <c r="G363" i="2" s="1"/>
  <c r="H363" i="2" s="1"/>
  <c r="E364" i="2"/>
  <c r="G364" i="2" s="1"/>
  <c r="H364" i="2" s="1"/>
  <c r="E365" i="2"/>
  <c r="G365" i="2" s="1"/>
  <c r="E366" i="2"/>
  <c r="G366" i="2" s="1"/>
  <c r="E367" i="2"/>
  <c r="E368" i="2"/>
  <c r="G368" i="2" s="1"/>
  <c r="H368" i="2" s="1"/>
  <c r="E369" i="2"/>
  <c r="G369" i="2" s="1"/>
  <c r="H369" i="2" s="1"/>
  <c r="E370" i="2"/>
  <c r="G370" i="2" s="1"/>
  <c r="E371" i="2"/>
  <c r="G371" i="2" s="1"/>
  <c r="H371" i="2" s="1"/>
  <c r="E372" i="2"/>
  <c r="G372" i="2" s="1"/>
  <c r="E373" i="2"/>
  <c r="G373" i="2"/>
  <c r="H373" i="2" s="1"/>
  <c r="E374" i="2"/>
  <c r="G374" i="2" s="1"/>
  <c r="H374" i="2" s="1"/>
  <c r="E375" i="2"/>
  <c r="G375" i="2" s="1"/>
  <c r="H375" i="2" s="1"/>
  <c r="E376" i="2"/>
  <c r="G376" i="2" s="1"/>
  <c r="H376" i="2" s="1"/>
  <c r="E377" i="2"/>
  <c r="G377" i="2" s="1"/>
  <c r="H377" i="2" s="1"/>
  <c r="E378" i="2"/>
  <c r="G378" i="2" s="1"/>
  <c r="E379" i="2"/>
  <c r="G379" i="2" s="1"/>
  <c r="E380" i="2"/>
  <c r="G380" i="2" s="1"/>
  <c r="E381" i="2"/>
  <c r="G381" i="2" s="1"/>
  <c r="H381" i="2" s="1"/>
  <c r="E382" i="2"/>
  <c r="G382" i="2" s="1"/>
  <c r="H382" i="2" s="1"/>
  <c r="E383" i="2"/>
  <c r="G383" i="2" s="1"/>
  <c r="E384" i="2"/>
  <c r="G384" i="2"/>
  <c r="H384" i="2" s="1"/>
  <c r="E385" i="2"/>
  <c r="G385" i="2" s="1"/>
  <c r="E386" i="2"/>
  <c r="G386" i="2" s="1"/>
  <c r="E387" i="2"/>
  <c r="G387" i="2" s="1"/>
  <c r="H387" i="2" s="1"/>
  <c r="E388" i="2"/>
  <c r="G388" i="2" s="1"/>
  <c r="H388" i="2" s="1"/>
  <c r="E389" i="2"/>
  <c r="G389" i="2" s="1"/>
  <c r="H389" i="2" s="1"/>
  <c r="E390" i="2"/>
  <c r="G390" i="2" s="1"/>
  <c r="H390" i="2" s="1"/>
  <c r="E391" i="2"/>
  <c r="G391" i="2" s="1"/>
  <c r="E392" i="2"/>
  <c r="G392" i="2" s="1"/>
  <c r="H392" i="2" s="1"/>
  <c r="E393" i="2"/>
  <c r="G393" i="2" s="1"/>
  <c r="E394" i="2"/>
  <c r="G394" i="2" s="1"/>
  <c r="E395" i="2"/>
  <c r="G395" i="2" s="1"/>
  <c r="E396" i="2"/>
  <c r="G396" i="2" s="1"/>
  <c r="E397" i="2"/>
  <c r="G397" i="2" s="1"/>
  <c r="H397" i="2" s="1"/>
  <c r="E398" i="2"/>
  <c r="E399" i="2"/>
  <c r="G399" i="2" s="1"/>
  <c r="H399" i="2" s="1"/>
  <c r="E400" i="2"/>
  <c r="G400" i="2" s="1"/>
  <c r="H400" i="2" s="1"/>
  <c r="E401" i="2"/>
  <c r="G401" i="2" s="1"/>
  <c r="H401" i="2"/>
  <c r="E402" i="2"/>
  <c r="G402" i="2" s="1"/>
  <c r="E403" i="2"/>
  <c r="G403" i="2"/>
  <c r="H403" i="2" s="1"/>
  <c r="E404" i="2"/>
  <c r="G404" i="2"/>
  <c r="E405" i="2"/>
  <c r="G405" i="2" s="1"/>
  <c r="E406" i="2"/>
  <c r="G406" i="2" s="1"/>
  <c r="H406" i="2" s="1"/>
  <c r="E407" i="2"/>
  <c r="G407" i="2"/>
  <c r="H407" i="2" s="1"/>
  <c r="E408" i="2"/>
  <c r="G408" i="2" s="1"/>
  <c r="H408" i="2" s="1"/>
  <c r="E409" i="2"/>
  <c r="G409" i="2" s="1"/>
  <c r="E410" i="2"/>
  <c r="G410" i="2" s="1"/>
  <c r="H410" i="2" s="1"/>
  <c r="E411" i="2"/>
  <c r="G411" i="2"/>
  <c r="H411" i="2" s="1"/>
  <c r="E412" i="2"/>
  <c r="G412" i="2" s="1"/>
  <c r="H412" i="2" s="1"/>
  <c r="E413" i="2"/>
  <c r="E414" i="2"/>
  <c r="G414" i="2" s="1"/>
  <c r="H414" i="2" s="1"/>
  <c r="E415" i="2"/>
  <c r="G415" i="2"/>
  <c r="H415" i="2" s="1"/>
  <c r="E416" i="2"/>
  <c r="G416" i="2"/>
  <c r="H416" i="2" s="1"/>
  <c r="E417" i="2"/>
  <c r="G417" i="2" s="1"/>
  <c r="F2" i="2"/>
  <c r="E2" i="2"/>
  <c r="G2" i="2" s="1"/>
  <c r="H2" i="2" s="1"/>
  <c r="I2" i="19"/>
  <c r="G2" i="15"/>
  <c r="I2" i="15" s="1"/>
  <c r="E2" i="15"/>
  <c r="G22" i="19"/>
  <c r="I22" i="19"/>
  <c r="H229" i="20"/>
  <c r="H255" i="20"/>
  <c r="H371" i="20"/>
  <c r="H293" i="20"/>
  <c r="H373" i="20"/>
  <c r="H59" i="20"/>
  <c r="H57" i="20"/>
  <c r="H157" i="20"/>
  <c r="H152" i="20"/>
  <c r="H144" i="20"/>
  <c r="H142" i="20"/>
  <c r="H327" i="20"/>
  <c r="H56" i="20"/>
  <c r="H222" i="20"/>
  <c r="H324" i="20"/>
  <c r="H245" i="20"/>
  <c r="H116" i="20"/>
  <c r="H264" i="20"/>
  <c r="H44" i="20"/>
  <c r="H64" i="20"/>
  <c r="H259" i="20"/>
  <c r="H7" i="20"/>
  <c r="H16" i="20"/>
  <c r="H263" i="20"/>
  <c r="H88" i="20"/>
  <c r="H291" i="20"/>
  <c r="H217" i="20"/>
  <c r="H96" i="20"/>
  <c r="H23" i="20"/>
  <c r="H334" i="20"/>
  <c r="H381" i="20"/>
  <c r="H207" i="20"/>
  <c r="H385" i="20"/>
  <c r="H117" i="20"/>
  <c r="H129" i="20"/>
  <c r="H223" i="20"/>
  <c r="H336" i="20"/>
  <c r="H380" i="20"/>
  <c r="H10" i="2"/>
  <c r="H107" i="2"/>
  <c r="H94" i="2"/>
  <c r="H191" i="2"/>
  <c r="H95" i="2"/>
  <c r="H283" i="2"/>
  <c r="H224" i="2"/>
  <c r="H391" i="2"/>
  <c r="H141" i="2"/>
  <c r="H69" i="2"/>
  <c r="J22" i="19"/>
  <c r="F2" i="19"/>
  <c r="E2" i="19"/>
  <c r="G2" i="19" s="1"/>
  <c r="F3" i="19"/>
  <c r="E3" i="19"/>
  <c r="G3" i="19" s="1"/>
  <c r="F4" i="19"/>
  <c r="E4" i="19"/>
  <c r="G4" i="19" s="1"/>
  <c r="H4" i="19" s="1"/>
  <c r="F5" i="19"/>
  <c r="E5" i="19"/>
  <c r="G5" i="19"/>
  <c r="F6" i="19"/>
  <c r="E6" i="19"/>
  <c r="G6" i="19" s="1"/>
  <c r="H6" i="19"/>
  <c r="F7" i="19"/>
  <c r="E7" i="19"/>
  <c r="G7" i="19" s="1"/>
  <c r="H7" i="19" s="1"/>
  <c r="F8" i="19"/>
  <c r="E8" i="19"/>
  <c r="G8" i="19" s="1"/>
  <c r="H8" i="19" s="1"/>
  <c r="F9" i="19"/>
  <c r="E9" i="19"/>
  <c r="G9" i="19" s="1"/>
  <c r="F10" i="19"/>
  <c r="H10" i="19" s="1"/>
  <c r="E10" i="19"/>
  <c r="G10" i="19" s="1"/>
  <c r="F11" i="19"/>
  <c r="E11" i="19"/>
  <c r="G11" i="19" s="1"/>
  <c r="H11" i="19"/>
  <c r="F12" i="19"/>
  <c r="E12" i="19"/>
  <c r="G12" i="19" s="1"/>
  <c r="F13" i="19"/>
  <c r="E13" i="19"/>
  <c r="G13" i="19" s="1"/>
  <c r="F14" i="19"/>
  <c r="E14" i="19"/>
  <c r="G14" i="19" s="1"/>
  <c r="H14" i="19" s="1"/>
  <c r="F15" i="19"/>
  <c r="E15" i="19"/>
  <c r="G15" i="19"/>
  <c r="H15" i="19" s="1"/>
  <c r="F16" i="19"/>
  <c r="E16" i="19"/>
  <c r="G16" i="19" s="1"/>
  <c r="H16" i="19" s="1"/>
  <c r="F17" i="19"/>
  <c r="E17" i="19"/>
  <c r="G17" i="19"/>
  <c r="H17" i="19" s="1"/>
  <c r="F18" i="19"/>
  <c r="E18" i="19"/>
  <c r="G18" i="19" s="1"/>
  <c r="F19" i="19"/>
  <c r="E19" i="19"/>
  <c r="G19" i="19" s="1"/>
  <c r="F20" i="19"/>
  <c r="E20" i="19"/>
  <c r="G20" i="19" s="1"/>
  <c r="H20" i="19" s="1"/>
  <c r="F21" i="19"/>
  <c r="E21" i="19"/>
  <c r="G21" i="19" s="1"/>
  <c r="H21" i="19" s="1"/>
  <c r="F23" i="19"/>
  <c r="E23" i="19"/>
  <c r="G23" i="19" s="1"/>
  <c r="H23" i="19" s="1"/>
  <c r="G24" i="19"/>
  <c r="F24" i="19"/>
  <c r="E24" i="19"/>
  <c r="F25" i="19"/>
  <c r="E25" i="19"/>
  <c r="G25" i="19"/>
  <c r="F26" i="19"/>
  <c r="E26" i="19"/>
  <c r="G26" i="19" s="1"/>
  <c r="F27" i="19"/>
  <c r="E27" i="19"/>
  <c r="G27" i="19" s="1"/>
  <c r="H27" i="19"/>
  <c r="F28" i="19"/>
  <c r="E28" i="19"/>
  <c r="G28" i="19" s="1"/>
  <c r="H28" i="19"/>
  <c r="F29" i="19"/>
  <c r="H29" i="19" s="1"/>
  <c r="E29" i="19"/>
  <c r="G29" i="19" s="1"/>
  <c r="F30" i="19"/>
  <c r="E30" i="19"/>
  <c r="G30" i="19"/>
  <c r="H30" i="19" s="1"/>
  <c r="F31" i="19"/>
  <c r="E31" i="19"/>
  <c r="G31" i="19"/>
  <c r="H31" i="19" s="1"/>
  <c r="F22" i="19"/>
  <c r="E22" i="19"/>
  <c r="G31" i="18"/>
  <c r="F31" i="18"/>
  <c r="I31" i="18"/>
  <c r="E31" i="18"/>
  <c r="G30" i="18"/>
  <c r="F30" i="18"/>
  <c r="I30" i="18" s="1"/>
  <c r="E30" i="18"/>
  <c r="G29" i="18"/>
  <c r="F29" i="18"/>
  <c r="I29" i="18" s="1"/>
  <c r="E29" i="18"/>
  <c r="G28" i="18"/>
  <c r="F28" i="18"/>
  <c r="E28" i="18"/>
  <c r="G27" i="18"/>
  <c r="F27" i="18"/>
  <c r="I27" i="18"/>
  <c r="E27" i="18"/>
  <c r="G26" i="18"/>
  <c r="F26" i="18"/>
  <c r="I26" i="18" s="1"/>
  <c r="E26" i="18"/>
  <c r="G25" i="18"/>
  <c r="I25" i="18" s="1"/>
  <c r="F25" i="18"/>
  <c r="E25" i="18"/>
  <c r="G24" i="18"/>
  <c r="F24" i="18"/>
  <c r="E24" i="18"/>
  <c r="G23" i="18"/>
  <c r="I23" i="18" s="1"/>
  <c r="F23" i="18"/>
  <c r="E23" i="18"/>
  <c r="G22" i="18"/>
  <c r="F22" i="18"/>
  <c r="I22" i="18" s="1"/>
  <c r="E22" i="18"/>
  <c r="G21" i="18"/>
  <c r="F21" i="18"/>
  <c r="I21" i="18" s="1"/>
  <c r="E21" i="18"/>
  <c r="G20" i="18"/>
  <c r="F20" i="18"/>
  <c r="E20" i="18"/>
  <c r="G19" i="18"/>
  <c r="F19" i="18"/>
  <c r="E19" i="18"/>
  <c r="G18" i="18"/>
  <c r="F18" i="18"/>
  <c r="I18" i="18" s="1"/>
  <c r="E18" i="18"/>
  <c r="G17" i="18"/>
  <c r="F17" i="18"/>
  <c r="E17" i="18"/>
  <c r="G16" i="18"/>
  <c r="F16" i="18"/>
  <c r="I16" i="18" s="1"/>
  <c r="E16" i="18"/>
  <c r="G15" i="18"/>
  <c r="I15" i="18" s="1"/>
  <c r="F15" i="18"/>
  <c r="E15" i="18"/>
  <c r="G14" i="18"/>
  <c r="I14" i="18" s="1"/>
  <c r="F14" i="18"/>
  <c r="E14" i="18"/>
  <c r="G13" i="18"/>
  <c r="F13" i="18"/>
  <c r="I13" i="18" s="1"/>
  <c r="E13" i="18"/>
  <c r="G12" i="18"/>
  <c r="F12" i="18"/>
  <c r="E12" i="18"/>
  <c r="G11" i="18"/>
  <c r="F11" i="18"/>
  <c r="E11" i="18"/>
  <c r="G10" i="18"/>
  <c r="F10" i="18"/>
  <c r="I10" i="18" s="1"/>
  <c r="E10" i="18"/>
  <c r="G9" i="18"/>
  <c r="F9" i="18"/>
  <c r="I9" i="18" s="1"/>
  <c r="E9" i="18"/>
  <c r="G8" i="18"/>
  <c r="F8" i="18"/>
  <c r="E8" i="18"/>
  <c r="G7" i="18"/>
  <c r="F7" i="18"/>
  <c r="I7" i="18" s="1"/>
  <c r="E7" i="18"/>
  <c r="G6" i="18"/>
  <c r="I6" i="18" s="1"/>
  <c r="F6" i="18"/>
  <c r="E6" i="18"/>
  <c r="G5" i="18"/>
  <c r="F5" i="18"/>
  <c r="E5" i="18"/>
  <c r="G4" i="18"/>
  <c r="F4" i="18"/>
  <c r="E4" i="18"/>
  <c r="K3" i="18"/>
  <c r="G3" i="18"/>
  <c r="F3" i="18"/>
  <c r="E3" i="18"/>
  <c r="G2" i="18"/>
  <c r="F2" i="18"/>
  <c r="E2" i="18"/>
  <c r="G31" i="17"/>
  <c r="F31" i="17"/>
  <c r="E31" i="17"/>
  <c r="G30" i="17"/>
  <c r="F30" i="17"/>
  <c r="I30" i="17" s="1"/>
  <c r="E30" i="17"/>
  <c r="G29" i="17"/>
  <c r="F29" i="17"/>
  <c r="I29" i="17" s="1"/>
  <c r="E29" i="17"/>
  <c r="G28" i="17"/>
  <c r="I28" i="17" s="1"/>
  <c r="F28" i="17"/>
  <c r="E28" i="17"/>
  <c r="G27" i="17"/>
  <c r="F27" i="17"/>
  <c r="E27" i="17"/>
  <c r="G26" i="17"/>
  <c r="F26" i="17"/>
  <c r="I26" i="17" s="1"/>
  <c r="E26" i="17"/>
  <c r="G25" i="17"/>
  <c r="F25" i="17"/>
  <c r="I25" i="17" s="1"/>
  <c r="E25" i="17"/>
  <c r="G24" i="17"/>
  <c r="F24" i="17"/>
  <c r="I24" i="17" s="1"/>
  <c r="E24" i="17"/>
  <c r="G23" i="17"/>
  <c r="F23" i="17"/>
  <c r="E23" i="17"/>
  <c r="G22" i="17"/>
  <c r="F22" i="17"/>
  <c r="I22" i="17" s="1"/>
  <c r="E22" i="17"/>
  <c r="G21" i="17"/>
  <c r="F21" i="17"/>
  <c r="E21" i="17"/>
  <c r="G20" i="17"/>
  <c r="F20" i="17"/>
  <c r="I20" i="17" s="1"/>
  <c r="E20" i="17"/>
  <c r="G19" i="17"/>
  <c r="I19" i="17" s="1"/>
  <c r="F19" i="17"/>
  <c r="E19" i="17"/>
  <c r="G18" i="17"/>
  <c r="F18" i="17"/>
  <c r="E18" i="17"/>
  <c r="G17" i="17"/>
  <c r="F17" i="17"/>
  <c r="I17" i="17" s="1"/>
  <c r="E17" i="17"/>
  <c r="G16" i="17"/>
  <c r="I16" i="17" s="1"/>
  <c r="F16" i="17"/>
  <c r="E16" i="17"/>
  <c r="G15" i="17"/>
  <c r="F15" i="17"/>
  <c r="E15" i="17"/>
  <c r="G14" i="17"/>
  <c r="F14" i="17"/>
  <c r="E14" i="17"/>
  <c r="G13" i="17"/>
  <c r="F13" i="17"/>
  <c r="E13" i="17"/>
  <c r="G12" i="17"/>
  <c r="F12" i="17"/>
  <c r="I12" i="17" s="1"/>
  <c r="E12" i="17"/>
  <c r="G11" i="17"/>
  <c r="F11" i="17"/>
  <c r="I11" i="17" s="1"/>
  <c r="E11" i="17"/>
  <c r="G10" i="17"/>
  <c r="F10" i="17"/>
  <c r="E10" i="17"/>
  <c r="G9" i="17"/>
  <c r="F9" i="17"/>
  <c r="E9" i="17"/>
  <c r="G8" i="17"/>
  <c r="I8" i="17" s="1"/>
  <c r="F8" i="17"/>
  <c r="E8" i="17"/>
  <c r="G7" i="17"/>
  <c r="F7" i="17"/>
  <c r="I7" i="17" s="1"/>
  <c r="E7" i="17"/>
  <c r="G6" i="17"/>
  <c r="I6" i="17" s="1"/>
  <c r="F6" i="17"/>
  <c r="E6" i="17"/>
  <c r="G5" i="17"/>
  <c r="F5" i="17"/>
  <c r="E5" i="17"/>
  <c r="G4" i="17"/>
  <c r="I4" i="17" s="1"/>
  <c r="F4" i="17"/>
  <c r="E4" i="17"/>
  <c r="L3" i="17"/>
  <c r="G3" i="17"/>
  <c r="I3" i="17" s="1"/>
  <c r="F3" i="17"/>
  <c r="E3" i="17"/>
  <c r="G2" i="17"/>
  <c r="I2" i="17"/>
  <c r="F2" i="17"/>
  <c r="E2" i="17"/>
  <c r="L3" i="16"/>
  <c r="G31" i="16"/>
  <c r="F31" i="16"/>
  <c r="E31" i="16"/>
  <c r="G30" i="16"/>
  <c r="F30" i="16"/>
  <c r="I30" i="16" s="1"/>
  <c r="E30" i="16"/>
  <c r="G29" i="16"/>
  <c r="F29" i="16"/>
  <c r="E29" i="16"/>
  <c r="G28" i="16"/>
  <c r="F28" i="16"/>
  <c r="I28" i="16" s="1"/>
  <c r="E28" i="16"/>
  <c r="G27" i="16"/>
  <c r="I27" i="16" s="1"/>
  <c r="F27" i="16"/>
  <c r="E27" i="16"/>
  <c r="G26" i="16"/>
  <c r="F26" i="16"/>
  <c r="E26" i="16"/>
  <c r="G25" i="16"/>
  <c r="F25" i="16"/>
  <c r="I25" i="16" s="1"/>
  <c r="E25" i="16"/>
  <c r="G24" i="16"/>
  <c r="F24" i="16"/>
  <c r="E24" i="16"/>
  <c r="G23" i="16"/>
  <c r="F23" i="16"/>
  <c r="I23" i="16"/>
  <c r="E23" i="16"/>
  <c r="G22" i="16"/>
  <c r="F22" i="16"/>
  <c r="E22" i="16"/>
  <c r="G21" i="16"/>
  <c r="I21" i="16" s="1"/>
  <c r="F21" i="16"/>
  <c r="E21" i="16"/>
  <c r="G20" i="16"/>
  <c r="I20" i="16" s="1"/>
  <c r="F20" i="16"/>
  <c r="E20" i="16"/>
  <c r="G19" i="16"/>
  <c r="F19" i="16"/>
  <c r="E19" i="16"/>
  <c r="G18" i="16"/>
  <c r="F18" i="16"/>
  <c r="E18" i="16"/>
  <c r="G17" i="16"/>
  <c r="I17" i="16" s="1"/>
  <c r="F17" i="16"/>
  <c r="E17" i="16"/>
  <c r="G16" i="16"/>
  <c r="I16" i="16"/>
  <c r="F16" i="16"/>
  <c r="E16" i="16"/>
  <c r="G15" i="16"/>
  <c r="I15" i="16" s="1"/>
  <c r="F15" i="16"/>
  <c r="E15" i="16"/>
  <c r="G14" i="16"/>
  <c r="F14" i="16"/>
  <c r="I14" i="16" s="1"/>
  <c r="E14" i="16"/>
  <c r="G13" i="16"/>
  <c r="F13" i="16"/>
  <c r="I13" i="16" s="1"/>
  <c r="E13" i="16"/>
  <c r="G12" i="16"/>
  <c r="F12" i="16"/>
  <c r="I12" i="16" s="1"/>
  <c r="E12" i="16"/>
  <c r="G11" i="16"/>
  <c r="F11" i="16"/>
  <c r="E11" i="16"/>
  <c r="G10" i="16"/>
  <c r="F10" i="16"/>
  <c r="I10" i="16" s="1"/>
  <c r="E10" i="16"/>
  <c r="G9" i="16"/>
  <c r="F9" i="16"/>
  <c r="E9" i="16"/>
  <c r="G8" i="16"/>
  <c r="F8" i="16"/>
  <c r="E8" i="16"/>
  <c r="G7" i="16"/>
  <c r="F7" i="16"/>
  <c r="E7" i="16"/>
  <c r="G6" i="16"/>
  <c r="F6" i="16"/>
  <c r="E6" i="16"/>
  <c r="G5" i="16"/>
  <c r="F5" i="16"/>
  <c r="E5" i="16"/>
  <c r="G4" i="16"/>
  <c r="F4" i="16"/>
  <c r="E4" i="16"/>
  <c r="G3" i="16"/>
  <c r="F3" i="16"/>
  <c r="E3" i="16"/>
  <c r="G2" i="16"/>
  <c r="F2" i="16"/>
  <c r="I2" i="16" s="1"/>
  <c r="E2" i="16"/>
  <c r="H19" i="19"/>
  <c r="K22" i="19"/>
  <c r="I23" i="19"/>
  <c r="G31" i="15"/>
  <c r="F31" i="15"/>
  <c r="E31" i="15"/>
  <c r="G30" i="15"/>
  <c r="F30" i="15"/>
  <c r="E30" i="15"/>
  <c r="G29" i="15"/>
  <c r="F29" i="15"/>
  <c r="E29" i="15"/>
  <c r="G28" i="15"/>
  <c r="F28" i="15"/>
  <c r="E28" i="15"/>
  <c r="G27" i="15"/>
  <c r="F27" i="15"/>
  <c r="I27" i="15" s="1"/>
  <c r="E27" i="15"/>
  <c r="G26" i="15"/>
  <c r="F26" i="15"/>
  <c r="E26" i="15"/>
  <c r="G25" i="15"/>
  <c r="I25" i="15" s="1"/>
  <c r="F25" i="15"/>
  <c r="E25" i="15"/>
  <c r="G24" i="15"/>
  <c r="F24" i="15"/>
  <c r="E24" i="15"/>
  <c r="G23" i="15"/>
  <c r="F23" i="15"/>
  <c r="I23" i="15" s="1"/>
  <c r="E23" i="15"/>
  <c r="G22" i="15"/>
  <c r="F22" i="15"/>
  <c r="I22" i="15" s="1"/>
  <c r="E22" i="15"/>
  <c r="G21" i="15"/>
  <c r="I21" i="15" s="1"/>
  <c r="F21" i="15"/>
  <c r="E21" i="15"/>
  <c r="G20" i="15"/>
  <c r="F20" i="15"/>
  <c r="E20" i="15"/>
  <c r="I19" i="15"/>
  <c r="G19" i="15"/>
  <c r="F19" i="15"/>
  <c r="E19" i="15"/>
  <c r="G18" i="15"/>
  <c r="F18" i="15"/>
  <c r="E18" i="15"/>
  <c r="G17" i="15"/>
  <c r="I17" i="15" s="1"/>
  <c r="F17" i="15"/>
  <c r="E17" i="15"/>
  <c r="G16" i="15"/>
  <c r="F16" i="15"/>
  <c r="I16" i="15" s="1"/>
  <c r="E16" i="15"/>
  <c r="G15" i="15"/>
  <c r="F15" i="15"/>
  <c r="E15" i="15"/>
  <c r="G14" i="15"/>
  <c r="F14" i="15"/>
  <c r="E14" i="15"/>
  <c r="G13" i="15"/>
  <c r="F13" i="15"/>
  <c r="I13" i="15" s="1"/>
  <c r="E13" i="15"/>
  <c r="G12" i="15"/>
  <c r="F12" i="15"/>
  <c r="E12" i="15"/>
  <c r="I11" i="15"/>
  <c r="G11" i="15"/>
  <c r="F11" i="15"/>
  <c r="E11" i="15"/>
  <c r="G10" i="15"/>
  <c r="F10" i="15"/>
  <c r="E10" i="15"/>
  <c r="G9" i="15"/>
  <c r="I9" i="15" s="1"/>
  <c r="F9" i="15"/>
  <c r="E9" i="15"/>
  <c r="G8" i="15"/>
  <c r="F8" i="15"/>
  <c r="E8" i="15"/>
  <c r="I7" i="15"/>
  <c r="G7" i="15"/>
  <c r="F7" i="15"/>
  <c r="E7" i="15"/>
  <c r="G6" i="15"/>
  <c r="F6" i="15"/>
  <c r="I6" i="15" s="1"/>
  <c r="E6" i="15"/>
  <c r="G5" i="15"/>
  <c r="I5" i="15" s="1"/>
  <c r="F5" i="15"/>
  <c r="E5" i="15"/>
  <c r="G4" i="15"/>
  <c r="F4" i="15"/>
  <c r="I4" i="15" s="1"/>
  <c r="E4" i="15"/>
  <c r="L3" i="15"/>
  <c r="G3" i="15"/>
  <c r="F3" i="15"/>
  <c r="I3" i="15" s="1"/>
  <c r="E3" i="15"/>
  <c r="F2" i="15"/>
  <c r="R3" i="21" l="1"/>
  <c r="R11" i="21"/>
  <c r="R4" i="21"/>
  <c r="R2" i="21"/>
  <c r="R5" i="21"/>
  <c r="R6" i="21"/>
  <c r="R7" i="21"/>
  <c r="R8" i="21"/>
  <c r="R9" i="21"/>
  <c r="R10" i="21"/>
  <c r="I3" i="16"/>
  <c r="I11" i="16"/>
  <c r="I14" i="17"/>
  <c r="I31" i="17"/>
  <c r="H347" i="2"/>
  <c r="H299" i="2"/>
  <c r="H243" i="2"/>
  <c r="H235" i="2"/>
  <c r="H171" i="2"/>
  <c r="H75" i="2"/>
  <c r="H53" i="2"/>
  <c r="H18" i="19"/>
  <c r="H340" i="2"/>
  <c r="H162" i="2"/>
  <c r="H45" i="2"/>
  <c r="K3" i="2"/>
  <c r="H154" i="2"/>
  <c r="J2" i="19"/>
  <c r="I3" i="19"/>
  <c r="H267" i="2"/>
  <c r="H155" i="2"/>
  <c r="H123" i="2"/>
  <c r="H274" i="2"/>
  <c r="H250" i="2"/>
  <c r="H234" i="2"/>
  <c r="I8" i="16"/>
  <c r="I3" i="18"/>
  <c r="I8" i="18"/>
  <c r="I28" i="18"/>
  <c r="H396" i="2"/>
  <c r="H362" i="2"/>
  <c r="H356" i="2"/>
  <c r="H308" i="2"/>
  <c r="H212" i="2"/>
  <c r="H114" i="2"/>
  <c r="H37" i="2"/>
  <c r="H122" i="2"/>
  <c r="H67" i="2"/>
  <c r="H395" i="2"/>
  <c r="H355" i="2"/>
  <c r="H307" i="2"/>
  <c r="H211" i="2"/>
  <c r="H99" i="2"/>
  <c r="H91" i="2"/>
  <c r="H43" i="2"/>
  <c r="H354" i="2"/>
  <c r="H306" i="2"/>
  <c r="H300" i="2"/>
  <c r="H236" i="2"/>
  <c r="H210" i="2"/>
  <c r="H172" i="2"/>
  <c r="H106" i="2"/>
  <c r="K4" i="2"/>
  <c r="I17" i="18"/>
  <c r="I20" i="18"/>
  <c r="H24" i="19"/>
  <c r="H2" i="19"/>
  <c r="H409" i="2"/>
  <c r="H379" i="2"/>
  <c r="H348" i="2"/>
  <c r="H322" i="2"/>
  <c r="H315" i="2"/>
  <c r="H244" i="2"/>
  <c r="H119" i="2"/>
  <c r="H113" i="2"/>
  <c r="H51" i="2"/>
  <c r="H20" i="2"/>
  <c r="H358" i="2"/>
  <c r="H262" i="2"/>
  <c r="I5" i="2"/>
  <c r="H380" i="2"/>
  <c r="H196" i="2"/>
  <c r="H27" i="2"/>
  <c r="H215" i="2"/>
  <c r="H24" i="2"/>
  <c r="H282" i="2"/>
  <c r="H32" i="2"/>
  <c r="I5" i="16"/>
  <c r="I24" i="16"/>
  <c r="I29" i="16"/>
  <c r="I13" i="17"/>
  <c r="H22" i="19"/>
  <c r="H417" i="2"/>
  <c r="H385" i="2"/>
  <c r="H372" i="2"/>
  <c r="H327" i="2"/>
  <c r="H321" i="2"/>
  <c r="H289" i="2"/>
  <c r="H251" i="2"/>
  <c r="H137" i="2"/>
  <c r="H131" i="2"/>
  <c r="H19" i="2"/>
  <c r="H405" i="2"/>
  <c r="H309" i="2"/>
  <c r="H133" i="2"/>
  <c r="H30" i="2"/>
  <c r="H35" i="20"/>
  <c r="H2" i="20"/>
  <c r="H164" i="2"/>
  <c r="H35" i="2"/>
  <c r="H185" i="2"/>
  <c r="H64" i="2"/>
  <c r="I8" i="15"/>
  <c r="I20" i="15"/>
  <c r="I30" i="15"/>
  <c r="I4" i="16"/>
  <c r="I9" i="16"/>
  <c r="I26" i="16"/>
  <c r="I4" i="18"/>
  <c r="I19" i="18"/>
  <c r="I24" i="18"/>
  <c r="H393" i="2"/>
  <c r="H343" i="2"/>
  <c r="H335" i="2"/>
  <c r="H298" i="2"/>
  <c r="H220" i="2"/>
  <c r="H187" i="2"/>
  <c r="H175" i="2"/>
  <c r="H83" i="2"/>
  <c r="H59" i="2"/>
  <c r="H312" i="2"/>
  <c r="H280" i="2"/>
  <c r="H417" i="20"/>
  <c r="H352" i="20"/>
  <c r="H48" i="20"/>
  <c r="H112" i="20"/>
  <c r="H185" i="20"/>
  <c r="K81" i="20"/>
  <c r="H401" i="20"/>
  <c r="H118" i="20"/>
  <c r="H189" i="20"/>
  <c r="H3" i="20"/>
  <c r="H382" i="20"/>
  <c r="H366" i="20"/>
  <c r="H364" i="20"/>
  <c r="H247" i="20"/>
  <c r="H204" i="20"/>
  <c r="H164" i="20"/>
  <c r="H415" i="20"/>
  <c r="H335" i="20"/>
  <c r="H18" i="20"/>
  <c r="H146" i="20"/>
  <c r="H43" i="20"/>
  <c r="H393" i="20"/>
  <c r="H231" i="20"/>
  <c r="H356" i="20"/>
  <c r="H400" i="20"/>
  <c r="H86" i="20"/>
  <c r="H100" i="20"/>
  <c r="H108" i="20"/>
  <c r="H75" i="20"/>
  <c r="K398" i="20"/>
  <c r="H58" i="20"/>
  <c r="H47" i="20"/>
  <c r="H280" i="20"/>
  <c r="H392" i="20"/>
  <c r="H198" i="20"/>
  <c r="H184" i="20"/>
  <c r="H232" i="20"/>
  <c r="H167" i="20"/>
  <c r="H41" i="20"/>
  <c r="H172" i="20"/>
  <c r="H53" i="20"/>
  <c r="K216" i="20"/>
  <c r="H279" i="20"/>
  <c r="H250" i="20"/>
  <c r="H8" i="20"/>
  <c r="H170" i="20"/>
  <c r="H115" i="20"/>
  <c r="H237" i="20"/>
  <c r="AO375" i="20"/>
  <c r="H416" i="20"/>
  <c r="K387" i="20"/>
  <c r="H134" i="20"/>
  <c r="H406" i="20"/>
  <c r="H339" i="20"/>
  <c r="H34" i="20"/>
  <c r="K62" i="20"/>
  <c r="H54" i="20"/>
  <c r="H221" i="20"/>
  <c r="H304" i="20"/>
  <c r="H181" i="20"/>
  <c r="H79" i="20"/>
  <c r="H239" i="20"/>
  <c r="H141" i="20"/>
  <c r="CD2" i="20"/>
  <c r="CF417" i="20"/>
  <c r="BJ415" i="20"/>
  <c r="DH412" i="20"/>
  <c r="BT409" i="20"/>
  <c r="CB406" i="20"/>
  <c r="CR404" i="20"/>
  <c r="CX403" i="20"/>
  <c r="BC395" i="20"/>
  <c r="AL380" i="20"/>
  <c r="H414" i="20"/>
  <c r="H360" i="20"/>
  <c r="H99" i="20"/>
  <c r="H155" i="20"/>
  <c r="H49" i="20"/>
  <c r="H389" i="20"/>
  <c r="H300" i="20"/>
  <c r="H70" i="20"/>
  <c r="H37" i="20"/>
  <c r="H153" i="20"/>
  <c r="H137" i="20"/>
  <c r="H309" i="20"/>
  <c r="H273" i="20"/>
  <c r="H74" i="20"/>
  <c r="H288" i="20"/>
  <c r="H274" i="20"/>
  <c r="H77" i="20"/>
  <c r="H240" i="20"/>
  <c r="H369" i="20"/>
  <c r="H359" i="20"/>
  <c r="H375" i="20"/>
  <c r="H333" i="20"/>
  <c r="H213" i="20"/>
  <c r="H341" i="20"/>
  <c r="K293" i="20"/>
  <c r="H301" i="20"/>
  <c r="H216" i="20"/>
  <c r="H268" i="20"/>
  <c r="H225" i="20"/>
  <c r="H345" i="20"/>
  <c r="BQ2" i="20"/>
  <c r="BS417" i="20"/>
  <c r="AT415" i="20"/>
  <c r="CD412" i="20"/>
  <c r="BR409" i="20"/>
  <c r="BV406" i="20"/>
  <c r="BX404" i="20"/>
  <c r="BH403" i="20"/>
  <c r="X395" i="20"/>
  <c r="DI375" i="20"/>
  <c r="H15" i="20"/>
  <c r="BF2" i="20"/>
  <c r="BC417" i="20"/>
  <c r="W415" i="20"/>
  <c r="BF412" i="20"/>
  <c r="AZ409" i="20"/>
  <c r="AX406" i="20"/>
  <c r="BV404" i="20"/>
  <c r="AZ403" i="20"/>
  <c r="V395" i="20"/>
  <c r="H4" i="20"/>
  <c r="H151" i="20"/>
  <c r="H326" i="20"/>
  <c r="H312" i="20"/>
  <c r="H238" i="20"/>
  <c r="H168" i="20"/>
  <c r="H130" i="20"/>
  <c r="H299" i="20"/>
  <c r="H154" i="20"/>
  <c r="H310" i="20"/>
  <c r="H278" i="20"/>
  <c r="H101" i="20"/>
  <c r="H145" i="20"/>
  <c r="H200" i="20"/>
  <c r="H350" i="20"/>
  <c r="H340" i="20"/>
  <c r="H93" i="20"/>
  <c r="H298" i="20"/>
  <c r="H253" i="20"/>
  <c r="H284" i="20"/>
  <c r="H344" i="20"/>
  <c r="H362" i="20"/>
  <c r="H332" i="20"/>
  <c r="H315" i="20"/>
  <c r="H348" i="20"/>
  <c r="H80" i="20"/>
  <c r="K384" i="20"/>
  <c r="K222" i="20"/>
  <c r="K187" i="20"/>
  <c r="K228" i="20"/>
  <c r="H258" i="20"/>
  <c r="H192" i="20"/>
  <c r="H233" i="20"/>
  <c r="AS2" i="20"/>
  <c r="AN417" i="20"/>
  <c r="T415" i="20"/>
  <c r="AB412" i="20"/>
  <c r="AV409" i="20"/>
  <c r="AV406" i="20"/>
  <c r="BD404" i="20"/>
  <c r="CX401" i="20"/>
  <c r="AT391" i="20"/>
  <c r="Z375" i="20"/>
  <c r="AG2" i="20"/>
  <c r="V417" i="20"/>
  <c r="CB414" i="20"/>
  <c r="DL409" i="20"/>
  <c r="AD409" i="20"/>
  <c r="T406" i="20"/>
  <c r="AZ404" i="20"/>
  <c r="CB401" i="20"/>
  <c r="CX389" i="20"/>
  <c r="DH369" i="20"/>
  <c r="H81" i="20"/>
  <c r="K181" i="20"/>
  <c r="H50" i="20"/>
  <c r="K42" i="20"/>
  <c r="H323" i="20"/>
  <c r="H30" i="20"/>
  <c r="H121" i="20"/>
  <c r="H230" i="20"/>
  <c r="H156" i="20"/>
  <c r="H251" i="20"/>
  <c r="H242" i="20"/>
  <c r="H180" i="20"/>
  <c r="H265" i="20"/>
  <c r="H320" i="20"/>
  <c r="H190" i="20"/>
  <c r="H106" i="20"/>
  <c r="H89" i="20"/>
  <c r="H17" i="20"/>
  <c r="H317" i="20"/>
  <c r="H136" i="20"/>
  <c r="H241" i="20"/>
  <c r="H135" i="20"/>
  <c r="H218" i="20"/>
  <c r="H22" i="20"/>
  <c r="H285" i="20"/>
  <c r="H354" i="20"/>
  <c r="H27" i="20"/>
  <c r="H20" i="20"/>
  <c r="H133" i="20"/>
  <c r="H367" i="20"/>
  <c r="H211" i="20"/>
  <c r="H363" i="20"/>
  <c r="H235" i="20"/>
  <c r="K355" i="20"/>
  <c r="H248" i="20"/>
  <c r="H347" i="20"/>
  <c r="H262" i="20"/>
  <c r="H220" i="20"/>
  <c r="Q2" i="20"/>
  <c r="T2" i="20"/>
  <c r="DL415" i="20"/>
  <c r="BR414" i="20"/>
  <c r="DH409" i="20"/>
  <c r="AB409" i="20"/>
  <c r="R406" i="20"/>
  <c r="AH404" i="20"/>
  <c r="CN395" i="20"/>
  <c r="CT389" i="20"/>
  <c r="CM369" i="20"/>
  <c r="H128" i="20"/>
  <c r="H60" i="20"/>
  <c r="H305" i="20"/>
  <c r="H244" i="20"/>
  <c r="K204" i="20"/>
  <c r="K35" i="20"/>
  <c r="H148" i="20"/>
  <c r="K44" i="20"/>
  <c r="H201" i="20"/>
  <c r="H97" i="20"/>
  <c r="H260" i="20"/>
  <c r="H353" i="20"/>
  <c r="H386" i="20"/>
  <c r="H95" i="20"/>
  <c r="H270" i="20"/>
  <c r="H194" i="20"/>
  <c r="DB2" i="20"/>
  <c r="DD417" i="20"/>
  <c r="CJ415" i="20"/>
  <c r="AL414" i="20"/>
  <c r="CP409" i="20"/>
  <c r="DB406" i="20"/>
  <c r="DL404" i="20"/>
  <c r="AF404" i="20"/>
  <c r="CJ395" i="20"/>
  <c r="BE389" i="20"/>
  <c r="H31" i="20"/>
  <c r="K140" i="20"/>
  <c r="H210" i="20"/>
  <c r="H276" i="20"/>
  <c r="K103" i="20"/>
  <c r="H29" i="20"/>
  <c r="K19" i="20"/>
  <c r="H283" i="20"/>
  <c r="H307" i="20"/>
  <c r="H25" i="20"/>
  <c r="H166" i="20"/>
  <c r="H161" i="20"/>
  <c r="H91" i="20"/>
  <c r="H176" i="20"/>
  <c r="K243" i="20"/>
  <c r="H226" i="20"/>
  <c r="H374" i="20"/>
  <c r="CO2" i="20"/>
  <c r="CQ417" i="20"/>
  <c r="CH415" i="20"/>
  <c r="R414" i="20"/>
  <c r="CN409" i="20"/>
  <c r="CZ406" i="20"/>
  <c r="CT404" i="20"/>
  <c r="DF403" i="20"/>
  <c r="BF395" i="20"/>
  <c r="BC389" i="20"/>
  <c r="H42" i="20"/>
  <c r="Q410" i="20"/>
  <c r="V410" i="20"/>
  <c r="AN410" i="20"/>
  <c r="BD410" i="20"/>
  <c r="BV410" i="20"/>
  <c r="CL410" i="20"/>
  <c r="DC410" i="20"/>
  <c r="X410" i="20"/>
  <c r="AP410" i="20"/>
  <c r="BF410" i="20"/>
  <c r="BW410" i="20"/>
  <c r="CN410" i="20"/>
  <c r="DD410" i="20"/>
  <c r="Z410" i="20"/>
  <c r="AQ410" i="20"/>
  <c r="BH410" i="20"/>
  <c r="BX410" i="20"/>
  <c r="CR410" i="20"/>
  <c r="DH410" i="20"/>
  <c r="R410" i="20"/>
  <c r="AH410" i="20"/>
  <c r="AZ410" i="20"/>
  <c r="BP410" i="20"/>
  <c r="CH410" i="20"/>
  <c r="CZ410" i="20"/>
  <c r="U364" i="20"/>
  <c r="AA364" i="20"/>
  <c r="AN364" i="20"/>
  <c r="AZ364" i="20"/>
  <c r="BK364" i="20"/>
  <c r="BY364" i="20"/>
  <c r="CJ364" i="20"/>
  <c r="CV364" i="20"/>
  <c r="DJ364" i="20"/>
  <c r="AC364" i="20"/>
  <c r="AP364" i="20"/>
  <c r="BA364" i="20"/>
  <c r="BN364" i="20"/>
  <c r="BZ364" i="20"/>
  <c r="CL364" i="20"/>
  <c r="CX364" i="20"/>
  <c r="DK364" i="20"/>
  <c r="R364" i="20"/>
  <c r="AE364" i="20"/>
  <c r="AQ364" i="20"/>
  <c r="BB364" i="20"/>
  <c r="BP364" i="20"/>
  <c r="CA364" i="20"/>
  <c r="CM364" i="20"/>
  <c r="CZ364" i="20"/>
  <c r="DL364" i="20"/>
  <c r="T364" i="20"/>
  <c r="AF364" i="20"/>
  <c r="AR364" i="20"/>
  <c r="BD364" i="20"/>
  <c r="BQ364" i="20"/>
  <c r="CB364" i="20"/>
  <c r="CO364" i="20"/>
  <c r="DB364" i="20"/>
  <c r="Z364" i="20"/>
  <c r="AY364" i="20"/>
  <c r="BW364" i="20"/>
  <c r="CU364" i="20"/>
  <c r="AH364" i="20"/>
  <c r="BG364" i="20"/>
  <c r="CD364" i="20"/>
  <c r="DC364" i="20"/>
  <c r="AI364" i="20"/>
  <c r="BH364" i="20"/>
  <c r="CF364" i="20"/>
  <c r="DD364" i="20"/>
  <c r="V364" i="20"/>
  <c r="AS364" i="20"/>
  <c r="BR364" i="20"/>
  <c r="CQ364" i="20"/>
  <c r="AX364" i="20"/>
  <c r="CT364" i="20"/>
  <c r="BI364" i="20"/>
  <c r="DE364" i="20"/>
  <c r="BJ364" i="20"/>
  <c r="DG364" i="20"/>
  <c r="AL364" i="20"/>
  <c r="CI364" i="20"/>
  <c r="CR364" i="20"/>
  <c r="W364" i="20"/>
  <c r="X364" i="20"/>
  <c r="BT364" i="20"/>
  <c r="AT304" i="20"/>
  <c r="BU304" i="20"/>
  <c r="DF304" i="20"/>
  <c r="AN304" i="20"/>
  <c r="DD223" i="20"/>
  <c r="U223" i="20"/>
  <c r="AC340" i="20"/>
  <c r="AP340" i="20"/>
  <c r="BF340" i="20"/>
  <c r="BS340" i="20"/>
  <c r="CG340" i="20"/>
  <c r="CW340" i="20"/>
  <c r="DJ340" i="20"/>
  <c r="AD340" i="20"/>
  <c r="AS340" i="20"/>
  <c r="BH340" i="20"/>
  <c r="BT340" i="20"/>
  <c r="CI340" i="20"/>
  <c r="CX340" i="20"/>
  <c r="DL340" i="20"/>
  <c r="R340" i="20"/>
  <c r="AE340" i="20"/>
  <c r="AU340" i="20"/>
  <c r="BI340" i="20"/>
  <c r="BV340" i="20"/>
  <c r="CL340" i="20"/>
  <c r="CY340" i="20"/>
  <c r="U340" i="20"/>
  <c r="AK340" i="20"/>
  <c r="AX340" i="20"/>
  <c r="BK340" i="20"/>
  <c r="CA340" i="20"/>
  <c r="CO340" i="20"/>
  <c r="AB340" i="20"/>
  <c r="BC340" i="20"/>
  <c r="CF340" i="20"/>
  <c r="DG340" i="20"/>
  <c r="AH340" i="20"/>
  <c r="BJ340" i="20"/>
  <c r="CN340" i="20"/>
  <c r="DH340" i="20"/>
  <c r="AL340" i="20"/>
  <c r="BN340" i="20"/>
  <c r="CP340" i="20"/>
  <c r="AM340" i="20"/>
  <c r="BQ340" i="20"/>
  <c r="CQ340" i="20"/>
  <c r="Z340" i="20"/>
  <c r="CD340" i="20"/>
  <c r="AN340" i="20"/>
  <c r="CT340" i="20"/>
  <c r="AV340" i="20"/>
  <c r="CZ340" i="20"/>
  <c r="BR340" i="20"/>
  <c r="W340" i="20"/>
  <c r="AZ340" i="20"/>
  <c r="BA340" i="20"/>
  <c r="DE340" i="20"/>
  <c r="T340" i="20"/>
  <c r="BY340" i="20"/>
  <c r="CB340" i="20"/>
  <c r="V229" i="20"/>
  <c r="DC229" i="20"/>
  <c r="BB229" i="20"/>
  <c r="BC229" i="20"/>
  <c r="CS229" i="20"/>
  <c r="CY229" i="20"/>
  <c r="AT229" i="20"/>
  <c r="CK229" i="20"/>
  <c r="BL229" i="20"/>
  <c r="T229" i="20"/>
  <c r="AP253" i="20"/>
  <c r="DJ253" i="20"/>
  <c r="BI253" i="20"/>
  <c r="BU253" i="20"/>
  <c r="BP253" i="20"/>
  <c r="AO253" i="20"/>
  <c r="AH344" i="20"/>
  <c r="AP344" i="20"/>
  <c r="BX344" i="20"/>
  <c r="DE344" i="20"/>
  <c r="AU344" i="20"/>
  <c r="U344" i="20"/>
  <c r="BB344" i="20"/>
  <c r="AK344" i="20"/>
  <c r="CJ344" i="20"/>
  <c r="BC344" i="20"/>
  <c r="CL344" i="20"/>
  <c r="BD344" i="20"/>
  <c r="CV344" i="20"/>
  <c r="BN344" i="20"/>
  <c r="DB344" i="20"/>
  <c r="AJ344" i="20"/>
  <c r="BQ344" i="20"/>
  <c r="BV344" i="20"/>
  <c r="V344" i="20"/>
  <c r="DD344" i="20"/>
  <c r="CI344" i="20"/>
  <c r="W344" i="20"/>
  <c r="AF344" i="20"/>
  <c r="AD332" i="20"/>
  <c r="AU332" i="20"/>
  <c r="CB332" i="20"/>
  <c r="DJ332" i="20"/>
  <c r="AE332" i="20"/>
  <c r="BR332" i="20"/>
  <c r="CZ332" i="20"/>
  <c r="AK332" i="20"/>
  <c r="BS332" i="20"/>
  <c r="AL332" i="20"/>
  <c r="CF332" i="20"/>
  <c r="AZ332" i="20"/>
  <c r="CL332" i="20"/>
  <c r="BQ332" i="20"/>
  <c r="CG332" i="20"/>
  <c r="R332" i="20"/>
  <c r="CQ332" i="20"/>
  <c r="T332" i="20"/>
  <c r="CX332" i="20"/>
  <c r="BJ332" i="20"/>
  <c r="CY332" i="20"/>
  <c r="AC332" i="20"/>
  <c r="BA332" i="20"/>
  <c r="R377" i="20"/>
  <c r="AO377" i="20"/>
  <c r="BN377" i="20"/>
  <c r="CK377" i="20"/>
  <c r="DJ377" i="20"/>
  <c r="AD377" i="20"/>
  <c r="BE377" i="20"/>
  <c r="CD377" i="20"/>
  <c r="DC377" i="20"/>
  <c r="AF377" i="20"/>
  <c r="BF377" i="20"/>
  <c r="CF377" i="20"/>
  <c r="DL377" i="20"/>
  <c r="AG377" i="20"/>
  <c r="BG377" i="20"/>
  <c r="CP377" i="20"/>
  <c r="T377" i="20"/>
  <c r="BP377" i="20"/>
  <c r="DA377" i="20"/>
  <c r="V377" i="20"/>
  <c r="BR377" i="20"/>
  <c r="DB377" i="20"/>
  <c r="W377" i="20"/>
  <c r="BS377" i="20"/>
  <c r="AV377" i="20"/>
  <c r="CR377" i="20"/>
  <c r="AZ377" i="20"/>
  <c r="BZ377" i="20"/>
  <c r="CB377" i="20"/>
  <c r="AQ377" i="20"/>
  <c r="V315" i="20"/>
  <c r="AJ315" i="20"/>
  <c r="CL315" i="20"/>
  <c r="AX315" i="20"/>
  <c r="CX315" i="20"/>
  <c r="BB315" i="20"/>
  <c r="DD315" i="20"/>
  <c r="S315" i="20"/>
  <c r="BU315" i="20"/>
  <c r="CH315" i="20"/>
  <c r="DK315" i="20"/>
  <c r="AH315" i="20"/>
  <c r="AC315" i="20"/>
  <c r="BF315" i="20"/>
  <c r="BN315" i="20"/>
  <c r="CE315" i="20"/>
  <c r="AF355" i="20"/>
  <c r="AP355" i="20"/>
  <c r="BW355" i="20"/>
  <c r="DD355" i="20"/>
  <c r="AQ355" i="20"/>
  <c r="BX355" i="20"/>
  <c r="DF355" i="20"/>
  <c r="S355" i="20"/>
  <c r="AZ355" i="20"/>
  <c r="CH355" i="20"/>
  <c r="V355" i="20"/>
  <c r="BD355" i="20"/>
  <c r="CK355" i="20"/>
  <c r="AO355" i="20"/>
  <c r="DC355" i="20"/>
  <c r="BE355" i="20"/>
  <c r="BJ355" i="20"/>
  <c r="X355" i="20"/>
  <c r="CP355" i="20"/>
  <c r="DA355" i="20"/>
  <c r="BV355" i="20"/>
  <c r="Y355" i="20"/>
  <c r="AH355" i="20"/>
  <c r="BU228" i="20"/>
  <c r="AC228" i="20"/>
  <c r="AM228" i="20"/>
  <c r="K31" i="20"/>
  <c r="K50" i="20"/>
  <c r="DE2" i="20"/>
  <c r="CS2" i="20"/>
  <c r="CF2" i="20"/>
  <c r="BU2" i="20"/>
  <c r="BH2" i="20"/>
  <c r="AW2" i="20"/>
  <c r="AJ2" i="20"/>
  <c r="DF417" i="20"/>
  <c r="CT417" i="20"/>
  <c r="CH417" i="20"/>
  <c r="BV417" i="20"/>
  <c r="BJ417" i="20"/>
  <c r="AR417" i="20"/>
  <c r="X417" i="20"/>
  <c r="BL416" i="20"/>
  <c r="CV413" i="20"/>
  <c r="BX413" i="20"/>
  <c r="DL412" i="20"/>
  <c r="CN412" i="20"/>
  <c r="BL412" i="20"/>
  <c r="AN412" i="20"/>
  <c r="CY411" i="20"/>
  <c r="R411" i="20"/>
  <c r="CF410" i="20"/>
  <c r="AX410" i="20"/>
  <c r="CR408" i="20"/>
  <c r="AO408" i="20"/>
  <c r="CJ405" i="20"/>
  <c r="BB405" i="20"/>
  <c r="U405" i="20"/>
  <c r="DD402" i="20"/>
  <c r="DL399" i="20"/>
  <c r="BN399" i="20"/>
  <c r="T399" i="20"/>
  <c r="CP397" i="20"/>
  <c r="BR397" i="20"/>
  <c r="AS397" i="20"/>
  <c r="BD396" i="20"/>
  <c r="AR394" i="20"/>
  <c r="CP393" i="20"/>
  <c r="BD393" i="20"/>
  <c r="CE390" i="20"/>
  <c r="AM390" i="20"/>
  <c r="CZ388" i="20"/>
  <c r="BT387" i="20"/>
  <c r="AU386" i="20"/>
  <c r="DL384" i="20"/>
  <c r="AP383" i="20"/>
  <c r="AV381" i="20"/>
  <c r="CT378" i="20"/>
  <c r="AW371" i="20"/>
  <c r="BR365" i="20"/>
  <c r="CJ360" i="20"/>
  <c r="Z413" i="20"/>
  <c r="T413" i="20"/>
  <c r="AJ413" i="20"/>
  <c r="BA413" i="20"/>
  <c r="BR413" i="20"/>
  <c r="CH413" i="20"/>
  <c r="CZ413" i="20"/>
  <c r="U413" i="20"/>
  <c r="AL413" i="20"/>
  <c r="BB413" i="20"/>
  <c r="BT413" i="20"/>
  <c r="CJ413" i="20"/>
  <c r="DB413" i="20"/>
  <c r="V413" i="20"/>
  <c r="AN413" i="20"/>
  <c r="BD413" i="20"/>
  <c r="BV413" i="20"/>
  <c r="CN413" i="20"/>
  <c r="DD413" i="20"/>
  <c r="Q397" i="20"/>
  <c r="X397" i="20"/>
  <c r="AJ397" i="20"/>
  <c r="AT397" i="20"/>
  <c r="BD397" i="20"/>
  <c r="BP397" i="20"/>
  <c r="BZ397" i="20"/>
  <c r="CJ397" i="20"/>
  <c r="CV397" i="20"/>
  <c r="DF397" i="20"/>
  <c r="Z397" i="20"/>
  <c r="AL397" i="20"/>
  <c r="AX397" i="20"/>
  <c r="BJ397" i="20"/>
  <c r="BV397" i="20"/>
  <c r="CH397" i="20"/>
  <c r="CT397" i="20"/>
  <c r="DG397" i="20"/>
  <c r="AB397" i="20"/>
  <c r="AM397" i="20"/>
  <c r="AZ397" i="20"/>
  <c r="BK397" i="20"/>
  <c r="BX397" i="20"/>
  <c r="CI397" i="20"/>
  <c r="CW397" i="20"/>
  <c r="DH397" i="20"/>
  <c r="AC397" i="20"/>
  <c r="AN397" i="20"/>
  <c r="BA397" i="20"/>
  <c r="BL397" i="20"/>
  <c r="BY397" i="20"/>
  <c r="CL397" i="20"/>
  <c r="CX397" i="20"/>
  <c r="DJ397" i="20"/>
  <c r="V397" i="20"/>
  <c r="AH397" i="20"/>
  <c r="AU397" i="20"/>
  <c r="BH397" i="20"/>
  <c r="BS397" i="20"/>
  <c r="CF397" i="20"/>
  <c r="CQ397" i="20"/>
  <c r="DD397" i="20"/>
  <c r="Z402" i="20"/>
  <c r="AH402" i="20"/>
  <c r="BD402" i="20"/>
  <c r="BX402" i="20"/>
  <c r="CT402" i="20"/>
  <c r="V402" i="20"/>
  <c r="AR402" i="20"/>
  <c r="BT402" i="20"/>
  <c r="CR402" i="20"/>
  <c r="X402" i="20"/>
  <c r="AX402" i="20"/>
  <c r="BV402" i="20"/>
  <c r="CS402" i="20"/>
  <c r="AB402" i="20"/>
  <c r="AZ402" i="20"/>
  <c r="BW402" i="20"/>
  <c r="CZ402" i="20"/>
  <c r="R402" i="20"/>
  <c r="AP402" i="20"/>
  <c r="BM402" i="20"/>
  <c r="CJ402" i="20"/>
  <c r="DJ402" i="20"/>
  <c r="AB366" i="20"/>
  <c r="Z366" i="20"/>
  <c r="AY366" i="20"/>
  <c r="BV366" i="20"/>
  <c r="CU366" i="20"/>
  <c r="AF366" i="20"/>
  <c r="BC366" i="20"/>
  <c r="CB366" i="20"/>
  <c r="DB366" i="20"/>
  <c r="AI366" i="20"/>
  <c r="BH366" i="20"/>
  <c r="CE366" i="20"/>
  <c r="DD366" i="20"/>
  <c r="AJ366" i="20"/>
  <c r="BI366" i="20"/>
  <c r="CG366" i="20"/>
  <c r="DE366" i="20"/>
  <c r="X366" i="20"/>
  <c r="BT366" i="20"/>
  <c r="AK366" i="20"/>
  <c r="CI366" i="20"/>
  <c r="AR366" i="20"/>
  <c r="CN366" i="20"/>
  <c r="BJ366" i="20"/>
  <c r="DF366" i="20"/>
  <c r="BS366" i="20"/>
  <c r="CR366" i="20"/>
  <c r="CT366" i="20"/>
  <c r="AV366" i="20"/>
  <c r="S366" i="20"/>
  <c r="W366" i="20"/>
  <c r="R407" i="20"/>
  <c r="AS407" i="20"/>
  <c r="CI407" i="20"/>
  <c r="AT407" i="20"/>
  <c r="CJ407" i="20"/>
  <c r="BC407" i="20"/>
  <c r="CT407" i="20"/>
  <c r="AH407" i="20"/>
  <c r="BY407" i="20"/>
  <c r="T376" i="20"/>
  <c r="AQ376" i="20"/>
  <c r="BP376" i="20"/>
  <c r="CO376" i="20"/>
  <c r="DL376" i="20"/>
  <c r="AU376" i="20"/>
  <c r="BT376" i="20"/>
  <c r="CT376" i="20"/>
  <c r="V376" i="20"/>
  <c r="AV376" i="20"/>
  <c r="BW376" i="20"/>
  <c r="CZ376" i="20"/>
  <c r="W376" i="20"/>
  <c r="AX376" i="20"/>
  <c r="CA376" i="20"/>
  <c r="DC376" i="20"/>
  <c r="AE376" i="20"/>
  <c r="BR376" i="20"/>
  <c r="AH376" i="20"/>
  <c r="CF376" i="20"/>
  <c r="AJ376" i="20"/>
  <c r="CG376" i="20"/>
  <c r="BH376" i="20"/>
  <c r="DE376" i="20"/>
  <c r="BI376" i="20"/>
  <c r="CH376" i="20"/>
  <c r="CQ376" i="20"/>
  <c r="BD376" i="20"/>
  <c r="AP158" i="20"/>
  <c r="BW158" i="20"/>
  <c r="U330" i="20"/>
  <c r="AJ330" i="20"/>
  <c r="AX330" i="20"/>
  <c r="BQ330" i="20"/>
  <c r="CI330" i="20"/>
  <c r="CX330" i="20"/>
  <c r="AC330" i="20"/>
  <c r="AV330" i="20"/>
  <c r="BR330" i="20"/>
  <c r="CL330" i="20"/>
  <c r="DF330" i="20"/>
  <c r="AH330" i="20"/>
  <c r="BC330" i="20"/>
  <c r="BS330" i="20"/>
  <c r="CN330" i="20"/>
  <c r="DG330" i="20"/>
  <c r="AK330" i="20"/>
  <c r="BD330" i="20"/>
  <c r="BY330" i="20"/>
  <c r="CO330" i="20"/>
  <c r="DH330" i="20"/>
  <c r="W330" i="20"/>
  <c r="AM330" i="20"/>
  <c r="BH330" i="20"/>
  <c r="CA330" i="20"/>
  <c r="CV330" i="20"/>
  <c r="AU330" i="20"/>
  <c r="CJ330" i="20"/>
  <c r="R330" i="20"/>
  <c r="BF330" i="20"/>
  <c r="CT330" i="20"/>
  <c r="X330" i="20"/>
  <c r="BI330" i="20"/>
  <c r="CW330" i="20"/>
  <c r="Z330" i="20"/>
  <c r="BN330" i="20"/>
  <c r="CY330" i="20"/>
  <c r="CD330" i="20"/>
  <c r="AB330" i="20"/>
  <c r="DE330" i="20"/>
  <c r="AL330" i="20"/>
  <c r="DJ330" i="20"/>
  <c r="BP330" i="20"/>
  <c r="CB330" i="20"/>
  <c r="AT330" i="20"/>
  <c r="Z353" i="20"/>
  <c r="Y353" i="20"/>
  <c r="AN353" i="20"/>
  <c r="AZ353" i="20"/>
  <c r="BO353" i="20"/>
  <c r="CD353" i="20"/>
  <c r="R353" i="20"/>
  <c r="AG353" i="20"/>
  <c r="AX353" i="20"/>
  <c r="BM353" i="20"/>
  <c r="CE353" i="20"/>
  <c r="CS353" i="20"/>
  <c r="DI353" i="20"/>
  <c r="S353" i="20"/>
  <c r="AI353" i="20"/>
  <c r="AY353" i="20"/>
  <c r="BR353" i="20"/>
  <c r="CF353" i="20"/>
  <c r="CU353" i="20"/>
  <c r="DJ353" i="20"/>
  <c r="T353" i="20"/>
  <c r="AL353" i="20"/>
  <c r="BB353" i="20"/>
  <c r="BT353" i="20"/>
  <c r="CH353" i="20"/>
  <c r="CX353" i="20"/>
  <c r="DK353" i="20"/>
  <c r="V353" i="20"/>
  <c r="AO353" i="20"/>
  <c r="BE353" i="20"/>
  <c r="BU353" i="20"/>
  <c r="CK353" i="20"/>
  <c r="CZ353" i="20"/>
  <c r="DL353" i="20"/>
  <c r="Q353" i="20"/>
  <c r="AW353" i="20"/>
  <c r="CC353" i="20"/>
  <c r="DF353" i="20"/>
  <c r="AA353" i="20"/>
  <c r="BG353" i="20"/>
  <c r="CM353" i="20"/>
  <c r="AB353" i="20"/>
  <c r="BH353" i="20"/>
  <c r="CN353" i="20"/>
  <c r="AP353" i="20"/>
  <c r="BV353" i="20"/>
  <c r="DA353" i="20"/>
  <c r="AT353" i="20"/>
  <c r="DC353" i="20"/>
  <c r="BJ353" i="20"/>
  <c r="BL353" i="20"/>
  <c r="AF353" i="20"/>
  <c r="CR353" i="20"/>
  <c r="DB353" i="20"/>
  <c r="BZ353" i="20"/>
  <c r="AM320" i="20"/>
  <c r="BZ320" i="20"/>
  <c r="CQ320" i="20"/>
  <c r="CR320" i="20"/>
  <c r="AX320" i="20"/>
  <c r="BS320" i="20"/>
  <c r="Z320" i="20"/>
  <c r="AC320" i="20"/>
  <c r="BA320" i="20"/>
  <c r="AL317" i="20"/>
  <c r="DB317" i="20"/>
  <c r="DC317" i="20"/>
  <c r="U317" i="20"/>
  <c r="BA317" i="20"/>
  <c r="Z317" i="20"/>
  <c r="AZ317" i="20"/>
  <c r="BZ317" i="20"/>
  <c r="BW317" i="20"/>
  <c r="AA351" i="20"/>
  <c r="S351" i="20"/>
  <c r="CL351" i="20"/>
  <c r="BE351" i="20"/>
  <c r="BF351" i="20"/>
  <c r="BT351" i="20"/>
  <c r="BU351" i="20"/>
  <c r="Y351" i="20"/>
  <c r="CM351" i="20"/>
  <c r="DF351" i="20"/>
  <c r="AN351" i="20"/>
  <c r="AF234" i="20"/>
  <c r="AA234" i="20"/>
  <c r="AR311" i="20"/>
  <c r="CT311" i="20"/>
  <c r="BW311" i="20"/>
  <c r="U311" i="20"/>
  <c r="BX311" i="20"/>
  <c r="V311" i="20"/>
  <c r="BY311" i="20"/>
  <c r="AS311" i="20"/>
  <c r="DD311" i="20"/>
  <c r="Y311" i="20"/>
  <c r="AP311" i="20"/>
  <c r="BM311" i="20"/>
  <c r="BB311" i="20"/>
  <c r="CP311" i="20"/>
  <c r="DC311" i="20"/>
  <c r="S327" i="20"/>
  <c r="U327" i="20"/>
  <c r="BG327" i="20"/>
  <c r="CX327" i="20"/>
  <c r="AC327" i="20"/>
  <c r="BP327" i="20"/>
  <c r="DD327" i="20"/>
  <c r="AD327" i="20"/>
  <c r="BQ327" i="20"/>
  <c r="AF327" i="20"/>
  <c r="CC327" i="20"/>
  <c r="AT327" i="20"/>
  <c r="CL327" i="20"/>
  <c r="DB327" i="20"/>
  <c r="AP327" i="20"/>
  <c r="AV327" i="20"/>
  <c r="BA327" i="20"/>
  <c r="BO327" i="20"/>
  <c r="CF327" i="20"/>
  <c r="CN327" i="20"/>
  <c r="DA327" i="20"/>
  <c r="V2" i="20"/>
  <c r="W2" i="20"/>
  <c r="AH2" i="20"/>
  <c r="AR2" i="20"/>
  <c r="BC2" i="20"/>
  <c r="BN2" i="20"/>
  <c r="BX2" i="20"/>
  <c r="CI2" i="20"/>
  <c r="CT2" i="20"/>
  <c r="DD2" i="20"/>
  <c r="T378" i="20"/>
  <c r="AB378" i="20"/>
  <c r="AN378" i="20"/>
  <c r="AZ378" i="20"/>
  <c r="BL378" i="20"/>
  <c r="BY378" i="20"/>
  <c r="CJ378" i="20"/>
  <c r="CW378" i="20"/>
  <c r="DJ378" i="20"/>
  <c r="AD378" i="20"/>
  <c r="AP378" i="20"/>
  <c r="BA378" i="20"/>
  <c r="BO378" i="20"/>
  <c r="BZ378" i="20"/>
  <c r="CL378" i="20"/>
  <c r="CY378" i="20"/>
  <c r="DK378" i="20"/>
  <c r="S378" i="20"/>
  <c r="AE378" i="20"/>
  <c r="AQ378" i="20"/>
  <c r="BC378" i="20"/>
  <c r="BP378" i="20"/>
  <c r="CA378" i="20"/>
  <c r="CN378" i="20"/>
  <c r="CZ378" i="20"/>
  <c r="DL378" i="20"/>
  <c r="AH378" i="20"/>
  <c r="AY378" i="20"/>
  <c r="BS378" i="20"/>
  <c r="CP378" i="20"/>
  <c r="DF378" i="20"/>
  <c r="AI378" i="20"/>
  <c r="BF378" i="20"/>
  <c r="BV378" i="20"/>
  <c r="CQ378" i="20"/>
  <c r="DH378" i="20"/>
  <c r="U378" i="20"/>
  <c r="AK378" i="20"/>
  <c r="BG378" i="20"/>
  <c r="BX378" i="20"/>
  <c r="CR378" i="20"/>
  <c r="Z378" i="20"/>
  <c r="AV378" i="20"/>
  <c r="BQ378" i="20"/>
  <c r="CH378" i="20"/>
  <c r="DC378" i="20"/>
  <c r="AF378" i="20"/>
  <c r="BR378" i="20"/>
  <c r="DD378" i="20"/>
  <c r="AM378" i="20"/>
  <c r="CB378" i="20"/>
  <c r="AR378" i="20"/>
  <c r="CE378" i="20"/>
  <c r="W378" i="20"/>
  <c r="BI378" i="20"/>
  <c r="CU378" i="20"/>
  <c r="Q393" i="20"/>
  <c r="Z393" i="20"/>
  <c r="AK393" i="20"/>
  <c r="AU393" i="20"/>
  <c r="BF393" i="20"/>
  <c r="BQ393" i="20"/>
  <c r="CA393" i="20"/>
  <c r="CL393" i="20"/>
  <c r="CW393" i="20"/>
  <c r="DG393" i="20"/>
  <c r="AB393" i="20"/>
  <c r="AL393" i="20"/>
  <c r="AV393" i="20"/>
  <c r="BH393" i="20"/>
  <c r="BR393" i="20"/>
  <c r="CB393" i="20"/>
  <c r="CN393" i="20"/>
  <c r="CX393" i="20"/>
  <c r="DH393" i="20"/>
  <c r="R393" i="20"/>
  <c r="AC393" i="20"/>
  <c r="AM393" i="20"/>
  <c r="AX393" i="20"/>
  <c r="BI393" i="20"/>
  <c r="BS393" i="20"/>
  <c r="CD393" i="20"/>
  <c r="CO393" i="20"/>
  <c r="CY393" i="20"/>
  <c r="DJ393" i="20"/>
  <c r="AE393" i="20"/>
  <c r="AT393" i="20"/>
  <c r="BL393" i="20"/>
  <c r="CF393" i="20"/>
  <c r="CT393" i="20"/>
  <c r="AF393" i="20"/>
  <c r="AZ393" i="20"/>
  <c r="BN393" i="20"/>
  <c r="CG393" i="20"/>
  <c r="CV393" i="20"/>
  <c r="T393" i="20"/>
  <c r="AH393" i="20"/>
  <c r="BA393" i="20"/>
  <c r="BP393" i="20"/>
  <c r="CH393" i="20"/>
  <c r="CZ393" i="20"/>
  <c r="X393" i="20"/>
  <c r="AR393" i="20"/>
  <c r="BJ393" i="20"/>
  <c r="BY393" i="20"/>
  <c r="CQ393" i="20"/>
  <c r="DF393" i="20"/>
  <c r="AJ400" i="20"/>
  <c r="AP400" i="20"/>
  <c r="AZ400" i="20"/>
  <c r="BL400" i="20"/>
  <c r="BV400" i="20"/>
  <c r="T400" i="20"/>
  <c r="DL400" i="20"/>
  <c r="Y398" i="20"/>
  <c r="AB398" i="20"/>
  <c r="BT398" i="20"/>
  <c r="DJ398" i="20"/>
  <c r="AN398" i="20"/>
  <c r="CM398" i="20"/>
  <c r="AW398" i="20"/>
  <c r="CN398" i="20"/>
  <c r="AX398" i="20"/>
  <c r="CX398" i="20"/>
  <c r="AA398" i="20"/>
  <c r="CC398" i="20"/>
  <c r="AD392" i="20"/>
  <c r="AY392" i="20"/>
  <c r="BU392" i="20"/>
  <c r="CP392" i="20"/>
  <c r="DK392" i="20"/>
  <c r="AF392" i="20"/>
  <c r="AZ392" i="20"/>
  <c r="BV392" i="20"/>
  <c r="CR392" i="20"/>
  <c r="DL392" i="20"/>
  <c r="AJ392" i="20"/>
  <c r="BF392" i="20"/>
  <c r="CB392" i="20"/>
  <c r="CV392" i="20"/>
  <c r="AP392" i="20"/>
  <c r="CD392" i="20"/>
  <c r="DH392" i="20"/>
  <c r="R392" i="20"/>
  <c r="AV392" i="20"/>
  <c r="CE392" i="20"/>
  <c r="DJ392" i="20"/>
  <c r="S392" i="20"/>
  <c r="AX392" i="20"/>
  <c r="CF392" i="20"/>
  <c r="AN392" i="20"/>
  <c r="BP392" i="20"/>
  <c r="DA392" i="20"/>
  <c r="AM338" i="20"/>
  <c r="BY338" i="20"/>
  <c r="DF338" i="20"/>
  <c r="AT338" i="20"/>
  <c r="CA338" i="20"/>
  <c r="DH338" i="20"/>
  <c r="AU338" i="20"/>
  <c r="CB338" i="20"/>
  <c r="DJ338" i="20"/>
  <c r="X338" i="20"/>
  <c r="BF338" i="20"/>
  <c r="CN338" i="20"/>
  <c r="AH338" i="20"/>
  <c r="CW338" i="20"/>
  <c r="AV338" i="20"/>
  <c r="BI338" i="20"/>
  <c r="BN338" i="20"/>
  <c r="CV338" i="20"/>
  <c r="BP338" i="20"/>
  <c r="AB338" i="20"/>
  <c r="AC338" i="20"/>
  <c r="CT338" i="20"/>
  <c r="S232" i="20"/>
  <c r="BF232" i="20"/>
  <c r="BM232" i="20"/>
  <c r="Q357" i="20"/>
  <c r="AG357" i="20"/>
  <c r="AV357" i="20"/>
  <c r="BN357" i="20"/>
  <c r="CU357" i="20"/>
  <c r="CC357" i="20"/>
  <c r="BH281" i="20"/>
  <c r="CG281" i="20"/>
  <c r="CV281" i="20"/>
  <c r="V281" i="20"/>
  <c r="CY281" i="20"/>
  <c r="W281" i="20"/>
  <c r="Z281" i="20"/>
  <c r="BN281" i="20"/>
  <c r="AU281" i="20"/>
  <c r="BK281" i="20"/>
  <c r="DA281" i="20"/>
  <c r="AF214" i="20"/>
  <c r="CN214" i="20"/>
  <c r="W218" i="20"/>
  <c r="AK218" i="20"/>
  <c r="CR218" i="20"/>
  <c r="CG218" i="20"/>
  <c r="BE285" i="20"/>
  <c r="AH285" i="20"/>
  <c r="DH285" i="20"/>
  <c r="AZ285" i="20"/>
  <c r="BH285" i="20"/>
  <c r="BS285" i="20"/>
  <c r="CP285" i="20"/>
  <c r="CS285" i="20"/>
  <c r="DG285" i="20"/>
  <c r="U285" i="20"/>
  <c r="BV285" i="20"/>
  <c r="AF285" i="20"/>
  <c r="X385" i="20"/>
  <c r="Q385" i="20"/>
  <c r="AB385" i="20"/>
  <c r="AO385" i="20"/>
  <c r="BB385" i="20"/>
  <c r="BM385" i="20"/>
  <c r="BZ385" i="20"/>
  <c r="CL385" i="20"/>
  <c r="CX385" i="20"/>
  <c r="DJ385" i="20"/>
  <c r="Y385" i="20"/>
  <c r="AL385" i="20"/>
  <c r="AZ385" i="20"/>
  <c r="BN385" i="20"/>
  <c r="CC385" i="20"/>
  <c r="CP385" i="20"/>
  <c r="DD385" i="20"/>
  <c r="Z385" i="20"/>
  <c r="AM385" i="20"/>
  <c r="BC385" i="20"/>
  <c r="BP385" i="20"/>
  <c r="CD385" i="20"/>
  <c r="CR385" i="20"/>
  <c r="DF385" i="20"/>
  <c r="AA385" i="20"/>
  <c r="AQ385" i="20"/>
  <c r="BD385" i="20"/>
  <c r="BS385" i="20"/>
  <c r="CE385" i="20"/>
  <c r="CT385" i="20"/>
  <c r="DG385" i="20"/>
  <c r="T385" i="20"/>
  <c r="AI385" i="20"/>
  <c r="AV385" i="20"/>
  <c r="BK385" i="20"/>
  <c r="BW385" i="20"/>
  <c r="CM385" i="20"/>
  <c r="DA385" i="20"/>
  <c r="W385" i="20"/>
  <c r="AX385" i="20"/>
  <c r="CB385" i="20"/>
  <c r="DC385" i="20"/>
  <c r="AD385" i="20"/>
  <c r="BE385" i="20"/>
  <c r="CF385" i="20"/>
  <c r="DH385" i="20"/>
  <c r="AF385" i="20"/>
  <c r="BG385" i="20"/>
  <c r="CI385" i="20"/>
  <c r="DL385" i="20"/>
  <c r="R385" i="20"/>
  <c r="AT385" i="20"/>
  <c r="BU385" i="20"/>
  <c r="CV385" i="20"/>
  <c r="Z372" i="20"/>
  <c r="X372" i="20"/>
  <c r="AK372" i="20"/>
  <c r="AV372" i="20"/>
  <c r="BI372" i="20"/>
  <c r="BV372" i="20"/>
  <c r="CG372" i="20"/>
  <c r="CT372" i="20"/>
  <c r="DF372" i="20"/>
  <c r="R372" i="20"/>
  <c r="AD372" i="20"/>
  <c r="AS372" i="20"/>
  <c r="BF372" i="20"/>
  <c r="BT372" i="20"/>
  <c r="CH372" i="20"/>
  <c r="CW372" i="20"/>
  <c r="DJ372" i="20"/>
  <c r="S372" i="20"/>
  <c r="AE372" i="20"/>
  <c r="AT372" i="20"/>
  <c r="BG372" i="20"/>
  <c r="BW372" i="20"/>
  <c r="CJ372" i="20"/>
  <c r="CX372" i="20"/>
  <c r="DL372" i="20"/>
  <c r="T372" i="20"/>
  <c r="AH372" i="20"/>
  <c r="AU372" i="20"/>
  <c r="BK372" i="20"/>
  <c r="BX372" i="20"/>
  <c r="CM372" i="20"/>
  <c r="CY372" i="20"/>
  <c r="AA372" i="20"/>
  <c r="AM372" i="20"/>
  <c r="BB372" i="20"/>
  <c r="BO372" i="20"/>
  <c r="CD372" i="20"/>
  <c r="CP372" i="20"/>
  <c r="DE372" i="20"/>
  <c r="AC372" i="20"/>
  <c r="BD372" i="20"/>
  <c r="CF372" i="20"/>
  <c r="DH372" i="20"/>
  <c r="AJ372" i="20"/>
  <c r="BL372" i="20"/>
  <c r="CN372" i="20"/>
  <c r="AL372" i="20"/>
  <c r="BN372" i="20"/>
  <c r="CO372" i="20"/>
  <c r="V372" i="20"/>
  <c r="AZ372" i="20"/>
  <c r="CA372" i="20"/>
  <c r="DC372" i="20"/>
  <c r="BC372" i="20"/>
  <c r="DG372" i="20"/>
  <c r="BP372" i="20"/>
  <c r="BR372" i="20"/>
  <c r="AQ372" i="20"/>
  <c r="CV372" i="20"/>
  <c r="Q321" i="20"/>
  <c r="AI321" i="20"/>
  <c r="BB321" i="20"/>
  <c r="BZ321" i="20"/>
  <c r="CU321" i="20"/>
  <c r="AJ321" i="20"/>
  <c r="BE321" i="20"/>
  <c r="CC321" i="20"/>
  <c r="DB321" i="20"/>
  <c r="AK321" i="20"/>
  <c r="BJ321" i="20"/>
  <c r="CD321" i="20"/>
  <c r="DD321" i="20"/>
  <c r="AW321" i="20"/>
  <c r="CF321" i="20"/>
  <c r="T321" i="20"/>
  <c r="AX321" i="20"/>
  <c r="CM321" i="20"/>
  <c r="V321" i="20"/>
  <c r="AZ321" i="20"/>
  <c r="CN321" i="20"/>
  <c r="Z321" i="20"/>
  <c r="BO321" i="20"/>
  <c r="CT321" i="20"/>
  <c r="AP321" i="20"/>
  <c r="DI321" i="20"/>
  <c r="BN321" i="20"/>
  <c r="BP321" i="20"/>
  <c r="BQ321" i="20"/>
  <c r="AL321" i="20"/>
  <c r="BY321" i="20"/>
  <c r="CP321" i="20"/>
  <c r="AA321" i="20"/>
  <c r="DF321" i="20"/>
  <c r="W367" i="20"/>
  <c r="V367" i="20"/>
  <c r="AH367" i="20"/>
  <c r="AT367" i="20"/>
  <c r="BF367" i="20"/>
  <c r="BS367" i="20"/>
  <c r="CD367" i="20"/>
  <c r="CQ367" i="20"/>
  <c r="DC367" i="20"/>
  <c r="X367" i="20"/>
  <c r="AI367" i="20"/>
  <c r="AU367" i="20"/>
  <c r="BH367" i="20"/>
  <c r="BT367" i="20"/>
  <c r="CE367" i="20"/>
  <c r="CS367" i="20"/>
  <c r="DD367" i="20"/>
  <c r="Y367" i="20"/>
  <c r="AJ367" i="20"/>
  <c r="AW367" i="20"/>
  <c r="BJ367" i="20"/>
  <c r="BU367" i="20"/>
  <c r="CH367" i="20"/>
  <c r="CT367" i="20"/>
  <c r="DF367" i="20"/>
  <c r="Z367" i="20"/>
  <c r="AL367" i="20"/>
  <c r="AY367" i="20"/>
  <c r="BK367" i="20"/>
  <c r="BV367" i="20"/>
  <c r="CJ367" i="20"/>
  <c r="CU367" i="20"/>
  <c r="DG367" i="20"/>
  <c r="S367" i="20"/>
  <c r="AR367" i="20"/>
  <c r="BR367" i="20"/>
  <c r="CN367" i="20"/>
  <c r="AA367" i="20"/>
  <c r="AZ367" i="20"/>
  <c r="BX367" i="20"/>
  <c r="CV367" i="20"/>
  <c r="AB367" i="20"/>
  <c r="BB367" i="20"/>
  <c r="CA367" i="20"/>
  <c r="CX367" i="20"/>
  <c r="AN367" i="20"/>
  <c r="BL367" i="20"/>
  <c r="CK367" i="20"/>
  <c r="DI367" i="20"/>
  <c r="AQ367" i="20"/>
  <c r="CM367" i="20"/>
  <c r="BC367" i="20"/>
  <c r="CZ367" i="20"/>
  <c r="BD367" i="20"/>
  <c r="DB367" i="20"/>
  <c r="AG367" i="20"/>
  <c r="CC367" i="20"/>
  <c r="AP367" i="20"/>
  <c r="BM367" i="20"/>
  <c r="BO367" i="20"/>
  <c r="R367" i="20"/>
  <c r="DL367" i="20"/>
  <c r="H165" i="20"/>
  <c r="H413" i="20"/>
  <c r="H322" i="20"/>
  <c r="K415" i="20"/>
  <c r="K13" i="20"/>
  <c r="K411" i="20"/>
  <c r="H38" i="20"/>
  <c r="K335" i="20"/>
  <c r="H90" i="20"/>
  <c r="H197" i="20"/>
  <c r="H125" i="20"/>
  <c r="H160" i="20"/>
  <c r="H32" i="20"/>
  <c r="H126" i="20"/>
  <c r="H376" i="20"/>
  <c r="H316" i="20"/>
  <c r="H158" i="20"/>
  <c r="H224" i="20"/>
  <c r="H203" i="20"/>
  <c r="H212" i="20"/>
  <c r="H275" i="20"/>
  <c r="H175" i="20"/>
  <c r="H111" i="20"/>
  <c r="H182" i="20"/>
  <c r="H308" i="20"/>
  <c r="H85" i="20"/>
  <c r="K145" i="20"/>
  <c r="K302" i="20"/>
  <c r="H219" i="20"/>
  <c r="H249" i="20"/>
  <c r="H361" i="20"/>
  <c r="H295" i="20"/>
  <c r="H303" i="20"/>
  <c r="H39" i="20"/>
  <c r="DC2" i="20"/>
  <c r="CQ2" i="20"/>
  <c r="CE2" i="20"/>
  <c r="BS2" i="20"/>
  <c r="BG2" i="20"/>
  <c r="AU2" i="20"/>
  <c r="AI2" i="20"/>
  <c r="U2" i="20"/>
  <c r="DE417" i="20"/>
  <c r="CR417" i="20"/>
  <c r="CG417" i="20"/>
  <c r="BT417" i="20"/>
  <c r="BD417" i="20"/>
  <c r="AP417" i="20"/>
  <c r="W417" i="20"/>
  <c r="AZ416" i="20"/>
  <c r="CI415" i="20"/>
  <c r="AZ415" i="20"/>
  <c r="V415" i="20"/>
  <c r="BT414" i="20"/>
  <c r="AJ414" i="20"/>
  <c r="CR413" i="20"/>
  <c r="BP413" i="20"/>
  <c r="AR413" i="20"/>
  <c r="DJ412" i="20"/>
  <c r="CL412" i="20"/>
  <c r="BH412" i="20"/>
  <c r="AF412" i="20"/>
  <c r="CP411" i="20"/>
  <c r="DL410" i="20"/>
  <c r="CD410" i="20"/>
  <c r="AV410" i="20"/>
  <c r="DJ409" i="20"/>
  <c r="CO409" i="20"/>
  <c r="BS409" i="20"/>
  <c r="AX409" i="20"/>
  <c r="AC409" i="20"/>
  <c r="CP408" i="20"/>
  <c r="AN408" i="20"/>
  <c r="BN407" i="20"/>
  <c r="DA406" i="20"/>
  <c r="BX406" i="20"/>
  <c r="AW406" i="20"/>
  <c r="S406" i="20"/>
  <c r="CH405" i="20"/>
  <c r="BA405" i="20"/>
  <c r="T405" i="20"/>
  <c r="CS404" i="20"/>
  <c r="BW404" i="20"/>
  <c r="BB404" i="20"/>
  <c r="AG404" i="20"/>
  <c r="CY403" i="20"/>
  <c r="BD403" i="20"/>
  <c r="DC402" i="20"/>
  <c r="BH402" i="20"/>
  <c r="CN401" i="20"/>
  <c r="DF399" i="20"/>
  <c r="BL399" i="20"/>
  <c r="DI398" i="20"/>
  <c r="Q398" i="20"/>
  <c r="CO397" i="20"/>
  <c r="BQ397" i="20"/>
  <c r="AR397" i="20"/>
  <c r="T397" i="20"/>
  <c r="AJ396" i="20"/>
  <c r="CL395" i="20"/>
  <c r="BD395" i="20"/>
  <c r="W395" i="20"/>
  <c r="CJ393" i="20"/>
  <c r="BC393" i="20"/>
  <c r="V393" i="20"/>
  <c r="BJ392" i="20"/>
  <c r="BX390" i="20"/>
  <c r="AL390" i="20"/>
  <c r="CV389" i="20"/>
  <c r="BD389" i="20"/>
  <c r="CY388" i="20"/>
  <c r="BF387" i="20"/>
  <c r="Z386" i="20"/>
  <c r="BL385" i="20"/>
  <c r="CM384" i="20"/>
  <c r="R383" i="20"/>
  <c r="AI381" i="20"/>
  <c r="X380" i="20"/>
  <c r="CI378" i="20"/>
  <c r="CY377" i="20"/>
  <c r="X376" i="20"/>
  <c r="AD375" i="20"/>
  <c r="CE372" i="20"/>
  <c r="CT369" i="20"/>
  <c r="CL367" i="20"/>
  <c r="AR365" i="20"/>
  <c r="BI360" i="20"/>
  <c r="AQ353" i="20"/>
  <c r="DE321" i="20"/>
  <c r="AF256" i="20"/>
  <c r="BO256" i="20"/>
  <c r="BJ256" i="20"/>
  <c r="R394" i="20"/>
  <c r="AG394" i="20"/>
  <c r="BL394" i="20"/>
  <c r="CJ394" i="20"/>
  <c r="AH394" i="20"/>
  <c r="BM394" i="20"/>
  <c r="CR394" i="20"/>
  <c r="AP394" i="20"/>
  <c r="BN394" i="20"/>
  <c r="CS394" i="20"/>
  <c r="T394" i="20"/>
  <c r="BD394" i="20"/>
  <c r="DC394" i="20"/>
  <c r="V394" i="20"/>
  <c r="BV394" i="20"/>
  <c r="DD394" i="20"/>
  <c r="X394" i="20"/>
  <c r="BW394" i="20"/>
  <c r="DL394" i="20"/>
  <c r="AZ394" i="20"/>
  <c r="CT394" i="20"/>
  <c r="CO411" i="20"/>
  <c r="DJ410" i="20"/>
  <c r="CB410" i="20"/>
  <c r="AR410" i="20"/>
  <c r="CN408" i="20"/>
  <c r="AF408" i="20"/>
  <c r="BD407" i="20"/>
  <c r="CG405" i="20"/>
  <c r="AZ405" i="20"/>
  <c r="DB402" i="20"/>
  <c r="BB402" i="20"/>
  <c r="DE399" i="20"/>
  <c r="BJ399" i="20"/>
  <c r="CZ398" i="20"/>
  <c r="DL397" i="20"/>
  <c r="CN397" i="20"/>
  <c r="BN397" i="20"/>
  <c r="AP397" i="20"/>
  <c r="R397" i="20"/>
  <c r="AI396" i="20"/>
  <c r="AF394" i="20"/>
  <c r="CI393" i="20"/>
  <c r="BB393" i="20"/>
  <c r="U393" i="20"/>
  <c r="BH392" i="20"/>
  <c r="DH390" i="20"/>
  <c r="BW390" i="20"/>
  <c r="AK390" i="20"/>
  <c r="BP388" i="20"/>
  <c r="BB387" i="20"/>
  <c r="BJ385" i="20"/>
  <c r="Y381" i="20"/>
  <c r="DK379" i="20"/>
  <c r="CG378" i="20"/>
  <c r="CQ377" i="20"/>
  <c r="BY372" i="20"/>
  <c r="DK370" i="20"/>
  <c r="CB367" i="20"/>
  <c r="AD353" i="20"/>
  <c r="CG344" i="20"/>
  <c r="Y321" i="20"/>
  <c r="U358" i="20"/>
  <c r="AF358" i="20"/>
  <c r="AZ358" i="20"/>
  <c r="BN358" i="20"/>
  <c r="CG358" i="20"/>
  <c r="R358" i="20"/>
  <c r="CY358" i="20"/>
  <c r="W342" i="20"/>
  <c r="T342" i="20"/>
  <c r="CH342" i="20"/>
  <c r="CZ342" i="20"/>
  <c r="BS342" i="20"/>
  <c r="BA342" i="20"/>
  <c r="AH342" i="20"/>
  <c r="AA368" i="20"/>
  <c r="S368" i="20"/>
  <c r="BB368" i="20"/>
  <c r="CD368" i="20"/>
  <c r="T368" i="20"/>
  <c r="BC368" i="20"/>
  <c r="AC368" i="20"/>
  <c r="BD368" i="20"/>
  <c r="CN368" i="20"/>
  <c r="AE368" i="20"/>
  <c r="BN368" i="20"/>
  <c r="R368" i="20"/>
  <c r="CB368" i="20"/>
  <c r="AH368" i="20"/>
  <c r="CM368" i="20"/>
  <c r="AQ368" i="20"/>
  <c r="CO368" i="20"/>
  <c r="BP368" i="20"/>
  <c r="DC368" i="20"/>
  <c r="CA368" i="20"/>
  <c r="CX368" i="20"/>
  <c r="CZ368" i="20"/>
  <c r="AS368" i="20"/>
  <c r="BR368" i="20"/>
  <c r="DL368" i="20"/>
  <c r="W267" i="20"/>
  <c r="AK267" i="20"/>
  <c r="BM267" i="20"/>
  <c r="CA267" i="20"/>
  <c r="CD267" i="20"/>
  <c r="V267" i="20"/>
  <c r="AT267" i="20"/>
  <c r="CF267" i="20"/>
  <c r="CZ267" i="20"/>
  <c r="AP267" i="20"/>
  <c r="AK200" i="20"/>
  <c r="AW200" i="20"/>
  <c r="BH200" i="20"/>
  <c r="AP200" i="20"/>
  <c r="DK200" i="20"/>
  <c r="Y365" i="20"/>
  <c r="AJ365" i="20"/>
  <c r="AX365" i="20"/>
  <c r="BJ365" i="20"/>
  <c r="BU365" i="20"/>
  <c r="CI365" i="20"/>
  <c r="CT365" i="20"/>
  <c r="DF365" i="20"/>
  <c r="Z365" i="20"/>
  <c r="AM365" i="20"/>
  <c r="AY365" i="20"/>
  <c r="BK365" i="20"/>
  <c r="BW365" i="20"/>
  <c r="CJ365" i="20"/>
  <c r="CU365" i="20"/>
  <c r="DH365" i="20"/>
  <c r="AA365" i="20"/>
  <c r="AO365" i="20"/>
  <c r="AZ365" i="20"/>
  <c r="BL365" i="20"/>
  <c r="BZ365" i="20"/>
  <c r="CK365" i="20"/>
  <c r="CV365" i="20"/>
  <c r="DJ365" i="20"/>
  <c r="Q365" i="20"/>
  <c r="AD365" i="20"/>
  <c r="AP365" i="20"/>
  <c r="BB365" i="20"/>
  <c r="BN365" i="20"/>
  <c r="CA365" i="20"/>
  <c r="CL365" i="20"/>
  <c r="CY365" i="20"/>
  <c r="DK365" i="20"/>
  <c r="X365" i="20"/>
  <c r="AV365" i="20"/>
  <c r="BT365" i="20"/>
  <c r="CS365" i="20"/>
  <c r="AF365" i="20"/>
  <c r="BC365" i="20"/>
  <c r="CB365" i="20"/>
  <c r="DA365" i="20"/>
  <c r="AG365" i="20"/>
  <c r="BE365" i="20"/>
  <c r="CC365" i="20"/>
  <c r="DB365" i="20"/>
  <c r="R365" i="20"/>
  <c r="AQ365" i="20"/>
  <c r="BP365" i="20"/>
  <c r="CM365" i="20"/>
  <c r="DL365" i="20"/>
  <c r="AT365" i="20"/>
  <c r="CR365" i="20"/>
  <c r="BG365" i="20"/>
  <c r="DC365" i="20"/>
  <c r="BH365" i="20"/>
  <c r="DD365" i="20"/>
  <c r="AI365" i="20"/>
  <c r="CF365" i="20"/>
  <c r="CP365" i="20"/>
  <c r="T365" i="20"/>
  <c r="W365" i="20"/>
  <c r="BS365" i="20"/>
  <c r="X384" i="20"/>
  <c r="AB384" i="20"/>
  <c r="BY384" i="20"/>
  <c r="AQ384" i="20"/>
  <c r="CW384" i="20"/>
  <c r="BA384" i="20"/>
  <c r="CX384" i="20"/>
  <c r="BB384" i="20"/>
  <c r="DJ384" i="20"/>
  <c r="AC384" i="20"/>
  <c r="CL384" i="20"/>
  <c r="AN384" i="20"/>
  <c r="BL384" i="20"/>
  <c r="BN384" i="20"/>
  <c r="H187" i="20"/>
  <c r="S345" i="20"/>
  <c r="BW345" i="20"/>
  <c r="AP345" i="20"/>
  <c r="BG345" i="20"/>
  <c r="BH345" i="20"/>
  <c r="BV345" i="20"/>
  <c r="AO345" i="20"/>
  <c r="CN345" i="20"/>
  <c r="CP345" i="20"/>
  <c r="AA345" i="20"/>
  <c r="DC345" i="20"/>
  <c r="DI345" i="20"/>
  <c r="AE306" i="20"/>
  <c r="CQ306" i="20"/>
  <c r="Z306" i="20"/>
  <c r="CG306" i="20"/>
  <c r="AX306" i="20"/>
  <c r="BJ306" i="20"/>
  <c r="BA279" i="20"/>
  <c r="BT279" i="20"/>
  <c r="DE279" i="20"/>
  <c r="DG279" i="20"/>
  <c r="AC279" i="20"/>
  <c r="AD279" i="20"/>
  <c r="BN279" i="20"/>
  <c r="H404" i="20"/>
  <c r="H191" i="20"/>
  <c r="H319" i="20"/>
  <c r="H234" i="20"/>
  <c r="K271" i="20"/>
  <c r="H173" i="20"/>
  <c r="H63" i="20"/>
  <c r="K214" i="20"/>
  <c r="K135" i="20"/>
  <c r="H372" i="20"/>
  <c r="H331" i="20"/>
  <c r="K321" i="20"/>
  <c r="DL2" i="20"/>
  <c r="DA2" i="20"/>
  <c r="CN2" i="20"/>
  <c r="CC2" i="20"/>
  <c r="BP2" i="20"/>
  <c r="BE2" i="20"/>
  <c r="AQ2" i="20"/>
  <c r="AE2" i="20"/>
  <c r="S2" i="20"/>
  <c r="DB417" i="20"/>
  <c r="CP417" i="20"/>
  <c r="CD417" i="20"/>
  <c r="BR417" i="20"/>
  <c r="BB417" i="20"/>
  <c r="AJ417" i="20"/>
  <c r="U417" i="20"/>
  <c r="DF415" i="20"/>
  <c r="CF415" i="20"/>
  <c r="AS415" i="20"/>
  <c r="CZ414" i="20"/>
  <c r="BP414" i="20"/>
  <c r="Q414" i="20"/>
  <c r="CP413" i="20"/>
  <c r="BK413" i="20"/>
  <c r="AF413" i="20"/>
  <c r="DF412" i="20"/>
  <c r="CB412" i="20"/>
  <c r="BE412" i="20"/>
  <c r="Z412" i="20"/>
  <c r="BS411" i="20"/>
  <c r="DB410" i="20"/>
  <c r="BT410" i="20"/>
  <c r="AJ410" i="20"/>
  <c r="DD409" i="20"/>
  <c r="CH409" i="20"/>
  <c r="BL409" i="20"/>
  <c r="AR409" i="20"/>
  <c r="V409" i="20"/>
  <c r="BV408" i="20"/>
  <c r="S408" i="20"/>
  <c r="AJ407" i="20"/>
  <c r="CR406" i="20"/>
  <c r="BP406" i="20"/>
  <c r="AN406" i="20"/>
  <c r="DF405" i="20"/>
  <c r="BX405" i="20"/>
  <c r="AP405" i="20"/>
  <c r="DH404" i="20"/>
  <c r="CL404" i="20"/>
  <c r="BP404" i="20"/>
  <c r="AV404" i="20"/>
  <c r="Z404" i="20"/>
  <c r="CN403" i="20"/>
  <c r="AM403" i="20"/>
  <c r="CN402" i="20"/>
  <c r="AQ402" i="20"/>
  <c r="CR399" i="20"/>
  <c r="AT399" i="20"/>
  <c r="CD398" i="20"/>
  <c r="DE397" i="20"/>
  <c r="CG397" i="20"/>
  <c r="BI397" i="20"/>
  <c r="AK397" i="20"/>
  <c r="CU396" i="20"/>
  <c r="DH395" i="20"/>
  <c r="CA395" i="20"/>
  <c r="AT395" i="20"/>
  <c r="DB394" i="20"/>
  <c r="DL393" i="20"/>
  <c r="BZ393" i="20"/>
  <c r="AS393" i="20"/>
  <c r="DB392" i="20"/>
  <c r="AO392" i="20"/>
  <c r="DB390" i="20"/>
  <c r="BL390" i="20"/>
  <c r="Z390" i="20"/>
  <c r="CH389" i="20"/>
  <c r="AO389" i="20"/>
  <c r="V387" i="20"/>
  <c r="CY385" i="20"/>
  <c r="AU385" i="20"/>
  <c r="R384" i="20"/>
  <c r="DF381" i="20"/>
  <c r="CU380" i="20"/>
  <c r="BJ378" i="20"/>
  <c r="AT377" i="20"/>
  <c r="CQ375" i="20"/>
  <c r="CL374" i="20"/>
  <c r="AX372" i="20"/>
  <c r="CG370" i="20"/>
  <c r="BG369" i="20"/>
  <c r="AE367" i="20"/>
  <c r="CH364" i="20"/>
  <c r="CZ356" i="20"/>
  <c r="BL352" i="20"/>
  <c r="CS341" i="20"/>
  <c r="AB382" i="20"/>
  <c r="BH382" i="20"/>
  <c r="AI382" i="20"/>
  <c r="AT382" i="20"/>
  <c r="BS382" i="20"/>
  <c r="W382" i="20"/>
  <c r="CE382" i="20"/>
  <c r="CR382" i="20"/>
  <c r="BQ257" i="20"/>
  <c r="AS257" i="20"/>
  <c r="Z257" i="20"/>
  <c r="CT257" i="20"/>
  <c r="CW257" i="20"/>
  <c r="X379" i="20"/>
  <c r="AO379" i="20"/>
  <c r="BX379" i="20"/>
  <c r="CZ379" i="20"/>
  <c r="AP379" i="20"/>
  <c r="BZ379" i="20"/>
  <c r="AZ379" i="20"/>
  <c r="CL379" i="20"/>
  <c r="BB379" i="20"/>
  <c r="CU379" i="20"/>
  <c r="Q379" i="20"/>
  <c r="BK379" i="20"/>
  <c r="CX379" i="20"/>
  <c r="AN379" i="20"/>
  <c r="CJ379" i="20"/>
  <c r="CK379" i="20"/>
  <c r="Z379" i="20"/>
  <c r="DI379" i="20"/>
  <c r="AB379" i="20"/>
  <c r="DJ379" i="20"/>
  <c r="BO379" i="20"/>
  <c r="W362" i="20"/>
  <c r="CL362" i="20"/>
  <c r="CY362" i="20"/>
  <c r="R362" i="20"/>
  <c r="AH362" i="20"/>
  <c r="AU362" i="20"/>
  <c r="BI362" i="20"/>
  <c r="BY362" i="20"/>
  <c r="H277" i="20"/>
  <c r="H349" i="20"/>
  <c r="DK2" i="20"/>
  <c r="CY2" i="20"/>
  <c r="CM2" i="20"/>
  <c r="CA2" i="20"/>
  <c r="BO2" i="20"/>
  <c r="BA2" i="20"/>
  <c r="AP2" i="20"/>
  <c r="AC2" i="20"/>
  <c r="R2" i="20"/>
  <c r="CZ417" i="20"/>
  <c r="CO417" i="20"/>
  <c r="CB417" i="20"/>
  <c r="BP417" i="20"/>
  <c r="BA417" i="20"/>
  <c r="AH417" i="20"/>
  <c r="DE415" i="20"/>
  <c r="BT415" i="20"/>
  <c r="AR415" i="20"/>
  <c r="CX414" i="20"/>
  <c r="BH414" i="20"/>
  <c r="DL413" i="20"/>
  <c r="CG413" i="20"/>
  <c r="BJ413" i="20"/>
  <c r="AE413" i="20"/>
  <c r="DD412" i="20"/>
  <c r="BZ412" i="20"/>
  <c r="AV412" i="20"/>
  <c r="Y412" i="20"/>
  <c r="BI411" i="20"/>
  <c r="CV410" i="20"/>
  <c r="BN410" i="20"/>
  <c r="AG410" i="20"/>
  <c r="CZ409" i="20"/>
  <c r="CF409" i="20"/>
  <c r="BJ409" i="20"/>
  <c r="AN409" i="20"/>
  <c r="T409" i="20"/>
  <c r="BT408" i="20"/>
  <c r="DF407" i="20"/>
  <c r="X407" i="20"/>
  <c r="CN406" i="20"/>
  <c r="BL406" i="20"/>
  <c r="AJ406" i="20"/>
  <c r="DB405" i="20"/>
  <c r="BT405" i="20"/>
  <c r="DD404" i="20"/>
  <c r="CJ404" i="20"/>
  <c r="BN404" i="20"/>
  <c r="AR404" i="20"/>
  <c r="X404" i="20"/>
  <c r="CD403" i="20"/>
  <c r="AJ403" i="20"/>
  <c r="CH402" i="20"/>
  <c r="AN402" i="20"/>
  <c r="DB400" i="20"/>
  <c r="CJ399" i="20"/>
  <c r="AR399" i="20"/>
  <c r="BR398" i="20"/>
  <c r="DB397" i="20"/>
  <c r="CD397" i="20"/>
  <c r="BF397" i="20"/>
  <c r="AF397" i="20"/>
  <c r="CL396" i="20"/>
  <c r="DF395" i="20"/>
  <c r="BY395" i="20"/>
  <c r="AR395" i="20"/>
  <c r="CH394" i="20"/>
  <c r="DE393" i="20"/>
  <c r="BX393" i="20"/>
  <c r="AP393" i="20"/>
  <c r="CZ392" i="20"/>
  <c r="AB392" i="20"/>
  <c r="CU390" i="20"/>
  <c r="BH390" i="20"/>
  <c r="V390" i="20"/>
  <c r="CD389" i="20"/>
  <c r="AF389" i="20"/>
  <c r="DI387" i="20"/>
  <c r="S387" i="20"/>
  <c r="CU385" i="20"/>
  <c r="AR385" i="20"/>
  <c r="DK383" i="20"/>
  <c r="CQ380" i="20"/>
  <c r="BM379" i="20"/>
  <c r="BH378" i="20"/>
  <c r="AH377" i="20"/>
  <c r="CH375" i="20"/>
  <c r="CG374" i="20"/>
  <c r="AN372" i="20"/>
  <c r="BZ370" i="20"/>
  <c r="AV369" i="20"/>
  <c r="Q367" i="20"/>
  <c r="BS364" i="20"/>
  <c r="BP341" i="20"/>
  <c r="AX332" i="20"/>
  <c r="AO230" i="20"/>
  <c r="CL230" i="20"/>
  <c r="CI230" i="20"/>
  <c r="T275" i="20"/>
  <c r="CC275" i="20"/>
  <c r="AL275" i="20"/>
  <c r="AO275" i="20"/>
  <c r="BZ275" i="20"/>
  <c r="CB254" i="20"/>
  <c r="DF254" i="20"/>
  <c r="AQ254" i="20"/>
  <c r="AV254" i="20"/>
  <c r="AA237" i="20"/>
  <c r="BM237" i="20"/>
  <c r="BQ237" i="20"/>
  <c r="Y326" i="20"/>
  <c r="AM326" i="20"/>
  <c r="V326" i="20"/>
  <c r="AU326" i="20"/>
  <c r="BL326" i="20"/>
  <c r="CK326" i="20"/>
  <c r="DG326" i="20"/>
  <c r="DF326" i="20"/>
  <c r="R326" i="20"/>
  <c r="CL326" i="20"/>
  <c r="BN326" i="20"/>
  <c r="AF300" i="20"/>
  <c r="CI300" i="20"/>
  <c r="R300" i="20"/>
  <c r="AX300" i="20"/>
  <c r="BB300" i="20"/>
  <c r="CH300" i="20"/>
  <c r="T381" i="20"/>
  <c r="AF381" i="20"/>
  <c r="BC381" i="20"/>
  <c r="CB381" i="20"/>
  <c r="DA381" i="20"/>
  <c r="AJ381" i="20"/>
  <c r="BP381" i="20"/>
  <c r="CR381" i="20"/>
  <c r="AQ381" i="20"/>
  <c r="BS381" i="20"/>
  <c r="CS381" i="20"/>
  <c r="R381" i="20"/>
  <c r="AT381" i="20"/>
  <c r="BT381" i="20"/>
  <c r="CT381" i="20"/>
  <c r="AH381" i="20"/>
  <c r="BH381" i="20"/>
  <c r="CI381" i="20"/>
  <c r="DL381" i="20"/>
  <c r="BJ381" i="20"/>
  <c r="W381" i="20"/>
  <c r="BU381" i="20"/>
  <c r="X381" i="20"/>
  <c r="CD381" i="20"/>
  <c r="AX381" i="20"/>
  <c r="DD381" i="20"/>
  <c r="AD288" i="20"/>
  <c r="BQ288" i="20"/>
  <c r="AA288" i="20"/>
  <c r="DE288" i="20"/>
  <c r="AF288" i="20"/>
  <c r="AQ288" i="20"/>
  <c r="AR288" i="20"/>
  <c r="BO288" i="20"/>
  <c r="DA288" i="20"/>
  <c r="CC288" i="20"/>
  <c r="CH288" i="20"/>
  <c r="BB292" i="20"/>
  <c r="BT292" i="20"/>
  <c r="BH292" i="20"/>
  <c r="BW292" i="20"/>
  <c r="CV292" i="20"/>
  <c r="DH292" i="20"/>
  <c r="DL292" i="20"/>
  <c r="T292" i="20"/>
  <c r="AI292" i="20"/>
  <c r="AH292" i="20"/>
  <c r="AY176" i="20"/>
  <c r="BG176" i="20"/>
  <c r="DB226" i="20"/>
  <c r="BC226" i="20"/>
  <c r="BG226" i="20"/>
  <c r="W226" i="20"/>
  <c r="Z162" i="20"/>
  <c r="AC162" i="20"/>
  <c r="AR259" i="20"/>
  <c r="AG259" i="20"/>
  <c r="Q259" i="20"/>
  <c r="CC259" i="20"/>
  <c r="CJ259" i="20"/>
  <c r="CK259" i="20"/>
  <c r="Z313" i="20"/>
  <c r="AS313" i="20"/>
  <c r="BP313" i="20"/>
  <c r="CU313" i="20"/>
  <c r="AP413" i="20"/>
  <c r="Q417" i="20"/>
  <c r="Z417" i="20"/>
  <c r="AK417" i="20"/>
  <c r="AU417" i="20"/>
  <c r="BF417" i="20"/>
  <c r="BQ417" i="20"/>
  <c r="CA417" i="20"/>
  <c r="CL417" i="20"/>
  <c r="CW417" i="20"/>
  <c r="DG417" i="20"/>
  <c r="AB417" i="20"/>
  <c r="AL417" i="20"/>
  <c r="AV417" i="20"/>
  <c r="BH417" i="20"/>
  <c r="R417" i="20"/>
  <c r="AC417" i="20"/>
  <c r="AM417" i="20"/>
  <c r="AX417" i="20"/>
  <c r="BI417" i="20"/>
  <c r="T352" i="20"/>
  <c r="X352" i="20"/>
  <c r="AM352" i="20"/>
  <c r="BB352" i="20"/>
  <c r="BP352" i="20"/>
  <c r="CD352" i="20"/>
  <c r="CR352" i="20"/>
  <c r="DF352" i="20"/>
  <c r="U352" i="20"/>
  <c r="AJ352" i="20"/>
  <c r="BA352" i="20"/>
  <c r="BQ352" i="20"/>
  <c r="CH352" i="20"/>
  <c r="CW352" i="20"/>
  <c r="V352" i="20"/>
  <c r="AK352" i="20"/>
  <c r="BC352" i="20"/>
  <c r="BS352" i="20"/>
  <c r="CI352" i="20"/>
  <c r="CY352" i="20"/>
  <c r="W352" i="20"/>
  <c r="AP352" i="20"/>
  <c r="BD352" i="20"/>
  <c r="BV352" i="20"/>
  <c r="CJ352" i="20"/>
  <c r="DB352" i="20"/>
  <c r="Z352" i="20"/>
  <c r="AR352" i="20"/>
  <c r="BF352" i="20"/>
  <c r="BX352" i="20"/>
  <c r="CL352" i="20"/>
  <c r="DD352" i="20"/>
  <c r="R352" i="20"/>
  <c r="AX352" i="20"/>
  <c r="CG352" i="20"/>
  <c r="AC352" i="20"/>
  <c r="BI352" i="20"/>
  <c r="CO352" i="20"/>
  <c r="AE352" i="20"/>
  <c r="BK352" i="20"/>
  <c r="CQ352" i="20"/>
  <c r="AS352" i="20"/>
  <c r="BY352" i="20"/>
  <c r="DE352" i="20"/>
  <c r="CA352" i="20"/>
  <c r="AF352" i="20"/>
  <c r="CT352" i="20"/>
  <c r="AH352" i="20"/>
  <c r="CV352" i="20"/>
  <c r="BN352" i="20"/>
  <c r="BZ352" i="20"/>
  <c r="DG352" i="20"/>
  <c r="DJ352" i="20"/>
  <c r="AU352" i="20"/>
  <c r="AB294" i="20"/>
  <c r="AW294" i="20"/>
  <c r="BW294" i="20"/>
  <c r="DI294" i="20"/>
  <c r="CK294" i="20"/>
  <c r="AK294" i="20"/>
  <c r="X388" i="20"/>
  <c r="AS388" i="20"/>
  <c r="CO388" i="20"/>
  <c r="T388" i="20"/>
  <c r="CA388" i="20"/>
  <c r="AD388" i="20"/>
  <c r="CD388" i="20"/>
  <c r="AE388" i="20"/>
  <c r="CN388" i="20"/>
  <c r="BC388" i="20"/>
  <c r="BD388" i="20"/>
  <c r="BO388" i="20"/>
  <c r="S388" i="20"/>
  <c r="DL388" i="20"/>
  <c r="AB405" i="20"/>
  <c r="AR405" i="20"/>
  <c r="BJ405" i="20"/>
  <c r="BZ405" i="20"/>
  <c r="CQ405" i="20"/>
  <c r="DH405" i="20"/>
  <c r="AD405" i="20"/>
  <c r="AT405" i="20"/>
  <c r="BK405" i="20"/>
  <c r="CB405" i="20"/>
  <c r="CR405" i="20"/>
  <c r="DL405" i="20"/>
  <c r="AE405" i="20"/>
  <c r="AV405" i="20"/>
  <c r="BL405" i="20"/>
  <c r="CF405" i="20"/>
  <c r="CV405" i="20"/>
  <c r="V405" i="20"/>
  <c r="AN405" i="20"/>
  <c r="BD405" i="20"/>
  <c r="BV405" i="20"/>
  <c r="CN405" i="20"/>
  <c r="DD405" i="20"/>
  <c r="AI371" i="20"/>
  <c r="BF371" i="20"/>
  <c r="CE371" i="20"/>
  <c r="DD371" i="20"/>
  <c r="AE371" i="20"/>
  <c r="BH371" i="20"/>
  <c r="CH371" i="20"/>
  <c r="AJ371" i="20"/>
  <c r="BK371" i="20"/>
  <c r="CN371" i="20"/>
  <c r="AL371" i="20"/>
  <c r="BO371" i="20"/>
  <c r="CQ371" i="20"/>
  <c r="V371" i="20"/>
  <c r="AV371" i="20"/>
  <c r="BV371" i="20"/>
  <c r="CZ371" i="20"/>
  <c r="Z371" i="20"/>
  <c r="CF371" i="20"/>
  <c r="AR371" i="20"/>
  <c r="CS371" i="20"/>
  <c r="AU371" i="20"/>
  <c r="CU371" i="20"/>
  <c r="S371" i="20"/>
  <c r="BU371" i="20"/>
  <c r="CC371" i="20"/>
  <c r="DF371" i="20"/>
  <c r="DG371" i="20"/>
  <c r="BD371" i="20"/>
  <c r="AB343" i="20"/>
  <c r="Q343" i="20"/>
  <c r="BE343" i="20"/>
  <c r="CZ343" i="20"/>
  <c r="R343" i="20"/>
  <c r="BP343" i="20"/>
  <c r="DA343" i="20"/>
  <c r="S343" i="20"/>
  <c r="BR343" i="20"/>
  <c r="CE343" i="20"/>
  <c r="CK343" i="20"/>
  <c r="AI343" i="20"/>
  <c r="CL343" i="20"/>
  <c r="AJ343" i="20"/>
  <c r="CX343" i="20"/>
  <c r="AL343" i="20"/>
  <c r="AX343" i="20"/>
  <c r="AY343" i="20"/>
  <c r="BT343" i="20"/>
  <c r="R334" i="20"/>
  <c r="BX334" i="20"/>
  <c r="V334" i="20"/>
  <c r="CO334" i="20"/>
  <c r="W334" i="20"/>
  <c r="CP334" i="20"/>
  <c r="AP334" i="20"/>
  <c r="DE334" i="20"/>
  <c r="BV334" i="20"/>
  <c r="DD334" i="20"/>
  <c r="AN334" i="20"/>
  <c r="BI334" i="20"/>
  <c r="W346" i="20"/>
  <c r="AB346" i="20"/>
  <c r="BI346" i="20"/>
  <c r="CT346" i="20"/>
  <c r="R346" i="20"/>
  <c r="BF346" i="20"/>
  <c r="CO346" i="20"/>
  <c r="X346" i="20"/>
  <c r="BH346" i="20"/>
  <c r="CY346" i="20"/>
  <c r="Z346" i="20"/>
  <c r="BR346" i="20"/>
  <c r="DF346" i="20"/>
  <c r="AK346" i="20"/>
  <c r="BY346" i="20"/>
  <c r="DG346" i="20"/>
  <c r="BC346" i="20"/>
  <c r="BZ346" i="20"/>
  <c r="CA346" i="20"/>
  <c r="AM346" i="20"/>
  <c r="DH346" i="20"/>
  <c r="CN346" i="20"/>
  <c r="AT346" i="20"/>
  <c r="BH186" i="20"/>
  <c r="BU186" i="20"/>
  <c r="AE269" i="20"/>
  <c r="BX269" i="20"/>
  <c r="AM269" i="20"/>
  <c r="DL269" i="20"/>
  <c r="AN269" i="20"/>
  <c r="BH269" i="20"/>
  <c r="CT269" i="20"/>
  <c r="AH269" i="20"/>
  <c r="BY269" i="20"/>
  <c r="BZ269" i="20"/>
  <c r="T269" i="20"/>
  <c r="DJ269" i="20"/>
  <c r="DI269" i="20"/>
  <c r="AN247" i="20"/>
  <c r="BR247" i="20"/>
  <c r="BQ247" i="20"/>
  <c r="BM242" i="20"/>
  <c r="AN242" i="20"/>
  <c r="BT242" i="20"/>
  <c r="AG238" i="20"/>
  <c r="CN238" i="20"/>
  <c r="BP238" i="20"/>
  <c r="CO238" i="20"/>
  <c r="AK278" i="20"/>
  <c r="BV278" i="20"/>
  <c r="BB278" i="20"/>
  <c r="CL278" i="20"/>
  <c r="CM278" i="20"/>
  <c r="DI278" i="20"/>
  <c r="AW278" i="20"/>
  <c r="CN278" i="20"/>
  <c r="BA278" i="20"/>
  <c r="Q278" i="20"/>
  <c r="AH278" i="20"/>
  <c r="AG255" i="20"/>
  <c r="CG255" i="20"/>
  <c r="Y255" i="20"/>
  <c r="CA255" i="20"/>
  <c r="CK255" i="20"/>
  <c r="W316" i="20"/>
  <c r="AP316" i="20"/>
  <c r="CW316" i="20"/>
  <c r="BD316" i="20"/>
  <c r="DF316" i="20"/>
  <c r="BN316" i="20"/>
  <c r="AG316" i="20"/>
  <c r="CI316" i="20"/>
  <c r="CP316" i="20"/>
  <c r="R316" i="20"/>
  <c r="AN316" i="20"/>
  <c r="CK316" i="20"/>
  <c r="AK316" i="20"/>
  <c r="BT316" i="20"/>
  <c r="BQ316" i="20"/>
  <c r="AP224" i="20"/>
  <c r="CM224" i="20"/>
  <c r="CJ224" i="20"/>
  <c r="AG286" i="20"/>
  <c r="AX286" i="20"/>
  <c r="CH286" i="20"/>
  <c r="CL286" i="20"/>
  <c r="AW286" i="20"/>
  <c r="AR250" i="20"/>
  <c r="BO250" i="20"/>
  <c r="BQ250" i="20"/>
  <c r="AB386" i="20"/>
  <c r="AT386" i="20"/>
  <c r="BV386" i="20"/>
  <c r="DE386" i="20"/>
  <c r="AI386" i="20"/>
  <c r="BS386" i="20"/>
  <c r="DD386" i="20"/>
  <c r="AJ386" i="20"/>
  <c r="BT386" i="20"/>
  <c r="DF386" i="20"/>
  <c r="AK386" i="20"/>
  <c r="CE386" i="20"/>
  <c r="W386" i="20"/>
  <c r="BH386" i="20"/>
  <c r="CR386" i="20"/>
  <c r="BJ386" i="20"/>
  <c r="CF386" i="20"/>
  <c r="CG386" i="20"/>
  <c r="AV386" i="20"/>
  <c r="CA210" i="20"/>
  <c r="CN210" i="20"/>
  <c r="Q210" i="20"/>
  <c r="AJ210" i="20"/>
  <c r="CK210" i="20"/>
  <c r="S210" i="20"/>
  <c r="BL210" i="20"/>
  <c r="Y210" i="20"/>
  <c r="AB265" i="20"/>
  <c r="BK265" i="20"/>
  <c r="CI265" i="20"/>
  <c r="Z265" i="20"/>
  <c r="BL265" i="20"/>
  <c r="CW265" i="20"/>
  <c r="AC265" i="20"/>
  <c r="BM265" i="20"/>
  <c r="CX265" i="20"/>
  <c r="AF265" i="20"/>
  <c r="BQ265" i="20"/>
  <c r="DA265" i="20"/>
  <c r="AV265" i="20"/>
  <c r="CG265" i="20"/>
  <c r="AX265" i="20"/>
  <c r="BU265" i="20"/>
  <c r="CD265" i="20"/>
  <c r="AN265" i="20"/>
  <c r="DF265" i="20"/>
  <c r="W265" i="20"/>
  <c r="AW265" i="20"/>
  <c r="AT265" i="20"/>
  <c r="CH265" i="20"/>
  <c r="CL265" i="20"/>
  <c r="DG265" i="20"/>
  <c r="BF190" i="20"/>
  <c r="DL190" i="20"/>
  <c r="CU190" i="20"/>
  <c r="AQ190" i="20"/>
  <c r="AW272" i="20"/>
  <c r="CD272" i="20"/>
  <c r="DD272" i="20"/>
  <c r="X272" i="20"/>
  <c r="BB272" i="20"/>
  <c r="CM272" i="20"/>
  <c r="AA272" i="20"/>
  <c r="BL272" i="20"/>
  <c r="CP272" i="20"/>
  <c r="AF272" i="20"/>
  <c r="BP272" i="20"/>
  <c r="DA272" i="20"/>
  <c r="AR272" i="20"/>
  <c r="BT272" i="20"/>
  <c r="DJ272" i="20"/>
  <c r="AZ272" i="20"/>
  <c r="BQ272" i="20"/>
  <c r="BR272" i="20"/>
  <c r="AG272" i="20"/>
  <c r="DB272" i="20"/>
  <c r="AS272" i="20"/>
  <c r="AH272" i="20"/>
  <c r="CG272" i="20"/>
  <c r="CK272" i="20"/>
  <c r="DC272" i="20"/>
  <c r="U319" i="20"/>
  <c r="AP319" i="20"/>
  <c r="BN319" i="20"/>
  <c r="CG319" i="20"/>
  <c r="DE319" i="20"/>
  <c r="V319" i="20"/>
  <c r="AQ319" i="20"/>
  <c r="BO319" i="20"/>
  <c r="CN319" i="20"/>
  <c r="DF319" i="20"/>
  <c r="Y319" i="20"/>
  <c r="AX319" i="20"/>
  <c r="BP319" i="20"/>
  <c r="CP319" i="20"/>
  <c r="DJ319" i="20"/>
  <c r="AI319" i="20"/>
  <c r="BB319" i="20"/>
  <c r="BZ319" i="20"/>
  <c r="CU319" i="20"/>
  <c r="AL319" i="20"/>
  <c r="CF319" i="20"/>
  <c r="AZ319" i="20"/>
  <c r="CS319" i="20"/>
  <c r="BA319" i="20"/>
  <c r="CT319" i="20"/>
  <c r="BM319" i="20"/>
  <c r="DD319" i="20"/>
  <c r="CD319" i="20"/>
  <c r="DC319" i="20"/>
  <c r="Z319" i="20"/>
  <c r="AB319" i="20"/>
  <c r="AJ319" i="20"/>
  <c r="BE319" i="20"/>
  <c r="BR319" i="20"/>
  <c r="BY319" i="20"/>
  <c r="CA241" i="20"/>
  <c r="AU241" i="20"/>
  <c r="AQ241" i="20"/>
  <c r="AW271" i="20"/>
  <c r="AE271" i="20"/>
  <c r="DH271" i="20"/>
  <c r="AG271" i="20"/>
  <c r="AH271" i="20"/>
  <c r="BT271" i="20"/>
  <c r="BR271" i="20"/>
  <c r="BS271" i="20"/>
  <c r="DD271" i="20"/>
  <c r="DE271" i="20"/>
  <c r="V284" i="20"/>
  <c r="BD284" i="20"/>
  <c r="CR284" i="20"/>
  <c r="BW361" i="20"/>
  <c r="CM361" i="20"/>
  <c r="DA361" i="20"/>
  <c r="BJ361" i="20"/>
  <c r="S361" i="20"/>
  <c r="AW361" i="20"/>
  <c r="AG361" i="20"/>
  <c r="CP235" i="20"/>
  <c r="DA235" i="20"/>
  <c r="BI235" i="20"/>
  <c r="BM258" i="20"/>
  <c r="DL258" i="20"/>
  <c r="BR258" i="20"/>
  <c r="AY258" i="20"/>
  <c r="BT184" i="20"/>
  <c r="BW184" i="20"/>
  <c r="T305" i="20"/>
  <c r="Y305" i="20"/>
  <c r="AT305" i="20"/>
  <c r="BY305" i="20"/>
  <c r="AS305" i="20"/>
  <c r="BZ305" i="20"/>
  <c r="DE305" i="20"/>
  <c r="AW305" i="20"/>
  <c r="CC305" i="20"/>
  <c r="DF305" i="20"/>
  <c r="AD305" i="20"/>
  <c r="BO305" i="20"/>
  <c r="DI305" i="20"/>
  <c r="AH305" i="20"/>
  <c r="BX305" i="20"/>
  <c r="DL305" i="20"/>
  <c r="AP305" i="20"/>
  <c r="CF305" i="20"/>
  <c r="BG305" i="20"/>
  <c r="CT305" i="20"/>
  <c r="BN305" i="20"/>
  <c r="CM305" i="20"/>
  <c r="CP305" i="20"/>
  <c r="AA305" i="20"/>
  <c r="CV305" i="20"/>
  <c r="BJ305" i="20"/>
  <c r="CU305" i="20"/>
  <c r="BF305" i="20"/>
  <c r="AR305" i="20"/>
  <c r="BE244" i="20"/>
  <c r="CM244" i="20"/>
  <c r="DK244" i="20"/>
  <c r="AT289" i="20"/>
  <c r="AX289" i="20"/>
  <c r="CV289" i="20"/>
  <c r="W289" i="20"/>
  <c r="CW289" i="20"/>
  <c r="BJ289" i="20"/>
  <c r="BK289" i="20"/>
  <c r="CD289" i="20"/>
  <c r="AP289" i="20"/>
  <c r="Y289" i="20"/>
  <c r="AI276" i="20"/>
  <c r="CO276" i="20"/>
  <c r="BH276" i="20"/>
  <c r="CB276" i="20"/>
  <c r="CS276" i="20"/>
  <c r="BB276" i="20"/>
  <c r="BE276" i="20"/>
  <c r="CT276" i="20"/>
  <c r="R276" i="20"/>
  <c r="AK276" i="20"/>
  <c r="T276" i="20"/>
  <c r="AP283" i="20"/>
  <c r="T283" i="20"/>
  <c r="CS283" i="20"/>
  <c r="BZ283" i="20"/>
  <c r="CY283" i="20"/>
  <c r="X283" i="20"/>
  <c r="DJ283" i="20"/>
  <c r="BM283" i="20"/>
  <c r="BY283" i="20"/>
  <c r="DL283" i="20"/>
  <c r="AL283" i="20"/>
  <c r="BE283" i="20"/>
  <c r="AN283" i="20"/>
  <c r="AL139" i="20"/>
  <c r="BC139" i="20"/>
  <c r="BI139" i="20"/>
  <c r="Z307" i="20"/>
  <c r="AK307" i="20"/>
  <c r="BP307" i="20"/>
  <c r="CT307" i="20"/>
  <c r="Q307" i="20"/>
  <c r="AT307" i="20"/>
  <c r="BQ307" i="20"/>
  <c r="CV307" i="20"/>
  <c r="AB307" i="20"/>
  <c r="BI307" i="20"/>
  <c r="CW307" i="20"/>
  <c r="AC307" i="20"/>
  <c r="BN307" i="20"/>
  <c r="CX307" i="20"/>
  <c r="AH307" i="20"/>
  <c r="BR307" i="20"/>
  <c r="DA307" i="20"/>
  <c r="AX307" i="20"/>
  <c r="CE307" i="20"/>
  <c r="S307" i="20"/>
  <c r="CL307" i="20"/>
  <c r="AJ307" i="20"/>
  <c r="DJ307" i="20"/>
  <c r="AW307" i="20"/>
  <c r="DK307" i="20"/>
  <c r="BB307" i="20"/>
  <c r="CH307" i="20"/>
  <c r="R307" i="20"/>
  <c r="AY307" i="20"/>
  <c r="CD307" i="20"/>
  <c r="CC307" i="20"/>
  <c r="AB354" i="20"/>
  <c r="CN354" i="20"/>
  <c r="DF354" i="20"/>
  <c r="X354" i="20"/>
  <c r="AM354" i="20"/>
  <c r="BF354" i="20"/>
  <c r="BY354" i="20"/>
  <c r="X331" i="20"/>
  <c r="AG331" i="20"/>
  <c r="CU331" i="20"/>
  <c r="BN331" i="20"/>
  <c r="BO331" i="20"/>
  <c r="CF331" i="20"/>
  <c r="S331" i="20"/>
  <c r="DA331" i="20"/>
  <c r="AZ331" i="20"/>
  <c r="CH331" i="20"/>
  <c r="AH331" i="20"/>
  <c r="AY331" i="20"/>
  <c r="AC248" i="20"/>
  <c r="CL248" i="20"/>
  <c r="AX248" i="20"/>
  <c r="DL248" i="20"/>
  <c r="BE248" i="20"/>
  <c r="CR248" i="20"/>
  <c r="W248" i="20"/>
  <c r="Y248" i="20"/>
  <c r="BN248" i="20"/>
  <c r="CI248" i="20"/>
  <c r="AF248" i="20"/>
  <c r="CE248" i="20"/>
  <c r="BI248" i="20"/>
  <c r="AJ262" i="20"/>
  <c r="BT262" i="20"/>
  <c r="CT262" i="20"/>
  <c r="AV262" i="20"/>
  <c r="CC262" i="20"/>
  <c r="Q262" i="20"/>
  <c r="BA262" i="20"/>
  <c r="CL262" i="20"/>
  <c r="S262" i="20"/>
  <c r="BD262" i="20"/>
  <c r="CN262" i="20"/>
  <c r="AH262" i="20"/>
  <c r="BR262" i="20"/>
  <c r="DD262" i="20"/>
  <c r="AN262" i="20"/>
  <c r="DI262" i="20"/>
  <c r="BE262" i="20"/>
  <c r="BF262" i="20"/>
  <c r="T262" i="20"/>
  <c r="CO262" i="20"/>
  <c r="AI262" i="20"/>
  <c r="BU262" i="20"/>
  <c r="BX262" i="20"/>
  <c r="DE262" i="20"/>
  <c r="AD262" i="20"/>
  <c r="CP262" i="20"/>
  <c r="AK295" i="20"/>
  <c r="BT295" i="20"/>
  <c r="CX295" i="20"/>
  <c r="Z295" i="20"/>
  <c r="BD295" i="20"/>
  <c r="CN295" i="20"/>
  <c r="AB295" i="20"/>
  <c r="BL295" i="20"/>
  <c r="CP295" i="20"/>
  <c r="AE295" i="20"/>
  <c r="BV295" i="20"/>
  <c r="AJ295" i="20"/>
  <c r="CG295" i="20"/>
  <c r="AU295" i="20"/>
  <c r="CH295" i="20"/>
  <c r="BA295" i="20"/>
  <c r="DC295" i="20"/>
  <c r="DE295" i="20"/>
  <c r="AV295" i="20"/>
  <c r="AW295" i="20"/>
  <c r="BU295" i="20"/>
  <c r="BP295" i="20"/>
  <c r="CK295" i="20"/>
  <c r="DB295" i="20"/>
  <c r="DD295" i="20"/>
  <c r="H5" i="20"/>
  <c r="K329" i="20"/>
  <c r="K69" i="20"/>
  <c r="H405" i="20"/>
  <c r="H196" i="20"/>
  <c r="K343" i="20"/>
  <c r="K61" i="20"/>
  <c r="H107" i="20"/>
  <c r="H368" i="20"/>
  <c r="H394" i="20"/>
  <c r="H72" i="20"/>
  <c r="H206" i="20"/>
  <c r="H205" i="20"/>
  <c r="K112" i="20"/>
  <c r="H68" i="20"/>
  <c r="H281" i="20"/>
  <c r="H139" i="20"/>
  <c r="K65" i="20"/>
  <c r="H131" i="20"/>
  <c r="H287" i="20"/>
  <c r="K162" i="20"/>
  <c r="H236" i="20"/>
  <c r="H36" i="20"/>
  <c r="DJ2" i="20"/>
  <c r="CW2" i="20"/>
  <c r="CL2" i="20"/>
  <c r="BY2" i="20"/>
  <c r="BM2" i="20"/>
  <c r="AZ2" i="20"/>
  <c r="AO2" i="20"/>
  <c r="AB2" i="20"/>
  <c r="DL417" i="20"/>
  <c r="CY417" i="20"/>
  <c r="CN417" i="20"/>
  <c r="BZ417" i="20"/>
  <c r="BN417" i="20"/>
  <c r="AZ417" i="20"/>
  <c r="AF417" i="20"/>
  <c r="DD415" i="20"/>
  <c r="BP415" i="20"/>
  <c r="AN415" i="20"/>
  <c r="CV414" i="20"/>
  <c r="AW414" i="20"/>
  <c r="DH413" i="20"/>
  <c r="CF413" i="20"/>
  <c r="BH413" i="20"/>
  <c r="AD413" i="20"/>
  <c r="CU412" i="20"/>
  <c r="BX412" i="20"/>
  <c r="AT412" i="20"/>
  <c r="CT410" i="20"/>
  <c r="BM410" i="20"/>
  <c r="AF410" i="20"/>
  <c r="CY409" i="20"/>
  <c r="CD409" i="20"/>
  <c r="BI409" i="20"/>
  <c r="AM409" i="20"/>
  <c r="BL408" i="20"/>
  <c r="DE407" i="20"/>
  <c r="W407" i="20"/>
  <c r="CM406" i="20"/>
  <c r="BJ406" i="20"/>
  <c r="CZ405" i="20"/>
  <c r="BR405" i="20"/>
  <c r="AJ405" i="20"/>
  <c r="DC404" i="20"/>
  <c r="CH404" i="20"/>
  <c r="BM404" i="20"/>
  <c r="AQ404" i="20"/>
  <c r="CB403" i="20"/>
  <c r="CF402" i="20"/>
  <c r="AG402" i="20"/>
  <c r="CR400" i="20"/>
  <c r="CI399" i="20"/>
  <c r="AN399" i="20"/>
  <c r="BH398" i="20"/>
  <c r="CZ397" i="20"/>
  <c r="CB397" i="20"/>
  <c r="BC397" i="20"/>
  <c r="AE397" i="20"/>
  <c r="CK396" i="20"/>
  <c r="DE395" i="20"/>
  <c r="BX395" i="20"/>
  <c r="CF394" i="20"/>
  <c r="DD393" i="20"/>
  <c r="BV393" i="20"/>
  <c r="AN393" i="20"/>
  <c r="CN392" i="20"/>
  <c r="Z392" i="20"/>
  <c r="CR390" i="20"/>
  <c r="BG390" i="20"/>
  <c r="U390" i="20"/>
  <c r="BW389" i="20"/>
  <c r="CU386" i="20"/>
  <c r="CN385" i="20"/>
  <c r="AJ385" i="20"/>
  <c r="CN383" i="20"/>
  <c r="CM381" i="20"/>
  <c r="AY379" i="20"/>
  <c r="AX378" i="20"/>
  <c r="DG376" i="20"/>
  <c r="BV375" i="20"/>
  <c r="AB372" i="20"/>
  <c r="AH369" i="20"/>
  <c r="BQ366" i="20"/>
  <c r="AU364" i="20"/>
  <c r="CR355" i="20"/>
  <c r="DA351" i="20"/>
  <c r="BZ330" i="20"/>
  <c r="Q416" i="20"/>
  <c r="T416" i="20"/>
  <c r="DB416" i="20"/>
  <c r="AF416" i="20"/>
  <c r="DL416" i="20"/>
  <c r="AP416" i="20"/>
  <c r="AF336" i="20"/>
  <c r="BK336" i="20"/>
  <c r="BZ336" i="20"/>
  <c r="CR336" i="20"/>
  <c r="AS336" i="20"/>
  <c r="DG336" i="20"/>
  <c r="Z336" i="20"/>
  <c r="BL413" i="20"/>
  <c r="W411" i="20"/>
  <c r="AD411" i="20"/>
  <c r="BT411" i="20"/>
  <c r="DL411" i="20"/>
  <c r="AM411" i="20"/>
  <c r="CD411" i="20"/>
  <c r="AN411" i="20"/>
  <c r="CF411" i="20"/>
  <c r="T411" i="20"/>
  <c r="BJ411" i="20"/>
  <c r="H140" i="20"/>
  <c r="AH412" i="20"/>
  <c r="AX412" i="20"/>
  <c r="BO412" i="20"/>
  <c r="CF412" i="20"/>
  <c r="CV412" i="20"/>
  <c r="R412" i="20"/>
  <c r="AI412" i="20"/>
  <c r="AZ412" i="20"/>
  <c r="BP412" i="20"/>
  <c r="CJ412" i="20"/>
  <c r="CZ412" i="20"/>
  <c r="T412" i="20"/>
  <c r="AJ412" i="20"/>
  <c r="BD412" i="20"/>
  <c r="BT412" i="20"/>
  <c r="CK412" i="20"/>
  <c r="DB412" i="20"/>
  <c r="U348" i="20"/>
  <c r="CF348" i="20"/>
  <c r="CX348" i="20"/>
  <c r="BQ348" i="20"/>
  <c r="AX348" i="20"/>
  <c r="AE348" i="20"/>
  <c r="BC324" i="20"/>
  <c r="CZ324" i="20"/>
  <c r="BJ324" i="20"/>
  <c r="DB324" i="20"/>
  <c r="R324" i="20"/>
  <c r="BL324" i="20"/>
  <c r="DE324" i="20"/>
  <c r="Y324" i="20"/>
  <c r="CD324" i="20"/>
  <c r="AH324" i="20"/>
  <c r="CR324" i="20"/>
  <c r="AK324" i="20"/>
  <c r="AX324" i="20"/>
  <c r="AL324" i="20"/>
  <c r="BY324" i="20"/>
  <c r="CA324" i="20"/>
  <c r="CB324" i="20"/>
  <c r="R387" i="20"/>
  <c r="AG387" i="20"/>
  <c r="BE387" i="20"/>
  <c r="CD387" i="20"/>
  <c r="DB387" i="20"/>
  <c r="AI387" i="20"/>
  <c r="BM387" i="20"/>
  <c r="CN387" i="20"/>
  <c r="AN387" i="20"/>
  <c r="BO387" i="20"/>
  <c r="CP387" i="20"/>
  <c r="Q387" i="20"/>
  <c r="AR387" i="20"/>
  <c r="BR387" i="20"/>
  <c r="CQ387" i="20"/>
  <c r="AB387" i="20"/>
  <c r="BD387" i="20"/>
  <c r="AE387" i="20"/>
  <c r="CE387" i="20"/>
  <c r="AT387" i="20"/>
  <c r="CL387" i="20"/>
  <c r="AU387" i="20"/>
  <c r="CX387" i="20"/>
  <c r="T387" i="20"/>
  <c r="BX387" i="20"/>
  <c r="Y406" i="20"/>
  <c r="AA406" i="20"/>
  <c r="AO406" i="20"/>
  <c r="BD406" i="20"/>
  <c r="BR406" i="20"/>
  <c r="CE406" i="20"/>
  <c r="CT406" i="20"/>
  <c r="DI406" i="20"/>
  <c r="AB406" i="20"/>
  <c r="AP406" i="20"/>
  <c r="BF406" i="20"/>
  <c r="BT406" i="20"/>
  <c r="CF406" i="20"/>
  <c r="CV406" i="20"/>
  <c r="DJ406" i="20"/>
  <c r="Q406" i="20"/>
  <c r="AD406" i="20"/>
  <c r="AR406" i="20"/>
  <c r="BG406" i="20"/>
  <c r="BU406" i="20"/>
  <c r="CJ406" i="20"/>
  <c r="CX406" i="20"/>
  <c r="DK406" i="20"/>
  <c r="X406" i="20"/>
  <c r="AL406" i="20"/>
  <c r="AY406" i="20"/>
  <c r="BN406" i="20"/>
  <c r="CC406" i="20"/>
  <c r="CP406" i="20"/>
  <c r="DD406" i="20"/>
  <c r="AD339" i="20"/>
  <c r="AQ339" i="20"/>
  <c r="BX339" i="20"/>
  <c r="DF339" i="20"/>
  <c r="AT339" i="20"/>
  <c r="CE339" i="20"/>
  <c r="DL339" i="20"/>
  <c r="AY339" i="20"/>
  <c r="CF339" i="20"/>
  <c r="Y339" i="20"/>
  <c r="BJ339" i="20"/>
  <c r="CR339" i="20"/>
  <c r="BO339" i="20"/>
  <c r="S339" i="20"/>
  <c r="CH339" i="20"/>
  <c r="AF339" i="20"/>
  <c r="CT339" i="20"/>
  <c r="AG339" i="20"/>
  <c r="CU339" i="20"/>
  <c r="AH339" i="20"/>
  <c r="AZ339" i="20"/>
  <c r="DA339" i="20"/>
  <c r="BN339" i="20"/>
  <c r="U404" i="20"/>
  <c r="T404" i="20"/>
  <c r="AA404" i="20"/>
  <c r="AL404" i="20"/>
  <c r="AW404" i="20"/>
  <c r="BG404" i="20"/>
  <c r="BR404" i="20"/>
  <c r="CC404" i="20"/>
  <c r="CM404" i="20"/>
  <c r="CX404" i="20"/>
  <c r="DI404" i="20"/>
  <c r="Q404" i="20"/>
  <c r="AB404" i="20"/>
  <c r="AN404" i="20"/>
  <c r="AX404" i="20"/>
  <c r="BH404" i="20"/>
  <c r="BT404" i="20"/>
  <c r="CD404" i="20"/>
  <c r="CN404" i="20"/>
  <c r="CZ404" i="20"/>
  <c r="DJ404" i="20"/>
  <c r="R404" i="20"/>
  <c r="AD404" i="20"/>
  <c r="AO404" i="20"/>
  <c r="AY404" i="20"/>
  <c r="BJ404" i="20"/>
  <c r="BU404" i="20"/>
  <c r="CE404" i="20"/>
  <c r="CP404" i="20"/>
  <c r="DA404" i="20"/>
  <c r="DK404" i="20"/>
  <c r="Y404" i="20"/>
  <c r="AI404" i="20"/>
  <c r="AT404" i="20"/>
  <c r="BE404" i="20"/>
  <c r="BO404" i="20"/>
  <c r="BZ404" i="20"/>
  <c r="CK404" i="20"/>
  <c r="CU404" i="20"/>
  <c r="DF404" i="20"/>
  <c r="Q409" i="20"/>
  <c r="W409" i="20"/>
  <c r="AH409" i="20"/>
  <c r="AS409" i="20"/>
  <c r="BC409" i="20"/>
  <c r="BN409" i="20"/>
  <c r="BY409" i="20"/>
  <c r="CI409" i="20"/>
  <c r="CT409" i="20"/>
  <c r="DE409" i="20"/>
  <c r="X409" i="20"/>
  <c r="AJ409" i="20"/>
  <c r="AT409" i="20"/>
  <c r="BD409" i="20"/>
  <c r="BP409" i="20"/>
  <c r="BZ409" i="20"/>
  <c r="CJ409" i="20"/>
  <c r="CV409" i="20"/>
  <c r="DF409" i="20"/>
  <c r="Z409" i="20"/>
  <c r="AK409" i="20"/>
  <c r="AU409" i="20"/>
  <c r="BF409" i="20"/>
  <c r="BQ409" i="20"/>
  <c r="CA409" i="20"/>
  <c r="CL409" i="20"/>
  <c r="CW409" i="20"/>
  <c r="DG409" i="20"/>
  <c r="U409" i="20"/>
  <c r="AE409" i="20"/>
  <c r="AP409" i="20"/>
  <c r="BA409" i="20"/>
  <c r="BK409" i="20"/>
  <c r="BV409" i="20"/>
  <c r="CG409" i="20"/>
  <c r="CQ409" i="20"/>
  <c r="DB409" i="20"/>
  <c r="AF328" i="20"/>
  <c r="AN328" i="20"/>
  <c r="BZ328" i="20"/>
  <c r="DL328" i="20"/>
  <c r="BE328" i="20"/>
  <c r="CY328" i="20"/>
  <c r="T328" i="20"/>
  <c r="BM328" i="20"/>
  <c r="CZ328" i="20"/>
  <c r="Z328" i="20"/>
  <c r="BN328" i="20"/>
  <c r="DA328" i="20"/>
  <c r="AD328" i="20"/>
  <c r="CC328" i="20"/>
  <c r="CV328" i="20"/>
  <c r="AC328" i="20"/>
  <c r="AP328" i="20"/>
  <c r="AS328" i="20"/>
  <c r="CJ328" i="20"/>
  <c r="AX328" i="20"/>
  <c r="BP328" i="20"/>
  <c r="CI328" i="20"/>
  <c r="V403" i="20"/>
  <c r="T403" i="20"/>
  <c r="AN403" i="20"/>
  <c r="BJ403" i="20"/>
  <c r="CF403" i="20"/>
  <c r="CZ403" i="20"/>
  <c r="R403" i="20"/>
  <c r="AT403" i="20"/>
  <c r="BR403" i="20"/>
  <c r="CO403" i="20"/>
  <c r="DL403" i="20"/>
  <c r="X403" i="20"/>
  <c r="AV403" i="20"/>
  <c r="BS403" i="20"/>
  <c r="CP403" i="20"/>
  <c r="AB403" i="20"/>
  <c r="AX403" i="20"/>
  <c r="BT403" i="20"/>
  <c r="CV403" i="20"/>
  <c r="AL403" i="20"/>
  <c r="BI403" i="20"/>
  <c r="CJ403" i="20"/>
  <c r="DH403" i="20"/>
  <c r="X202" i="20"/>
  <c r="DH202" i="20"/>
  <c r="DA202" i="20"/>
  <c r="T360" i="20"/>
  <c r="W360" i="20"/>
  <c r="AK360" i="20"/>
  <c r="BA360" i="20"/>
  <c r="BN360" i="20"/>
  <c r="CA360" i="20"/>
  <c r="CQ360" i="20"/>
  <c r="DE360" i="20"/>
  <c r="X360" i="20"/>
  <c r="AM360" i="20"/>
  <c r="BB360" i="20"/>
  <c r="BP360" i="20"/>
  <c r="CD360" i="20"/>
  <c r="CR360" i="20"/>
  <c r="DF360" i="20"/>
  <c r="Z360" i="20"/>
  <c r="AP360" i="20"/>
  <c r="BC360" i="20"/>
  <c r="BQ360" i="20"/>
  <c r="CG360" i="20"/>
  <c r="CT360" i="20"/>
  <c r="DG360" i="20"/>
  <c r="AC360" i="20"/>
  <c r="AR360" i="20"/>
  <c r="BD360" i="20"/>
  <c r="BS360" i="20"/>
  <c r="CH360" i="20"/>
  <c r="CV360" i="20"/>
  <c r="DJ360" i="20"/>
  <c r="AJ360" i="20"/>
  <c r="BL360" i="20"/>
  <c r="CO360" i="20"/>
  <c r="AS360" i="20"/>
  <c r="BV360" i="20"/>
  <c r="CW360" i="20"/>
  <c r="R360" i="20"/>
  <c r="AT360" i="20"/>
  <c r="BX360" i="20"/>
  <c r="CY360" i="20"/>
  <c r="AE360" i="20"/>
  <c r="BF360" i="20"/>
  <c r="CI360" i="20"/>
  <c r="BK360" i="20"/>
  <c r="U360" i="20"/>
  <c r="BY360" i="20"/>
  <c r="V360" i="20"/>
  <c r="BZ360" i="20"/>
  <c r="AX360" i="20"/>
  <c r="DD360" i="20"/>
  <c r="AF360" i="20"/>
  <c r="AH360" i="20"/>
  <c r="CL360" i="20"/>
  <c r="AH318" i="20"/>
  <c r="AM318" i="20"/>
  <c r="BL318" i="20"/>
  <c r="CO318" i="20"/>
  <c r="AP318" i="20"/>
  <c r="BS318" i="20"/>
  <c r="CR318" i="20"/>
  <c r="V318" i="20"/>
  <c r="AT318" i="20"/>
  <c r="BV318" i="20"/>
  <c r="CT318" i="20"/>
  <c r="Z318" i="20"/>
  <c r="BE318" i="20"/>
  <c r="CB318" i="20"/>
  <c r="DG318" i="20"/>
  <c r="AL318" i="20"/>
  <c r="CL318" i="20"/>
  <c r="AU318" i="20"/>
  <c r="DB318" i="20"/>
  <c r="BD318" i="20"/>
  <c r="DF318" i="20"/>
  <c r="BI318" i="20"/>
  <c r="DI318" i="20"/>
  <c r="CK318" i="20"/>
  <c r="DH318" i="20"/>
  <c r="X318" i="20"/>
  <c r="Y318" i="20"/>
  <c r="CA318" i="20"/>
  <c r="AC318" i="20"/>
  <c r="BZ318" i="20"/>
  <c r="BF318" i="20"/>
  <c r="BY114" i="20"/>
  <c r="DF114" i="20"/>
  <c r="X370" i="20"/>
  <c r="AA370" i="20"/>
  <c r="AL370" i="20"/>
  <c r="AY370" i="20"/>
  <c r="BK370" i="20"/>
  <c r="BW370" i="20"/>
  <c r="CI370" i="20"/>
  <c r="CV370" i="20"/>
  <c r="DG370" i="20"/>
  <c r="R370" i="20"/>
  <c r="AC370" i="20"/>
  <c r="AP370" i="20"/>
  <c r="BB370" i="20"/>
  <c r="BN370" i="20"/>
  <c r="S370" i="20"/>
  <c r="AI370" i="20"/>
  <c r="AV370" i="20"/>
  <c r="BO370" i="20"/>
  <c r="CD370" i="20"/>
  <c r="CP370" i="20"/>
  <c r="DE370" i="20"/>
  <c r="T370" i="20"/>
  <c r="AJ370" i="20"/>
  <c r="BA370" i="20"/>
  <c r="BQ370" i="20"/>
  <c r="CE370" i="20"/>
  <c r="CR370" i="20"/>
  <c r="DF370" i="20"/>
  <c r="U370" i="20"/>
  <c r="AK370" i="20"/>
  <c r="BC370" i="20"/>
  <c r="BS370" i="20"/>
  <c r="CF370" i="20"/>
  <c r="CU370" i="20"/>
  <c r="DH370" i="20"/>
  <c r="AB370" i="20"/>
  <c r="AS370" i="20"/>
  <c r="BH370" i="20"/>
  <c r="BX370" i="20"/>
  <c r="CM370" i="20"/>
  <c r="CY370" i="20"/>
  <c r="AF370" i="20"/>
  <c r="BL370" i="20"/>
  <c r="CO370" i="20"/>
  <c r="AM370" i="20"/>
  <c r="BT370" i="20"/>
  <c r="CW370" i="20"/>
  <c r="AR370" i="20"/>
  <c r="BV370" i="20"/>
  <c r="CX370" i="20"/>
  <c r="Z370" i="20"/>
  <c r="BF370" i="20"/>
  <c r="CL370" i="20"/>
  <c r="AD370" i="20"/>
  <c r="CN370" i="20"/>
  <c r="AT370" i="20"/>
  <c r="DB370" i="20"/>
  <c r="AU370" i="20"/>
  <c r="DD370" i="20"/>
  <c r="CB370" i="20"/>
  <c r="Q395" i="20"/>
  <c r="R395" i="20"/>
  <c r="AC395" i="20"/>
  <c r="AM395" i="20"/>
  <c r="AX395" i="20"/>
  <c r="BI395" i="20"/>
  <c r="BS395" i="20"/>
  <c r="CD395" i="20"/>
  <c r="CO395" i="20"/>
  <c r="CY395" i="20"/>
  <c r="DJ395" i="20"/>
  <c r="T395" i="20"/>
  <c r="AD395" i="20"/>
  <c r="AN395" i="20"/>
  <c r="AZ395" i="20"/>
  <c r="BJ395" i="20"/>
  <c r="BT395" i="20"/>
  <c r="CF395" i="20"/>
  <c r="CP395" i="20"/>
  <c r="CZ395" i="20"/>
  <c r="DL395" i="20"/>
  <c r="U395" i="20"/>
  <c r="AE395" i="20"/>
  <c r="AP395" i="20"/>
  <c r="BA395" i="20"/>
  <c r="BK395" i="20"/>
  <c r="BV395" i="20"/>
  <c r="CG395" i="20"/>
  <c r="CQ395" i="20"/>
  <c r="DB395" i="20"/>
  <c r="AF395" i="20"/>
  <c r="AU395" i="20"/>
  <c r="BN395" i="20"/>
  <c r="CB395" i="20"/>
  <c r="CV395" i="20"/>
  <c r="AH395" i="20"/>
  <c r="AV395" i="20"/>
  <c r="BP395" i="20"/>
  <c r="CH395" i="20"/>
  <c r="CW395" i="20"/>
  <c r="AJ395" i="20"/>
  <c r="BB395" i="20"/>
  <c r="BQ395" i="20"/>
  <c r="CI395" i="20"/>
  <c r="CX395" i="20"/>
  <c r="Z395" i="20"/>
  <c r="AS395" i="20"/>
  <c r="BH395" i="20"/>
  <c r="BZ395" i="20"/>
  <c r="CR395" i="20"/>
  <c r="DG395" i="20"/>
  <c r="AG282" i="20"/>
  <c r="U282" i="20"/>
  <c r="AV282" i="20"/>
  <c r="CE282" i="20"/>
  <c r="AN282" i="20"/>
  <c r="BP282" i="20"/>
  <c r="DA282" i="20"/>
  <c r="AP282" i="20"/>
  <c r="BZ282" i="20"/>
  <c r="DB282" i="20"/>
  <c r="AS282" i="20"/>
  <c r="CD282" i="20"/>
  <c r="V282" i="20"/>
  <c r="CF282" i="20"/>
  <c r="AB282" i="20"/>
  <c r="CJ282" i="20"/>
  <c r="AD282" i="20"/>
  <c r="CR282" i="20"/>
  <c r="BG282" i="20"/>
  <c r="T282" i="20"/>
  <c r="AT282" i="20"/>
  <c r="BF282" i="20"/>
  <c r="BO282" i="20"/>
  <c r="CZ282" i="20"/>
  <c r="BM282" i="20"/>
  <c r="CW282" i="20"/>
  <c r="AE263" i="20"/>
  <c r="BN263" i="20"/>
  <c r="CO263" i="20"/>
  <c r="Q263" i="20"/>
  <c r="BB263" i="20"/>
  <c r="CL263" i="20"/>
  <c r="R263" i="20"/>
  <c r="BC263" i="20"/>
  <c r="CN263" i="20"/>
  <c r="AC263" i="20"/>
  <c r="BD263" i="20"/>
  <c r="CP263" i="20"/>
  <c r="AL263" i="20"/>
  <c r="BV263" i="20"/>
  <c r="DG263" i="20"/>
  <c r="CH263" i="20"/>
  <c r="AD263" i="20"/>
  <c r="CZ263" i="20"/>
  <c r="AH263" i="20"/>
  <c r="DD263" i="20"/>
  <c r="BP263" i="20"/>
  <c r="BY263" i="20"/>
  <c r="DI263" i="20"/>
  <c r="BS263" i="20"/>
  <c r="AW263" i="20"/>
  <c r="AT263" i="20"/>
  <c r="DE212" i="20"/>
  <c r="DH212" i="20"/>
  <c r="AR212" i="20"/>
  <c r="AW212" i="20"/>
  <c r="AZ212" i="20"/>
  <c r="BK212" i="20"/>
  <c r="CV212" i="20"/>
  <c r="DG212" i="20"/>
  <c r="BN156" i="20"/>
  <c r="BO156" i="20"/>
  <c r="W251" i="20"/>
  <c r="BT251" i="20"/>
  <c r="DD251" i="20"/>
  <c r="AN251" i="20"/>
  <c r="CC251" i="20"/>
  <c r="AV251" i="20"/>
  <c r="CF251" i="20"/>
  <c r="BC251" i="20"/>
  <c r="BS251" i="20"/>
  <c r="Q251" i="20"/>
  <c r="BU251" i="20"/>
  <c r="AC251" i="20"/>
  <c r="CZ251" i="20"/>
  <c r="R251" i="20"/>
  <c r="T251" i="20"/>
  <c r="CS251" i="20"/>
  <c r="AX251" i="20"/>
  <c r="AZ251" i="20"/>
  <c r="DA251" i="20"/>
  <c r="CY251" i="20"/>
  <c r="BE252" i="20"/>
  <c r="Y252" i="20"/>
  <c r="BO252" i="20"/>
  <c r="DF252" i="20"/>
  <c r="AG252" i="20"/>
  <c r="AJ252" i="20"/>
  <c r="CK252" i="20"/>
  <c r="AK252" i="20"/>
  <c r="CM252" i="20"/>
  <c r="BB252" i="20"/>
  <c r="DD252" i="20"/>
  <c r="BY252" i="20"/>
  <c r="X252" i="20"/>
  <c r="BD252" i="20"/>
  <c r="BG252" i="20"/>
  <c r="DE252" i="20"/>
  <c r="CJ252" i="20"/>
  <c r="CE252" i="20"/>
  <c r="CQ151" i="20"/>
  <c r="CP151" i="20"/>
  <c r="R312" i="20"/>
  <c r="AN312" i="20"/>
  <c r="BK312" i="20"/>
  <c r="CP312" i="20"/>
  <c r="AC312" i="20"/>
  <c r="BI312" i="20"/>
  <c r="CO312" i="20"/>
  <c r="AD312" i="20"/>
  <c r="BJ312" i="20"/>
  <c r="CQ312" i="20"/>
  <c r="AE312" i="20"/>
  <c r="BN312" i="20"/>
  <c r="CT312" i="20"/>
  <c r="AV312" i="20"/>
  <c r="CB312" i="20"/>
  <c r="DH312" i="20"/>
  <c r="Z312" i="20"/>
  <c r="CD312" i="20"/>
  <c r="AO312" i="20"/>
  <c r="CX312" i="20"/>
  <c r="AT312" i="20"/>
  <c r="DF312" i="20"/>
  <c r="BF312" i="20"/>
  <c r="DJ312" i="20"/>
  <c r="CC312" i="20"/>
  <c r="DI312" i="20"/>
  <c r="X312" i="20"/>
  <c r="AW312" i="20"/>
  <c r="BU312" i="20"/>
  <c r="BZ312" i="20"/>
  <c r="Q389" i="20"/>
  <c r="W389" i="20"/>
  <c r="AJ389" i="20"/>
  <c r="AV389" i="20"/>
  <c r="BG389" i="20"/>
  <c r="BU389" i="20"/>
  <c r="CF389" i="20"/>
  <c r="CR389" i="20"/>
  <c r="T389" i="20"/>
  <c r="AH389" i="20"/>
  <c r="AW389" i="20"/>
  <c r="BL389" i="20"/>
  <c r="BX389" i="20"/>
  <c r="CM389" i="20"/>
  <c r="CZ389" i="20"/>
  <c r="DL389" i="20"/>
  <c r="V389" i="20"/>
  <c r="AL389" i="20"/>
  <c r="AX389" i="20"/>
  <c r="BM389" i="20"/>
  <c r="BZ389" i="20"/>
  <c r="CN389" i="20"/>
  <c r="DA389" i="20"/>
  <c r="Y389" i="20"/>
  <c r="AM389" i="20"/>
  <c r="AZ389" i="20"/>
  <c r="BN389" i="20"/>
  <c r="CB389" i="20"/>
  <c r="CP389" i="20"/>
  <c r="DC389" i="20"/>
  <c r="S389" i="20"/>
  <c r="AQ389" i="20"/>
  <c r="BO389" i="20"/>
  <c r="CI389" i="20"/>
  <c r="DG389" i="20"/>
  <c r="AA389" i="20"/>
  <c r="AT389" i="20"/>
  <c r="BP389" i="20"/>
  <c r="CK389" i="20"/>
  <c r="DH389" i="20"/>
  <c r="AB389" i="20"/>
  <c r="AU389" i="20"/>
  <c r="BS389" i="20"/>
  <c r="CQ389" i="20"/>
  <c r="DI389" i="20"/>
  <c r="AN389" i="20"/>
  <c r="BF389" i="20"/>
  <c r="CE389" i="20"/>
  <c r="CY389" i="20"/>
  <c r="AC309" i="20"/>
  <c r="AJ309" i="20"/>
  <c r="BH309" i="20"/>
  <c r="CL309" i="20"/>
  <c r="AL309" i="20"/>
  <c r="BP309" i="20"/>
  <c r="CN309" i="20"/>
  <c r="T309" i="20"/>
  <c r="BA309" i="20"/>
  <c r="CO309" i="20"/>
  <c r="U309" i="20"/>
  <c r="BF309" i="20"/>
  <c r="CX309" i="20"/>
  <c r="Z309" i="20"/>
  <c r="BR309" i="20"/>
  <c r="DA309" i="20"/>
  <c r="AP309" i="20"/>
  <c r="BW309" i="20"/>
  <c r="DF309" i="20"/>
  <c r="AZ309" i="20"/>
  <c r="BU309" i="20"/>
  <c r="BV309" i="20"/>
  <c r="S309" i="20"/>
  <c r="CG309" i="20"/>
  <c r="R309" i="20"/>
  <c r="AG309" i="20"/>
  <c r="AO309" i="20"/>
  <c r="DC309" i="20"/>
  <c r="AY309" i="20"/>
  <c r="DB309" i="20"/>
  <c r="X291" i="20"/>
  <c r="T291" i="20"/>
  <c r="BH291" i="20"/>
  <c r="CS291" i="20"/>
  <c r="AS287" i="20"/>
  <c r="BQ287" i="20"/>
  <c r="DB287" i="20"/>
  <c r="AE287" i="20"/>
  <c r="DA287" i="20"/>
  <c r="Z287" i="20"/>
  <c r="BP287" i="20"/>
  <c r="BJ243" i="20"/>
  <c r="CP243" i="20"/>
  <c r="CQ243" i="20"/>
  <c r="AW246" i="20"/>
  <c r="AP246" i="20"/>
  <c r="AS297" i="20"/>
  <c r="DI297" i="20"/>
  <c r="AR297" i="20"/>
  <c r="BJ297" i="20"/>
  <c r="AA297" i="20"/>
  <c r="AP297" i="20"/>
  <c r="BX297" i="20"/>
  <c r="CT297" i="20"/>
  <c r="BY297" i="20"/>
  <c r="BZ297" i="20"/>
  <c r="DF297" i="20"/>
  <c r="DE297" i="20"/>
  <c r="Z290" i="20"/>
  <c r="DB290" i="20"/>
  <c r="CC290" i="20"/>
  <c r="CU290" i="20"/>
  <c r="BL290" i="20"/>
  <c r="BY290" i="20"/>
  <c r="AK290" i="20"/>
  <c r="BI290" i="20"/>
  <c r="AO290" i="20"/>
  <c r="X290" i="20"/>
  <c r="AC374" i="20"/>
  <c r="BA374" i="20"/>
  <c r="BY374" i="20"/>
  <c r="CX374" i="20"/>
  <c r="AN374" i="20"/>
  <c r="BO374" i="20"/>
  <c r="CR374" i="20"/>
  <c r="AP374" i="20"/>
  <c r="BV374" i="20"/>
  <c r="CW374" i="20"/>
  <c r="S374" i="20"/>
  <c r="AV374" i="20"/>
  <c r="BX374" i="20"/>
  <c r="CY374" i="20"/>
  <c r="AD374" i="20"/>
  <c r="BL374" i="20"/>
  <c r="DH374" i="20"/>
  <c r="W374" i="20"/>
  <c r="BN374" i="20"/>
  <c r="DJ374" i="20"/>
  <c r="AB374" i="20"/>
  <c r="BZ374" i="20"/>
  <c r="DK374" i="20"/>
  <c r="BC374" i="20"/>
  <c r="CN374" i="20"/>
  <c r="DF374" i="20"/>
  <c r="AK374" i="20"/>
  <c r="AM374" i="20"/>
  <c r="CI374" i="20"/>
  <c r="BD268" i="20"/>
  <c r="S268" i="20"/>
  <c r="CP268" i="20"/>
  <c r="BE268" i="20"/>
  <c r="BF268" i="20"/>
  <c r="BI268" i="20"/>
  <c r="T268" i="20"/>
  <c r="CX268" i="20"/>
  <c r="CB268" i="20"/>
  <c r="U268" i="20"/>
  <c r="AP268" i="20"/>
  <c r="CT268" i="20"/>
  <c r="W380" i="20"/>
  <c r="AH380" i="20"/>
  <c r="BG380" i="20"/>
  <c r="CD380" i="20"/>
  <c r="DC380" i="20"/>
  <c r="Z380" i="20"/>
  <c r="AZ380" i="20"/>
  <c r="CH380" i="20"/>
  <c r="DG380" i="20"/>
  <c r="AA380" i="20"/>
  <c r="BI380" i="20"/>
  <c r="CI380" i="20"/>
  <c r="DJ380" i="20"/>
  <c r="AJ380" i="20"/>
  <c r="BJ380" i="20"/>
  <c r="CJ380" i="20"/>
  <c r="V380" i="20"/>
  <c r="AX380" i="20"/>
  <c r="BW380" i="20"/>
  <c r="CV380" i="20"/>
  <c r="AY380" i="20"/>
  <c r="DE380" i="20"/>
  <c r="BK380" i="20"/>
  <c r="BR380" i="20"/>
  <c r="AN380" i="20"/>
  <c r="CT380" i="20"/>
  <c r="AA349" i="20"/>
  <c r="AV349" i="20"/>
  <c r="CC349" i="20"/>
  <c r="BB349" i="20"/>
  <c r="CS349" i="20"/>
  <c r="Q349" i="20"/>
  <c r="BG349" i="20"/>
  <c r="CU349" i="20"/>
  <c r="Z349" i="20"/>
  <c r="BN349" i="20"/>
  <c r="CV349" i="20"/>
  <c r="AG349" i="20"/>
  <c r="BO349" i="20"/>
  <c r="CX349" i="20"/>
  <c r="CJ349" i="20"/>
  <c r="AH349" i="20"/>
  <c r="DH349" i="20"/>
  <c r="AI349" i="20"/>
  <c r="BP349" i="20"/>
  <c r="AR349" i="20"/>
  <c r="AW349" i="20"/>
  <c r="BZ349" i="20"/>
  <c r="CH349" i="20"/>
  <c r="AX270" i="20"/>
  <c r="AY270" i="20"/>
  <c r="DJ270" i="20"/>
  <c r="AL270" i="20"/>
  <c r="AZ270" i="20"/>
  <c r="CK270" i="20"/>
  <c r="CS270" i="20"/>
  <c r="BF270" i="20"/>
  <c r="CP270" i="20"/>
  <c r="BX270" i="20"/>
  <c r="T194" i="20"/>
  <c r="AJ194" i="20"/>
  <c r="DJ194" i="20"/>
  <c r="K416" i="20"/>
  <c r="K3" i="20"/>
  <c r="H314" i="20"/>
  <c r="DI2" i="20"/>
  <c r="CV2" i="20"/>
  <c r="CK2" i="20"/>
  <c r="BW2" i="20"/>
  <c r="BK2" i="20"/>
  <c r="AY2" i="20"/>
  <c r="AM2" i="20"/>
  <c r="AA2" i="20"/>
  <c r="DJ417" i="20"/>
  <c r="CX417" i="20"/>
  <c r="CJ417" i="20"/>
  <c r="BY417" i="20"/>
  <c r="BL417" i="20"/>
  <c r="AT417" i="20"/>
  <c r="AE417" i="20"/>
  <c r="CF416" i="20"/>
  <c r="CZ415" i="20"/>
  <c r="BN415" i="20"/>
  <c r="CN414" i="20"/>
  <c r="DF413" i="20"/>
  <c r="CB413" i="20"/>
  <c r="AZ413" i="20"/>
  <c r="AB413" i="20"/>
  <c r="CT412" i="20"/>
  <c r="BV412" i="20"/>
  <c r="AR412" i="20"/>
  <c r="DJ411" i="20"/>
  <c r="AX411" i="20"/>
  <c r="CS410" i="20"/>
  <c r="BL410" i="20"/>
  <c r="AB410" i="20"/>
  <c r="CX409" i="20"/>
  <c r="CB409" i="20"/>
  <c r="BH409" i="20"/>
  <c r="AL409" i="20"/>
  <c r="DL408" i="20"/>
  <c r="CV407" i="20"/>
  <c r="DL406" i="20"/>
  <c r="CL406" i="20"/>
  <c r="BH406" i="20"/>
  <c r="AF406" i="20"/>
  <c r="CX405" i="20"/>
  <c r="BP405" i="20"/>
  <c r="AF405" i="20"/>
  <c r="DB404" i="20"/>
  <c r="CF404" i="20"/>
  <c r="BL404" i="20"/>
  <c r="AP404" i="20"/>
  <c r="S404" i="20"/>
  <c r="BZ403" i="20"/>
  <c r="AC403" i="20"/>
  <c r="CD402" i="20"/>
  <c r="AF402" i="20"/>
  <c r="CF400" i="20"/>
  <c r="CH399" i="20"/>
  <c r="BG398" i="20"/>
  <c r="CY397" i="20"/>
  <c r="CA397" i="20"/>
  <c r="BB397" i="20"/>
  <c r="AD397" i="20"/>
  <c r="DD395" i="20"/>
  <c r="BR395" i="20"/>
  <c r="AK395" i="20"/>
  <c r="BX394" i="20"/>
  <c r="DB393" i="20"/>
  <c r="BT393" i="20"/>
  <c r="AJ393" i="20"/>
  <c r="CL392" i="20"/>
  <c r="T392" i="20"/>
  <c r="CQ390" i="20"/>
  <c r="DJ389" i="20"/>
  <c r="BV389" i="20"/>
  <c r="AD389" i="20"/>
  <c r="CZ387" i="20"/>
  <c r="CP386" i="20"/>
  <c r="CK385" i="20"/>
  <c r="AH385" i="20"/>
  <c r="CF381" i="20"/>
  <c r="BT380" i="20"/>
  <c r="AE379" i="20"/>
  <c r="AT378" i="20"/>
  <c r="CR376" i="20"/>
  <c r="AY374" i="20"/>
  <c r="U372" i="20"/>
  <c r="BD370" i="20"/>
  <c r="AT366" i="20"/>
  <c r="AJ364" i="20"/>
  <c r="BO355" i="20"/>
  <c r="AL351" i="20"/>
  <c r="DB340" i="20"/>
  <c r="AS330" i="20"/>
  <c r="CJ289" i="20"/>
  <c r="CQ413" i="20"/>
  <c r="AG322" i="20"/>
  <c r="BZ322" i="20"/>
  <c r="AH322" i="20"/>
  <c r="CB322" i="20"/>
  <c r="AV322" i="20"/>
  <c r="CP322" i="20"/>
  <c r="W322" i="20"/>
  <c r="CS322" i="20"/>
  <c r="Z322" i="20"/>
  <c r="DA322" i="20"/>
  <c r="BA322" i="20"/>
  <c r="DH322" i="20"/>
  <c r="BC322" i="20"/>
  <c r="BB322" i="20"/>
  <c r="BN322" i="20"/>
  <c r="BY322" i="20"/>
  <c r="CR322" i="20"/>
  <c r="Q408" i="20"/>
  <c r="T408" i="20"/>
  <c r="AY408" i="20"/>
  <c r="CD408" i="20"/>
  <c r="DB408" i="20"/>
  <c r="AB408" i="20"/>
  <c r="AZ408" i="20"/>
  <c r="CE408" i="20"/>
  <c r="DJ408" i="20"/>
  <c r="AD408" i="20"/>
  <c r="BH408" i="20"/>
  <c r="CF408" i="20"/>
  <c r="DK408" i="20"/>
  <c r="R408" i="20"/>
  <c r="AP408" i="20"/>
  <c r="BU408" i="20"/>
  <c r="CZ408" i="20"/>
  <c r="V337" i="20"/>
  <c r="AN337" i="20"/>
  <c r="BU337" i="20"/>
  <c r="DB337" i="20"/>
  <c r="AP337" i="20"/>
  <c r="BW337" i="20"/>
  <c r="DI337" i="20"/>
  <c r="AQ337" i="20"/>
  <c r="CC337" i="20"/>
  <c r="DJ337" i="20"/>
  <c r="T337" i="20"/>
  <c r="BB337" i="20"/>
  <c r="CM337" i="20"/>
  <c r="BL337" i="20"/>
  <c r="CD337" i="20"/>
  <c r="AA337" i="20"/>
  <c r="CP337" i="20"/>
  <c r="AB337" i="20"/>
  <c r="CR337" i="20"/>
  <c r="BJ337" i="20"/>
  <c r="CS337" i="20"/>
  <c r="DK337" i="20"/>
  <c r="AD337" i="20"/>
  <c r="BH337" i="20"/>
  <c r="U399" i="20"/>
  <c r="AJ399" i="20"/>
  <c r="BD399" i="20"/>
  <c r="BZ399" i="20"/>
  <c r="CV399" i="20"/>
  <c r="X399" i="20"/>
  <c r="AZ399" i="20"/>
  <c r="BX399" i="20"/>
  <c r="CT399" i="20"/>
  <c r="AD399" i="20"/>
  <c r="BB399" i="20"/>
  <c r="BY399" i="20"/>
  <c r="CZ399" i="20"/>
  <c r="AF399" i="20"/>
  <c r="BC399" i="20"/>
  <c r="CF399" i="20"/>
  <c r="DD399" i="20"/>
  <c r="V399" i="20"/>
  <c r="AS399" i="20"/>
  <c r="BP399" i="20"/>
  <c r="CP399" i="20"/>
  <c r="AC390" i="20"/>
  <c r="AN390" i="20"/>
  <c r="BA390" i="20"/>
  <c r="BN390" i="20"/>
  <c r="BY390" i="20"/>
  <c r="CL390" i="20"/>
  <c r="CX390" i="20"/>
  <c r="DJ390" i="20"/>
  <c r="S390" i="20"/>
  <c r="AD390" i="20"/>
  <c r="AP390" i="20"/>
  <c r="BC390" i="20"/>
  <c r="BO390" i="20"/>
  <c r="BZ390" i="20"/>
  <c r="CN390" i="20"/>
  <c r="CY390" i="20"/>
  <c r="DK390" i="20"/>
  <c r="T390" i="20"/>
  <c r="AE390" i="20"/>
  <c r="AR390" i="20"/>
  <c r="BD390" i="20"/>
  <c r="BP390" i="20"/>
  <c r="CB390" i="20"/>
  <c r="CO390" i="20"/>
  <c r="CZ390" i="20"/>
  <c r="AB390" i="20"/>
  <c r="AV390" i="20"/>
  <c r="BQ390" i="20"/>
  <c r="CH390" i="20"/>
  <c r="DD390" i="20"/>
  <c r="AF390" i="20"/>
  <c r="AX390" i="20"/>
  <c r="BS390" i="20"/>
  <c r="CI390" i="20"/>
  <c r="DF390" i="20"/>
  <c r="AI390" i="20"/>
  <c r="AY390" i="20"/>
  <c r="BV390" i="20"/>
  <c r="CP390" i="20"/>
  <c r="DG390" i="20"/>
  <c r="W390" i="20"/>
  <c r="AT390" i="20"/>
  <c r="BJ390" i="20"/>
  <c r="CF390" i="20"/>
  <c r="CW390" i="20"/>
  <c r="T323" i="20"/>
  <c r="AO323" i="20"/>
  <c r="BN323" i="20"/>
  <c r="CM323" i="20"/>
  <c r="DF323" i="20"/>
  <c r="V323" i="20"/>
  <c r="AW323" i="20"/>
  <c r="BP323" i="20"/>
  <c r="CN323" i="20"/>
  <c r="DI323" i="20"/>
  <c r="Z323" i="20"/>
  <c r="AX323" i="20"/>
  <c r="BQ323" i="20"/>
  <c r="CO323" i="20"/>
  <c r="AL323" i="20"/>
  <c r="CC323" i="20"/>
  <c r="AY323" i="20"/>
  <c r="CD323" i="20"/>
  <c r="AZ323" i="20"/>
  <c r="CE323" i="20"/>
  <c r="AA323" i="20"/>
  <c r="BI323" i="20"/>
  <c r="CT323" i="20"/>
  <c r="AK323" i="20"/>
  <c r="DD323" i="20"/>
  <c r="BB323" i="20"/>
  <c r="BJ323" i="20"/>
  <c r="BX323" i="20"/>
  <c r="AJ323" i="20"/>
  <c r="BZ323" i="20"/>
  <c r="CP323" i="20"/>
  <c r="AH323" i="20"/>
  <c r="DA323" i="20"/>
  <c r="DB323" i="20"/>
  <c r="T197" i="20"/>
  <c r="CE197" i="20"/>
  <c r="CV197" i="20"/>
  <c r="CZ197" i="20"/>
  <c r="DE197" i="20"/>
  <c r="Y414" i="20"/>
  <c r="Z414" i="20"/>
  <c r="AX414" i="20"/>
  <c r="CC414" i="20"/>
  <c r="DH414" i="20"/>
  <c r="AA414" i="20"/>
  <c r="BF414" i="20"/>
  <c r="CD414" i="20"/>
  <c r="DI414" i="20"/>
  <c r="AB414" i="20"/>
  <c r="BG414" i="20"/>
  <c r="CL414" i="20"/>
  <c r="DJ414" i="20"/>
  <c r="Z383" i="20"/>
  <c r="AB383" i="20"/>
  <c r="BD383" i="20"/>
  <c r="CM383" i="20"/>
  <c r="S383" i="20"/>
  <c r="BM383" i="20"/>
  <c r="CX383" i="20"/>
  <c r="AE383" i="20"/>
  <c r="BO383" i="20"/>
  <c r="CZ383" i="20"/>
  <c r="AG383" i="20"/>
  <c r="BR383" i="20"/>
  <c r="DB383" i="20"/>
  <c r="Q383" i="20"/>
  <c r="BB383" i="20"/>
  <c r="CL383" i="20"/>
  <c r="BC383" i="20"/>
  <c r="CA383" i="20"/>
  <c r="CB383" i="20"/>
  <c r="AQ383" i="20"/>
  <c r="DL383" i="20"/>
  <c r="T396" i="20"/>
  <c r="AR396" i="20"/>
  <c r="BP396" i="20"/>
  <c r="AT396" i="20"/>
  <c r="BX396" i="20"/>
  <c r="X396" i="20"/>
  <c r="AV396" i="20"/>
  <c r="BZ396" i="20"/>
  <c r="DD396" i="20"/>
  <c r="Y396" i="20"/>
  <c r="BN396" i="20"/>
  <c r="CV396" i="20"/>
  <c r="Z396" i="20"/>
  <c r="BO396" i="20"/>
  <c r="DF396" i="20"/>
  <c r="AH396" i="20"/>
  <c r="CB396" i="20"/>
  <c r="DH396" i="20"/>
  <c r="BE396" i="20"/>
  <c r="CT396" i="20"/>
  <c r="U356" i="20"/>
  <c r="AP356" i="20"/>
  <c r="CA356" i="20"/>
  <c r="DH356" i="20"/>
  <c r="AU356" i="20"/>
  <c r="CB356" i="20"/>
  <c r="DJ356" i="20"/>
  <c r="T356" i="20"/>
  <c r="BA356" i="20"/>
  <c r="CL356" i="20"/>
  <c r="Z356" i="20"/>
  <c r="BH356" i="20"/>
  <c r="CO356" i="20"/>
  <c r="BV356" i="20"/>
  <c r="AB356" i="20"/>
  <c r="CP356" i="20"/>
  <c r="AC356" i="20"/>
  <c r="CQ356" i="20"/>
  <c r="BI356" i="20"/>
  <c r="AL356" i="20"/>
  <c r="AN356" i="20"/>
  <c r="DG356" i="20"/>
  <c r="BS356" i="20"/>
  <c r="Z280" i="20"/>
  <c r="CF280" i="20"/>
  <c r="CH280" i="20"/>
  <c r="DE280" i="20"/>
  <c r="AB280" i="20"/>
  <c r="CG280" i="20"/>
  <c r="AV280" i="20"/>
  <c r="AS280" i="20"/>
  <c r="BP280" i="20"/>
  <c r="AW280" i="20"/>
  <c r="H19" i="20"/>
  <c r="R415" i="20"/>
  <c r="AF415" i="20"/>
  <c r="BB415" i="20"/>
  <c r="BX415" i="20"/>
  <c r="CR415" i="20"/>
  <c r="AH415" i="20"/>
  <c r="BC415" i="20"/>
  <c r="BY415" i="20"/>
  <c r="CT415" i="20"/>
  <c r="AJ415" i="20"/>
  <c r="BD415" i="20"/>
  <c r="BZ415" i="20"/>
  <c r="CV415" i="20"/>
  <c r="V335" i="20"/>
  <c r="AJ335" i="20"/>
  <c r="AX335" i="20"/>
  <c r="BM335" i="20"/>
  <c r="CB335" i="20"/>
  <c r="CN335" i="20"/>
  <c r="DC335" i="20"/>
  <c r="Y335" i="20"/>
  <c r="AL335" i="20"/>
  <c r="AY335" i="20"/>
  <c r="BO335" i="20"/>
  <c r="CC335" i="20"/>
  <c r="CP335" i="20"/>
  <c r="DF335" i="20"/>
  <c r="Z335" i="20"/>
  <c r="AN335" i="20"/>
  <c r="BB335" i="20"/>
  <c r="BP335" i="20"/>
  <c r="CD335" i="20"/>
  <c r="CS335" i="20"/>
  <c r="DH335" i="20"/>
  <c r="AB335" i="20"/>
  <c r="AQ335" i="20"/>
  <c r="BF335" i="20"/>
  <c r="BT335" i="20"/>
  <c r="CH335" i="20"/>
  <c r="CV335" i="20"/>
  <c r="DJ335" i="20"/>
  <c r="AI335" i="20"/>
  <c r="BJ335" i="20"/>
  <c r="CM335" i="20"/>
  <c r="AO335" i="20"/>
  <c r="BR335" i="20"/>
  <c r="CU335" i="20"/>
  <c r="Q335" i="20"/>
  <c r="AT335" i="20"/>
  <c r="BU335" i="20"/>
  <c r="CX335" i="20"/>
  <c r="R335" i="20"/>
  <c r="AV335" i="20"/>
  <c r="BW335" i="20"/>
  <c r="CZ335" i="20"/>
  <c r="AG335" i="20"/>
  <c r="CL335" i="20"/>
  <c r="AW335" i="20"/>
  <c r="DA335" i="20"/>
  <c r="BE335" i="20"/>
  <c r="DI335" i="20"/>
  <c r="S335" i="20"/>
  <c r="BZ335" i="20"/>
  <c r="AD335" i="20"/>
  <c r="BG335" i="20"/>
  <c r="BH335" i="20"/>
  <c r="AA335" i="20"/>
  <c r="CE335" i="20"/>
  <c r="CK335" i="20"/>
  <c r="AZ245" i="20"/>
  <c r="DI245" i="20"/>
  <c r="Q245" i="20"/>
  <c r="T401" i="20"/>
  <c r="AB401" i="20"/>
  <c r="DH401" i="20"/>
  <c r="AV401" i="20"/>
  <c r="BH401" i="20"/>
  <c r="BR401" i="20"/>
  <c r="AB391" i="20"/>
  <c r="CJ391" i="20"/>
  <c r="CV391" i="20"/>
  <c r="X391" i="20"/>
  <c r="DF391" i="20"/>
  <c r="BZ391" i="20"/>
  <c r="BD391" i="20"/>
  <c r="Y208" i="20"/>
  <c r="CW208" i="20"/>
  <c r="DB208" i="20"/>
  <c r="BV260" i="20"/>
  <c r="CV260" i="20"/>
  <c r="DH260" i="20"/>
  <c r="AY260" i="20"/>
  <c r="AI260" i="20"/>
  <c r="BH260" i="20"/>
  <c r="CU260" i="20"/>
  <c r="AB299" i="20"/>
  <c r="Q299" i="20"/>
  <c r="AX299" i="20"/>
  <c r="CE299" i="20"/>
  <c r="Y310" i="20"/>
  <c r="Q310" i="20"/>
  <c r="CR310" i="20"/>
  <c r="BS310" i="20"/>
  <c r="AP310" i="20"/>
  <c r="BQ308" i="20"/>
  <c r="CZ308" i="20"/>
  <c r="AH308" i="20"/>
  <c r="V302" i="20"/>
  <c r="AK302" i="20"/>
  <c r="AH302" i="20"/>
  <c r="BQ302" i="20"/>
  <c r="BR302" i="20"/>
  <c r="CX302" i="20"/>
  <c r="CY302" i="20"/>
  <c r="BL274" i="20"/>
  <c r="Z274" i="20"/>
  <c r="AQ274" i="20"/>
  <c r="BH274" i="20"/>
  <c r="CU274" i="20"/>
  <c r="X274" i="20"/>
  <c r="BJ274" i="20"/>
  <c r="CE274" i="20"/>
  <c r="R274" i="20"/>
  <c r="CV274" i="20"/>
  <c r="CW274" i="20"/>
  <c r="R240" i="20"/>
  <c r="Y240" i="20"/>
  <c r="DK240" i="20"/>
  <c r="Q369" i="20"/>
  <c r="AB369" i="20"/>
  <c r="AO369" i="20"/>
  <c r="BB369" i="20"/>
  <c r="BM369" i="20"/>
  <c r="BZ369" i="20"/>
  <c r="CL369" i="20"/>
  <c r="CX369" i="20"/>
  <c r="DJ369" i="20"/>
  <c r="S369" i="20"/>
  <c r="AF369" i="20"/>
  <c r="AR369" i="20"/>
  <c r="BD369" i="20"/>
  <c r="BP369" i="20"/>
  <c r="CC369" i="20"/>
  <c r="CN369" i="20"/>
  <c r="DA369" i="20"/>
  <c r="T369" i="20"/>
  <c r="AJ369" i="20"/>
  <c r="AZ369" i="20"/>
  <c r="BS369" i="20"/>
  <c r="CF369" i="20"/>
  <c r="CV369" i="20"/>
  <c r="W369" i="20"/>
  <c r="AL369" i="20"/>
  <c r="BC369" i="20"/>
  <c r="BT369" i="20"/>
  <c r="CI369" i="20"/>
  <c r="CY369" i="20"/>
  <c r="Y369" i="20"/>
  <c r="AM369" i="20"/>
  <c r="BE369" i="20"/>
  <c r="BU369" i="20"/>
  <c r="CK369" i="20"/>
  <c r="DC369" i="20"/>
  <c r="AD369" i="20"/>
  <c r="AU369" i="20"/>
  <c r="BK369" i="20"/>
  <c r="CB369" i="20"/>
  <c r="CR369" i="20"/>
  <c r="DG369" i="20"/>
  <c r="AI369" i="20"/>
  <c r="BN369" i="20"/>
  <c r="CU369" i="20"/>
  <c r="AQ369" i="20"/>
  <c r="BV369" i="20"/>
  <c r="DD369" i="20"/>
  <c r="AT369" i="20"/>
  <c r="BW369" i="20"/>
  <c r="DF369" i="20"/>
  <c r="AA369" i="20"/>
  <c r="BJ369" i="20"/>
  <c r="CP369" i="20"/>
  <c r="BL369" i="20"/>
  <c r="CD369" i="20"/>
  <c r="R369" i="20"/>
  <c r="CE369" i="20"/>
  <c r="AX369" i="20"/>
  <c r="DL369" i="20"/>
  <c r="T375" i="20"/>
  <c r="AF375" i="20"/>
  <c r="AR375" i="20"/>
  <c r="BE375" i="20"/>
  <c r="BP375" i="20"/>
  <c r="CC375" i="20"/>
  <c r="CP375" i="20"/>
  <c r="DA375" i="20"/>
  <c r="S375" i="20"/>
  <c r="AG375" i="20"/>
  <c r="AV375" i="20"/>
  <c r="BH375" i="20"/>
  <c r="BW375" i="20"/>
  <c r="CJ375" i="20"/>
  <c r="CY375" i="20"/>
  <c r="DK375" i="20"/>
  <c r="V375" i="20"/>
  <c r="AI375" i="20"/>
  <c r="AW375" i="20"/>
  <c r="BK375" i="20"/>
  <c r="BX375" i="20"/>
  <c r="CL375" i="20"/>
  <c r="CZ375" i="20"/>
  <c r="W375" i="20"/>
  <c r="AL375" i="20"/>
  <c r="AX375" i="20"/>
  <c r="BM375" i="20"/>
  <c r="BZ375" i="20"/>
  <c r="CN375" i="20"/>
  <c r="DB375" i="20"/>
  <c r="AE375" i="20"/>
  <c r="BD375" i="20"/>
  <c r="CA375" i="20"/>
  <c r="CU375" i="20"/>
  <c r="AM375" i="20"/>
  <c r="BF375" i="20"/>
  <c r="CE375" i="20"/>
  <c r="CX375" i="20"/>
  <c r="AN375" i="20"/>
  <c r="BG375" i="20"/>
  <c r="CF375" i="20"/>
  <c r="DD375" i="20"/>
  <c r="AB375" i="20"/>
  <c r="AY375" i="20"/>
  <c r="BT375" i="20"/>
  <c r="CR375" i="20"/>
  <c r="DJ375" i="20"/>
  <c r="BB375" i="20"/>
  <c r="CS375" i="20"/>
  <c r="Q375" i="20"/>
  <c r="BN375" i="20"/>
  <c r="DG375" i="20"/>
  <c r="X375" i="20"/>
  <c r="BO375" i="20"/>
  <c r="DH375" i="20"/>
  <c r="AP375" i="20"/>
  <c r="CI375" i="20"/>
  <c r="BD213" i="20"/>
  <c r="DE213" i="20"/>
  <c r="BP213" i="20"/>
  <c r="BS213" i="20"/>
  <c r="BT213" i="20"/>
  <c r="AA341" i="20"/>
  <c r="AQ341" i="20"/>
  <c r="BE341" i="20"/>
  <c r="BR341" i="20"/>
  <c r="CH341" i="20"/>
  <c r="CU341" i="20"/>
  <c r="DI341" i="20"/>
  <c r="AD341" i="20"/>
  <c r="AR341" i="20"/>
  <c r="BF341" i="20"/>
  <c r="BU341" i="20"/>
  <c r="CJ341" i="20"/>
  <c r="CV341" i="20"/>
  <c r="DK341" i="20"/>
  <c r="Q341" i="20"/>
  <c r="AG341" i="20"/>
  <c r="AT341" i="20"/>
  <c r="BG341" i="20"/>
  <c r="BW341" i="20"/>
  <c r="CK341" i="20"/>
  <c r="CX341" i="20"/>
  <c r="AI341" i="20"/>
  <c r="BD341" i="20"/>
  <c r="CB341" i="20"/>
  <c r="DA341" i="20"/>
  <c r="AJ341" i="20"/>
  <c r="BJ341" i="20"/>
  <c r="CC341" i="20"/>
  <c r="DC341" i="20"/>
  <c r="S341" i="20"/>
  <c r="AL341" i="20"/>
  <c r="BM341" i="20"/>
  <c r="CE341" i="20"/>
  <c r="DD341" i="20"/>
  <c r="V341" i="20"/>
  <c r="AO341" i="20"/>
  <c r="BN341" i="20"/>
  <c r="CL341" i="20"/>
  <c r="DF341" i="20"/>
  <c r="AH341" i="20"/>
  <c r="BZ341" i="20"/>
  <c r="AV341" i="20"/>
  <c r="CM341" i="20"/>
  <c r="AW341" i="20"/>
  <c r="CP341" i="20"/>
  <c r="X341" i="20"/>
  <c r="BO341" i="20"/>
  <c r="DH341" i="20"/>
  <c r="Z341" i="20"/>
  <c r="AY341" i="20"/>
  <c r="BB341" i="20"/>
  <c r="CT341" i="20"/>
  <c r="BX341" i="20"/>
  <c r="AD293" i="20"/>
  <c r="BD293" i="20"/>
  <c r="CN293" i="20"/>
  <c r="AG293" i="20"/>
  <c r="BR293" i="20"/>
  <c r="CW293" i="20"/>
  <c r="AK293" i="20"/>
  <c r="BU293" i="20"/>
  <c r="DF293" i="20"/>
  <c r="BA293" i="20"/>
  <c r="CO293" i="20"/>
  <c r="BB293" i="20"/>
  <c r="CT293" i="20"/>
  <c r="BC293" i="20"/>
  <c r="DH293" i="20"/>
  <c r="T293" i="20"/>
  <c r="CA293" i="20"/>
  <c r="AP293" i="20"/>
  <c r="BJ293" i="20"/>
  <c r="BX293" i="20"/>
  <c r="CL293" i="20"/>
  <c r="Q293" i="20"/>
  <c r="R293" i="20"/>
  <c r="AM293" i="20"/>
  <c r="DL293" i="20"/>
  <c r="AL301" i="20"/>
  <c r="BP301" i="20"/>
  <c r="CN301" i="20"/>
  <c r="S301" i="20"/>
  <c r="AY301" i="20"/>
  <c r="CE301" i="20"/>
  <c r="DC301" i="20"/>
  <c r="T301" i="20"/>
  <c r="AZ301" i="20"/>
  <c r="CF301" i="20"/>
  <c r="DL301" i="20"/>
  <c r="AG301" i="20"/>
  <c r="BU301" i="20"/>
  <c r="AJ301" i="20"/>
  <c r="BV301" i="20"/>
  <c r="AO301" i="20"/>
  <c r="CG301" i="20"/>
  <c r="R301" i="20"/>
  <c r="BF301" i="20"/>
  <c r="CX301" i="20"/>
  <c r="AD301" i="20"/>
  <c r="DB301" i="20"/>
  <c r="AX301" i="20"/>
  <c r="BA301" i="20"/>
  <c r="BR301" i="20"/>
  <c r="U301" i="20"/>
  <c r="BM301" i="20"/>
  <c r="CL301" i="20"/>
  <c r="CV301" i="20"/>
  <c r="DA301" i="20"/>
  <c r="BA222" i="20"/>
  <c r="BP222" i="20"/>
  <c r="BY222" i="20"/>
  <c r="W222" i="20"/>
  <c r="DB222" i="20"/>
  <c r="Z222" i="20"/>
  <c r="AH222" i="20"/>
  <c r="BE222" i="20"/>
  <c r="DE222" i="20"/>
  <c r="X222" i="20"/>
  <c r="BW222" i="20"/>
  <c r="DC222" i="20"/>
  <c r="AQ217" i="20"/>
  <c r="AW217" i="20"/>
  <c r="BI217" i="20"/>
  <c r="T217" i="20"/>
  <c r="BR217" i="20"/>
  <c r="DL217" i="20"/>
  <c r="BX217" i="20"/>
  <c r="DF217" i="20"/>
  <c r="W314" i="20"/>
  <c r="AG314" i="20"/>
  <c r="AS314" i="20"/>
  <c r="BR314" i="20"/>
  <c r="CS314" i="20"/>
  <c r="AV314" i="20"/>
  <c r="BT314" i="20"/>
  <c r="CX314" i="20"/>
  <c r="R314" i="20"/>
  <c r="AX314" i="20"/>
  <c r="CB314" i="20"/>
  <c r="CZ314" i="20"/>
  <c r="AE314" i="20"/>
  <c r="BK314" i="20"/>
  <c r="CH314" i="20"/>
  <c r="AL314" i="20"/>
  <c r="CR314" i="20"/>
  <c r="BA314" i="20"/>
  <c r="DA314" i="20"/>
  <c r="BB314" i="20"/>
  <c r="DJ314" i="20"/>
  <c r="BM314" i="20"/>
  <c r="CI314" i="20"/>
  <c r="U314" i="20"/>
  <c r="AD314" i="20"/>
  <c r="CG314" i="20"/>
  <c r="AF314" i="20"/>
  <c r="CD314" i="20"/>
  <c r="BL314" i="20"/>
  <c r="AC325" i="20"/>
  <c r="AG325" i="20"/>
  <c r="AZ325" i="20"/>
  <c r="BX325" i="20"/>
  <c r="CS325" i="20"/>
  <c r="AH325" i="20"/>
  <c r="AJ325" i="20"/>
  <c r="AO325" i="20"/>
  <c r="BN325" i="20"/>
  <c r="CO325" i="20"/>
  <c r="AT325" i="20"/>
  <c r="BP325" i="20"/>
  <c r="CP325" i="20"/>
  <c r="S325" i="20"/>
  <c r="AX325" i="20"/>
  <c r="BW325" i="20"/>
  <c r="DA325" i="20"/>
  <c r="U325" i="20"/>
  <c r="BA325" i="20"/>
  <c r="CD325" i="20"/>
  <c r="DC325" i="20"/>
  <c r="AL325" i="20"/>
  <c r="CN325" i="20"/>
  <c r="AY325" i="20"/>
  <c r="DB325" i="20"/>
  <c r="BI325" i="20"/>
  <c r="DD325" i="20"/>
  <c r="BJ325" i="20"/>
  <c r="DF325" i="20"/>
  <c r="Z325" i="20"/>
  <c r="BM325" i="20"/>
  <c r="BZ325" i="20"/>
  <c r="V325" i="20"/>
  <c r="CL325" i="20"/>
  <c r="T325" i="20"/>
  <c r="H98" i="20"/>
  <c r="H358" i="20"/>
  <c r="K406" i="20"/>
  <c r="K28" i="20"/>
  <c r="K408" i="20"/>
  <c r="K364" i="20"/>
  <c r="H122" i="20"/>
  <c r="K119" i="20"/>
  <c r="K337" i="20"/>
  <c r="K304" i="20"/>
  <c r="K266" i="20"/>
  <c r="H66" i="20"/>
  <c r="H407" i="20"/>
  <c r="H390" i="20"/>
  <c r="H104" i="20"/>
  <c r="H186" i="20"/>
  <c r="H21" i="20"/>
  <c r="H269" i="20"/>
  <c r="H26" i="20"/>
  <c r="H391" i="20"/>
  <c r="H109" i="20"/>
  <c r="H132" i="20"/>
  <c r="H45" i="20"/>
  <c r="H163" i="20"/>
  <c r="H82" i="20"/>
  <c r="H193" i="20"/>
  <c r="H73" i="20"/>
  <c r="H208" i="20"/>
  <c r="H379" i="20"/>
  <c r="H46" i="20"/>
  <c r="H357" i="20"/>
  <c r="H195" i="20"/>
  <c r="H143" i="20"/>
  <c r="H289" i="20"/>
  <c r="H179" i="20"/>
  <c r="H83" i="20"/>
  <c r="H254" i="20"/>
  <c r="H252" i="20"/>
  <c r="H169" i="20"/>
  <c r="H12" i="20"/>
  <c r="H105" i="20"/>
  <c r="H52" i="20"/>
  <c r="H177" i="20"/>
  <c r="K324" i="20"/>
  <c r="H14" i="20"/>
  <c r="DG2" i="20"/>
  <c r="CU2" i="20"/>
  <c r="CG2" i="20"/>
  <c r="BV2" i="20"/>
  <c r="BI2" i="20"/>
  <c r="AX2" i="20"/>
  <c r="AK2" i="20"/>
  <c r="Z2" i="20"/>
  <c r="DH417" i="20"/>
  <c r="CV417" i="20"/>
  <c r="CI417" i="20"/>
  <c r="BX417" i="20"/>
  <c r="BK417" i="20"/>
  <c r="AS417" i="20"/>
  <c r="AD417" i="20"/>
  <c r="BV416" i="20"/>
  <c r="CP415" i="20"/>
  <c r="BL415" i="20"/>
  <c r="X415" i="20"/>
  <c r="CM414" i="20"/>
  <c r="AN414" i="20"/>
  <c r="CX413" i="20"/>
  <c r="BZ413" i="20"/>
  <c r="AV413" i="20"/>
  <c r="X413" i="20"/>
  <c r="CR412" i="20"/>
  <c r="BN412" i="20"/>
  <c r="AP412" i="20"/>
  <c r="CZ411" i="20"/>
  <c r="AC411" i="20"/>
  <c r="CJ410" i="20"/>
  <c r="BB410" i="20"/>
  <c r="T410" i="20"/>
  <c r="CR409" i="20"/>
  <c r="BX409" i="20"/>
  <c r="BB409" i="20"/>
  <c r="AF409" i="20"/>
  <c r="DA408" i="20"/>
  <c r="AX408" i="20"/>
  <c r="BZ407" i="20"/>
  <c r="DH406" i="20"/>
  <c r="CD406" i="20"/>
  <c r="AZ406" i="20"/>
  <c r="Z406" i="20"/>
  <c r="CP405" i="20"/>
  <c r="BH405" i="20"/>
  <c r="X405" i="20"/>
  <c r="CV404" i="20"/>
  <c r="CB404" i="20"/>
  <c r="BF404" i="20"/>
  <c r="AJ404" i="20"/>
  <c r="DJ403" i="20"/>
  <c r="BP403" i="20"/>
  <c r="DL402" i="20"/>
  <c r="BN402" i="20"/>
  <c r="T402" i="20"/>
  <c r="AF400" i="20"/>
  <c r="BT399" i="20"/>
  <c r="W399" i="20"/>
  <c r="AL398" i="20"/>
  <c r="CR397" i="20"/>
  <c r="BT397" i="20"/>
  <c r="AV397" i="20"/>
  <c r="W397" i="20"/>
  <c r="BF396" i="20"/>
  <c r="CT395" i="20"/>
  <c r="BL395" i="20"/>
  <c r="AB395" i="20"/>
  <c r="BB394" i="20"/>
  <c r="CR393" i="20"/>
  <c r="BK393" i="20"/>
  <c r="AD393" i="20"/>
  <c r="BT392" i="20"/>
  <c r="BP391" i="20"/>
  <c r="CG390" i="20"/>
  <c r="AU390" i="20"/>
  <c r="DF389" i="20"/>
  <c r="BJ389" i="20"/>
  <c r="R389" i="20"/>
  <c r="CC387" i="20"/>
  <c r="BF386" i="20"/>
  <c r="BV385" i="20"/>
  <c r="S385" i="20"/>
  <c r="AR383" i="20"/>
  <c r="BG381" i="20"/>
  <c r="AS380" i="20"/>
  <c r="DB378" i="20"/>
  <c r="X378" i="20"/>
  <c r="BG376" i="20"/>
  <c r="AU375" i="20"/>
  <c r="CZ372" i="20"/>
  <c r="BT371" i="20"/>
  <c r="W370" i="20"/>
  <c r="AR368" i="20"/>
  <c r="CD365" i="20"/>
  <c r="DB360" i="20"/>
  <c r="CP353" i="20"/>
  <c r="CJ346" i="20"/>
  <c r="BM339" i="20"/>
  <c r="CE325" i="20"/>
  <c r="AT347" i="20"/>
  <c r="AF347" i="20"/>
  <c r="CS329" i="20"/>
  <c r="CD329" i="20"/>
  <c r="BL329" i="20"/>
  <c r="AW329" i="20"/>
  <c r="AA329" i="20"/>
  <c r="CD298" i="20"/>
  <c r="AV298" i="20"/>
  <c r="DH296" i="20"/>
  <c r="BZ296" i="20"/>
  <c r="AO296" i="20"/>
  <c r="BX277" i="20"/>
  <c r="AJ277" i="20"/>
  <c r="CI273" i="20"/>
  <c r="AS273" i="20"/>
  <c r="CS266" i="20"/>
  <c r="AT266" i="20"/>
  <c r="CX264" i="20"/>
  <c r="BI261" i="20"/>
  <c r="CY249" i="20"/>
  <c r="W249" i="20"/>
  <c r="CK220" i="20"/>
  <c r="AY215" i="20"/>
  <c r="CZ206" i="20"/>
  <c r="Q350" i="20"/>
  <c r="Y350" i="20"/>
  <c r="AG350" i="20"/>
  <c r="AO350" i="20"/>
  <c r="AW350" i="20"/>
  <c r="BE350" i="20"/>
  <c r="BM350" i="20"/>
  <c r="BU350" i="20"/>
  <c r="CC350" i="20"/>
  <c r="CK350" i="20"/>
  <c r="CS350" i="20"/>
  <c r="DA350" i="20"/>
  <c r="DI350" i="20"/>
  <c r="S350" i="20"/>
  <c r="AA350" i="20"/>
  <c r="AI350" i="20"/>
  <c r="AQ350" i="20"/>
  <c r="AY350" i="20"/>
  <c r="BG350" i="20"/>
  <c r="BO350" i="20"/>
  <c r="BW350" i="20"/>
  <c r="CE350" i="20"/>
  <c r="CM350" i="20"/>
  <c r="CU350" i="20"/>
  <c r="DC350" i="20"/>
  <c r="DK350" i="20"/>
  <c r="X350" i="20"/>
  <c r="AJ350" i="20"/>
  <c r="AT350" i="20"/>
  <c r="BD350" i="20"/>
  <c r="BP350" i="20"/>
  <c r="BZ350" i="20"/>
  <c r="CJ350" i="20"/>
  <c r="CV350" i="20"/>
  <c r="DF350" i="20"/>
  <c r="Z350" i="20"/>
  <c r="AK350" i="20"/>
  <c r="AU350" i="20"/>
  <c r="BF350" i="20"/>
  <c r="BQ350" i="20"/>
  <c r="CA350" i="20"/>
  <c r="CL350" i="20"/>
  <c r="CW350" i="20"/>
  <c r="DG350" i="20"/>
  <c r="AB350" i="20"/>
  <c r="AL350" i="20"/>
  <c r="AV350" i="20"/>
  <c r="BH350" i="20"/>
  <c r="BR350" i="20"/>
  <c r="CB350" i="20"/>
  <c r="CN350" i="20"/>
  <c r="CX350" i="20"/>
  <c r="DH350" i="20"/>
  <c r="W264" i="20"/>
  <c r="AE264" i="20"/>
  <c r="AM264" i="20"/>
  <c r="AU264" i="20"/>
  <c r="BC264" i="20"/>
  <c r="BK264" i="20"/>
  <c r="BS264" i="20"/>
  <c r="CA264" i="20"/>
  <c r="CI264" i="20"/>
  <c r="CQ264" i="20"/>
  <c r="CY264" i="20"/>
  <c r="DG264" i="20"/>
  <c r="X264" i="20"/>
  <c r="AG264" i="20"/>
  <c r="AP264" i="20"/>
  <c r="AY264" i="20"/>
  <c r="BH264" i="20"/>
  <c r="BQ264" i="20"/>
  <c r="BZ264" i="20"/>
  <c r="CJ264" i="20"/>
  <c r="CS264" i="20"/>
  <c r="DB264" i="20"/>
  <c r="DK264" i="20"/>
  <c r="Y264" i="20"/>
  <c r="AH264" i="20"/>
  <c r="AQ264" i="20"/>
  <c r="AZ264" i="20"/>
  <c r="BI264" i="20"/>
  <c r="BR264" i="20"/>
  <c r="CB264" i="20"/>
  <c r="CK264" i="20"/>
  <c r="CT264" i="20"/>
  <c r="DC264" i="20"/>
  <c r="DL264" i="20"/>
  <c r="T264" i="20"/>
  <c r="AF264" i="20"/>
  <c r="AS264" i="20"/>
  <c r="BE264" i="20"/>
  <c r="BP264" i="20"/>
  <c r="CD264" i="20"/>
  <c r="CO264" i="20"/>
  <c r="DA264" i="20"/>
  <c r="U264" i="20"/>
  <c r="AI264" i="20"/>
  <c r="AT264" i="20"/>
  <c r="BF264" i="20"/>
  <c r="BT264" i="20"/>
  <c r="CE264" i="20"/>
  <c r="CP264" i="20"/>
  <c r="DD264" i="20"/>
  <c r="Z264" i="20"/>
  <c r="AK264" i="20"/>
  <c r="AW264" i="20"/>
  <c r="BJ264" i="20"/>
  <c r="BV264" i="20"/>
  <c r="CG264" i="20"/>
  <c r="CU264" i="20"/>
  <c r="DF264" i="20"/>
  <c r="Q264" i="20"/>
  <c r="AJ264" i="20"/>
  <c r="BB264" i="20"/>
  <c r="BW264" i="20"/>
  <c r="CN264" i="20"/>
  <c r="DI264" i="20"/>
  <c r="R264" i="20"/>
  <c r="AL264" i="20"/>
  <c r="BD264" i="20"/>
  <c r="BX264" i="20"/>
  <c r="CR264" i="20"/>
  <c r="DJ264" i="20"/>
  <c r="S264" i="20"/>
  <c r="AN264" i="20"/>
  <c r="BG264" i="20"/>
  <c r="BY264" i="20"/>
  <c r="CV264" i="20"/>
  <c r="V264" i="20"/>
  <c r="AO264" i="20"/>
  <c r="BL264" i="20"/>
  <c r="CC264" i="20"/>
  <c r="CW264" i="20"/>
  <c r="AB264" i="20"/>
  <c r="AV264" i="20"/>
  <c r="BN264" i="20"/>
  <c r="CH264" i="20"/>
  <c r="CZ264" i="20"/>
  <c r="DA373" i="20"/>
  <c r="CP373" i="20"/>
  <c r="CD373" i="20"/>
  <c r="BP373" i="20"/>
  <c r="BE373" i="20"/>
  <c r="AT373" i="20"/>
  <c r="AF373" i="20"/>
  <c r="T373" i="20"/>
  <c r="DB363" i="20"/>
  <c r="CQ363" i="20"/>
  <c r="CC363" i="20"/>
  <c r="BR363" i="20"/>
  <c r="BF363" i="20"/>
  <c r="AR363" i="20"/>
  <c r="AG363" i="20"/>
  <c r="S363" i="20"/>
  <c r="CL333" i="20"/>
  <c r="AL333" i="20"/>
  <c r="DK329" i="20"/>
  <c r="S34" i="20"/>
  <c r="AA34" i="20"/>
  <c r="AI34" i="20"/>
  <c r="AQ34" i="20"/>
  <c r="AY34" i="20"/>
  <c r="BG34" i="20"/>
  <c r="BO34" i="20"/>
  <c r="BW34" i="20"/>
  <c r="CE34" i="20"/>
  <c r="CM34" i="20"/>
  <c r="CU34" i="20"/>
  <c r="DC34" i="20"/>
  <c r="DK34" i="20"/>
  <c r="Y34" i="20"/>
  <c r="AH34" i="20"/>
  <c r="AR34" i="20"/>
  <c r="BA34" i="20"/>
  <c r="BJ34" i="20"/>
  <c r="BS34" i="20"/>
  <c r="CB34" i="20"/>
  <c r="CK34" i="20"/>
  <c r="CT34" i="20"/>
  <c r="DD34" i="20"/>
  <c r="Q34" i="20"/>
  <c r="Z34" i="20"/>
  <c r="AJ34" i="20"/>
  <c r="AS34" i="20"/>
  <c r="BB34" i="20"/>
  <c r="BK34" i="20"/>
  <c r="BT34" i="20"/>
  <c r="CC34" i="20"/>
  <c r="CL34" i="20"/>
  <c r="CV34" i="20"/>
  <c r="DE34" i="20"/>
  <c r="R34" i="20"/>
  <c r="AD34" i="20"/>
  <c r="AO34" i="20"/>
  <c r="BC34" i="20"/>
  <c r="BN34" i="20"/>
  <c r="BZ34" i="20"/>
  <c r="CN34" i="20"/>
  <c r="CY34" i="20"/>
  <c r="DJ34" i="20"/>
  <c r="T34" i="20"/>
  <c r="AF34" i="20"/>
  <c r="AU34" i="20"/>
  <c r="BH34" i="20"/>
  <c r="BV34" i="20"/>
  <c r="CI34" i="20"/>
  <c r="CX34" i="20"/>
  <c r="DL34" i="20"/>
  <c r="U34" i="20"/>
  <c r="AG34" i="20"/>
  <c r="AV34" i="20"/>
  <c r="BI34" i="20"/>
  <c r="BX34" i="20"/>
  <c r="CJ34" i="20"/>
  <c r="CZ34" i="20"/>
  <c r="W34" i="20"/>
  <c r="AL34" i="20"/>
  <c r="AX34" i="20"/>
  <c r="BM34" i="20"/>
  <c r="CA34" i="20"/>
  <c r="CP34" i="20"/>
  <c r="DB34" i="20"/>
  <c r="AM34" i="20"/>
  <c r="BF34" i="20"/>
  <c r="CF34" i="20"/>
  <c r="DA34" i="20"/>
  <c r="AC34" i="20"/>
  <c r="AZ34" i="20"/>
  <c r="BU34" i="20"/>
  <c r="CR34" i="20"/>
  <c r="V34" i="20"/>
  <c r="AW34" i="20"/>
  <c r="CD34" i="20"/>
  <c r="DG34" i="20"/>
  <c r="X34" i="20"/>
  <c r="BD34" i="20"/>
  <c r="CG34" i="20"/>
  <c r="DH34" i="20"/>
  <c r="AB34" i="20"/>
  <c r="BE34" i="20"/>
  <c r="CH34" i="20"/>
  <c r="DI34" i="20"/>
  <c r="AE34" i="20"/>
  <c r="BL34" i="20"/>
  <c r="CO34" i="20"/>
  <c r="BP34" i="20"/>
  <c r="BQ34" i="20"/>
  <c r="BR34" i="20"/>
  <c r="BY34" i="20"/>
  <c r="AK34" i="20"/>
  <c r="CQ34" i="20"/>
  <c r="DF34" i="20"/>
  <c r="AN34" i="20"/>
  <c r="AP34" i="20"/>
  <c r="AT34" i="20"/>
  <c r="CS34" i="20"/>
  <c r="CW34" i="20"/>
  <c r="U100" i="20"/>
  <c r="AC100" i="20"/>
  <c r="AK100" i="20"/>
  <c r="AS100" i="20"/>
  <c r="BA100" i="20"/>
  <c r="BI100" i="20"/>
  <c r="BQ100" i="20"/>
  <c r="BY100" i="20"/>
  <c r="CG100" i="20"/>
  <c r="CO100" i="20"/>
  <c r="CW100" i="20"/>
  <c r="DE100" i="20"/>
  <c r="V100" i="20"/>
  <c r="AE100" i="20"/>
  <c r="AN100" i="20"/>
  <c r="AW100" i="20"/>
  <c r="BF100" i="20"/>
  <c r="BO100" i="20"/>
  <c r="BX100" i="20"/>
  <c r="CH100" i="20"/>
  <c r="CQ100" i="20"/>
  <c r="CZ100" i="20"/>
  <c r="DI100" i="20"/>
  <c r="W100" i="20"/>
  <c r="AF100" i="20"/>
  <c r="AO100" i="20"/>
  <c r="AX100" i="20"/>
  <c r="BG100" i="20"/>
  <c r="BP100" i="20"/>
  <c r="BZ100" i="20"/>
  <c r="CI100" i="20"/>
  <c r="CR100" i="20"/>
  <c r="DA100" i="20"/>
  <c r="DJ100" i="20"/>
  <c r="T100" i="20"/>
  <c r="AH100" i="20"/>
  <c r="AT100" i="20"/>
  <c r="BE100" i="20"/>
  <c r="BS100" i="20"/>
  <c r="CD100" i="20"/>
  <c r="CP100" i="20"/>
  <c r="DC100" i="20"/>
  <c r="Z100" i="20"/>
  <c r="AL100" i="20"/>
  <c r="AY100" i="20"/>
  <c r="BK100" i="20"/>
  <c r="BV100" i="20"/>
  <c r="CJ100" i="20"/>
  <c r="CU100" i="20"/>
  <c r="DG100" i="20"/>
  <c r="AA100" i="20"/>
  <c r="AM100" i="20"/>
  <c r="AZ100" i="20"/>
  <c r="BL100" i="20"/>
  <c r="BW100" i="20"/>
  <c r="CK100" i="20"/>
  <c r="CV100" i="20"/>
  <c r="DH100" i="20"/>
  <c r="X100" i="20"/>
  <c r="AQ100" i="20"/>
  <c r="BJ100" i="20"/>
  <c r="CC100" i="20"/>
  <c r="CX100" i="20"/>
  <c r="Y100" i="20"/>
  <c r="AR100" i="20"/>
  <c r="BM100" i="20"/>
  <c r="CE100" i="20"/>
  <c r="CY100" i="20"/>
  <c r="AB100" i="20"/>
  <c r="AU100" i="20"/>
  <c r="BN100" i="20"/>
  <c r="Q100" i="20"/>
  <c r="AV100" i="20"/>
  <c r="CA100" i="20"/>
  <c r="DB100" i="20"/>
  <c r="R100" i="20"/>
  <c r="BB100" i="20"/>
  <c r="CB100" i="20"/>
  <c r="DD100" i="20"/>
  <c r="S100" i="20"/>
  <c r="BC100" i="20"/>
  <c r="CF100" i="20"/>
  <c r="DF100" i="20"/>
  <c r="AD100" i="20"/>
  <c r="BD100" i="20"/>
  <c r="CL100" i="20"/>
  <c r="DK100" i="20"/>
  <c r="AG100" i="20"/>
  <c r="BH100" i="20"/>
  <c r="CM100" i="20"/>
  <c r="DL100" i="20"/>
  <c r="AP100" i="20"/>
  <c r="BR100" i="20"/>
  <c r="BT100" i="20"/>
  <c r="BU100" i="20"/>
  <c r="CT100" i="20"/>
  <c r="AI100" i="20"/>
  <c r="AJ100" i="20"/>
  <c r="CN100" i="20"/>
  <c r="CS100" i="20"/>
  <c r="X171" i="20"/>
  <c r="AF171" i="20"/>
  <c r="AN171" i="20"/>
  <c r="AV171" i="20"/>
  <c r="BD171" i="20"/>
  <c r="BL171" i="20"/>
  <c r="BT171" i="20"/>
  <c r="CB171" i="20"/>
  <c r="CJ171" i="20"/>
  <c r="CR171" i="20"/>
  <c r="CZ171" i="20"/>
  <c r="DH171" i="20"/>
  <c r="T171" i="20"/>
  <c r="AB171" i="20"/>
  <c r="AJ171" i="20"/>
  <c r="AR171" i="20"/>
  <c r="AZ171" i="20"/>
  <c r="BH171" i="20"/>
  <c r="BP171" i="20"/>
  <c r="BX171" i="20"/>
  <c r="R171" i="20"/>
  <c r="AC171" i="20"/>
  <c r="AM171" i="20"/>
  <c r="AX171" i="20"/>
  <c r="BI171" i="20"/>
  <c r="BS171" i="20"/>
  <c r="CD171" i="20"/>
  <c r="CM171" i="20"/>
  <c r="CV171" i="20"/>
  <c r="DE171" i="20"/>
  <c r="S171" i="20"/>
  <c r="AD171" i="20"/>
  <c r="AO171" i="20"/>
  <c r="AY171" i="20"/>
  <c r="BJ171" i="20"/>
  <c r="BU171" i="20"/>
  <c r="CE171" i="20"/>
  <c r="CN171" i="20"/>
  <c r="CW171" i="20"/>
  <c r="DF171" i="20"/>
  <c r="U171" i="20"/>
  <c r="AH171" i="20"/>
  <c r="AU171" i="20"/>
  <c r="BK171" i="20"/>
  <c r="BY171" i="20"/>
  <c r="CK171" i="20"/>
  <c r="CX171" i="20"/>
  <c r="DJ171" i="20"/>
  <c r="V171" i="20"/>
  <c r="AI171" i="20"/>
  <c r="AW171" i="20"/>
  <c r="BM171" i="20"/>
  <c r="BZ171" i="20"/>
  <c r="CL171" i="20"/>
  <c r="CY171" i="20"/>
  <c r="DK171" i="20"/>
  <c r="AK171" i="20"/>
  <c r="BC171" i="20"/>
  <c r="BV171" i="20"/>
  <c r="CO171" i="20"/>
  <c r="DC171" i="20"/>
  <c r="Q171" i="20"/>
  <c r="AL171" i="20"/>
  <c r="BE171" i="20"/>
  <c r="BW171" i="20"/>
  <c r="CP171" i="20"/>
  <c r="DD171" i="20"/>
  <c r="W171" i="20"/>
  <c r="AP171" i="20"/>
  <c r="BF171" i="20"/>
  <c r="CA171" i="20"/>
  <c r="CQ171" i="20"/>
  <c r="DG171" i="20"/>
  <c r="Z171" i="20"/>
  <c r="AS171" i="20"/>
  <c r="BN171" i="20"/>
  <c r="CF171" i="20"/>
  <c r="CT171" i="20"/>
  <c r="DL171" i="20"/>
  <c r="AG171" i="20"/>
  <c r="BR171" i="20"/>
  <c r="DB171" i="20"/>
  <c r="AQ171" i="20"/>
  <c r="CC171" i="20"/>
  <c r="DI171" i="20"/>
  <c r="AT171" i="20"/>
  <c r="CG171" i="20"/>
  <c r="BA171" i="20"/>
  <c r="CH171" i="20"/>
  <c r="BG171" i="20"/>
  <c r="BO171" i="20"/>
  <c r="BQ171" i="20"/>
  <c r="CI171" i="20"/>
  <c r="CS171" i="20"/>
  <c r="CU171" i="20"/>
  <c r="BB171" i="20"/>
  <c r="AE171" i="20"/>
  <c r="DA171" i="20"/>
  <c r="U132" i="20"/>
  <c r="AC132" i="20"/>
  <c r="AK132" i="20"/>
  <c r="AS132" i="20"/>
  <c r="BA132" i="20"/>
  <c r="BI132" i="20"/>
  <c r="BQ132" i="20"/>
  <c r="BY132" i="20"/>
  <c r="CG132" i="20"/>
  <c r="CO132" i="20"/>
  <c r="CW132" i="20"/>
  <c r="DE132" i="20"/>
  <c r="V132" i="20"/>
  <c r="AD132" i="20"/>
  <c r="AL132" i="20"/>
  <c r="AT132" i="20"/>
  <c r="BB132" i="20"/>
  <c r="BJ132" i="20"/>
  <c r="BR132" i="20"/>
  <c r="BZ132" i="20"/>
  <c r="CH132" i="20"/>
  <c r="CP132" i="20"/>
  <c r="CX132" i="20"/>
  <c r="DF132" i="20"/>
  <c r="Q132" i="20"/>
  <c r="AA132" i="20"/>
  <c r="AM132" i="20"/>
  <c r="AW132" i="20"/>
  <c r="BG132" i="20"/>
  <c r="BS132" i="20"/>
  <c r="CC132" i="20"/>
  <c r="CM132" i="20"/>
  <c r="CY132" i="20"/>
  <c r="DI132" i="20"/>
  <c r="R132" i="20"/>
  <c r="AB132" i="20"/>
  <c r="AN132" i="20"/>
  <c r="AX132" i="20"/>
  <c r="BH132" i="20"/>
  <c r="BT132" i="20"/>
  <c r="CD132" i="20"/>
  <c r="CN132" i="20"/>
  <c r="CZ132" i="20"/>
  <c r="DJ132" i="20"/>
  <c r="S132" i="20"/>
  <c r="AE132" i="20"/>
  <c r="AO132" i="20"/>
  <c r="AY132" i="20"/>
  <c r="BK132" i="20"/>
  <c r="BU132" i="20"/>
  <c r="CE132" i="20"/>
  <c r="CQ132" i="20"/>
  <c r="DA132" i="20"/>
  <c r="DK132" i="20"/>
  <c r="T132" i="20"/>
  <c r="AF132" i="20"/>
  <c r="AP132" i="20"/>
  <c r="AZ132" i="20"/>
  <c r="BL132" i="20"/>
  <c r="BV132" i="20"/>
  <c r="CF132" i="20"/>
  <c r="CR132" i="20"/>
  <c r="DB132" i="20"/>
  <c r="DL132" i="20"/>
  <c r="W132" i="20"/>
  <c r="AG132" i="20"/>
  <c r="AQ132" i="20"/>
  <c r="BC132" i="20"/>
  <c r="BM132" i="20"/>
  <c r="BW132" i="20"/>
  <c r="CI132" i="20"/>
  <c r="CS132" i="20"/>
  <c r="DC132" i="20"/>
  <c r="AU132" i="20"/>
  <c r="BX132" i="20"/>
  <c r="CV132" i="20"/>
  <c r="X132" i="20"/>
  <c r="AV132" i="20"/>
  <c r="CA132" i="20"/>
  <c r="DD132" i="20"/>
  <c r="Y132" i="20"/>
  <c r="BD132" i="20"/>
  <c r="CB132" i="20"/>
  <c r="DG132" i="20"/>
  <c r="Z132" i="20"/>
  <c r="BE132" i="20"/>
  <c r="CJ132" i="20"/>
  <c r="DH132" i="20"/>
  <c r="AJ132" i="20"/>
  <c r="CT132" i="20"/>
  <c r="AR132" i="20"/>
  <c r="CU132" i="20"/>
  <c r="BN132" i="20"/>
  <c r="BF132" i="20"/>
  <c r="BO132" i="20"/>
  <c r="BP132" i="20"/>
  <c r="CK132" i="20"/>
  <c r="CL132" i="20"/>
  <c r="AH132" i="20"/>
  <c r="AI132" i="20"/>
  <c r="Q95" i="20"/>
  <c r="Y95" i="20"/>
  <c r="AG95" i="20"/>
  <c r="AO95" i="20"/>
  <c r="AW95" i="20"/>
  <c r="BE95" i="20"/>
  <c r="BM95" i="20"/>
  <c r="BU95" i="20"/>
  <c r="CC95" i="20"/>
  <c r="CK95" i="20"/>
  <c r="CS95" i="20"/>
  <c r="DA95" i="20"/>
  <c r="DI95" i="20"/>
  <c r="S95" i="20"/>
  <c r="AB95" i="20"/>
  <c r="AK95" i="20"/>
  <c r="AT95" i="20"/>
  <c r="BC95" i="20"/>
  <c r="BL95" i="20"/>
  <c r="BV95" i="20"/>
  <c r="CE95" i="20"/>
  <c r="CN95" i="20"/>
  <c r="CW95" i="20"/>
  <c r="DF95" i="20"/>
  <c r="T95" i="20"/>
  <c r="AC95" i="20"/>
  <c r="AL95" i="20"/>
  <c r="AU95" i="20"/>
  <c r="BD95" i="20"/>
  <c r="BN95" i="20"/>
  <c r="BW95" i="20"/>
  <c r="CF95" i="20"/>
  <c r="CO95" i="20"/>
  <c r="CX95" i="20"/>
  <c r="DG95" i="20"/>
  <c r="V95" i="20"/>
  <c r="AH95" i="20"/>
  <c r="AS95" i="20"/>
  <c r="BG95" i="20"/>
  <c r="BR95" i="20"/>
  <c r="CD95" i="20"/>
  <c r="CQ95" i="20"/>
  <c r="DC95" i="20"/>
  <c r="Z95" i="20"/>
  <c r="AM95" i="20"/>
  <c r="AY95" i="20"/>
  <c r="BJ95" i="20"/>
  <c r="BX95" i="20"/>
  <c r="CI95" i="20"/>
  <c r="CU95" i="20"/>
  <c r="DH95" i="20"/>
  <c r="AA95" i="20"/>
  <c r="AN95" i="20"/>
  <c r="AZ95" i="20"/>
  <c r="BK95" i="20"/>
  <c r="BY95" i="20"/>
  <c r="CJ95" i="20"/>
  <c r="CV95" i="20"/>
  <c r="DJ95" i="20"/>
  <c r="AI95" i="20"/>
  <c r="BB95" i="20"/>
  <c r="BT95" i="20"/>
  <c r="CP95" i="20"/>
  <c r="DK95" i="20"/>
  <c r="R95" i="20"/>
  <c r="AJ95" i="20"/>
  <c r="BF95" i="20"/>
  <c r="BZ95" i="20"/>
  <c r="CR95" i="20"/>
  <c r="DL95" i="20"/>
  <c r="U95" i="20"/>
  <c r="AP95" i="20"/>
  <c r="BH95" i="20"/>
  <c r="CA95" i="20"/>
  <c r="CT95" i="20"/>
  <c r="AV95" i="20"/>
  <c r="CB95" i="20"/>
  <c r="DD95" i="20"/>
  <c r="W95" i="20"/>
  <c r="AX95" i="20"/>
  <c r="CG95" i="20"/>
  <c r="DE95" i="20"/>
  <c r="X95" i="20"/>
  <c r="BA95" i="20"/>
  <c r="CH95" i="20"/>
  <c r="AD95" i="20"/>
  <c r="BI95" i="20"/>
  <c r="CL95" i="20"/>
  <c r="AE95" i="20"/>
  <c r="BO95" i="20"/>
  <c r="CM95" i="20"/>
  <c r="AR95" i="20"/>
  <c r="BP95" i="20"/>
  <c r="BQ95" i="20"/>
  <c r="BS95" i="20"/>
  <c r="DB95" i="20"/>
  <c r="AF95" i="20"/>
  <c r="AQ95" i="20"/>
  <c r="CY95" i="20"/>
  <c r="CZ95" i="20"/>
  <c r="S308" i="20"/>
  <c r="AA308" i="20"/>
  <c r="AI308" i="20"/>
  <c r="AQ308" i="20"/>
  <c r="AY308" i="20"/>
  <c r="BG308" i="20"/>
  <c r="BO308" i="20"/>
  <c r="BW308" i="20"/>
  <c r="CE308" i="20"/>
  <c r="CM308" i="20"/>
  <c r="CU308" i="20"/>
  <c r="DC308" i="20"/>
  <c r="DK308" i="20"/>
  <c r="T308" i="20"/>
  <c r="AB308" i="20"/>
  <c r="AJ308" i="20"/>
  <c r="AR308" i="20"/>
  <c r="AZ308" i="20"/>
  <c r="BH308" i="20"/>
  <c r="BP308" i="20"/>
  <c r="BX308" i="20"/>
  <c r="CF308" i="20"/>
  <c r="CN308" i="20"/>
  <c r="CV308" i="20"/>
  <c r="DD308" i="20"/>
  <c r="DL308" i="20"/>
  <c r="Z308" i="20"/>
  <c r="AL308" i="20"/>
  <c r="AV308" i="20"/>
  <c r="BF308" i="20"/>
  <c r="BR308" i="20"/>
  <c r="CB308" i="20"/>
  <c r="CL308" i="20"/>
  <c r="CX308" i="20"/>
  <c r="DH308" i="20"/>
  <c r="Q308" i="20"/>
  <c r="AC308" i="20"/>
  <c r="AM308" i="20"/>
  <c r="AW308" i="20"/>
  <c r="BI308" i="20"/>
  <c r="BS308" i="20"/>
  <c r="CC308" i="20"/>
  <c r="CO308" i="20"/>
  <c r="CY308" i="20"/>
  <c r="DI308" i="20"/>
  <c r="U308" i="20"/>
  <c r="AE308" i="20"/>
  <c r="AO308" i="20"/>
  <c r="BA308" i="20"/>
  <c r="BK308" i="20"/>
  <c r="BU308" i="20"/>
  <c r="CG308" i="20"/>
  <c r="CQ308" i="20"/>
  <c r="DA308" i="20"/>
  <c r="W308" i="20"/>
  <c r="AN308" i="20"/>
  <c r="BD308" i="20"/>
  <c r="BV308" i="20"/>
  <c r="CK308" i="20"/>
  <c r="DE308" i="20"/>
  <c r="X308" i="20"/>
  <c r="AP308" i="20"/>
  <c r="BE308" i="20"/>
  <c r="BY308" i="20"/>
  <c r="CP308" i="20"/>
  <c r="DF308" i="20"/>
  <c r="Y308" i="20"/>
  <c r="AS308" i="20"/>
  <c r="BJ308" i="20"/>
  <c r="BZ308" i="20"/>
  <c r="CR308" i="20"/>
  <c r="DG308" i="20"/>
  <c r="AD308" i="20"/>
  <c r="AT308" i="20"/>
  <c r="BL308" i="20"/>
  <c r="CA308" i="20"/>
  <c r="CS308" i="20"/>
  <c r="DJ308" i="20"/>
  <c r="Q135" i="20"/>
  <c r="Y135" i="20"/>
  <c r="AG135" i="20"/>
  <c r="AO135" i="20"/>
  <c r="AW135" i="20"/>
  <c r="BE135" i="20"/>
  <c r="BM135" i="20"/>
  <c r="BU135" i="20"/>
  <c r="CC135" i="20"/>
  <c r="CK135" i="20"/>
  <c r="CS135" i="20"/>
  <c r="DA135" i="20"/>
  <c r="DI135" i="20"/>
  <c r="R135" i="20"/>
  <c r="Z135" i="20"/>
  <c r="AH135" i="20"/>
  <c r="AP135" i="20"/>
  <c r="AX135" i="20"/>
  <c r="BF135" i="20"/>
  <c r="BN135" i="20"/>
  <c r="BV135" i="20"/>
  <c r="CD135" i="20"/>
  <c r="CL135" i="20"/>
  <c r="CT135" i="20"/>
  <c r="DB135" i="20"/>
  <c r="DJ135" i="20"/>
  <c r="AA135" i="20"/>
  <c r="AK135" i="20"/>
  <c r="AU135" i="20"/>
  <c r="BG135" i="20"/>
  <c r="BQ135" i="20"/>
  <c r="CA135" i="20"/>
  <c r="CM135" i="20"/>
  <c r="CW135" i="20"/>
  <c r="DG135" i="20"/>
  <c r="AB135" i="20"/>
  <c r="AL135" i="20"/>
  <c r="AV135" i="20"/>
  <c r="BH135" i="20"/>
  <c r="BR135" i="20"/>
  <c r="CB135" i="20"/>
  <c r="CN135" i="20"/>
  <c r="CX135" i="20"/>
  <c r="DH135" i="20"/>
  <c r="S135" i="20"/>
  <c r="AC135" i="20"/>
  <c r="AM135" i="20"/>
  <c r="AY135" i="20"/>
  <c r="BI135" i="20"/>
  <c r="BS135" i="20"/>
  <c r="CE135" i="20"/>
  <c r="CO135" i="20"/>
  <c r="CY135" i="20"/>
  <c r="DK135" i="20"/>
  <c r="T135" i="20"/>
  <c r="AD135" i="20"/>
  <c r="AN135" i="20"/>
  <c r="AZ135" i="20"/>
  <c r="BJ135" i="20"/>
  <c r="BT135" i="20"/>
  <c r="CF135" i="20"/>
  <c r="CP135" i="20"/>
  <c r="CZ135" i="20"/>
  <c r="DL135" i="20"/>
  <c r="U135" i="20"/>
  <c r="AE135" i="20"/>
  <c r="AQ135" i="20"/>
  <c r="BA135" i="20"/>
  <c r="BK135" i="20"/>
  <c r="BW135" i="20"/>
  <c r="CG135" i="20"/>
  <c r="CQ135" i="20"/>
  <c r="DC135" i="20"/>
  <c r="AF135" i="20"/>
  <c r="BD135" i="20"/>
  <c r="CI135" i="20"/>
  <c r="AI135" i="20"/>
  <c r="BL135" i="20"/>
  <c r="CJ135" i="20"/>
  <c r="AJ135" i="20"/>
  <c r="BO135" i="20"/>
  <c r="CR135" i="20"/>
  <c r="AR135" i="20"/>
  <c r="BP135" i="20"/>
  <c r="CU135" i="20"/>
  <c r="W135" i="20"/>
  <c r="BZ135" i="20"/>
  <c r="X135" i="20"/>
  <c r="CH135" i="20"/>
  <c r="AT135" i="20"/>
  <c r="DD135" i="20"/>
  <c r="V135" i="20"/>
  <c r="DF135" i="20"/>
  <c r="AS135" i="20"/>
  <c r="BB135" i="20"/>
  <c r="BC135" i="20"/>
  <c r="BX135" i="20"/>
  <c r="DE135" i="20"/>
  <c r="BY135" i="20"/>
  <c r="CV135" i="20"/>
  <c r="U361" i="20"/>
  <c r="AC361" i="20"/>
  <c r="AK361" i="20"/>
  <c r="AS361" i="20"/>
  <c r="BA361" i="20"/>
  <c r="BI361" i="20"/>
  <c r="BQ361" i="20"/>
  <c r="BY361" i="20"/>
  <c r="CG361" i="20"/>
  <c r="CO361" i="20"/>
  <c r="CW361" i="20"/>
  <c r="DE361" i="20"/>
  <c r="W361" i="20"/>
  <c r="AE361" i="20"/>
  <c r="AM361" i="20"/>
  <c r="AU361" i="20"/>
  <c r="BC361" i="20"/>
  <c r="BK361" i="20"/>
  <c r="BS361" i="20"/>
  <c r="CA361" i="20"/>
  <c r="CI361" i="20"/>
  <c r="CQ361" i="20"/>
  <c r="CY361" i="20"/>
  <c r="DG361" i="20"/>
  <c r="X361" i="20"/>
  <c r="AH361" i="20"/>
  <c r="AR361" i="20"/>
  <c r="BD361" i="20"/>
  <c r="BN361" i="20"/>
  <c r="BX361" i="20"/>
  <c r="CJ361" i="20"/>
  <c r="CT361" i="20"/>
  <c r="DD361" i="20"/>
  <c r="Z361" i="20"/>
  <c r="AJ361" i="20"/>
  <c r="AV361" i="20"/>
  <c r="BF361" i="20"/>
  <c r="BP361" i="20"/>
  <c r="CB361" i="20"/>
  <c r="CL361" i="20"/>
  <c r="CV361" i="20"/>
  <c r="DH361" i="20"/>
  <c r="DK416" i="20"/>
  <c r="CP416" i="20"/>
  <c r="BU416" i="20"/>
  <c r="AY416" i="20"/>
  <c r="S416" i="20"/>
  <c r="CT391" i="20"/>
  <c r="BY391" i="20"/>
  <c r="BC391" i="20"/>
  <c r="AS391" i="20"/>
  <c r="AH391" i="20"/>
  <c r="W391" i="20"/>
  <c r="CY342" i="20"/>
  <c r="CG342" i="20"/>
  <c r="BN342" i="20"/>
  <c r="AZ342" i="20"/>
  <c r="AF342" i="20"/>
  <c r="R342" i="20"/>
  <c r="DC333" i="20"/>
  <c r="BR333" i="20"/>
  <c r="BD333" i="20"/>
  <c r="AJ333" i="20"/>
  <c r="V333" i="20"/>
  <c r="CW308" i="20"/>
  <c r="AG308" i="20"/>
  <c r="DA304" i="20"/>
  <c r="BT304" i="20"/>
  <c r="AM304" i="20"/>
  <c r="DB303" i="20"/>
  <c r="BR303" i="20"/>
  <c r="AI303" i="20"/>
  <c r="DK299" i="20"/>
  <c r="CD299" i="20"/>
  <c r="AW299" i="20"/>
  <c r="DJ298" i="20"/>
  <c r="CB298" i="20"/>
  <c r="AS298" i="20"/>
  <c r="BT277" i="20"/>
  <c r="AH277" i="20"/>
  <c r="CM264" i="20"/>
  <c r="AR264" i="20"/>
  <c r="AS215" i="20"/>
  <c r="AN206" i="20"/>
  <c r="T48" i="20"/>
  <c r="AB48" i="20"/>
  <c r="AJ48" i="20"/>
  <c r="AR48" i="20"/>
  <c r="AZ48" i="20"/>
  <c r="BH48" i="20"/>
  <c r="BP48" i="20"/>
  <c r="BX48" i="20"/>
  <c r="CF48" i="20"/>
  <c r="CN48" i="20"/>
  <c r="CV48" i="20"/>
  <c r="DD48" i="20"/>
  <c r="DL48" i="20"/>
  <c r="S48" i="20"/>
  <c r="AC48" i="20"/>
  <c r="AL48" i="20"/>
  <c r="AU48" i="20"/>
  <c r="BD48" i="20"/>
  <c r="BM48" i="20"/>
  <c r="BV48" i="20"/>
  <c r="CE48" i="20"/>
  <c r="CO48" i="20"/>
  <c r="CX48" i="20"/>
  <c r="DG48" i="20"/>
  <c r="R48" i="20"/>
  <c r="AD48" i="20"/>
  <c r="AN48" i="20"/>
  <c r="AX48" i="20"/>
  <c r="BI48" i="20"/>
  <c r="BS48" i="20"/>
  <c r="CC48" i="20"/>
  <c r="CM48" i="20"/>
  <c r="CY48" i="20"/>
  <c r="DI48" i="20"/>
  <c r="U48" i="20"/>
  <c r="AE48" i="20"/>
  <c r="AO48" i="20"/>
  <c r="AY48" i="20"/>
  <c r="BJ48" i="20"/>
  <c r="BT48" i="20"/>
  <c r="CD48" i="20"/>
  <c r="CP48" i="20"/>
  <c r="CZ48" i="20"/>
  <c r="DJ48" i="20"/>
  <c r="V48" i="20"/>
  <c r="AF48" i="20"/>
  <c r="AP48" i="20"/>
  <c r="BA48" i="20"/>
  <c r="BK48" i="20"/>
  <c r="BU48" i="20"/>
  <c r="CG48" i="20"/>
  <c r="CQ48" i="20"/>
  <c r="DA48" i="20"/>
  <c r="DK48" i="20"/>
  <c r="W48" i="20"/>
  <c r="AG48" i="20"/>
  <c r="AQ48" i="20"/>
  <c r="BB48" i="20"/>
  <c r="BL48" i="20"/>
  <c r="BW48" i="20"/>
  <c r="CH48" i="20"/>
  <c r="CR48" i="20"/>
  <c r="DB48" i="20"/>
  <c r="AH48" i="20"/>
  <c r="BC48" i="20"/>
  <c r="BY48" i="20"/>
  <c r="CS48" i="20"/>
  <c r="AI48" i="20"/>
  <c r="BE48" i="20"/>
  <c r="BZ48" i="20"/>
  <c r="CT48" i="20"/>
  <c r="AK48" i="20"/>
  <c r="BF48" i="20"/>
  <c r="CA48" i="20"/>
  <c r="CU48" i="20"/>
  <c r="Q48" i="20"/>
  <c r="AM48" i="20"/>
  <c r="BG48" i="20"/>
  <c r="CB48" i="20"/>
  <c r="CW48" i="20"/>
  <c r="X48" i="20"/>
  <c r="AS48" i="20"/>
  <c r="BN48" i="20"/>
  <c r="CI48" i="20"/>
  <c r="DC48" i="20"/>
  <c r="BQ48" i="20"/>
  <c r="Y48" i="20"/>
  <c r="BR48" i="20"/>
  <c r="Z48" i="20"/>
  <c r="CJ48" i="20"/>
  <c r="AA48" i="20"/>
  <c r="CK48" i="20"/>
  <c r="AT48" i="20"/>
  <c r="AV48" i="20"/>
  <c r="AW48" i="20"/>
  <c r="BO48" i="20"/>
  <c r="CL48" i="20"/>
  <c r="DE48" i="20"/>
  <c r="DH48" i="20"/>
  <c r="DF48" i="20"/>
  <c r="CZ363" i="20"/>
  <c r="BO363" i="20"/>
  <c r="AP363" i="20"/>
  <c r="DJ362" i="20"/>
  <c r="CI362" i="20"/>
  <c r="BF362" i="20"/>
  <c r="AS362" i="20"/>
  <c r="DK361" i="20"/>
  <c r="CH361" i="20"/>
  <c r="BG361" i="20"/>
  <c r="AQ361" i="20"/>
  <c r="AD361" i="20"/>
  <c r="Q361" i="20"/>
  <c r="CY354" i="20"/>
  <c r="CJ354" i="20"/>
  <c r="BR354" i="20"/>
  <c r="BC354" i="20"/>
  <c r="DJ348" i="20"/>
  <c r="CQ348" i="20"/>
  <c r="CB348" i="20"/>
  <c r="BJ348" i="20"/>
  <c r="AU348" i="20"/>
  <c r="AC348" i="20"/>
  <c r="DF347" i="20"/>
  <c r="CR347" i="20"/>
  <c r="BX347" i="20"/>
  <c r="BJ347" i="20"/>
  <c r="AQ347" i="20"/>
  <c r="Y347" i="20"/>
  <c r="DB345" i="20"/>
  <c r="CM345" i="20"/>
  <c r="BU345" i="20"/>
  <c r="BB345" i="20"/>
  <c r="AN345" i="20"/>
  <c r="T345" i="20"/>
  <c r="DE336" i="20"/>
  <c r="CL336" i="20"/>
  <c r="BX336" i="20"/>
  <c r="BD336" i="20"/>
  <c r="AP336" i="20"/>
  <c r="W336" i="20"/>
  <c r="DB334" i="20"/>
  <c r="CI334" i="20"/>
  <c r="BT334" i="20"/>
  <c r="BB334" i="20"/>
  <c r="AM334" i="20"/>
  <c r="U334" i="20"/>
  <c r="CX333" i="20"/>
  <c r="CJ333" i="20"/>
  <c r="BP333" i="20"/>
  <c r="BB333" i="20"/>
  <c r="AI333" i="20"/>
  <c r="Q333" i="20"/>
  <c r="DL331" i="20"/>
  <c r="CT331" i="20"/>
  <c r="CE331" i="20"/>
  <c r="BM331" i="20"/>
  <c r="AT331" i="20"/>
  <c r="AF331" i="20"/>
  <c r="DI329" i="20"/>
  <c r="CP329" i="20"/>
  <c r="BW329" i="20"/>
  <c r="BH329" i="20"/>
  <c r="AO329" i="20"/>
  <c r="X329" i="20"/>
  <c r="DB326" i="20"/>
  <c r="CC326" i="20"/>
  <c r="BJ326" i="20"/>
  <c r="AL326" i="20"/>
  <c r="Q326" i="20"/>
  <c r="DA317" i="20"/>
  <c r="BV317" i="20"/>
  <c r="T317" i="20"/>
  <c r="AF308" i="20"/>
  <c r="DH294" i="20"/>
  <c r="BV294" i="20"/>
  <c r="AI294" i="20"/>
  <c r="CD291" i="20"/>
  <c r="AS291" i="20"/>
  <c r="DJ275" i="20"/>
  <c r="BV275" i="20"/>
  <c r="AK275" i="20"/>
  <c r="CT347" i="20"/>
  <c r="BM347" i="20"/>
  <c r="DD333" i="20"/>
  <c r="BW333" i="20"/>
  <c r="BE333" i="20"/>
  <c r="X333" i="20"/>
  <c r="AL303" i="20"/>
  <c r="K261" i="20"/>
  <c r="H261" i="20"/>
  <c r="DG401" i="20"/>
  <c r="BF401" i="20"/>
  <c r="DK400" i="20"/>
  <c r="BU400" i="20"/>
  <c r="AO400" i="20"/>
  <c r="CE359" i="20"/>
  <c r="BP359" i="20"/>
  <c r="AI359" i="20"/>
  <c r="Q359" i="20"/>
  <c r="CT358" i="20"/>
  <c r="CF358" i="20"/>
  <c r="BL358" i="20"/>
  <c r="AX358" i="20"/>
  <c r="AE358" i="20"/>
  <c r="DI357" i="20"/>
  <c r="CT357" i="20"/>
  <c r="CB357" i="20"/>
  <c r="BM357" i="20"/>
  <c r="AT357" i="20"/>
  <c r="AA357" i="20"/>
  <c r="T350" i="20"/>
  <c r="AM310" i="20"/>
  <c r="CR291" i="20"/>
  <c r="BD291" i="20"/>
  <c r="Q291" i="20"/>
  <c r="DH277" i="20"/>
  <c r="AL266" i="20"/>
  <c r="K188" i="20"/>
  <c r="H188" i="20"/>
  <c r="K290" i="20"/>
  <c r="H290" i="20"/>
  <c r="DJ416" i="20"/>
  <c r="DH411" i="20"/>
  <c r="CX411" i="20"/>
  <c r="CN411" i="20"/>
  <c r="CB411" i="20"/>
  <c r="BR411" i="20"/>
  <c r="BH411" i="20"/>
  <c r="AV411" i="20"/>
  <c r="AL411" i="20"/>
  <c r="AB411" i="20"/>
  <c r="DH398" i="20"/>
  <c r="CV398" i="20"/>
  <c r="CL398" i="20"/>
  <c r="BP398" i="20"/>
  <c r="DD391" i="20"/>
  <c r="CR391" i="20"/>
  <c r="CH391" i="20"/>
  <c r="BX391" i="20"/>
  <c r="BL391" i="20"/>
  <c r="BB391" i="20"/>
  <c r="AR391" i="20"/>
  <c r="AF391" i="20"/>
  <c r="V391" i="20"/>
  <c r="CV384" i="20"/>
  <c r="BW384" i="20"/>
  <c r="AL384" i="20"/>
  <c r="CM373" i="20"/>
  <c r="R373" i="20"/>
  <c r="CV359" i="20"/>
  <c r="BO359" i="20"/>
  <c r="AD359" i="20"/>
  <c r="DL358" i="20"/>
  <c r="CD358" i="20"/>
  <c r="BK358" i="20"/>
  <c r="AS358" i="20"/>
  <c r="AD358" i="20"/>
  <c r="DH357" i="20"/>
  <c r="CS357" i="20"/>
  <c r="BZ357" i="20"/>
  <c r="BG357" i="20"/>
  <c r="AR357" i="20"/>
  <c r="Z357" i="20"/>
  <c r="CZ351" i="20"/>
  <c r="CK351" i="20"/>
  <c r="BR351" i="20"/>
  <c r="AY351" i="20"/>
  <c r="AJ351" i="20"/>
  <c r="R351" i="20"/>
  <c r="CY350" i="20"/>
  <c r="CG350" i="20"/>
  <c r="BN350" i="20"/>
  <c r="AZ350" i="20"/>
  <c r="AF350" i="20"/>
  <c r="R350" i="20"/>
  <c r="CT342" i="20"/>
  <c r="CF342" i="20"/>
  <c r="BL342" i="20"/>
  <c r="AX342" i="20"/>
  <c r="AE342" i="20"/>
  <c r="DI320" i="20"/>
  <c r="CP320" i="20"/>
  <c r="BR320" i="20"/>
  <c r="AW320" i="20"/>
  <c r="X320" i="20"/>
  <c r="AQ317" i="20"/>
  <c r="CP313" i="20"/>
  <c r="BN313" i="20"/>
  <c r="AI313" i="20"/>
  <c r="CL310" i="20"/>
  <c r="BI310" i="20"/>
  <c r="AL310" i="20"/>
  <c r="CT308" i="20"/>
  <c r="BM308" i="20"/>
  <c r="CD306" i="20"/>
  <c r="AV306" i="20"/>
  <c r="CQ304" i="20"/>
  <c r="BJ304" i="20"/>
  <c r="AC304" i="20"/>
  <c r="CP303" i="20"/>
  <c r="BH303" i="20"/>
  <c r="Y303" i="20"/>
  <c r="CL302" i="20"/>
  <c r="BE302" i="20"/>
  <c r="X302" i="20"/>
  <c r="CD300" i="20"/>
  <c r="AU300" i="20"/>
  <c r="DJ299" i="20"/>
  <c r="CC299" i="20"/>
  <c r="AT299" i="20"/>
  <c r="DH298" i="20"/>
  <c r="BY298" i="20"/>
  <c r="AP298" i="20"/>
  <c r="DA296" i="20"/>
  <c r="BT296" i="20"/>
  <c r="AM296" i="20"/>
  <c r="CP287" i="20"/>
  <c r="BB287" i="20"/>
  <c r="DK286" i="20"/>
  <c r="BW286" i="20"/>
  <c r="AI286" i="20"/>
  <c r="BZ284" i="20"/>
  <c r="AO284" i="20"/>
  <c r="CY279" i="20"/>
  <c r="BM279" i="20"/>
  <c r="AB279" i="20"/>
  <c r="DE277" i="20"/>
  <c r="BS277" i="20"/>
  <c r="AG277" i="20"/>
  <c r="CB273" i="20"/>
  <c r="AP273" i="20"/>
  <c r="CF266" i="20"/>
  <c r="AA266" i="20"/>
  <c r="CL264" i="20"/>
  <c r="AD264" i="20"/>
  <c r="CT261" i="20"/>
  <c r="AZ261" i="20"/>
  <c r="CR257" i="20"/>
  <c r="T257" i="20"/>
  <c r="AS256" i="20"/>
  <c r="CZ254" i="20"/>
  <c r="AA254" i="20"/>
  <c r="BJ250" i="20"/>
  <c r="CF249" i="20"/>
  <c r="CM239" i="20"/>
  <c r="AZ230" i="20"/>
  <c r="AR224" i="20"/>
  <c r="AM220" i="20"/>
  <c r="CD177" i="20"/>
  <c r="Y171" i="20"/>
  <c r="H329" i="20"/>
  <c r="H343" i="20"/>
  <c r="X165" i="20"/>
  <c r="AF165" i="20"/>
  <c r="AN165" i="20"/>
  <c r="AV165" i="20"/>
  <c r="BD165" i="20"/>
  <c r="BL165" i="20"/>
  <c r="BT165" i="20"/>
  <c r="CB165" i="20"/>
  <c r="CJ165" i="20"/>
  <c r="CR165" i="20"/>
  <c r="CZ165" i="20"/>
  <c r="DH165" i="20"/>
  <c r="T165" i="20"/>
  <c r="AB165" i="20"/>
  <c r="AJ165" i="20"/>
  <c r="AR165" i="20"/>
  <c r="AZ165" i="20"/>
  <c r="BH165" i="20"/>
  <c r="BP165" i="20"/>
  <c r="BX165" i="20"/>
  <c r="CF165" i="20"/>
  <c r="CN165" i="20"/>
  <c r="CV165" i="20"/>
  <c r="DD165" i="20"/>
  <c r="DL165" i="20"/>
  <c r="U165" i="20"/>
  <c r="AE165" i="20"/>
  <c r="AP165" i="20"/>
  <c r="BA165" i="20"/>
  <c r="BK165" i="20"/>
  <c r="BV165" i="20"/>
  <c r="CG165" i="20"/>
  <c r="CQ165" i="20"/>
  <c r="DB165" i="20"/>
  <c r="V165" i="20"/>
  <c r="AG165" i="20"/>
  <c r="AQ165" i="20"/>
  <c r="BB165" i="20"/>
  <c r="BM165" i="20"/>
  <c r="BW165" i="20"/>
  <c r="CH165" i="20"/>
  <c r="CS165" i="20"/>
  <c r="DC165" i="20"/>
  <c r="W165" i="20"/>
  <c r="AK165" i="20"/>
  <c r="AX165" i="20"/>
  <c r="BN165" i="20"/>
  <c r="CA165" i="20"/>
  <c r="CO165" i="20"/>
  <c r="DE165" i="20"/>
  <c r="Y165" i="20"/>
  <c r="AL165" i="20"/>
  <c r="AY165" i="20"/>
  <c r="BO165" i="20"/>
  <c r="CC165" i="20"/>
  <c r="CP165" i="20"/>
  <c r="DF165" i="20"/>
  <c r="AA165" i="20"/>
  <c r="AO165" i="20"/>
  <c r="BE165" i="20"/>
  <c r="BR165" i="20"/>
  <c r="CE165" i="20"/>
  <c r="CU165" i="20"/>
  <c r="DI165" i="20"/>
  <c r="AD165" i="20"/>
  <c r="BC165" i="20"/>
  <c r="BY165" i="20"/>
  <c r="CW165" i="20"/>
  <c r="AH165" i="20"/>
  <c r="BF165" i="20"/>
  <c r="BZ165" i="20"/>
  <c r="CX165" i="20"/>
  <c r="AI165" i="20"/>
  <c r="BG165" i="20"/>
  <c r="CD165" i="20"/>
  <c r="CY165" i="20"/>
  <c r="R165" i="20"/>
  <c r="AS165" i="20"/>
  <c r="BJ165" i="20"/>
  <c r="CK165" i="20"/>
  <c r="DG165" i="20"/>
  <c r="AW165" i="20"/>
  <c r="CT165" i="20"/>
  <c r="Q165" i="20"/>
  <c r="BI165" i="20"/>
  <c r="DA165" i="20"/>
  <c r="S165" i="20"/>
  <c r="BQ165" i="20"/>
  <c r="DJ165" i="20"/>
  <c r="Z165" i="20"/>
  <c r="BS165" i="20"/>
  <c r="DK165" i="20"/>
  <c r="AM165" i="20"/>
  <c r="AT165" i="20"/>
  <c r="AU165" i="20"/>
  <c r="BU165" i="20"/>
  <c r="CL165" i="20"/>
  <c r="CM165" i="20"/>
  <c r="S322" i="20"/>
  <c r="AA322" i="20"/>
  <c r="AI322" i="20"/>
  <c r="AQ322" i="20"/>
  <c r="AY322" i="20"/>
  <c r="BG322" i="20"/>
  <c r="BO322" i="20"/>
  <c r="BW322" i="20"/>
  <c r="CE322" i="20"/>
  <c r="CM322" i="20"/>
  <c r="CU322" i="20"/>
  <c r="DC322" i="20"/>
  <c r="DK322" i="20"/>
  <c r="T322" i="20"/>
  <c r="AB322" i="20"/>
  <c r="AJ322" i="20"/>
  <c r="AR322" i="20"/>
  <c r="AZ322" i="20"/>
  <c r="BH322" i="20"/>
  <c r="BP322" i="20"/>
  <c r="BX322" i="20"/>
  <c r="CF322" i="20"/>
  <c r="CN322" i="20"/>
  <c r="CV322" i="20"/>
  <c r="DD322" i="20"/>
  <c r="DL322" i="20"/>
  <c r="Y322" i="20"/>
  <c r="AK322" i="20"/>
  <c r="AU322" i="20"/>
  <c r="BE322" i="20"/>
  <c r="BQ322" i="20"/>
  <c r="CA322" i="20"/>
  <c r="CK322" i="20"/>
  <c r="CW322" i="20"/>
  <c r="DG322" i="20"/>
  <c r="Q322" i="20"/>
  <c r="AC322" i="20"/>
  <c r="AM322" i="20"/>
  <c r="AW322" i="20"/>
  <c r="BI322" i="20"/>
  <c r="BS322" i="20"/>
  <c r="CC322" i="20"/>
  <c r="CO322" i="20"/>
  <c r="CY322" i="20"/>
  <c r="DI322" i="20"/>
  <c r="AD322" i="20"/>
  <c r="AP322" i="20"/>
  <c r="BD322" i="20"/>
  <c r="BT322" i="20"/>
  <c r="CH322" i="20"/>
  <c r="CT322" i="20"/>
  <c r="DJ322" i="20"/>
  <c r="AE322" i="20"/>
  <c r="AS322" i="20"/>
  <c r="BF322" i="20"/>
  <c r="BU322" i="20"/>
  <c r="CI322" i="20"/>
  <c r="CX322" i="20"/>
  <c r="R322" i="20"/>
  <c r="AF322" i="20"/>
  <c r="AT322" i="20"/>
  <c r="BJ322" i="20"/>
  <c r="BV322" i="20"/>
  <c r="CJ322" i="20"/>
  <c r="CZ322" i="20"/>
  <c r="U412" i="20"/>
  <c r="AC412" i="20"/>
  <c r="AK412" i="20"/>
  <c r="AS412" i="20"/>
  <c r="BA412" i="20"/>
  <c r="BI412" i="20"/>
  <c r="BQ412" i="20"/>
  <c r="BY412" i="20"/>
  <c r="CG412" i="20"/>
  <c r="CO412" i="20"/>
  <c r="CW412" i="20"/>
  <c r="DE412" i="20"/>
  <c r="W412" i="20"/>
  <c r="AE412" i="20"/>
  <c r="AM412" i="20"/>
  <c r="AU412" i="20"/>
  <c r="BC412" i="20"/>
  <c r="BK412" i="20"/>
  <c r="BS412" i="20"/>
  <c r="CA412" i="20"/>
  <c r="CI412" i="20"/>
  <c r="CQ412" i="20"/>
  <c r="CY412" i="20"/>
  <c r="DG412" i="20"/>
  <c r="R227" i="20"/>
  <c r="Z227" i="20"/>
  <c r="AH227" i="20"/>
  <c r="AP227" i="20"/>
  <c r="AX227" i="20"/>
  <c r="BF227" i="20"/>
  <c r="BN227" i="20"/>
  <c r="BV227" i="20"/>
  <c r="CD227" i="20"/>
  <c r="CL227" i="20"/>
  <c r="CT227" i="20"/>
  <c r="DB227" i="20"/>
  <c r="DJ227" i="20"/>
  <c r="V227" i="20"/>
  <c r="AE227" i="20"/>
  <c r="AN227" i="20"/>
  <c r="AW227" i="20"/>
  <c r="BG227" i="20"/>
  <c r="BP227" i="20"/>
  <c r="BY227" i="20"/>
  <c r="CH227" i="20"/>
  <c r="CQ227" i="20"/>
  <c r="CZ227" i="20"/>
  <c r="DI227" i="20"/>
  <c r="S227" i="20"/>
  <c r="AC227" i="20"/>
  <c r="AM227" i="20"/>
  <c r="AY227" i="20"/>
  <c r="BI227" i="20"/>
  <c r="BS227" i="20"/>
  <c r="CC227" i="20"/>
  <c r="CN227" i="20"/>
  <c r="CX227" i="20"/>
  <c r="DH227" i="20"/>
  <c r="T227" i="20"/>
  <c r="AD227" i="20"/>
  <c r="AO227" i="20"/>
  <c r="AZ227" i="20"/>
  <c r="BJ227" i="20"/>
  <c r="BT227" i="20"/>
  <c r="CE227" i="20"/>
  <c r="CO227" i="20"/>
  <c r="CY227" i="20"/>
  <c r="DK227" i="20"/>
  <c r="W227" i="20"/>
  <c r="AG227" i="20"/>
  <c r="AR227" i="20"/>
  <c r="BB227" i="20"/>
  <c r="BL227" i="20"/>
  <c r="BW227" i="20"/>
  <c r="CG227" i="20"/>
  <c r="CR227" i="20"/>
  <c r="DC227" i="20"/>
  <c r="AA227" i="20"/>
  <c r="AS227" i="20"/>
  <c r="BH227" i="20"/>
  <c r="BZ227" i="20"/>
  <c r="CP227" i="20"/>
  <c r="DF227" i="20"/>
  <c r="AF227" i="20"/>
  <c r="AU227" i="20"/>
  <c r="BM227" i="20"/>
  <c r="CB227" i="20"/>
  <c r="CU227" i="20"/>
  <c r="DL227" i="20"/>
  <c r="AI227" i="20"/>
  <c r="AV227" i="20"/>
  <c r="BO227" i="20"/>
  <c r="CF227" i="20"/>
  <c r="CV227" i="20"/>
  <c r="Q227" i="20"/>
  <c r="AQ227" i="20"/>
  <c r="BR227" i="20"/>
  <c r="CS227" i="20"/>
  <c r="U227" i="20"/>
  <c r="AT227" i="20"/>
  <c r="BU227" i="20"/>
  <c r="CW227" i="20"/>
  <c r="Y227" i="20"/>
  <c r="BC227" i="20"/>
  <c r="CA227" i="20"/>
  <c r="DD227" i="20"/>
  <c r="BD227" i="20"/>
  <c r="CM227" i="20"/>
  <c r="BE227" i="20"/>
  <c r="DA227" i="20"/>
  <c r="X227" i="20"/>
  <c r="BK227" i="20"/>
  <c r="DE227" i="20"/>
  <c r="AB227" i="20"/>
  <c r="BQ227" i="20"/>
  <c r="DG227" i="20"/>
  <c r="AJ227" i="20"/>
  <c r="BX227" i="20"/>
  <c r="AK227" i="20"/>
  <c r="CI227" i="20"/>
  <c r="U6" i="20"/>
  <c r="AC6" i="20"/>
  <c r="AK6" i="20"/>
  <c r="AS6" i="20"/>
  <c r="BA6" i="20"/>
  <c r="BI6" i="20"/>
  <c r="BQ6" i="20"/>
  <c r="BY6" i="20"/>
  <c r="CG6" i="20"/>
  <c r="CO6" i="20"/>
  <c r="CW6" i="20"/>
  <c r="DE6" i="20"/>
  <c r="V6" i="20"/>
  <c r="AD6" i="20"/>
  <c r="AL6" i="20"/>
  <c r="AT6" i="20"/>
  <c r="BB6" i="20"/>
  <c r="BJ6" i="20"/>
  <c r="BR6" i="20"/>
  <c r="BZ6" i="20"/>
  <c r="CH6" i="20"/>
  <c r="CP6" i="20"/>
  <c r="CX6" i="20"/>
  <c r="DF6" i="20"/>
  <c r="W6" i="20"/>
  <c r="AE6" i="20"/>
  <c r="AM6" i="20"/>
  <c r="AU6" i="20"/>
  <c r="BC6" i="20"/>
  <c r="BK6" i="20"/>
  <c r="BS6" i="20"/>
  <c r="CA6" i="20"/>
  <c r="CI6" i="20"/>
  <c r="CQ6" i="20"/>
  <c r="CY6" i="20"/>
  <c r="DG6" i="20"/>
  <c r="Z6" i="20"/>
  <c r="AN6" i="20"/>
  <c r="AY6" i="20"/>
  <c r="BM6" i="20"/>
  <c r="BX6" i="20"/>
  <c r="CL6" i="20"/>
  <c r="CZ6" i="20"/>
  <c r="DK6" i="20"/>
  <c r="AA6" i="20"/>
  <c r="AO6" i="20"/>
  <c r="AZ6" i="20"/>
  <c r="BN6" i="20"/>
  <c r="CB6" i="20"/>
  <c r="CM6" i="20"/>
  <c r="DA6" i="20"/>
  <c r="DL6" i="20"/>
  <c r="Q6" i="20"/>
  <c r="AB6" i="20"/>
  <c r="AP6" i="20"/>
  <c r="BD6" i="20"/>
  <c r="BO6" i="20"/>
  <c r="CC6" i="20"/>
  <c r="CN6" i="20"/>
  <c r="DB6" i="20"/>
  <c r="AF6" i="20"/>
  <c r="AW6" i="20"/>
  <c r="BT6" i="20"/>
  <c r="CK6" i="20"/>
  <c r="DH6" i="20"/>
  <c r="AG6" i="20"/>
  <c r="AX6" i="20"/>
  <c r="BU6" i="20"/>
  <c r="CR6" i="20"/>
  <c r="DI6" i="20"/>
  <c r="AH6" i="20"/>
  <c r="BE6" i="20"/>
  <c r="BV6" i="20"/>
  <c r="CS6" i="20"/>
  <c r="DJ6" i="20"/>
  <c r="T6" i="20"/>
  <c r="BF6" i="20"/>
  <c r="CF6" i="20"/>
  <c r="X6" i="20"/>
  <c r="BG6" i="20"/>
  <c r="CJ6" i="20"/>
  <c r="Y6" i="20"/>
  <c r="BH6" i="20"/>
  <c r="CT6" i="20"/>
  <c r="AI6" i="20"/>
  <c r="BL6" i="20"/>
  <c r="CU6" i="20"/>
  <c r="BP6" i="20"/>
  <c r="BW6" i="20"/>
  <c r="R6" i="20"/>
  <c r="CD6" i="20"/>
  <c r="S6" i="20"/>
  <c r="CE6" i="20"/>
  <c r="AJ6" i="20"/>
  <c r="AQ6" i="20"/>
  <c r="AR6" i="20"/>
  <c r="CV6" i="20"/>
  <c r="AV6" i="20"/>
  <c r="DC6" i="20"/>
  <c r="DD6" i="20"/>
  <c r="S54" i="20"/>
  <c r="AA54" i="20"/>
  <c r="AI54" i="20"/>
  <c r="AQ54" i="20"/>
  <c r="AY54" i="20"/>
  <c r="BG54" i="20"/>
  <c r="BO54" i="20"/>
  <c r="BW54" i="20"/>
  <c r="CE54" i="20"/>
  <c r="CM54" i="20"/>
  <c r="CU54" i="20"/>
  <c r="DC54" i="20"/>
  <c r="DK54" i="20"/>
  <c r="Q54" i="20"/>
  <c r="Z54" i="20"/>
  <c r="AJ54" i="20"/>
  <c r="AS54" i="20"/>
  <c r="BB54" i="20"/>
  <c r="BK54" i="20"/>
  <c r="BT54" i="20"/>
  <c r="CC54" i="20"/>
  <c r="CL54" i="20"/>
  <c r="CV54" i="20"/>
  <c r="DE54" i="20"/>
  <c r="R54" i="20"/>
  <c r="AB54" i="20"/>
  <c r="AK54" i="20"/>
  <c r="AT54" i="20"/>
  <c r="BC54" i="20"/>
  <c r="BL54" i="20"/>
  <c r="BU54" i="20"/>
  <c r="CD54" i="20"/>
  <c r="CN54" i="20"/>
  <c r="CW54" i="20"/>
  <c r="DF54" i="20"/>
  <c r="T54" i="20"/>
  <c r="AC54" i="20"/>
  <c r="AL54" i="20"/>
  <c r="AU54" i="20"/>
  <c r="BD54" i="20"/>
  <c r="BM54" i="20"/>
  <c r="BV54" i="20"/>
  <c r="CF54" i="20"/>
  <c r="CO54" i="20"/>
  <c r="CX54" i="20"/>
  <c r="DG54" i="20"/>
  <c r="U54" i="20"/>
  <c r="AD54" i="20"/>
  <c r="AM54" i="20"/>
  <c r="AV54" i="20"/>
  <c r="BE54" i="20"/>
  <c r="BN54" i="20"/>
  <c r="BX54" i="20"/>
  <c r="CG54" i="20"/>
  <c r="CP54" i="20"/>
  <c r="CY54" i="20"/>
  <c r="DH54" i="20"/>
  <c r="AE54" i="20"/>
  <c r="AW54" i="20"/>
  <c r="BP54" i="20"/>
  <c r="CH54" i="20"/>
  <c r="CZ54" i="20"/>
  <c r="AF54" i="20"/>
  <c r="AX54" i="20"/>
  <c r="BQ54" i="20"/>
  <c r="CI54" i="20"/>
  <c r="DA54" i="20"/>
  <c r="AG54" i="20"/>
  <c r="AZ54" i="20"/>
  <c r="BR54" i="20"/>
  <c r="CJ54" i="20"/>
  <c r="DB54" i="20"/>
  <c r="AH54" i="20"/>
  <c r="BA54" i="20"/>
  <c r="BS54" i="20"/>
  <c r="CK54" i="20"/>
  <c r="DD54" i="20"/>
  <c r="V54" i="20"/>
  <c r="AN54" i="20"/>
  <c r="BF54" i="20"/>
  <c r="BY54" i="20"/>
  <c r="CQ54" i="20"/>
  <c r="DI54" i="20"/>
  <c r="Y54" i="20"/>
  <c r="CA54" i="20"/>
  <c r="AO54" i="20"/>
  <c r="CB54" i="20"/>
  <c r="AP54" i="20"/>
  <c r="CR54" i="20"/>
  <c r="AR54" i="20"/>
  <c r="CS54" i="20"/>
  <c r="BH54" i="20"/>
  <c r="BI54" i="20"/>
  <c r="BJ54" i="20"/>
  <c r="CT54" i="20"/>
  <c r="DJ54" i="20"/>
  <c r="W54" i="20"/>
  <c r="X54" i="20"/>
  <c r="BZ54" i="20"/>
  <c r="DL54" i="20"/>
  <c r="Q405" i="20"/>
  <c r="Y405" i="20"/>
  <c r="AG405" i="20"/>
  <c r="AO405" i="20"/>
  <c r="AW405" i="20"/>
  <c r="BE405" i="20"/>
  <c r="BM405" i="20"/>
  <c r="BU405" i="20"/>
  <c r="CC405" i="20"/>
  <c r="CK405" i="20"/>
  <c r="CS405" i="20"/>
  <c r="DA405" i="20"/>
  <c r="DI405" i="20"/>
  <c r="S405" i="20"/>
  <c r="AA405" i="20"/>
  <c r="AI405" i="20"/>
  <c r="AQ405" i="20"/>
  <c r="AY405" i="20"/>
  <c r="BG405" i="20"/>
  <c r="BO405" i="20"/>
  <c r="BW405" i="20"/>
  <c r="CE405" i="20"/>
  <c r="CM405" i="20"/>
  <c r="CU405" i="20"/>
  <c r="DC405" i="20"/>
  <c r="DK405" i="20"/>
  <c r="S120" i="20"/>
  <c r="AA120" i="20"/>
  <c r="AI120" i="20"/>
  <c r="AQ120" i="20"/>
  <c r="AY120" i="20"/>
  <c r="BG120" i="20"/>
  <c r="BO120" i="20"/>
  <c r="BW120" i="20"/>
  <c r="CE120" i="20"/>
  <c r="CM120" i="20"/>
  <c r="CU120" i="20"/>
  <c r="DC120" i="20"/>
  <c r="DK120" i="20"/>
  <c r="T120" i="20"/>
  <c r="AB120" i="20"/>
  <c r="AJ120" i="20"/>
  <c r="AR120" i="20"/>
  <c r="AZ120" i="20"/>
  <c r="BH120" i="20"/>
  <c r="BP120" i="20"/>
  <c r="BX120" i="20"/>
  <c r="CF120" i="20"/>
  <c r="CN120" i="20"/>
  <c r="CV120" i="20"/>
  <c r="DD120" i="20"/>
  <c r="DL120" i="20"/>
  <c r="X120" i="20"/>
  <c r="AH120" i="20"/>
  <c r="AT120" i="20"/>
  <c r="BD120" i="20"/>
  <c r="BN120" i="20"/>
  <c r="BZ120" i="20"/>
  <c r="CJ120" i="20"/>
  <c r="CT120" i="20"/>
  <c r="DF120" i="20"/>
  <c r="R120" i="20"/>
  <c r="AE120" i="20"/>
  <c r="AP120" i="20"/>
  <c r="BC120" i="20"/>
  <c r="BQ120" i="20"/>
  <c r="CB120" i="20"/>
  <c r="CO120" i="20"/>
  <c r="CZ120" i="20"/>
  <c r="U120" i="20"/>
  <c r="AF120" i="20"/>
  <c r="AS120" i="20"/>
  <c r="BE120" i="20"/>
  <c r="BR120" i="20"/>
  <c r="CC120" i="20"/>
  <c r="CP120" i="20"/>
  <c r="DA120" i="20"/>
  <c r="AG120" i="20"/>
  <c r="AW120" i="20"/>
  <c r="BL120" i="20"/>
  <c r="CD120" i="20"/>
  <c r="CS120" i="20"/>
  <c r="DI120" i="20"/>
  <c r="Q120" i="20"/>
  <c r="AK120" i="20"/>
  <c r="AX120" i="20"/>
  <c r="BM120" i="20"/>
  <c r="CG120" i="20"/>
  <c r="CW120" i="20"/>
  <c r="DJ120" i="20"/>
  <c r="V120" i="20"/>
  <c r="AL120" i="20"/>
  <c r="BA120" i="20"/>
  <c r="BS120" i="20"/>
  <c r="CH120" i="20"/>
  <c r="CX120" i="20"/>
  <c r="W120" i="20"/>
  <c r="AM120" i="20"/>
  <c r="BB120" i="20"/>
  <c r="BT120" i="20"/>
  <c r="CI120" i="20"/>
  <c r="CY120" i="20"/>
  <c r="Y120" i="20"/>
  <c r="AN120" i="20"/>
  <c r="BF120" i="20"/>
  <c r="BU120" i="20"/>
  <c r="CK120" i="20"/>
  <c r="DB120" i="20"/>
  <c r="AV120" i="20"/>
  <c r="CQ120" i="20"/>
  <c r="BI120" i="20"/>
  <c r="CR120" i="20"/>
  <c r="BJ120" i="20"/>
  <c r="DE120" i="20"/>
  <c r="Z120" i="20"/>
  <c r="BK120" i="20"/>
  <c r="DG120" i="20"/>
  <c r="CA120" i="20"/>
  <c r="CL120" i="20"/>
  <c r="AC120" i="20"/>
  <c r="DH120" i="20"/>
  <c r="AD120" i="20"/>
  <c r="AO120" i="20"/>
  <c r="BV120" i="20"/>
  <c r="BY120" i="20"/>
  <c r="AU120" i="20"/>
  <c r="U371" i="20"/>
  <c r="AC371" i="20"/>
  <c r="AK371" i="20"/>
  <c r="AS371" i="20"/>
  <c r="BA371" i="20"/>
  <c r="BI371" i="20"/>
  <c r="BQ371" i="20"/>
  <c r="BY371" i="20"/>
  <c r="CG371" i="20"/>
  <c r="CO371" i="20"/>
  <c r="CW371" i="20"/>
  <c r="DE371" i="20"/>
  <c r="W371" i="20"/>
  <c r="AF371" i="20"/>
  <c r="AO371" i="20"/>
  <c r="AX371" i="20"/>
  <c r="BG371" i="20"/>
  <c r="BP371" i="20"/>
  <c r="BZ371" i="20"/>
  <c r="CI371" i="20"/>
  <c r="CR371" i="20"/>
  <c r="DA371" i="20"/>
  <c r="DJ371" i="20"/>
  <c r="Y371" i="20"/>
  <c r="AH371" i="20"/>
  <c r="AQ371" i="20"/>
  <c r="AZ371" i="20"/>
  <c r="BJ371" i="20"/>
  <c r="BS371" i="20"/>
  <c r="CB371" i="20"/>
  <c r="CK371" i="20"/>
  <c r="CT371" i="20"/>
  <c r="DC371" i="20"/>
  <c r="DL371" i="20"/>
  <c r="Q149" i="20"/>
  <c r="Y149" i="20"/>
  <c r="AG149" i="20"/>
  <c r="AO149" i="20"/>
  <c r="AW149" i="20"/>
  <c r="BE149" i="20"/>
  <c r="BM149" i="20"/>
  <c r="BU149" i="20"/>
  <c r="CC149" i="20"/>
  <c r="CK149" i="20"/>
  <c r="CS149" i="20"/>
  <c r="DA149" i="20"/>
  <c r="DI149" i="20"/>
  <c r="R149" i="20"/>
  <c r="Z149" i="20"/>
  <c r="AH149" i="20"/>
  <c r="AP149" i="20"/>
  <c r="AX149" i="20"/>
  <c r="W149" i="20"/>
  <c r="AI149" i="20"/>
  <c r="AS149" i="20"/>
  <c r="BC149" i="20"/>
  <c r="BL149" i="20"/>
  <c r="BV149" i="20"/>
  <c r="CE149" i="20"/>
  <c r="CN149" i="20"/>
  <c r="CW149" i="20"/>
  <c r="DF149" i="20"/>
  <c r="AB149" i="20"/>
  <c r="AL149" i="20"/>
  <c r="AV149" i="20"/>
  <c r="BG149" i="20"/>
  <c r="BP149" i="20"/>
  <c r="BY149" i="20"/>
  <c r="CH149" i="20"/>
  <c r="CQ149" i="20"/>
  <c r="CZ149" i="20"/>
  <c r="DJ149" i="20"/>
  <c r="S149" i="20"/>
  <c r="AC149" i="20"/>
  <c r="AM149" i="20"/>
  <c r="AY149" i="20"/>
  <c r="BH149" i="20"/>
  <c r="BQ149" i="20"/>
  <c r="BZ149" i="20"/>
  <c r="CI149" i="20"/>
  <c r="CR149" i="20"/>
  <c r="DB149" i="20"/>
  <c r="DK149" i="20"/>
  <c r="T149" i="20"/>
  <c r="AJ149" i="20"/>
  <c r="BA149" i="20"/>
  <c r="BO149" i="20"/>
  <c r="CD149" i="20"/>
  <c r="CT149" i="20"/>
  <c r="DG149" i="20"/>
  <c r="U149" i="20"/>
  <c r="AK149" i="20"/>
  <c r="BB149" i="20"/>
  <c r="BR149" i="20"/>
  <c r="CF149" i="20"/>
  <c r="CU149" i="20"/>
  <c r="DH149" i="20"/>
  <c r="V149" i="20"/>
  <c r="AN149" i="20"/>
  <c r="BD149" i="20"/>
  <c r="BS149" i="20"/>
  <c r="CG149" i="20"/>
  <c r="CV149" i="20"/>
  <c r="DL149" i="20"/>
  <c r="X149" i="20"/>
  <c r="AQ149" i="20"/>
  <c r="BF149" i="20"/>
  <c r="BT149" i="20"/>
  <c r="CJ149" i="20"/>
  <c r="CX149" i="20"/>
  <c r="AE149" i="20"/>
  <c r="BK149" i="20"/>
  <c r="CO149" i="20"/>
  <c r="AF149" i="20"/>
  <c r="BN149" i="20"/>
  <c r="CP149" i="20"/>
  <c r="AT149" i="20"/>
  <c r="BX149" i="20"/>
  <c r="DC149" i="20"/>
  <c r="BW149" i="20"/>
  <c r="AA149" i="20"/>
  <c r="CA149" i="20"/>
  <c r="AD149" i="20"/>
  <c r="CB149" i="20"/>
  <c r="AR149" i="20"/>
  <c r="CL149" i="20"/>
  <c r="AU149" i="20"/>
  <c r="CM149" i="20"/>
  <c r="CY149" i="20"/>
  <c r="DD149" i="20"/>
  <c r="DE149" i="20"/>
  <c r="AZ149" i="20"/>
  <c r="BI149" i="20"/>
  <c r="BJ149" i="20"/>
  <c r="U138" i="20"/>
  <c r="AC138" i="20"/>
  <c r="AK138" i="20"/>
  <c r="AS138" i="20"/>
  <c r="BA138" i="20"/>
  <c r="BI138" i="20"/>
  <c r="BQ138" i="20"/>
  <c r="BY138" i="20"/>
  <c r="CG138" i="20"/>
  <c r="CO138" i="20"/>
  <c r="CW138" i="20"/>
  <c r="DE138" i="20"/>
  <c r="V138" i="20"/>
  <c r="AD138" i="20"/>
  <c r="AL138" i="20"/>
  <c r="AT138" i="20"/>
  <c r="BB138" i="20"/>
  <c r="BJ138" i="20"/>
  <c r="BR138" i="20"/>
  <c r="BZ138" i="20"/>
  <c r="CH138" i="20"/>
  <c r="CP138" i="20"/>
  <c r="CX138" i="20"/>
  <c r="DF138" i="20"/>
  <c r="Y138" i="20"/>
  <c r="AI138" i="20"/>
  <c r="AU138" i="20"/>
  <c r="BE138" i="20"/>
  <c r="BO138" i="20"/>
  <c r="CA138" i="20"/>
  <c r="CK138" i="20"/>
  <c r="CU138" i="20"/>
  <c r="DG138" i="20"/>
  <c r="Z138" i="20"/>
  <c r="AJ138" i="20"/>
  <c r="AV138" i="20"/>
  <c r="BF138" i="20"/>
  <c r="BP138" i="20"/>
  <c r="CB138" i="20"/>
  <c r="CL138" i="20"/>
  <c r="CV138" i="20"/>
  <c r="DH138" i="20"/>
  <c r="R138" i="20"/>
  <c r="AB138" i="20"/>
  <c r="AN138" i="20"/>
  <c r="AX138" i="20"/>
  <c r="BH138" i="20"/>
  <c r="BT138" i="20"/>
  <c r="CD138" i="20"/>
  <c r="CN138" i="20"/>
  <c r="CZ138" i="20"/>
  <c r="DJ138" i="20"/>
  <c r="S138" i="20"/>
  <c r="AE138" i="20"/>
  <c r="AO138" i="20"/>
  <c r="AY138" i="20"/>
  <c r="BK138" i="20"/>
  <c r="BU138" i="20"/>
  <c r="CE138" i="20"/>
  <c r="CQ138" i="20"/>
  <c r="DA138" i="20"/>
  <c r="DK138" i="20"/>
  <c r="Q138" i="20"/>
  <c r="AM138" i="20"/>
  <c r="BG138" i="20"/>
  <c r="CC138" i="20"/>
  <c r="CY138" i="20"/>
  <c r="T138" i="20"/>
  <c r="AP138" i="20"/>
  <c r="BL138" i="20"/>
  <c r="CF138" i="20"/>
  <c r="DB138" i="20"/>
  <c r="W138" i="20"/>
  <c r="AQ138" i="20"/>
  <c r="BM138" i="20"/>
  <c r="CI138" i="20"/>
  <c r="DC138" i="20"/>
  <c r="X138" i="20"/>
  <c r="AR138" i="20"/>
  <c r="BN138" i="20"/>
  <c r="CJ138" i="20"/>
  <c r="DD138" i="20"/>
  <c r="BC138" i="20"/>
  <c r="CS138" i="20"/>
  <c r="BD138" i="20"/>
  <c r="CT138" i="20"/>
  <c r="AF138" i="20"/>
  <c r="BV138" i="20"/>
  <c r="DL138" i="20"/>
  <c r="AG138" i="20"/>
  <c r="CR138" i="20"/>
  <c r="AH138" i="20"/>
  <c r="DI138" i="20"/>
  <c r="AW138" i="20"/>
  <c r="AZ138" i="20"/>
  <c r="BS138" i="20"/>
  <c r="AA138" i="20"/>
  <c r="BW138" i="20"/>
  <c r="BX138" i="20"/>
  <c r="CM138" i="20"/>
  <c r="W31" i="20"/>
  <c r="AE31" i="20"/>
  <c r="AM31" i="20"/>
  <c r="AU31" i="20"/>
  <c r="BC31" i="20"/>
  <c r="BK31" i="20"/>
  <c r="BS31" i="20"/>
  <c r="CA31" i="20"/>
  <c r="CI31" i="20"/>
  <c r="CQ31" i="20"/>
  <c r="CY31" i="20"/>
  <c r="DG31" i="20"/>
  <c r="X31" i="20"/>
  <c r="AG31" i="20"/>
  <c r="AP31" i="20"/>
  <c r="AY31" i="20"/>
  <c r="BH31" i="20"/>
  <c r="BQ31" i="20"/>
  <c r="BZ31" i="20"/>
  <c r="CJ31" i="20"/>
  <c r="CS31" i="20"/>
  <c r="DB31" i="20"/>
  <c r="DK31" i="20"/>
  <c r="Y31" i="20"/>
  <c r="AH31" i="20"/>
  <c r="AQ31" i="20"/>
  <c r="AZ31" i="20"/>
  <c r="BI31" i="20"/>
  <c r="BR31" i="20"/>
  <c r="CB31" i="20"/>
  <c r="CK31" i="20"/>
  <c r="CT31" i="20"/>
  <c r="DC31" i="20"/>
  <c r="DL31" i="20"/>
  <c r="Z31" i="20"/>
  <c r="AK31" i="20"/>
  <c r="AW31" i="20"/>
  <c r="BJ31" i="20"/>
  <c r="BV31" i="20"/>
  <c r="CG31" i="20"/>
  <c r="CU31" i="20"/>
  <c r="DF31" i="20"/>
  <c r="AA31" i="20"/>
  <c r="AN31" i="20"/>
  <c r="BB31" i="20"/>
  <c r="BO31" i="20"/>
  <c r="CD31" i="20"/>
  <c r="CP31" i="20"/>
  <c r="DE31" i="20"/>
  <c r="AB31" i="20"/>
  <c r="AO31" i="20"/>
  <c r="BD31" i="20"/>
  <c r="BP31" i="20"/>
  <c r="CE31" i="20"/>
  <c r="CR31" i="20"/>
  <c r="DH31" i="20"/>
  <c r="R31" i="20"/>
  <c r="AD31" i="20"/>
  <c r="AS31" i="20"/>
  <c r="BF31" i="20"/>
  <c r="BU31" i="20"/>
  <c r="CH31" i="20"/>
  <c r="CW31" i="20"/>
  <c r="DJ31" i="20"/>
  <c r="U31" i="20"/>
  <c r="AT31" i="20"/>
  <c r="BN31" i="20"/>
  <c r="CM31" i="20"/>
  <c r="DI31" i="20"/>
  <c r="V31" i="20"/>
  <c r="AV31" i="20"/>
  <c r="BT31" i="20"/>
  <c r="CN31" i="20"/>
  <c r="S31" i="20"/>
  <c r="AL31" i="20"/>
  <c r="BL31" i="20"/>
  <c r="CF31" i="20"/>
  <c r="DA31" i="20"/>
  <c r="AJ31" i="20"/>
  <c r="BX31" i="20"/>
  <c r="DD31" i="20"/>
  <c r="AR31" i="20"/>
  <c r="BY31" i="20"/>
  <c r="AX31" i="20"/>
  <c r="CC31" i="20"/>
  <c r="Q31" i="20"/>
  <c r="BA31" i="20"/>
  <c r="CL31" i="20"/>
  <c r="BE31" i="20"/>
  <c r="BG31" i="20"/>
  <c r="BM31" i="20"/>
  <c r="BW31" i="20"/>
  <c r="T31" i="20"/>
  <c r="CO31" i="20"/>
  <c r="CX31" i="20"/>
  <c r="CZ31" i="20"/>
  <c r="AC31" i="20"/>
  <c r="AF31" i="20"/>
  <c r="AI31" i="20"/>
  <c r="CV31" i="20"/>
  <c r="X47" i="20"/>
  <c r="AF47" i="20"/>
  <c r="AN47" i="20"/>
  <c r="AV47" i="20"/>
  <c r="BD47" i="20"/>
  <c r="BL47" i="20"/>
  <c r="BT47" i="20"/>
  <c r="CB47" i="20"/>
  <c r="CJ47" i="20"/>
  <c r="CR47" i="20"/>
  <c r="CZ47" i="20"/>
  <c r="DH47" i="20"/>
  <c r="S47" i="20"/>
  <c r="AB47" i="20"/>
  <c r="AK47" i="20"/>
  <c r="AT47" i="20"/>
  <c r="BC47" i="20"/>
  <c r="BM47" i="20"/>
  <c r="BV47" i="20"/>
  <c r="CE47" i="20"/>
  <c r="CN47" i="20"/>
  <c r="CW47" i="20"/>
  <c r="DF47" i="20"/>
  <c r="Y47" i="20"/>
  <c r="AI47" i="20"/>
  <c r="AS47" i="20"/>
  <c r="BE47" i="20"/>
  <c r="BO47" i="20"/>
  <c r="BY47" i="20"/>
  <c r="CI47" i="20"/>
  <c r="CT47" i="20"/>
  <c r="DD47" i="20"/>
  <c r="Z47" i="20"/>
  <c r="AJ47" i="20"/>
  <c r="AU47" i="20"/>
  <c r="BF47" i="20"/>
  <c r="BP47" i="20"/>
  <c r="BZ47" i="20"/>
  <c r="CK47" i="20"/>
  <c r="CU47" i="20"/>
  <c r="DE47" i="20"/>
  <c r="Q47" i="20"/>
  <c r="AA47" i="20"/>
  <c r="AL47" i="20"/>
  <c r="AW47" i="20"/>
  <c r="BG47" i="20"/>
  <c r="BQ47" i="20"/>
  <c r="CA47" i="20"/>
  <c r="CL47" i="20"/>
  <c r="CV47" i="20"/>
  <c r="DG47" i="20"/>
  <c r="R47" i="20"/>
  <c r="AC47" i="20"/>
  <c r="AM47" i="20"/>
  <c r="AX47" i="20"/>
  <c r="BH47" i="20"/>
  <c r="BR47" i="20"/>
  <c r="CC47" i="20"/>
  <c r="CM47" i="20"/>
  <c r="CX47" i="20"/>
  <c r="DI47" i="20"/>
  <c r="AD47" i="20"/>
  <c r="AY47" i="20"/>
  <c r="BS47" i="20"/>
  <c r="CO47" i="20"/>
  <c r="DJ47" i="20"/>
  <c r="AE47" i="20"/>
  <c r="AZ47" i="20"/>
  <c r="BU47" i="20"/>
  <c r="CP47" i="20"/>
  <c r="DK47" i="20"/>
  <c r="AG47" i="20"/>
  <c r="BA47" i="20"/>
  <c r="BW47" i="20"/>
  <c r="CQ47" i="20"/>
  <c r="DL47" i="20"/>
  <c r="AH47" i="20"/>
  <c r="BB47" i="20"/>
  <c r="BX47" i="20"/>
  <c r="CS47" i="20"/>
  <c r="T47" i="20"/>
  <c r="AO47" i="20"/>
  <c r="BI47" i="20"/>
  <c r="CD47" i="20"/>
  <c r="CY47" i="20"/>
  <c r="BJ47" i="20"/>
  <c r="DC47" i="20"/>
  <c r="BK47" i="20"/>
  <c r="U47" i="20"/>
  <c r="BN47" i="20"/>
  <c r="V47" i="20"/>
  <c r="CF47" i="20"/>
  <c r="W47" i="20"/>
  <c r="AP47" i="20"/>
  <c r="AQ47" i="20"/>
  <c r="AR47" i="20"/>
  <c r="CG47" i="20"/>
  <c r="CH47" i="20"/>
  <c r="DA47" i="20"/>
  <c r="DB47" i="20"/>
  <c r="U392" i="20"/>
  <c r="AC392" i="20"/>
  <c r="AK392" i="20"/>
  <c r="AS392" i="20"/>
  <c r="BA392" i="20"/>
  <c r="BI392" i="20"/>
  <c r="BQ392" i="20"/>
  <c r="BY392" i="20"/>
  <c r="CG392" i="20"/>
  <c r="CO392" i="20"/>
  <c r="CW392" i="20"/>
  <c r="DE392" i="20"/>
  <c r="W392" i="20"/>
  <c r="AE392" i="20"/>
  <c r="AM392" i="20"/>
  <c r="AU392" i="20"/>
  <c r="BC392" i="20"/>
  <c r="BK392" i="20"/>
  <c r="BS392" i="20"/>
  <c r="CA392" i="20"/>
  <c r="CI392" i="20"/>
  <c r="CQ392" i="20"/>
  <c r="CY392" i="20"/>
  <c r="DG392" i="20"/>
  <c r="Q338" i="20"/>
  <c r="Y338" i="20"/>
  <c r="AG338" i="20"/>
  <c r="AO338" i="20"/>
  <c r="AW338" i="20"/>
  <c r="BE338" i="20"/>
  <c r="BM338" i="20"/>
  <c r="BU338" i="20"/>
  <c r="CC338" i="20"/>
  <c r="CK338" i="20"/>
  <c r="CS338" i="20"/>
  <c r="DA338" i="20"/>
  <c r="DI338" i="20"/>
  <c r="S338" i="20"/>
  <c r="AA338" i="20"/>
  <c r="AI338" i="20"/>
  <c r="AQ338" i="20"/>
  <c r="AY338" i="20"/>
  <c r="BG338" i="20"/>
  <c r="BO338" i="20"/>
  <c r="BW338" i="20"/>
  <c r="CE338" i="20"/>
  <c r="CM338" i="20"/>
  <c r="CU338" i="20"/>
  <c r="DC338" i="20"/>
  <c r="DK338" i="20"/>
  <c r="T338" i="20"/>
  <c r="AD338" i="20"/>
  <c r="AN338" i="20"/>
  <c r="AZ338" i="20"/>
  <c r="BJ338" i="20"/>
  <c r="BT338" i="20"/>
  <c r="CF338" i="20"/>
  <c r="CP338" i="20"/>
  <c r="CZ338" i="20"/>
  <c r="DL338" i="20"/>
  <c r="U338" i="20"/>
  <c r="AE338" i="20"/>
  <c r="AP338" i="20"/>
  <c r="BA338" i="20"/>
  <c r="BK338" i="20"/>
  <c r="BV338" i="20"/>
  <c r="CG338" i="20"/>
  <c r="CQ338" i="20"/>
  <c r="DB338" i="20"/>
  <c r="V338" i="20"/>
  <c r="AF338" i="20"/>
  <c r="AR338" i="20"/>
  <c r="BB338" i="20"/>
  <c r="BL338" i="20"/>
  <c r="BX338" i="20"/>
  <c r="CH338" i="20"/>
  <c r="CR338" i="20"/>
  <c r="DD338" i="20"/>
  <c r="T124" i="20"/>
  <c r="AB124" i="20"/>
  <c r="AJ124" i="20"/>
  <c r="AR124" i="20"/>
  <c r="AZ124" i="20"/>
  <c r="BH124" i="20"/>
  <c r="BP124" i="20"/>
  <c r="BX124" i="20"/>
  <c r="CF124" i="20"/>
  <c r="CN124" i="20"/>
  <c r="CV124" i="20"/>
  <c r="DD124" i="20"/>
  <c r="DL124" i="20"/>
  <c r="X124" i="20"/>
  <c r="AG124" i="20"/>
  <c r="AP124" i="20"/>
  <c r="AY124" i="20"/>
  <c r="BI124" i="20"/>
  <c r="BR124" i="20"/>
  <c r="CA124" i="20"/>
  <c r="CJ124" i="20"/>
  <c r="CS124" i="20"/>
  <c r="DB124" i="20"/>
  <c r="DK124" i="20"/>
  <c r="Y124" i="20"/>
  <c r="AH124" i="20"/>
  <c r="AQ124" i="20"/>
  <c r="BA124" i="20"/>
  <c r="BJ124" i="20"/>
  <c r="BS124" i="20"/>
  <c r="CB124" i="20"/>
  <c r="CK124" i="20"/>
  <c r="CT124" i="20"/>
  <c r="DC124" i="20"/>
  <c r="Z124" i="20"/>
  <c r="AL124" i="20"/>
  <c r="AW124" i="20"/>
  <c r="BK124" i="20"/>
  <c r="BV124" i="20"/>
  <c r="CH124" i="20"/>
  <c r="CU124" i="20"/>
  <c r="DG124" i="20"/>
  <c r="AA124" i="20"/>
  <c r="AM124" i="20"/>
  <c r="AX124" i="20"/>
  <c r="BL124" i="20"/>
  <c r="BW124" i="20"/>
  <c r="CI124" i="20"/>
  <c r="CW124" i="20"/>
  <c r="DH124" i="20"/>
  <c r="Q124" i="20"/>
  <c r="AC124" i="20"/>
  <c r="AN124" i="20"/>
  <c r="BB124" i="20"/>
  <c r="BM124" i="20"/>
  <c r="BY124" i="20"/>
  <c r="CL124" i="20"/>
  <c r="CX124" i="20"/>
  <c r="DI124" i="20"/>
  <c r="R124" i="20"/>
  <c r="AD124" i="20"/>
  <c r="AO124" i="20"/>
  <c r="BC124" i="20"/>
  <c r="BN124" i="20"/>
  <c r="BZ124" i="20"/>
  <c r="CM124" i="20"/>
  <c r="CY124" i="20"/>
  <c r="DJ124" i="20"/>
  <c r="S124" i="20"/>
  <c r="AE124" i="20"/>
  <c r="AS124" i="20"/>
  <c r="BD124" i="20"/>
  <c r="BO124" i="20"/>
  <c r="CC124" i="20"/>
  <c r="CO124" i="20"/>
  <c r="CZ124" i="20"/>
  <c r="AI124" i="20"/>
  <c r="BQ124" i="20"/>
  <c r="CR124" i="20"/>
  <c r="AK124" i="20"/>
  <c r="BT124" i="20"/>
  <c r="DA124" i="20"/>
  <c r="AT124" i="20"/>
  <c r="BU124" i="20"/>
  <c r="DE124" i="20"/>
  <c r="AU124" i="20"/>
  <c r="CD124" i="20"/>
  <c r="DF124" i="20"/>
  <c r="BF124" i="20"/>
  <c r="BG124" i="20"/>
  <c r="U124" i="20"/>
  <c r="CE124" i="20"/>
  <c r="V124" i="20"/>
  <c r="CG124" i="20"/>
  <c r="W124" i="20"/>
  <c r="AF124" i="20"/>
  <c r="AV124" i="20"/>
  <c r="BE124" i="20"/>
  <c r="CP124" i="20"/>
  <c r="CQ124" i="20"/>
  <c r="V232" i="20"/>
  <c r="AD232" i="20"/>
  <c r="AL232" i="20"/>
  <c r="AT232" i="20"/>
  <c r="BB232" i="20"/>
  <c r="BJ232" i="20"/>
  <c r="BR232" i="20"/>
  <c r="BZ232" i="20"/>
  <c r="CH232" i="20"/>
  <c r="CP232" i="20"/>
  <c r="CX232" i="20"/>
  <c r="DF232" i="20"/>
  <c r="Y232" i="20"/>
  <c r="AH232" i="20"/>
  <c r="AQ232" i="20"/>
  <c r="AZ232" i="20"/>
  <c r="BI232" i="20"/>
  <c r="BS232" i="20"/>
  <c r="CB232" i="20"/>
  <c r="CK232" i="20"/>
  <c r="CT232" i="20"/>
  <c r="DC232" i="20"/>
  <c r="DL232" i="20"/>
  <c r="T232" i="20"/>
  <c r="AE232" i="20"/>
  <c r="AO232" i="20"/>
  <c r="AY232" i="20"/>
  <c r="BK232" i="20"/>
  <c r="BU232" i="20"/>
  <c r="CE232" i="20"/>
  <c r="CO232" i="20"/>
  <c r="CZ232" i="20"/>
  <c r="DJ232" i="20"/>
  <c r="U232" i="20"/>
  <c r="AF232" i="20"/>
  <c r="AP232" i="20"/>
  <c r="BA232" i="20"/>
  <c r="BL232" i="20"/>
  <c r="BV232" i="20"/>
  <c r="CF232" i="20"/>
  <c r="CQ232" i="20"/>
  <c r="DA232" i="20"/>
  <c r="DK232" i="20"/>
  <c r="X232" i="20"/>
  <c r="AI232" i="20"/>
  <c r="AS232" i="20"/>
  <c r="BD232" i="20"/>
  <c r="BN232" i="20"/>
  <c r="BX232" i="20"/>
  <c r="CI232" i="20"/>
  <c r="CS232" i="20"/>
  <c r="DD232" i="20"/>
  <c r="AB232" i="20"/>
  <c r="AU232" i="20"/>
  <c r="BH232" i="20"/>
  <c r="CA232" i="20"/>
  <c r="CR232" i="20"/>
  <c r="DH232" i="20"/>
  <c r="Q232" i="20"/>
  <c r="AG232" i="20"/>
  <c r="AW232" i="20"/>
  <c r="BO232" i="20"/>
  <c r="CD232" i="20"/>
  <c r="CV232" i="20"/>
  <c r="R232" i="20"/>
  <c r="AJ232" i="20"/>
  <c r="AX232" i="20"/>
  <c r="BP232" i="20"/>
  <c r="CG232" i="20"/>
  <c r="CW232" i="20"/>
  <c r="Z232" i="20"/>
  <c r="BC232" i="20"/>
  <c r="BY232" i="20"/>
  <c r="DB232" i="20"/>
  <c r="AA232" i="20"/>
  <c r="BE232" i="20"/>
  <c r="CC232" i="20"/>
  <c r="DE232" i="20"/>
  <c r="AK232" i="20"/>
  <c r="BG232" i="20"/>
  <c r="CL232" i="20"/>
  <c r="DI232" i="20"/>
  <c r="W232" i="20"/>
  <c r="BQ232" i="20"/>
  <c r="DG232" i="20"/>
  <c r="AC232" i="20"/>
  <c r="BT232" i="20"/>
  <c r="AM232" i="20"/>
  <c r="BW232" i="20"/>
  <c r="AN232" i="20"/>
  <c r="CJ232" i="20"/>
  <c r="AR232" i="20"/>
  <c r="CM232" i="20"/>
  <c r="AV232" i="20"/>
  <c r="CN232" i="20"/>
  <c r="W41" i="20"/>
  <c r="AE41" i="20"/>
  <c r="AM41" i="20"/>
  <c r="AU41" i="20"/>
  <c r="BC41" i="20"/>
  <c r="BK41" i="20"/>
  <c r="BS41" i="20"/>
  <c r="CA41" i="20"/>
  <c r="CI41" i="20"/>
  <c r="CQ41" i="20"/>
  <c r="CY41" i="20"/>
  <c r="DG41" i="20"/>
  <c r="T41" i="20"/>
  <c r="AC41" i="20"/>
  <c r="AL41" i="20"/>
  <c r="AV41" i="20"/>
  <c r="BE41" i="20"/>
  <c r="BN41" i="20"/>
  <c r="BW41" i="20"/>
  <c r="CF41" i="20"/>
  <c r="CO41" i="20"/>
  <c r="CX41" i="20"/>
  <c r="DH41" i="20"/>
  <c r="U41" i="20"/>
  <c r="AD41" i="20"/>
  <c r="Y41" i="20"/>
  <c r="AJ41" i="20"/>
  <c r="AT41" i="20"/>
  <c r="AB41" i="20"/>
  <c r="AP41" i="20"/>
  <c r="BA41" i="20"/>
  <c r="BL41" i="20"/>
  <c r="BV41" i="20"/>
  <c r="CG41" i="20"/>
  <c r="CR41" i="20"/>
  <c r="DB41" i="20"/>
  <c r="DL41" i="20"/>
  <c r="S41" i="20"/>
  <c r="AH41" i="20"/>
  <c r="AS41" i="20"/>
  <c r="BF41" i="20"/>
  <c r="BP41" i="20"/>
  <c r="BZ41" i="20"/>
  <c r="CK41" i="20"/>
  <c r="CU41" i="20"/>
  <c r="DE41" i="20"/>
  <c r="Q41" i="20"/>
  <c r="AI41" i="20"/>
  <c r="AY41" i="20"/>
  <c r="BM41" i="20"/>
  <c r="CB41" i="20"/>
  <c r="CN41" i="20"/>
  <c r="DC41" i="20"/>
  <c r="V41" i="20"/>
  <c r="AO41" i="20"/>
  <c r="BG41" i="20"/>
  <c r="BU41" i="20"/>
  <c r="CL41" i="20"/>
  <c r="DA41" i="20"/>
  <c r="X41" i="20"/>
  <c r="AQ41" i="20"/>
  <c r="BH41" i="20"/>
  <c r="BX41" i="20"/>
  <c r="CM41" i="20"/>
  <c r="DD41" i="20"/>
  <c r="Z41" i="20"/>
  <c r="AR41" i="20"/>
  <c r="BI41" i="20"/>
  <c r="BY41" i="20"/>
  <c r="CP41" i="20"/>
  <c r="DF41" i="20"/>
  <c r="AA41" i="20"/>
  <c r="AW41" i="20"/>
  <c r="BJ41" i="20"/>
  <c r="CC41" i="20"/>
  <c r="CS41" i="20"/>
  <c r="DI41" i="20"/>
  <c r="AF41" i="20"/>
  <c r="BO41" i="20"/>
  <c r="CT41" i="20"/>
  <c r="AG41" i="20"/>
  <c r="BQ41" i="20"/>
  <c r="CV41" i="20"/>
  <c r="AK41" i="20"/>
  <c r="BR41" i="20"/>
  <c r="CW41" i="20"/>
  <c r="AN41" i="20"/>
  <c r="BT41" i="20"/>
  <c r="CZ41" i="20"/>
  <c r="AX41" i="20"/>
  <c r="CD41" i="20"/>
  <c r="DJ41" i="20"/>
  <c r="DK41" i="20"/>
  <c r="R41" i="20"/>
  <c r="AZ41" i="20"/>
  <c r="BB41" i="20"/>
  <c r="BD41" i="20"/>
  <c r="CE41" i="20"/>
  <c r="CH41" i="20"/>
  <c r="CJ41" i="20"/>
  <c r="Q376" i="20"/>
  <c r="Y376" i="20"/>
  <c r="AG376" i="20"/>
  <c r="AO376" i="20"/>
  <c r="AW376" i="20"/>
  <c r="BE376" i="20"/>
  <c r="BM376" i="20"/>
  <c r="BU376" i="20"/>
  <c r="CC376" i="20"/>
  <c r="CK376" i="20"/>
  <c r="CS376" i="20"/>
  <c r="DA376" i="20"/>
  <c r="DI376" i="20"/>
  <c r="Z376" i="20"/>
  <c r="AI376" i="20"/>
  <c r="AR376" i="20"/>
  <c r="BA376" i="20"/>
  <c r="BJ376" i="20"/>
  <c r="BS376" i="20"/>
  <c r="CB376" i="20"/>
  <c r="CL376" i="20"/>
  <c r="CU376" i="20"/>
  <c r="DD376" i="20"/>
  <c r="S376" i="20"/>
  <c r="AB376" i="20"/>
  <c r="AK376" i="20"/>
  <c r="AT376" i="20"/>
  <c r="BC376" i="20"/>
  <c r="BL376" i="20"/>
  <c r="BV376" i="20"/>
  <c r="CE376" i="20"/>
  <c r="CN376" i="20"/>
  <c r="CW376" i="20"/>
  <c r="DF376" i="20"/>
  <c r="Q193" i="20"/>
  <c r="Y193" i="20"/>
  <c r="AG193" i="20"/>
  <c r="AO193" i="20"/>
  <c r="AW193" i="20"/>
  <c r="BE193" i="20"/>
  <c r="BM193" i="20"/>
  <c r="BU193" i="20"/>
  <c r="CC193" i="20"/>
  <c r="CK193" i="20"/>
  <c r="CS193" i="20"/>
  <c r="DA193" i="20"/>
  <c r="DI193" i="20"/>
  <c r="R193" i="20"/>
  <c r="Z193" i="20"/>
  <c r="AH193" i="20"/>
  <c r="AP193" i="20"/>
  <c r="AX193" i="20"/>
  <c r="BF193" i="20"/>
  <c r="BN193" i="20"/>
  <c r="BV193" i="20"/>
  <c r="CD193" i="20"/>
  <c r="CL193" i="20"/>
  <c r="CT193" i="20"/>
  <c r="DB193" i="20"/>
  <c r="DJ193" i="20"/>
  <c r="AA193" i="20"/>
  <c r="AK193" i="20"/>
  <c r="AU193" i="20"/>
  <c r="BG193" i="20"/>
  <c r="BQ193" i="20"/>
  <c r="CA193" i="20"/>
  <c r="CM193" i="20"/>
  <c r="CW193" i="20"/>
  <c r="DG193" i="20"/>
  <c r="AB193" i="20"/>
  <c r="AL193" i="20"/>
  <c r="AV193" i="20"/>
  <c r="BH193" i="20"/>
  <c r="BR193" i="20"/>
  <c r="CB193" i="20"/>
  <c r="CN193" i="20"/>
  <c r="CX193" i="20"/>
  <c r="DH193" i="20"/>
  <c r="S193" i="20"/>
  <c r="AE193" i="20"/>
  <c r="AS193" i="20"/>
  <c r="BI193" i="20"/>
  <c r="BW193" i="20"/>
  <c r="CI193" i="20"/>
  <c r="CY193" i="20"/>
  <c r="T193" i="20"/>
  <c r="AF193" i="20"/>
  <c r="AT193" i="20"/>
  <c r="BJ193" i="20"/>
  <c r="BX193" i="20"/>
  <c r="CJ193" i="20"/>
  <c r="CZ193" i="20"/>
  <c r="U193" i="20"/>
  <c r="AI193" i="20"/>
  <c r="AY193" i="20"/>
  <c r="BK193" i="20"/>
  <c r="BY193" i="20"/>
  <c r="CO193" i="20"/>
  <c r="DC193" i="20"/>
  <c r="W193" i="20"/>
  <c r="AM193" i="20"/>
  <c r="BA193" i="20"/>
  <c r="BO193" i="20"/>
  <c r="CE193" i="20"/>
  <c r="CQ193" i="20"/>
  <c r="DE193" i="20"/>
  <c r="AD193" i="20"/>
  <c r="BD193" i="20"/>
  <c r="CH193" i="20"/>
  <c r="DL193" i="20"/>
  <c r="AN193" i="20"/>
  <c r="BP193" i="20"/>
  <c r="CR193" i="20"/>
  <c r="AQ193" i="20"/>
  <c r="BS193" i="20"/>
  <c r="CU193" i="20"/>
  <c r="V193" i="20"/>
  <c r="BL193" i="20"/>
  <c r="DF193" i="20"/>
  <c r="X193" i="20"/>
  <c r="BT193" i="20"/>
  <c r="DK193" i="20"/>
  <c r="AJ193" i="20"/>
  <c r="CF193" i="20"/>
  <c r="AR193" i="20"/>
  <c r="DD193" i="20"/>
  <c r="CP193" i="20"/>
  <c r="AZ193" i="20"/>
  <c r="BB193" i="20"/>
  <c r="BC193" i="20"/>
  <c r="BZ193" i="20"/>
  <c r="CG193" i="20"/>
  <c r="CV193" i="20"/>
  <c r="W57" i="20"/>
  <c r="AE57" i="20"/>
  <c r="AM57" i="20"/>
  <c r="AU57" i="20"/>
  <c r="BC57" i="20"/>
  <c r="BK57" i="20"/>
  <c r="BS57" i="20"/>
  <c r="CA57" i="20"/>
  <c r="CI57" i="20"/>
  <c r="CQ57" i="20"/>
  <c r="CY57" i="20"/>
  <c r="DG57" i="20"/>
  <c r="S57" i="20"/>
  <c r="AB57" i="20"/>
  <c r="AK57" i="20"/>
  <c r="AT57" i="20"/>
  <c r="BD57" i="20"/>
  <c r="BM57" i="20"/>
  <c r="BV57" i="20"/>
  <c r="CE57" i="20"/>
  <c r="CN57" i="20"/>
  <c r="CW57" i="20"/>
  <c r="DF57" i="20"/>
  <c r="T57" i="20"/>
  <c r="AC57" i="20"/>
  <c r="AL57" i="20"/>
  <c r="AV57" i="20"/>
  <c r="BE57" i="20"/>
  <c r="BN57" i="20"/>
  <c r="BW57" i="20"/>
  <c r="CF57" i="20"/>
  <c r="CO57" i="20"/>
  <c r="CX57" i="20"/>
  <c r="DH57" i="20"/>
  <c r="U57" i="20"/>
  <c r="AD57" i="20"/>
  <c r="AN57" i="20"/>
  <c r="AW57" i="20"/>
  <c r="BF57" i="20"/>
  <c r="BO57" i="20"/>
  <c r="BX57" i="20"/>
  <c r="CG57" i="20"/>
  <c r="CP57" i="20"/>
  <c r="CZ57" i="20"/>
  <c r="DI57" i="20"/>
  <c r="V57" i="20"/>
  <c r="AF57" i="20"/>
  <c r="AO57" i="20"/>
  <c r="AX57" i="20"/>
  <c r="BG57" i="20"/>
  <c r="BP57" i="20"/>
  <c r="BY57" i="20"/>
  <c r="CH57" i="20"/>
  <c r="CR57" i="20"/>
  <c r="DA57" i="20"/>
  <c r="DJ57" i="20"/>
  <c r="X57" i="20"/>
  <c r="AP57" i="20"/>
  <c r="BH57" i="20"/>
  <c r="BZ57" i="20"/>
  <c r="CS57" i="20"/>
  <c r="DK57" i="20"/>
  <c r="Y57" i="20"/>
  <c r="AQ57" i="20"/>
  <c r="BI57" i="20"/>
  <c r="CB57" i="20"/>
  <c r="CT57" i="20"/>
  <c r="DL57" i="20"/>
  <c r="Z57" i="20"/>
  <c r="AR57" i="20"/>
  <c r="BJ57" i="20"/>
  <c r="CC57" i="20"/>
  <c r="CU57" i="20"/>
  <c r="AA57" i="20"/>
  <c r="AS57" i="20"/>
  <c r="BL57" i="20"/>
  <c r="CD57" i="20"/>
  <c r="CV57" i="20"/>
  <c r="AG57" i="20"/>
  <c r="AY57" i="20"/>
  <c r="BQ57" i="20"/>
  <c r="CJ57" i="20"/>
  <c r="DB57" i="20"/>
  <c r="R57" i="20"/>
  <c r="BT57" i="20"/>
  <c r="AH57" i="20"/>
  <c r="BU57" i="20"/>
  <c r="AI57" i="20"/>
  <c r="CK57" i="20"/>
  <c r="AJ57" i="20"/>
  <c r="CL57" i="20"/>
  <c r="AZ57" i="20"/>
  <c r="BA57" i="20"/>
  <c r="BB57" i="20"/>
  <c r="CM57" i="20"/>
  <c r="DC57" i="20"/>
  <c r="Q57" i="20"/>
  <c r="BR57" i="20"/>
  <c r="DE57" i="20"/>
  <c r="DD57" i="20"/>
  <c r="W35" i="20"/>
  <c r="AE35" i="20"/>
  <c r="AM35" i="20"/>
  <c r="AU35" i="20"/>
  <c r="BC35" i="20"/>
  <c r="BK35" i="20"/>
  <c r="BS35" i="20"/>
  <c r="CA35" i="20"/>
  <c r="CI35" i="20"/>
  <c r="CQ35" i="20"/>
  <c r="CY35" i="20"/>
  <c r="DG35" i="20"/>
  <c r="Q35" i="20"/>
  <c r="Z35" i="20"/>
  <c r="AI35" i="20"/>
  <c r="AR35" i="20"/>
  <c r="BA35" i="20"/>
  <c r="BJ35" i="20"/>
  <c r="BT35" i="20"/>
  <c r="CC35" i="20"/>
  <c r="CL35" i="20"/>
  <c r="CU35" i="20"/>
  <c r="DD35" i="20"/>
  <c r="R35" i="20"/>
  <c r="AA35" i="20"/>
  <c r="AJ35" i="20"/>
  <c r="AS35" i="20"/>
  <c r="BB35" i="20"/>
  <c r="BL35" i="20"/>
  <c r="BU35" i="20"/>
  <c r="CD35" i="20"/>
  <c r="CM35" i="20"/>
  <c r="CV35" i="20"/>
  <c r="DE35" i="20"/>
  <c r="AB35" i="20"/>
  <c r="AN35" i="20"/>
  <c r="AY35" i="20"/>
  <c r="BM35" i="20"/>
  <c r="BX35" i="20"/>
  <c r="CJ35" i="20"/>
  <c r="CW35" i="20"/>
  <c r="DI35" i="20"/>
  <c r="AD35" i="20"/>
  <c r="AQ35" i="20"/>
  <c r="BF35" i="20"/>
  <c r="BR35" i="20"/>
  <c r="CG35" i="20"/>
  <c r="CT35" i="20"/>
  <c r="DJ35" i="20"/>
  <c r="S35" i="20"/>
  <c r="AF35" i="20"/>
  <c r="AT35" i="20"/>
  <c r="BG35" i="20"/>
  <c r="BV35" i="20"/>
  <c r="CH35" i="20"/>
  <c r="CX35" i="20"/>
  <c r="DK35" i="20"/>
  <c r="U35" i="20"/>
  <c r="AH35" i="20"/>
  <c r="AW35" i="20"/>
  <c r="BI35" i="20"/>
  <c r="BY35" i="20"/>
  <c r="CN35" i="20"/>
  <c r="DA35" i="20"/>
  <c r="Y35" i="20"/>
  <c r="AX35" i="20"/>
  <c r="BQ35" i="20"/>
  <c r="CP35" i="20"/>
  <c r="DL35" i="20"/>
  <c r="T35" i="20"/>
  <c r="AO35" i="20"/>
  <c r="BN35" i="20"/>
  <c r="CF35" i="20"/>
  <c r="DC35" i="20"/>
  <c r="AL35" i="20"/>
  <c r="BP35" i="20"/>
  <c r="CS35" i="20"/>
  <c r="AP35" i="20"/>
  <c r="BW35" i="20"/>
  <c r="CZ35" i="20"/>
  <c r="AV35" i="20"/>
  <c r="BZ35" i="20"/>
  <c r="DB35" i="20"/>
  <c r="V35" i="20"/>
  <c r="AZ35" i="20"/>
  <c r="CB35" i="20"/>
  <c r="DF35" i="20"/>
  <c r="X35" i="20"/>
  <c r="CE35" i="20"/>
  <c r="AC35" i="20"/>
  <c r="CK35" i="20"/>
  <c r="AG35" i="20"/>
  <c r="CO35" i="20"/>
  <c r="AK35" i="20"/>
  <c r="CR35" i="20"/>
  <c r="BD35" i="20"/>
  <c r="DH35" i="20"/>
  <c r="BE35" i="20"/>
  <c r="BH35" i="20"/>
  <c r="BO35" i="20"/>
  <c r="T44" i="20"/>
  <c r="AB44" i="20"/>
  <c r="AJ44" i="20"/>
  <c r="AR44" i="20"/>
  <c r="AZ44" i="20"/>
  <c r="BH44" i="20"/>
  <c r="BP44" i="20"/>
  <c r="BX44" i="20"/>
  <c r="CF44" i="20"/>
  <c r="CN44" i="20"/>
  <c r="CV44" i="20"/>
  <c r="DD44" i="20"/>
  <c r="DL44" i="20"/>
  <c r="Q44" i="20"/>
  <c r="Z44" i="20"/>
  <c r="AI44" i="20"/>
  <c r="AS44" i="20"/>
  <c r="BB44" i="20"/>
  <c r="BK44" i="20"/>
  <c r="BT44" i="20"/>
  <c r="CC44" i="20"/>
  <c r="CL44" i="20"/>
  <c r="CU44" i="20"/>
  <c r="DE44" i="20"/>
  <c r="V44" i="20"/>
  <c r="AF44" i="20"/>
  <c r="AP44" i="20"/>
  <c r="BA44" i="20"/>
  <c r="BL44" i="20"/>
  <c r="BV44" i="20"/>
  <c r="CG44" i="20"/>
  <c r="CQ44" i="20"/>
  <c r="DA44" i="20"/>
  <c r="DK44" i="20"/>
  <c r="W44" i="20"/>
  <c r="AG44" i="20"/>
  <c r="AQ44" i="20"/>
  <c r="BC44" i="20"/>
  <c r="BM44" i="20"/>
  <c r="BW44" i="20"/>
  <c r="CH44" i="20"/>
  <c r="CR44" i="20"/>
  <c r="DB44" i="20"/>
  <c r="X44" i="20"/>
  <c r="AH44" i="20"/>
  <c r="AT44" i="20"/>
  <c r="BD44" i="20"/>
  <c r="BN44" i="20"/>
  <c r="BY44" i="20"/>
  <c r="CI44" i="20"/>
  <c r="CS44" i="20"/>
  <c r="DC44" i="20"/>
  <c r="Y44" i="20"/>
  <c r="AK44" i="20"/>
  <c r="AU44" i="20"/>
  <c r="BE44" i="20"/>
  <c r="BO44" i="20"/>
  <c r="BZ44" i="20"/>
  <c r="CJ44" i="20"/>
  <c r="CT44" i="20"/>
  <c r="DF44" i="20"/>
  <c r="AL44" i="20"/>
  <c r="BF44" i="20"/>
  <c r="CA44" i="20"/>
  <c r="CW44" i="20"/>
  <c r="R44" i="20"/>
  <c r="AM44" i="20"/>
  <c r="BG44" i="20"/>
  <c r="CB44" i="20"/>
  <c r="CX44" i="20"/>
  <c r="S44" i="20"/>
  <c r="AN44" i="20"/>
  <c r="BI44" i="20"/>
  <c r="CD44" i="20"/>
  <c r="CY44" i="20"/>
  <c r="U44" i="20"/>
  <c r="AO44" i="20"/>
  <c r="BJ44" i="20"/>
  <c r="CE44" i="20"/>
  <c r="CZ44" i="20"/>
  <c r="AA44" i="20"/>
  <c r="AV44" i="20"/>
  <c r="BQ44" i="20"/>
  <c r="CK44" i="20"/>
  <c r="DG44" i="20"/>
  <c r="AC44" i="20"/>
  <c r="BU44" i="20"/>
  <c r="AD44" i="20"/>
  <c r="CM44" i="20"/>
  <c r="AE44" i="20"/>
  <c r="CO44" i="20"/>
  <c r="AW44" i="20"/>
  <c r="CP44" i="20"/>
  <c r="DH44" i="20"/>
  <c r="DI44" i="20"/>
  <c r="DJ44" i="20"/>
  <c r="AX44" i="20"/>
  <c r="AY44" i="20"/>
  <c r="BR44" i="20"/>
  <c r="BS44" i="20"/>
  <c r="Q97" i="20"/>
  <c r="Y97" i="20"/>
  <c r="AG97" i="20"/>
  <c r="AO97" i="20"/>
  <c r="AW97" i="20"/>
  <c r="BE97" i="20"/>
  <c r="BM97" i="20"/>
  <c r="BU97" i="20"/>
  <c r="CC97" i="20"/>
  <c r="CK97" i="20"/>
  <c r="CS97" i="20"/>
  <c r="DA97" i="20"/>
  <c r="DI97" i="20"/>
  <c r="T97" i="20"/>
  <c r="AC97" i="20"/>
  <c r="AL97" i="20"/>
  <c r="AU97" i="20"/>
  <c r="BD97" i="20"/>
  <c r="BN97" i="20"/>
  <c r="BW97" i="20"/>
  <c r="CF97" i="20"/>
  <c r="CO97" i="20"/>
  <c r="CX97" i="20"/>
  <c r="DG97" i="20"/>
  <c r="U97" i="20"/>
  <c r="AD97" i="20"/>
  <c r="AM97" i="20"/>
  <c r="AV97" i="20"/>
  <c r="BF97" i="20"/>
  <c r="BO97" i="20"/>
  <c r="BX97" i="20"/>
  <c r="CG97" i="20"/>
  <c r="CP97" i="20"/>
  <c r="CY97" i="20"/>
  <c r="DH97" i="20"/>
  <c r="AB97" i="20"/>
  <c r="AP97" i="20"/>
  <c r="BA97" i="20"/>
  <c r="BL97" i="20"/>
  <c r="BZ97" i="20"/>
  <c r="CL97" i="20"/>
  <c r="CW97" i="20"/>
  <c r="DK97" i="20"/>
  <c r="V97" i="20"/>
  <c r="AH97" i="20"/>
  <c r="AS97" i="20"/>
  <c r="BG97" i="20"/>
  <c r="BR97" i="20"/>
  <c r="CD97" i="20"/>
  <c r="CQ97" i="20"/>
  <c r="DC97" i="20"/>
  <c r="W97" i="20"/>
  <c r="AI97" i="20"/>
  <c r="AT97" i="20"/>
  <c r="BH97" i="20"/>
  <c r="BS97" i="20"/>
  <c r="CE97" i="20"/>
  <c r="CR97" i="20"/>
  <c r="DD97" i="20"/>
  <c r="AE97" i="20"/>
  <c r="AY97" i="20"/>
  <c r="BQ97" i="20"/>
  <c r="CJ97" i="20"/>
  <c r="DE97" i="20"/>
  <c r="AF97" i="20"/>
  <c r="AZ97" i="20"/>
  <c r="BT97" i="20"/>
  <c r="CM97" i="20"/>
  <c r="DF97" i="20"/>
  <c r="AJ97" i="20"/>
  <c r="BB97" i="20"/>
  <c r="BV97" i="20"/>
  <c r="CN97" i="20"/>
  <c r="DJ97" i="20"/>
  <c r="AK97" i="20"/>
  <c r="BK97" i="20"/>
  <c r="CU97" i="20"/>
  <c r="AN97" i="20"/>
  <c r="BP97" i="20"/>
  <c r="CV97" i="20"/>
  <c r="AQ97" i="20"/>
  <c r="BY97" i="20"/>
  <c r="CZ97" i="20"/>
  <c r="R97" i="20"/>
  <c r="AR97" i="20"/>
  <c r="CA97" i="20"/>
  <c r="DB97" i="20"/>
  <c r="S97" i="20"/>
  <c r="AX97" i="20"/>
  <c r="CB97" i="20"/>
  <c r="DL97" i="20"/>
  <c r="X97" i="20"/>
  <c r="CT97" i="20"/>
  <c r="Z97" i="20"/>
  <c r="AA97" i="20"/>
  <c r="BC97" i="20"/>
  <c r="CH97" i="20"/>
  <c r="CI97" i="20"/>
  <c r="BI97" i="20"/>
  <c r="BJ97" i="20"/>
  <c r="R247" i="20"/>
  <c r="Z247" i="20"/>
  <c r="AH247" i="20"/>
  <c r="AP247" i="20"/>
  <c r="AX247" i="20"/>
  <c r="BF247" i="20"/>
  <c r="BN247" i="20"/>
  <c r="BV247" i="20"/>
  <c r="CD247" i="20"/>
  <c r="CL247" i="20"/>
  <c r="CT247" i="20"/>
  <c r="DB247" i="20"/>
  <c r="DJ247" i="20"/>
  <c r="Q247" i="20"/>
  <c r="AA247" i="20"/>
  <c r="AJ247" i="20"/>
  <c r="AS247" i="20"/>
  <c r="BB247" i="20"/>
  <c r="BK247" i="20"/>
  <c r="BT247" i="20"/>
  <c r="CC247" i="20"/>
  <c r="CM247" i="20"/>
  <c r="CV247" i="20"/>
  <c r="DE247" i="20"/>
  <c r="U247" i="20"/>
  <c r="AD247" i="20"/>
  <c r="AM247" i="20"/>
  <c r="AV247" i="20"/>
  <c r="BE247" i="20"/>
  <c r="BO247" i="20"/>
  <c r="BX247" i="20"/>
  <c r="CG247" i="20"/>
  <c r="CP247" i="20"/>
  <c r="CY247" i="20"/>
  <c r="DH247" i="20"/>
  <c r="Y247" i="20"/>
  <c r="AL247" i="20"/>
  <c r="AY247" i="20"/>
  <c r="BJ247" i="20"/>
  <c r="BW247" i="20"/>
  <c r="CI247" i="20"/>
  <c r="CU247" i="20"/>
  <c r="DG247" i="20"/>
  <c r="AC247" i="20"/>
  <c r="AO247" i="20"/>
  <c r="BA247" i="20"/>
  <c r="BM247" i="20"/>
  <c r="BZ247" i="20"/>
  <c r="CK247" i="20"/>
  <c r="CX247" i="20"/>
  <c r="DK247" i="20"/>
  <c r="S247" i="20"/>
  <c r="AE247" i="20"/>
  <c r="AQ247" i="20"/>
  <c r="BC247" i="20"/>
  <c r="BP247" i="20"/>
  <c r="CA247" i="20"/>
  <c r="CN247" i="20"/>
  <c r="CZ247" i="20"/>
  <c r="DL247" i="20"/>
  <c r="AI247" i="20"/>
  <c r="BD247" i="20"/>
  <c r="BU247" i="20"/>
  <c r="CQ247" i="20"/>
  <c r="DI247" i="20"/>
  <c r="T247" i="20"/>
  <c r="AK247" i="20"/>
  <c r="BG247" i="20"/>
  <c r="BY247" i="20"/>
  <c r="CR247" i="20"/>
  <c r="W247" i="20"/>
  <c r="AR247" i="20"/>
  <c r="BI247" i="20"/>
  <c r="CE247" i="20"/>
  <c r="CW247" i="20"/>
  <c r="AT247" i="20"/>
  <c r="BS247" i="20"/>
  <c r="DC247" i="20"/>
  <c r="AU247" i="20"/>
  <c r="CB247" i="20"/>
  <c r="DD247" i="20"/>
  <c r="V247" i="20"/>
  <c r="AW247" i="20"/>
  <c r="CF247" i="20"/>
  <c r="DF247" i="20"/>
  <c r="X247" i="20"/>
  <c r="AZ247" i="20"/>
  <c r="CH247" i="20"/>
  <c r="AB247" i="20"/>
  <c r="BH247" i="20"/>
  <c r="CJ247" i="20"/>
  <c r="AF247" i="20"/>
  <c r="BL247" i="20"/>
  <c r="CO247" i="20"/>
  <c r="V242" i="20"/>
  <c r="AD242" i="20"/>
  <c r="AL242" i="20"/>
  <c r="AT242" i="20"/>
  <c r="BB242" i="20"/>
  <c r="BJ242" i="20"/>
  <c r="BR242" i="20"/>
  <c r="BZ242" i="20"/>
  <c r="CH242" i="20"/>
  <c r="CP242" i="20"/>
  <c r="CX242" i="20"/>
  <c r="DF242" i="20"/>
  <c r="X242" i="20"/>
  <c r="AG242" i="20"/>
  <c r="AP242" i="20"/>
  <c r="AY242" i="20"/>
  <c r="BH242" i="20"/>
  <c r="BQ242" i="20"/>
  <c r="CA242" i="20"/>
  <c r="CJ242" i="20"/>
  <c r="CS242" i="20"/>
  <c r="DB242" i="20"/>
  <c r="DK242" i="20"/>
  <c r="R242" i="20"/>
  <c r="AA242" i="20"/>
  <c r="AJ242" i="20"/>
  <c r="AS242" i="20"/>
  <c r="BC242" i="20"/>
  <c r="BL242" i="20"/>
  <c r="BU242" i="20"/>
  <c r="CD242" i="20"/>
  <c r="CM242" i="20"/>
  <c r="CV242" i="20"/>
  <c r="DE242" i="20"/>
  <c r="Z242" i="20"/>
  <c r="AM242" i="20"/>
  <c r="AX242" i="20"/>
  <c r="BK242" i="20"/>
  <c r="BW242" i="20"/>
  <c r="CI242" i="20"/>
  <c r="CU242" i="20"/>
  <c r="DH242" i="20"/>
  <c r="Q242" i="20"/>
  <c r="AC242" i="20"/>
  <c r="AO242" i="20"/>
  <c r="BA242" i="20"/>
  <c r="BN242" i="20"/>
  <c r="BY242" i="20"/>
  <c r="CL242" i="20"/>
  <c r="CY242" i="20"/>
  <c r="DJ242" i="20"/>
  <c r="S242" i="20"/>
  <c r="AE242" i="20"/>
  <c r="AQ242" i="20"/>
  <c r="BD242" i="20"/>
  <c r="BO242" i="20"/>
  <c r="CB242" i="20"/>
  <c r="CN242" i="20"/>
  <c r="CZ242" i="20"/>
  <c r="DL242" i="20"/>
  <c r="AB242" i="20"/>
  <c r="AV242" i="20"/>
  <c r="BP242" i="20"/>
  <c r="CG242" i="20"/>
  <c r="DC242" i="20"/>
  <c r="AF242" i="20"/>
  <c r="AW242" i="20"/>
  <c r="BS242" i="20"/>
  <c r="CK242" i="20"/>
  <c r="DD242" i="20"/>
  <c r="AI242" i="20"/>
  <c r="BE242" i="20"/>
  <c r="BV242" i="20"/>
  <c r="CQ242" i="20"/>
  <c r="DI242" i="20"/>
  <c r="AR242" i="20"/>
  <c r="BX242" i="20"/>
  <c r="DA242" i="20"/>
  <c r="T242" i="20"/>
  <c r="AU242" i="20"/>
  <c r="CC242" i="20"/>
  <c r="DG242" i="20"/>
  <c r="U242" i="20"/>
  <c r="AZ242" i="20"/>
  <c r="CE242" i="20"/>
  <c r="W242" i="20"/>
  <c r="BF242" i="20"/>
  <c r="CF242" i="20"/>
  <c r="Y242" i="20"/>
  <c r="BG242" i="20"/>
  <c r="CO242" i="20"/>
  <c r="AH242" i="20"/>
  <c r="BI242" i="20"/>
  <c r="CR242" i="20"/>
  <c r="R237" i="20"/>
  <c r="Z237" i="20"/>
  <c r="AH237" i="20"/>
  <c r="AP237" i="20"/>
  <c r="AX237" i="20"/>
  <c r="BF237" i="20"/>
  <c r="BN237" i="20"/>
  <c r="BV237" i="20"/>
  <c r="CD237" i="20"/>
  <c r="CL237" i="20"/>
  <c r="CT237" i="20"/>
  <c r="DB237" i="20"/>
  <c r="DJ237" i="20"/>
  <c r="U237" i="20"/>
  <c r="AD237" i="20"/>
  <c r="AM237" i="20"/>
  <c r="AV237" i="20"/>
  <c r="BE237" i="20"/>
  <c r="BO237" i="20"/>
  <c r="BX237" i="20"/>
  <c r="CG237" i="20"/>
  <c r="CP237" i="20"/>
  <c r="CY237" i="20"/>
  <c r="DH237" i="20"/>
  <c r="V237" i="20"/>
  <c r="AE237" i="20"/>
  <c r="AN237" i="20"/>
  <c r="AW237" i="20"/>
  <c r="BG237" i="20"/>
  <c r="BP237" i="20"/>
  <c r="BY237" i="20"/>
  <c r="CH237" i="20"/>
  <c r="X237" i="20"/>
  <c r="AG237" i="20"/>
  <c r="AQ237" i="20"/>
  <c r="AZ237" i="20"/>
  <c r="BI237" i="20"/>
  <c r="BR237" i="20"/>
  <c r="CA237" i="20"/>
  <c r="CJ237" i="20"/>
  <c r="CS237" i="20"/>
  <c r="DC237" i="20"/>
  <c r="DL237" i="20"/>
  <c r="AB237" i="20"/>
  <c r="AR237" i="20"/>
  <c r="BD237" i="20"/>
  <c r="BT237" i="20"/>
  <c r="CI237" i="20"/>
  <c r="CV237" i="20"/>
  <c r="DG237" i="20"/>
  <c r="Q237" i="20"/>
  <c r="AF237" i="20"/>
  <c r="AT237" i="20"/>
  <c r="BJ237" i="20"/>
  <c r="BW237" i="20"/>
  <c r="CM237" i="20"/>
  <c r="CX237" i="20"/>
  <c r="DK237" i="20"/>
  <c r="S237" i="20"/>
  <c r="AI237" i="20"/>
  <c r="AU237" i="20"/>
  <c r="BK237" i="20"/>
  <c r="BZ237" i="20"/>
  <c r="CN237" i="20"/>
  <c r="CZ237" i="20"/>
  <c r="AC237" i="20"/>
  <c r="BB237" i="20"/>
  <c r="CB237" i="20"/>
  <c r="CU237" i="20"/>
  <c r="AJ237" i="20"/>
  <c r="BC237" i="20"/>
  <c r="CC237" i="20"/>
  <c r="CW237" i="20"/>
  <c r="AL237" i="20"/>
  <c r="BL237" i="20"/>
  <c r="CF237" i="20"/>
  <c r="DD237" i="20"/>
  <c r="AK237" i="20"/>
  <c r="BS237" i="20"/>
  <c r="DE237" i="20"/>
  <c r="AO237" i="20"/>
  <c r="BU237" i="20"/>
  <c r="DF237" i="20"/>
  <c r="AS237" i="20"/>
  <c r="CE237" i="20"/>
  <c r="DI237" i="20"/>
  <c r="AY237" i="20"/>
  <c r="CK237" i="20"/>
  <c r="T237" i="20"/>
  <c r="BA237" i="20"/>
  <c r="CO237" i="20"/>
  <c r="W237" i="20"/>
  <c r="BH237" i="20"/>
  <c r="CQ237" i="20"/>
  <c r="Q99" i="20"/>
  <c r="Y99" i="20"/>
  <c r="AG99" i="20"/>
  <c r="AO99" i="20"/>
  <c r="AW99" i="20"/>
  <c r="BE99" i="20"/>
  <c r="BM99" i="20"/>
  <c r="BU99" i="20"/>
  <c r="CC99" i="20"/>
  <c r="CK99" i="20"/>
  <c r="CS99" i="20"/>
  <c r="DA99" i="20"/>
  <c r="DI99" i="20"/>
  <c r="U99" i="20"/>
  <c r="AD99" i="20"/>
  <c r="AM99" i="20"/>
  <c r="AV99" i="20"/>
  <c r="BF99" i="20"/>
  <c r="BO99" i="20"/>
  <c r="BX99" i="20"/>
  <c r="CG99" i="20"/>
  <c r="CP99" i="20"/>
  <c r="CY99" i="20"/>
  <c r="DH99" i="20"/>
  <c r="V99" i="20"/>
  <c r="AE99" i="20"/>
  <c r="AN99" i="20"/>
  <c r="AX99" i="20"/>
  <c r="BG99" i="20"/>
  <c r="BP99" i="20"/>
  <c r="BY99" i="20"/>
  <c r="CH99" i="20"/>
  <c r="CQ99" i="20"/>
  <c r="CZ99" i="20"/>
  <c r="DJ99" i="20"/>
  <c r="X99" i="20"/>
  <c r="AJ99" i="20"/>
  <c r="AU99" i="20"/>
  <c r="BI99" i="20"/>
  <c r="BT99" i="20"/>
  <c r="CF99" i="20"/>
  <c r="CT99" i="20"/>
  <c r="DE99" i="20"/>
  <c r="AB99" i="20"/>
  <c r="AP99" i="20"/>
  <c r="BA99" i="20"/>
  <c r="BL99" i="20"/>
  <c r="BZ99" i="20"/>
  <c r="CL99" i="20"/>
  <c r="CW99" i="20"/>
  <c r="DK99" i="20"/>
  <c r="R99" i="20"/>
  <c r="AC99" i="20"/>
  <c r="AQ99" i="20"/>
  <c r="BB99" i="20"/>
  <c r="BN99" i="20"/>
  <c r="CA99" i="20"/>
  <c r="CM99" i="20"/>
  <c r="CX99" i="20"/>
  <c r="DL99" i="20"/>
  <c r="Z99" i="20"/>
  <c r="AS99" i="20"/>
  <c r="BK99" i="20"/>
  <c r="CE99" i="20"/>
  <c r="DB99" i="20"/>
  <c r="AA99" i="20"/>
  <c r="AT99" i="20"/>
  <c r="BQ99" i="20"/>
  <c r="CI99" i="20"/>
  <c r="DC99" i="20"/>
  <c r="AF99" i="20"/>
  <c r="AY99" i="20"/>
  <c r="BR99" i="20"/>
  <c r="CJ99" i="20"/>
  <c r="DD99" i="20"/>
  <c r="T99" i="20"/>
  <c r="BC99" i="20"/>
  <c r="CD99" i="20"/>
  <c r="W99" i="20"/>
  <c r="BD99" i="20"/>
  <c r="CN99" i="20"/>
  <c r="AH99" i="20"/>
  <c r="BH99" i="20"/>
  <c r="CO99" i="20"/>
  <c r="AI99" i="20"/>
  <c r="BJ99" i="20"/>
  <c r="CR99" i="20"/>
  <c r="AK99" i="20"/>
  <c r="BS99" i="20"/>
  <c r="CU99" i="20"/>
  <c r="BV99" i="20"/>
  <c r="BW99" i="20"/>
  <c r="CB99" i="20"/>
  <c r="CV99" i="20"/>
  <c r="AR99" i="20"/>
  <c r="AZ99" i="20"/>
  <c r="DF99" i="20"/>
  <c r="DG99" i="20"/>
  <c r="S99" i="20"/>
  <c r="AL99" i="20"/>
  <c r="Q185" i="20"/>
  <c r="Y185" i="20"/>
  <c r="AG185" i="20"/>
  <c r="AO185" i="20"/>
  <c r="AW185" i="20"/>
  <c r="BE185" i="20"/>
  <c r="BM185" i="20"/>
  <c r="BU185" i="20"/>
  <c r="CC185" i="20"/>
  <c r="CK185" i="20"/>
  <c r="CS185" i="20"/>
  <c r="DA185" i="20"/>
  <c r="DI185" i="20"/>
  <c r="R185" i="20"/>
  <c r="Z185" i="20"/>
  <c r="AH185" i="20"/>
  <c r="AP185" i="20"/>
  <c r="AX185" i="20"/>
  <c r="BF185" i="20"/>
  <c r="BN185" i="20"/>
  <c r="BV185" i="20"/>
  <c r="CD185" i="20"/>
  <c r="CL185" i="20"/>
  <c r="CT185" i="20"/>
  <c r="DB185" i="20"/>
  <c r="DJ185" i="20"/>
  <c r="AA185" i="20"/>
  <c r="AK185" i="20"/>
  <c r="AU185" i="20"/>
  <c r="BG185" i="20"/>
  <c r="BQ185" i="20"/>
  <c r="CA185" i="20"/>
  <c r="CM185" i="20"/>
  <c r="CW185" i="20"/>
  <c r="DG185" i="20"/>
  <c r="AB185" i="20"/>
  <c r="AL185" i="20"/>
  <c r="AV185" i="20"/>
  <c r="BH185" i="20"/>
  <c r="BR185" i="20"/>
  <c r="CB185" i="20"/>
  <c r="CN185" i="20"/>
  <c r="CX185" i="20"/>
  <c r="DH185" i="20"/>
  <c r="U185" i="20"/>
  <c r="AI185" i="20"/>
  <c r="AY185" i="20"/>
  <c r="BK185" i="20"/>
  <c r="BY185" i="20"/>
  <c r="CO185" i="20"/>
  <c r="DC185" i="20"/>
  <c r="V185" i="20"/>
  <c r="AJ185" i="20"/>
  <c r="AZ185" i="20"/>
  <c r="BL185" i="20"/>
  <c r="BZ185" i="20"/>
  <c r="CP185" i="20"/>
  <c r="DD185" i="20"/>
  <c r="W185" i="20"/>
  <c r="AM185" i="20"/>
  <c r="BA185" i="20"/>
  <c r="BO185" i="20"/>
  <c r="CE185" i="20"/>
  <c r="CQ185" i="20"/>
  <c r="DE185" i="20"/>
  <c r="AC185" i="20"/>
  <c r="AQ185" i="20"/>
  <c r="BC185" i="20"/>
  <c r="BS185" i="20"/>
  <c r="CG185" i="20"/>
  <c r="CU185" i="20"/>
  <c r="DK185" i="20"/>
  <c r="AF185" i="20"/>
  <c r="BJ185" i="20"/>
  <c r="CJ185" i="20"/>
  <c r="AN185" i="20"/>
  <c r="BP185" i="20"/>
  <c r="CR185" i="20"/>
  <c r="AR185" i="20"/>
  <c r="BT185" i="20"/>
  <c r="CV185" i="20"/>
  <c r="S185" i="20"/>
  <c r="AS185" i="20"/>
  <c r="BW185" i="20"/>
  <c r="CY185" i="20"/>
  <c r="BB185" i="20"/>
  <c r="DF185" i="20"/>
  <c r="BD185" i="20"/>
  <c r="DL185" i="20"/>
  <c r="BI185" i="20"/>
  <c r="T185" i="20"/>
  <c r="BX185" i="20"/>
  <c r="X185" i="20"/>
  <c r="AD185" i="20"/>
  <c r="CZ185" i="20"/>
  <c r="AE185" i="20"/>
  <c r="AT185" i="20"/>
  <c r="CF185" i="20"/>
  <c r="CH185" i="20"/>
  <c r="CI185" i="20"/>
  <c r="R207" i="20"/>
  <c r="Z207" i="20"/>
  <c r="AH207" i="20"/>
  <c r="AP207" i="20"/>
  <c r="AX207" i="20"/>
  <c r="BF207" i="20"/>
  <c r="BN207" i="20"/>
  <c r="BV207" i="20"/>
  <c r="CD207" i="20"/>
  <c r="CL207" i="20"/>
  <c r="CT207" i="20"/>
  <c r="DB207" i="20"/>
  <c r="DJ207" i="20"/>
  <c r="T207" i="20"/>
  <c r="AC207" i="20"/>
  <c r="AL207" i="20"/>
  <c r="AU207" i="20"/>
  <c r="BD207" i="20"/>
  <c r="BM207" i="20"/>
  <c r="BW207" i="20"/>
  <c r="CF207" i="20"/>
  <c r="CO207" i="20"/>
  <c r="CX207" i="20"/>
  <c r="DG207" i="20"/>
  <c r="U207" i="20"/>
  <c r="AD207" i="20"/>
  <c r="AM207" i="20"/>
  <c r="AV207" i="20"/>
  <c r="BE207" i="20"/>
  <c r="BO207" i="20"/>
  <c r="BX207" i="20"/>
  <c r="CG207" i="20"/>
  <c r="CP207" i="20"/>
  <c r="CY207" i="20"/>
  <c r="DH207" i="20"/>
  <c r="AB207" i="20"/>
  <c r="AO207" i="20"/>
  <c r="BA207" i="20"/>
  <c r="BL207" i="20"/>
  <c r="BZ207" i="20"/>
  <c r="CK207" i="20"/>
  <c r="CW207" i="20"/>
  <c r="DK207" i="20"/>
  <c r="Q207" i="20"/>
  <c r="AE207" i="20"/>
  <c r="AQ207" i="20"/>
  <c r="BB207" i="20"/>
  <c r="BP207" i="20"/>
  <c r="CA207" i="20"/>
  <c r="CM207" i="20"/>
  <c r="CZ207" i="20"/>
  <c r="DL207" i="20"/>
  <c r="V207" i="20"/>
  <c r="AG207" i="20"/>
  <c r="AS207" i="20"/>
  <c r="BG207" i="20"/>
  <c r="BR207" i="20"/>
  <c r="CC207" i="20"/>
  <c r="CQ207" i="20"/>
  <c r="DC207" i="20"/>
  <c r="AI207" i="20"/>
  <c r="AZ207" i="20"/>
  <c r="BT207" i="20"/>
  <c r="CN207" i="20"/>
  <c r="DF207" i="20"/>
  <c r="S207" i="20"/>
  <c r="AK207" i="20"/>
  <c r="BH207" i="20"/>
  <c r="BY207" i="20"/>
  <c r="CS207" i="20"/>
  <c r="W207" i="20"/>
  <c r="AN207" i="20"/>
  <c r="BI207" i="20"/>
  <c r="CB207" i="20"/>
  <c r="CU207" i="20"/>
  <c r="Y207" i="20"/>
  <c r="BC207" i="20"/>
  <c r="CI207" i="20"/>
  <c r="AA207" i="20"/>
  <c r="BJ207" i="20"/>
  <c r="CJ207" i="20"/>
  <c r="AJ207" i="20"/>
  <c r="BQ207" i="20"/>
  <c r="CV207" i="20"/>
  <c r="AT207" i="20"/>
  <c r="CR207" i="20"/>
  <c r="AF207" i="20"/>
  <c r="CE207" i="20"/>
  <c r="BU207" i="20"/>
  <c r="CH207" i="20"/>
  <c r="X207" i="20"/>
  <c r="DA207" i="20"/>
  <c r="AR207" i="20"/>
  <c r="DD207" i="20"/>
  <c r="AW207" i="20"/>
  <c r="DE207" i="20"/>
  <c r="AY207" i="20"/>
  <c r="DI207" i="20"/>
  <c r="W29" i="20"/>
  <c r="AE29" i="20"/>
  <c r="AM29" i="20"/>
  <c r="AU29" i="20"/>
  <c r="BC29" i="20"/>
  <c r="BK29" i="20"/>
  <c r="BS29" i="20"/>
  <c r="CA29" i="20"/>
  <c r="CI29" i="20"/>
  <c r="CQ29" i="20"/>
  <c r="CY29" i="20"/>
  <c r="DG29" i="20"/>
  <c r="S29" i="20"/>
  <c r="AB29" i="20"/>
  <c r="AK29" i="20"/>
  <c r="AT29" i="20"/>
  <c r="BD29" i="20"/>
  <c r="BM29" i="20"/>
  <c r="BV29" i="20"/>
  <c r="Y29" i="20"/>
  <c r="AI29" i="20"/>
  <c r="AS29" i="20"/>
  <c r="BE29" i="20"/>
  <c r="BO29" i="20"/>
  <c r="BY29" i="20"/>
  <c r="CH29" i="20"/>
  <c r="CR29" i="20"/>
  <c r="DA29" i="20"/>
  <c r="DJ29" i="20"/>
  <c r="Z29" i="20"/>
  <c r="AJ29" i="20"/>
  <c r="AV29" i="20"/>
  <c r="BF29" i="20"/>
  <c r="BP29" i="20"/>
  <c r="BZ29" i="20"/>
  <c r="CJ29" i="20"/>
  <c r="CS29" i="20"/>
  <c r="DB29" i="20"/>
  <c r="DK29" i="20"/>
  <c r="V29" i="20"/>
  <c r="AL29" i="20"/>
  <c r="AY29" i="20"/>
  <c r="BL29" i="20"/>
  <c r="CB29" i="20"/>
  <c r="CM29" i="20"/>
  <c r="CX29" i="20"/>
  <c r="DL29" i="20"/>
  <c r="X29" i="20"/>
  <c r="AO29" i="20"/>
  <c r="BB29" i="20"/>
  <c r="BT29" i="20"/>
  <c r="CG29" i="20"/>
  <c r="CV29" i="20"/>
  <c r="DI29" i="20"/>
  <c r="AA29" i="20"/>
  <c r="AP29" i="20"/>
  <c r="BG29" i="20"/>
  <c r="BU29" i="20"/>
  <c r="CK29" i="20"/>
  <c r="CW29" i="20"/>
  <c r="AD29" i="20"/>
  <c r="AR29" i="20"/>
  <c r="BI29" i="20"/>
  <c r="BX29" i="20"/>
  <c r="CN29" i="20"/>
  <c r="DC29" i="20"/>
  <c r="Q29" i="20"/>
  <c r="AN29" i="20"/>
  <c r="BN29" i="20"/>
  <c r="CL29" i="20"/>
  <c r="DF29" i="20"/>
  <c r="R29" i="20"/>
  <c r="AQ29" i="20"/>
  <c r="BQ29" i="20"/>
  <c r="CO29" i="20"/>
  <c r="DH29" i="20"/>
  <c r="AG29" i="20"/>
  <c r="BH29" i="20"/>
  <c r="CE29" i="20"/>
  <c r="DD29" i="20"/>
  <c r="T29" i="20"/>
  <c r="BA29" i="20"/>
  <c r="CT29" i="20"/>
  <c r="U29" i="20"/>
  <c r="BJ29" i="20"/>
  <c r="CU29" i="20"/>
  <c r="AC29" i="20"/>
  <c r="BR29" i="20"/>
  <c r="CZ29" i="20"/>
  <c r="AF29" i="20"/>
  <c r="BW29" i="20"/>
  <c r="DE29" i="20"/>
  <c r="AH29" i="20"/>
  <c r="AW29" i="20"/>
  <c r="AX29" i="20"/>
  <c r="AZ29" i="20"/>
  <c r="CC29" i="20"/>
  <c r="CP29" i="20"/>
  <c r="CD29" i="20"/>
  <c r="CF29" i="20"/>
  <c r="S116" i="20"/>
  <c r="AA116" i="20"/>
  <c r="AI116" i="20"/>
  <c r="AQ116" i="20"/>
  <c r="AY116" i="20"/>
  <c r="BG116" i="20"/>
  <c r="BO116" i="20"/>
  <c r="BW116" i="20"/>
  <c r="CE116" i="20"/>
  <c r="CM116" i="20"/>
  <c r="CU116" i="20"/>
  <c r="DC116" i="20"/>
  <c r="DK116" i="20"/>
  <c r="T116" i="20"/>
  <c r="AB116" i="20"/>
  <c r="AJ116" i="20"/>
  <c r="AR116" i="20"/>
  <c r="AZ116" i="20"/>
  <c r="BH116" i="20"/>
  <c r="BP116" i="20"/>
  <c r="BX116" i="20"/>
  <c r="CF116" i="20"/>
  <c r="CN116" i="20"/>
  <c r="CV116" i="20"/>
  <c r="DD116" i="20"/>
  <c r="DL116" i="20"/>
  <c r="R116" i="20"/>
  <c r="AD116" i="20"/>
  <c r="AN116" i="20"/>
  <c r="AX116" i="20"/>
  <c r="BJ116" i="20"/>
  <c r="BT116" i="20"/>
  <c r="CD116" i="20"/>
  <c r="CP116" i="20"/>
  <c r="CZ116" i="20"/>
  <c r="DJ116" i="20"/>
  <c r="X116" i="20"/>
  <c r="AH116" i="20"/>
  <c r="AT116" i="20"/>
  <c r="BD116" i="20"/>
  <c r="BN116" i="20"/>
  <c r="BZ116" i="20"/>
  <c r="CJ116" i="20"/>
  <c r="CT116" i="20"/>
  <c r="DF116" i="20"/>
  <c r="Y116" i="20"/>
  <c r="AM116" i="20"/>
  <c r="BB116" i="20"/>
  <c r="BQ116" i="20"/>
  <c r="CC116" i="20"/>
  <c r="CR116" i="20"/>
  <c r="DG116" i="20"/>
  <c r="Z116" i="20"/>
  <c r="AO116" i="20"/>
  <c r="BC116" i="20"/>
  <c r="BR116" i="20"/>
  <c r="CG116" i="20"/>
  <c r="CS116" i="20"/>
  <c r="DH116" i="20"/>
  <c r="AF116" i="20"/>
  <c r="AW116" i="20"/>
  <c r="BS116" i="20"/>
  <c r="CK116" i="20"/>
  <c r="DB116" i="20"/>
  <c r="AG116" i="20"/>
  <c r="BA116" i="20"/>
  <c r="BU116" i="20"/>
  <c r="CL116" i="20"/>
  <c r="DE116" i="20"/>
  <c r="Q116" i="20"/>
  <c r="AK116" i="20"/>
  <c r="BE116" i="20"/>
  <c r="BV116" i="20"/>
  <c r="CO116" i="20"/>
  <c r="DI116" i="20"/>
  <c r="U116" i="20"/>
  <c r="AL116" i="20"/>
  <c r="BF116" i="20"/>
  <c r="BY116" i="20"/>
  <c r="CQ116" i="20"/>
  <c r="V116" i="20"/>
  <c r="AP116" i="20"/>
  <c r="BI116" i="20"/>
  <c r="CA116" i="20"/>
  <c r="CW116" i="20"/>
  <c r="AE116" i="20"/>
  <c r="CH116" i="20"/>
  <c r="AS116" i="20"/>
  <c r="CI116" i="20"/>
  <c r="AU116" i="20"/>
  <c r="CX116" i="20"/>
  <c r="AV116" i="20"/>
  <c r="CY116" i="20"/>
  <c r="W116" i="20"/>
  <c r="AC116" i="20"/>
  <c r="BK116" i="20"/>
  <c r="BL116" i="20"/>
  <c r="BM116" i="20"/>
  <c r="CB116" i="20"/>
  <c r="DA116" i="20"/>
  <c r="S112" i="20"/>
  <c r="AA112" i="20"/>
  <c r="AI112" i="20"/>
  <c r="AQ112" i="20"/>
  <c r="AY112" i="20"/>
  <c r="BG112" i="20"/>
  <c r="BO112" i="20"/>
  <c r="BW112" i="20"/>
  <c r="CE112" i="20"/>
  <c r="CM112" i="20"/>
  <c r="CU112" i="20"/>
  <c r="DC112" i="20"/>
  <c r="DK112" i="20"/>
  <c r="T112" i="20"/>
  <c r="AB112" i="20"/>
  <c r="AJ112" i="20"/>
  <c r="AR112" i="20"/>
  <c r="AZ112" i="20"/>
  <c r="BH112" i="20"/>
  <c r="BP112" i="20"/>
  <c r="BX112" i="20"/>
  <c r="CF112" i="20"/>
  <c r="CN112" i="20"/>
  <c r="CV112" i="20"/>
  <c r="DD112" i="20"/>
  <c r="DL112" i="20"/>
  <c r="X112" i="20"/>
  <c r="AH112" i="20"/>
  <c r="AT112" i="20"/>
  <c r="BD112" i="20"/>
  <c r="BN112" i="20"/>
  <c r="BZ112" i="20"/>
  <c r="CJ112" i="20"/>
  <c r="CT112" i="20"/>
  <c r="DF112" i="20"/>
  <c r="R112" i="20"/>
  <c r="AD112" i="20"/>
  <c r="AN112" i="20"/>
  <c r="AX112" i="20"/>
  <c r="BJ112" i="20"/>
  <c r="BT112" i="20"/>
  <c r="CD112" i="20"/>
  <c r="CP112" i="20"/>
  <c r="CZ112" i="20"/>
  <c r="DJ112" i="20"/>
  <c r="Z112" i="20"/>
  <c r="AO112" i="20"/>
  <c r="BC112" i="20"/>
  <c r="BR112" i="20"/>
  <c r="CG112" i="20"/>
  <c r="CS112" i="20"/>
  <c r="DH112" i="20"/>
  <c r="AC112" i="20"/>
  <c r="AP112" i="20"/>
  <c r="BE112" i="20"/>
  <c r="BS112" i="20"/>
  <c r="CH112" i="20"/>
  <c r="CW112" i="20"/>
  <c r="DI112" i="20"/>
  <c r="AG112" i="20"/>
  <c r="BA112" i="20"/>
  <c r="BU112" i="20"/>
  <c r="CL112" i="20"/>
  <c r="DE112" i="20"/>
  <c r="Q112" i="20"/>
  <c r="AK112" i="20"/>
  <c r="BB112" i="20"/>
  <c r="BV112" i="20"/>
  <c r="CO112" i="20"/>
  <c r="DG112" i="20"/>
  <c r="U112" i="20"/>
  <c r="AL112" i="20"/>
  <c r="BF112" i="20"/>
  <c r="BY112" i="20"/>
  <c r="CQ112" i="20"/>
  <c r="V112" i="20"/>
  <c r="AM112" i="20"/>
  <c r="BI112" i="20"/>
  <c r="CA112" i="20"/>
  <c r="CR112" i="20"/>
  <c r="W112" i="20"/>
  <c r="AS112" i="20"/>
  <c r="BK112" i="20"/>
  <c r="CB112" i="20"/>
  <c r="CX112" i="20"/>
  <c r="AE112" i="20"/>
  <c r="CC112" i="20"/>
  <c r="AF112" i="20"/>
  <c r="CI112" i="20"/>
  <c r="AU112" i="20"/>
  <c r="CK112" i="20"/>
  <c r="AV112" i="20"/>
  <c r="CY112" i="20"/>
  <c r="Y112" i="20"/>
  <c r="AW112" i="20"/>
  <c r="BL112" i="20"/>
  <c r="BM112" i="20"/>
  <c r="BQ112" i="20"/>
  <c r="DA112" i="20"/>
  <c r="DB112" i="20"/>
  <c r="S281" i="20"/>
  <c r="AA281" i="20"/>
  <c r="AI281" i="20"/>
  <c r="AQ281" i="20"/>
  <c r="AY281" i="20"/>
  <c r="BG281" i="20"/>
  <c r="BO281" i="20"/>
  <c r="BW281" i="20"/>
  <c r="CE281" i="20"/>
  <c r="CM281" i="20"/>
  <c r="CU281" i="20"/>
  <c r="DC281" i="20"/>
  <c r="DK281" i="20"/>
  <c r="X281" i="20"/>
  <c r="AG281" i="20"/>
  <c r="AP281" i="20"/>
  <c r="AZ281" i="20"/>
  <c r="BI281" i="20"/>
  <c r="BR281" i="20"/>
  <c r="CA281" i="20"/>
  <c r="CJ281" i="20"/>
  <c r="CS281" i="20"/>
  <c r="DB281" i="20"/>
  <c r="DL281" i="20"/>
  <c r="Y281" i="20"/>
  <c r="AH281" i="20"/>
  <c r="AR281" i="20"/>
  <c r="BA281" i="20"/>
  <c r="BJ281" i="20"/>
  <c r="BS281" i="20"/>
  <c r="CB281" i="20"/>
  <c r="CK281" i="20"/>
  <c r="CT281" i="20"/>
  <c r="DD281" i="20"/>
  <c r="AB281" i="20"/>
  <c r="AM281" i="20"/>
  <c r="AX281" i="20"/>
  <c r="BL281" i="20"/>
  <c r="BX281" i="20"/>
  <c r="CI281" i="20"/>
  <c r="CW281" i="20"/>
  <c r="DH281" i="20"/>
  <c r="Q281" i="20"/>
  <c r="AC281" i="20"/>
  <c r="AN281" i="20"/>
  <c r="BB281" i="20"/>
  <c r="BM281" i="20"/>
  <c r="BY281" i="20"/>
  <c r="CL281" i="20"/>
  <c r="CX281" i="20"/>
  <c r="DI281" i="20"/>
  <c r="T281" i="20"/>
  <c r="AE281" i="20"/>
  <c r="AS281" i="20"/>
  <c r="BD281" i="20"/>
  <c r="BP281" i="20"/>
  <c r="CC281" i="20"/>
  <c r="CO281" i="20"/>
  <c r="CZ281" i="20"/>
  <c r="AF281" i="20"/>
  <c r="AW281" i="20"/>
  <c r="BT281" i="20"/>
  <c r="CN281" i="20"/>
  <c r="DF281" i="20"/>
  <c r="AJ281" i="20"/>
  <c r="BC281" i="20"/>
  <c r="BU281" i="20"/>
  <c r="CP281" i="20"/>
  <c r="DG281" i="20"/>
  <c r="R281" i="20"/>
  <c r="AK281" i="20"/>
  <c r="BE281" i="20"/>
  <c r="BV281" i="20"/>
  <c r="CQ281" i="20"/>
  <c r="DJ281" i="20"/>
  <c r="U281" i="20"/>
  <c r="AL281" i="20"/>
  <c r="BF281" i="20"/>
  <c r="BZ281" i="20"/>
  <c r="CR281" i="20"/>
  <c r="V234" i="20"/>
  <c r="AD234" i="20"/>
  <c r="AL234" i="20"/>
  <c r="AT234" i="20"/>
  <c r="BB234" i="20"/>
  <c r="BJ234" i="20"/>
  <c r="BR234" i="20"/>
  <c r="BZ234" i="20"/>
  <c r="CH234" i="20"/>
  <c r="CP234" i="20"/>
  <c r="CX234" i="20"/>
  <c r="DF234" i="20"/>
  <c r="Q234" i="20"/>
  <c r="Z234" i="20"/>
  <c r="AI234" i="20"/>
  <c r="AR234" i="20"/>
  <c r="BA234" i="20"/>
  <c r="BK234" i="20"/>
  <c r="BT234" i="20"/>
  <c r="CC234" i="20"/>
  <c r="CL234" i="20"/>
  <c r="CU234" i="20"/>
  <c r="DD234" i="20"/>
  <c r="S234" i="20"/>
  <c r="AC234" i="20"/>
  <c r="AN234" i="20"/>
  <c r="AX234" i="20"/>
  <c r="BH234" i="20"/>
  <c r="BS234" i="20"/>
  <c r="CD234" i="20"/>
  <c r="CN234" i="20"/>
  <c r="CY234" i="20"/>
  <c r="DI234" i="20"/>
  <c r="T234" i="20"/>
  <c r="AE234" i="20"/>
  <c r="AO234" i="20"/>
  <c r="AY234" i="20"/>
  <c r="BI234" i="20"/>
  <c r="BU234" i="20"/>
  <c r="CE234" i="20"/>
  <c r="CO234" i="20"/>
  <c r="CZ234" i="20"/>
  <c r="DJ234" i="20"/>
  <c r="W234" i="20"/>
  <c r="AG234" i="20"/>
  <c r="AQ234" i="20"/>
  <c r="BC234" i="20"/>
  <c r="BM234" i="20"/>
  <c r="BW234" i="20"/>
  <c r="CG234" i="20"/>
  <c r="CR234" i="20"/>
  <c r="DB234" i="20"/>
  <c r="DL234" i="20"/>
  <c r="AB234" i="20"/>
  <c r="AU234" i="20"/>
  <c r="BL234" i="20"/>
  <c r="CA234" i="20"/>
  <c r="CS234" i="20"/>
  <c r="DH234" i="20"/>
  <c r="AH234" i="20"/>
  <c r="AW234" i="20"/>
  <c r="BO234" i="20"/>
  <c r="CF234" i="20"/>
  <c r="CV234" i="20"/>
  <c r="R234" i="20"/>
  <c r="AJ234" i="20"/>
  <c r="AZ234" i="20"/>
  <c r="BP234" i="20"/>
  <c r="CI234" i="20"/>
  <c r="CW234" i="20"/>
  <c r="AM234" i="20"/>
  <c r="BN234" i="20"/>
  <c r="CM234" i="20"/>
  <c r="AP234" i="20"/>
  <c r="BQ234" i="20"/>
  <c r="CQ234" i="20"/>
  <c r="X234" i="20"/>
  <c r="AV234" i="20"/>
  <c r="BX234" i="20"/>
  <c r="DA234" i="20"/>
  <c r="AK234" i="20"/>
  <c r="CB234" i="20"/>
  <c r="AS234" i="20"/>
  <c r="CJ234" i="20"/>
  <c r="BD234" i="20"/>
  <c r="CK234" i="20"/>
  <c r="BE234" i="20"/>
  <c r="CT234" i="20"/>
  <c r="U234" i="20"/>
  <c r="BF234" i="20"/>
  <c r="DC234" i="20"/>
  <c r="Y234" i="20"/>
  <c r="BG234" i="20"/>
  <c r="DE234" i="20"/>
  <c r="W311" i="20"/>
  <c r="AE311" i="20"/>
  <c r="AM311" i="20"/>
  <c r="AU311" i="20"/>
  <c r="BC311" i="20"/>
  <c r="BK311" i="20"/>
  <c r="BS311" i="20"/>
  <c r="CA311" i="20"/>
  <c r="CI311" i="20"/>
  <c r="CQ311" i="20"/>
  <c r="CY311" i="20"/>
  <c r="DG311" i="20"/>
  <c r="X311" i="20"/>
  <c r="AF311" i="20"/>
  <c r="AN311" i="20"/>
  <c r="AV311" i="20"/>
  <c r="BD311" i="20"/>
  <c r="BL311" i="20"/>
  <c r="BT311" i="20"/>
  <c r="CB311" i="20"/>
  <c r="CJ311" i="20"/>
  <c r="CR311" i="20"/>
  <c r="CZ311" i="20"/>
  <c r="DH311" i="20"/>
  <c r="Z311" i="20"/>
  <c r="AJ311" i="20"/>
  <c r="AT311" i="20"/>
  <c r="BF311" i="20"/>
  <c r="BP311" i="20"/>
  <c r="BZ311" i="20"/>
  <c r="CL311" i="20"/>
  <c r="CV311" i="20"/>
  <c r="DF311" i="20"/>
  <c r="Q311" i="20"/>
  <c r="AA311" i="20"/>
  <c r="AK311" i="20"/>
  <c r="AW311" i="20"/>
  <c r="BG311" i="20"/>
  <c r="BQ311" i="20"/>
  <c r="CC311" i="20"/>
  <c r="CM311" i="20"/>
  <c r="CW311" i="20"/>
  <c r="DI311" i="20"/>
  <c r="S311" i="20"/>
  <c r="AC311" i="20"/>
  <c r="AO311" i="20"/>
  <c r="AY311" i="20"/>
  <c r="BI311" i="20"/>
  <c r="BU311" i="20"/>
  <c r="CE311" i="20"/>
  <c r="CO311" i="20"/>
  <c r="DA311" i="20"/>
  <c r="DK311" i="20"/>
  <c r="AG311" i="20"/>
  <c r="AX311" i="20"/>
  <c r="BN311" i="20"/>
  <c r="CF311" i="20"/>
  <c r="CU311" i="20"/>
  <c r="R311" i="20"/>
  <c r="AH311" i="20"/>
  <c r="AZ311" i="20"/>
  <c r="BO311" i="20"/>
  <c r="CG311" i="20"/>
  <c r="CX311" i="20"/>
  <c r="T311" i="20"/>
  <c r="AI311" i="20"/>
  <c r="BA311" i="20"/>
  <c r="BR311" i="20"/>
  <c r="CH311" i="20"/>
  <c r="DB311" i="20"/>
  <c r="X173" i="20"/>
  <c r="AF173" i="20"/>
  <c r="AN173" i="20"/>
  <c r="AV173" i="20"/>
  <c r="BD173" i="20"/>
  <c r="BL173" i="20"/>
  <c r="BT173" i="20"/>
  <c r="CB173" i="20"/>
  <c r="CJ173" i="20"/>
  <c r="CR173" i="20"/>
  <c r="CZ173" i="20"/>
  <c r="DH173" i="20"/>
  <c r="S173" i="20"/>
  <c r="AB173" i="20"/>
  <c r="AK173" i="20"/>
  <c r="AT173" i="20"/>
  <c r="BC173" i="20"/>
  <c r="BM173" i="20"/>
  <c r="BV173" i="20"/>
  <c r="CE173" i="20"/>
  <c r="CN173" i="20"/>
  <c r="CW173" i="20"/>
  <c r="DF173" i="20"/>
  <c r="T173" i="20"/>
  <c r="AC173" i="20"/>
  <c r="AL173" i="20"/>
  <c r="AU173" i="20"/>
  <c r="BE173" i="20"/>
  <c r="BN173" i="20"/>
  <c r="BW173" i="20"/>
  <c r="CF173" i="20"/>
  <c r="CO173" i="20"/>
  <c r="CX173" i="20"/>
  <c r="DG173" i="20"/>
  <c r="W173" i="20"/>
  <c r="AI173" i="20"/>
  <c r="AW173" i="20"/>
  <c r="BH173" i="20"/>
  <c r="BS173" i="20"/>
  <c r="CG173" i="20"/>
  <c r="CS173" i="20"/>
  <c r="DD173" i="20"/>
  <c r="Y173" i="20"/>
  <c r="AJ173" i="20"/>
  <c r="AX173" i="20"/>
  <c r="BI173" i="20"/>
  <c r="BU173" i="20"/>
  <c r="CH173" i="20"/>
  <c r="CT173" i="20"/>
  <c r="DE173" i="20"/>
  <c r="U173" i="20"/>
  <c r="AM173" i="20"/>
  <c r="BA173" i="20"/>
  <c r="BQ173" i="20"/>
  <c r="CI173" i="20"/>
  <c r="CY173" i="20"/>
  <c r="V173" i="20"/>
  <c r="AO173" i="20"/>
  <c r="BB173" i="20"/>
  <c r="BR173" i="20"/>
  <c r="CK173" i="20"/>
  <c r="DA173" i="20"/>
  <c r="Z173" i="20"/>
  <c r="AP173" i="20"/>
  <c r="BF173" i="20"/>
  <c r="BX173" i="20"/>
  <c r="CL173" i="20"/>
  <c r="DB173" i="20"/>
  <c r="AD173" i="20"/>
  <c r="AR173" i="20"/>
  <c r="BJ173" i="20"/>
  <c r="BZ173" i="20"/>
  <c r="CP173" i="20"/>
  <c r="DI173" i="20"/>
  <c r="AH173" i="20"/>
  <c r="BP173" i="20"/>
  <c r="CV173" i="20"/>
  <c r="AQ173" i="20"/>
  <c r="BY173" i="20"/>
  <c r="DC173" i="20"/>
  <c r="AS173" i="20"/>
  <c r="CA173" i="20"/>
  <c r="DJ173" i="20"/>
  <c r="Q173" i="20"/>
  <c r="AY173" i="20"/>
  <c r="CC173" i="20"/>
  <c r="DK173" i="20"/>
  <c r="BG173" i="20"/>
  <c r="BK173" i="20"/>
  <c r="BO173" i="20"/>
  <c r="R173" i="20"/>
  <c r="CD173" i="20"/>
  <c r="AA173" i="20"/>
  <c r="AE173" i="20"/>
  <c r="DL173" i="20"/>
  <c r="CM173" i="20"/>
  <c r="CQ173" i="20"/>
  <c r="CU173" i="20"/>
  <c r="W274" i="20"/>
  <c r="AE274" i="20"/>
  <c r="AM274" i="20"/>
  <c r="AU274" i="20"/>
  <c r="BC274" i="20"/>
  <c r="BK274" i="20"/>
  <c r="BS274" i="20"/>
  <c r="CA274" i="20"/>
  <c r="CI274" i="20"/>
  <c r="CQ274" i="20"/>
  <c r="CY274" i="20"/>
  <c r="DG274" i="20"/>
  <c r="T274" i="20"/>
  <c r="AC274" i="20"/>
  <c r="AL274" i="20"/>
  <c r="AV274" i="20"/>
  <c r="BE274" i="20"/>
  <c r="BN274" i="20"/>
  <c r="BW274" i="20"/>
  <c r="CF274" i="20"/>
  <c r="CO274" i="20"/>
  <c r="CX274" i="20"/>
  <c r="DH274" i="20"/>
  <c r="U274" i="20"/>
  <c r="AD274" i="20"/>
  <c r="AN274" i="20"/>
  <c r="AW274" i="20"/>
  <c r="BF274" i="20"/>
  <c r="BO274" i="20"/>
  <c r="BX274" i="20"/>
  <c r="CG274" i="20"/>
  <c r="CP274" i="20"/>
  <c r="CZ274" i="20"/>
  <c r="DI274" i="20"/>
  <c r="S274" i="20"/>
  <c r="AG274" i="20"/>
  <c r="AR274" i="20"/>
  <c r="BD274" i="20"/>
  <c r="BQ274" i="20"/>
  <c r="CC274" i="20"/>
  <c r="CN274" i="20"/>
  <c r="DB274" i="20"/>
  <c r="V274" i="20"/>
  <c r="AH274" i="20"/>
  <c r="AS274" i="20"/>
  <c r="BG274" i="20"/>
  <c r="BR274" i="20"/>
  <c r="CD274" i="20"/>
  <c r="CR274" i="20"/>
  <c r="DC274" i="20"/>
  <c r="Y274" i="20"/>
  <c r="AJ274" i="20"/>
  <c r="AX274" i="20"/>
  <c r="BI274" i="20"/>
  <c r="BU274" i="20"/>
  <c r="CH274" i="20"/>
  <c r="CT274" i="20"/>
  <c r="DE274" i="20"/>
  <c r="AB274" i="20"/>
  <c r="AY274" i="20"/>
  <c r="BP274" i="20"/>
  <c r="CK274" i="20"/>
  <c r="DD274" i="20"/>
  <c r="AF274" i="20"/>
  <c r="AZ274" i="20"/>
  <c r="BT274" i="20"/>
  <c r="CL274" i="20"/>
  <c r="DF274" i="20"/>
  <c r="AI274" i="20"/>
  <c r="BA274" i="20"/>
  <c r="BV274" i="20"/>
  <c r="CM274" i="20"/>
  <c r="DJ274" i="20"/>
  <c r="Q274" i="20"/>
  <c r="AK274" i="20"/>
  <c r="BB274" i="20"/>
  <c r="BY274" i="20"/>
  <c r="CS274" i="20"/>
  <c r="DK274" i="20"/>
  <c r="Q105" i="20"/>
  <c r="Y105" i="20"/>
  <c r="AG105" i="20"/>
  <c r="AO105" i="20"/>
  <c r="AW105" i="20"/>
  <c r="BE105" i="20"/>
  <c r="BM105" i="20"/>
  <c r="BU105" i="20"/>
  <c r="CC105" i="20"/>
  <c r="CK105" i="20"/>
  <c r="CS105" i="20"/>
  <c r="DA105" i="20"/>
  <c r="DI105" i="20"/>
  <c r="X105" i="20"/>
  <c r="AH105" i="20"/>
  <c r="AQ105" i="20"/>
  <c r="AZ105" i="20"/>
  <c r="BI105" i="20"/>
  <c r="BR105" i="20"/>
  <c r="CA105" i="20"/>
  <c r="CJ105" i="20"/>
  <c r="CT105" i="20"/>
  <c r="DC105" i="20"/>
  <c r="DL105" i="20"/>
  <c r="Z105" i="20"/>
  <c r="AI105" i="20"/>
  <c r="AR105" i="20"/>
  <c r="BA105" i="20"/>
  <c r="BJ105" i="20"/>
  <c r="BS105" i="20"/>
  <c r="CB105" i="20"/>
  <c r="CL105" i="20"/>
  <c r="CU105" i="20"/>
  <c r="DD105" i="20"/>
  <c r="U105" i="20"/>
  <c r="AF105" i="20"/>
  <c r="AT105" i="20"/>
  <c r="BF105" i="20"/>
  <c r="BQ105" i="20"/>
  <c r="CE105" i="20"/>
  <c r="CP105" i="20"/>
  <c r="DB105" i="20"/>
  <c r="AA105" i="20"/>
  <c r="AL105" i="20"/>
  <c r="AX105" i="20"/>
  <c r="BK105" i="20"/>
  <c r="BW105" i="20"/>
  <c r="CH105" i="20"/>
  <c r="CV105" i="20"/>
  <c r="DG105" i="20"/>
  <c r="AB105" i="20"/>
  <c r="AM105" i="20"/>
  <c r="AY105" i="20"/>
  <c r="BL105" i="20"/>
  <c r="BX105" i="20"/>
  <c r="CI105" i="20"/>
  <c r="CW105" i="20"/>
  <c r="DH105" i="20"/>
  <c r="AD105" i="20"/>
  <c r="AV105" i="20"/>
  <c r="BP105" i="20"/>
  <c r="CM105" i="20"/>
  <c r="DE105" i="20"/>
  <c r="AE105" i="20"/>
  <c r="BB105" i="20"/>
  <c r="BT105" i="20"/>
  <c r="CN105" i="20"/>
  <c r="DF105" i="20"/>
  <c r="T105" i="20"/>
  <c r="AS105" i="20"/>
  <c r="BV105" i="20"/>
  <c r="CR105" i="20"/>
  <c r="V105" i="20"/>
  <c r="AU105" i="20"/>
  <c r="BY105" i="20"/>
  <c r="CX105" i="20"/>
  <c r="W105" i="20"/>
  <c r="BC105" i="20"/>
  <c r="BZ105" i="20"/>
  <c r="CY105" i="20"/>
  <c r="AC105" i="20"/>
  <c r="BD105" i="20"/>
  <c r="CD105" i="20"/>
  <c r="CZ105" i="20"/>
  <c r="AJ105" i="20"/>
  <c r="BG105" i="20"/>
  <c r="CF105" i="20"/>
  <c r="DJ105" i="20"/>
  <c r="AN105" i="20"/>
  <c r="DK105" i="20"/>
  <c r="AP105" i="20"/>
  <c r="BH105" i="20"/>
  <c r="BN105" i="20"/>
  <c r="S105" i="20"/>
  <c r="AK105" i="20"/>
  <c r="BO105" i="20"/>
  <c r="CG105" i="20"/>
  <c r="R105" i="20"/>
  <c r="CO105" i="20"/>
  <c r="CQ105" i="20"/>
  <c r="V240" i="20"/>
  <c r="AD240" i="20"/>
  <c r="AL240" i="20"/>
  <c r="AT240" i="20"/>
  <c r="BB240" i="20"/>
  <c r="BJ240" i="20"/>
  <c r="BR240" i="20"/>
  <c r="BZ240" i="20"/>
  <c r="CH240" i="20"/>
  <c r="CP240" i="20"/>
  <c r="CX240" i="20"/>
  <c r="DF240" i="20"/>
  <c r="W240" i="20"/>
  <c r="AF240" i="20"/>
  <c r="AO240" i="20"/>
  <c r="AX240" i="20"/>
  <c r="BG240" i="20"/>
  <c r="BP240" i="20"/>
  <c r="BY240" i="20"/>
  <c r="CI240" i="20"/>
  <c r="CR240" i="20"/>
  <c r="DA240" i="20"/>
  <c r="DJ240" i="20"/>
  <c r="Q240" i="20"/>
  <c r="Z240" i="20"/>
  <c r="AI240" i="20"/>
  <c r="AR240" i="20"/>
  <c r="BA240" i="20"/>
  <c r="BK240" i="20"/>
  <c r="BT240" i="20"/>
  <c r="CC240" i="20"/>
  <c r="CL240" i="20"/>
  <c r="CU240" i="20"/>
  <c r="DD240" i="20"/>
  <c r="S240" i="20"/>
  <c r="AE240" i="20"/>
  <c r="AQ240" i="20"/>
  <c r="BD240" i="20"/>
  <c r="BO240" i="20"/>
  <c r="CB240" i="20"/>
  <c r="CN240" i="20"/>
  <c r="CZ240" i="20"/>
  <c r="DL240" i="20"/>
  <c r="U240" i="20"/>
  <c r="AH240" i="20"/>
  <c r="AU240" i="20"/>
  <c r="BF240" i="20"/>
  <c r="BS240" i="20"/>
  <c r="CE240" i="20"/>
  <c r="CQ240" i="20"/>
  <c r="DC240" i="20"/>
  <c r="X240" i="20"/>
  <c r="AJ240" i="20"/>
  <c r="AV240" i="20"/>
  <c r="BH240" i="20"/>
  <c r="BU240" i="20"/>
  <c r="CF240" i="20"/>
  <c r="CS240" i="20"/>
  <c r="DE240" i="20"/>
  <c r="AG240" i="20"/>
  <c r="AZ240" i="20"/>
  <c r="BV240" i="20"/>
  <c r="CM240" i="20"/>
  <c r="DH240" i="20"/>
  <c r="AK240" i="20"/>
  <c r="BC240" i="20"/>
  <c r="BW240" i="20"/>
  <c r="CO240" i="20"/>
  <c r="DI240" i="20"/>
  <c r="T240" i="20"/>
  <c r="AN240" i="20"/>
  <c r="BI240" i="20"/>
  <c r="CA240" i="20"/>
  <c r="CV240" i="20"/>
  <c r="AA240" i="20"/>
  <c r="BE240" i="20"/>
  <c r="CJ240" i="20"/>
  <c r="AB240" i="20"/>
  <c r="BL240" i="20"/>
  <c r="CK240" i="20"/>
  <c r="AC240" i="20"/>
  <c r="BM240" i="20"/>
  <c r="CT240" i="20"/>
  <c r="AM240" i="20"/>
  <c r="BN240" i="20"/>
  <c r="CW240" i="20"/>
  <c r="AP240" i="20"/>
  <c r="BQ240" i="20"/>
  <c r="CY240" i="20"/>
  <c r="AS240" i="20"/>
  <c r="BX240" i="20"/>
  <c r="DB240" i="20"/>
  <c r="R243" i="20"/>
  <c r="Z243" i="20"/>
  <c r="AH243" i="20"/>
  <c r="AP243" i="20"/>
  <c r="AX243" i="20"/>
  <c r="BF243" i="20"/>
  <c r="BN243" i="20"/>
  <c r="BV243" i="20"/>
  <c r="CD243" i="20"/>
  <c r="CL243" i="20"/>
  <c r="CT243" i="20"/>
  <c r="DB243" i="20"/>
  <c r="DJ243" i="20"/>
  <c r="X243" i="20"/>
  <c r="AG243" i="20"/>
  <c r="AQ243" i="20"/>
  <c r="AZ243" i="20"/>
  <c r="BI243" i="20"/>
  <c r="BR243" i="20"/>
  <c r="CA243" i="20"/>
  <c r="CJ243" i="20"/>
  <c r="CS243" i="20"/>
  <c r="DC243" i="20"/>
  <c r="DL243" i="20"/>
  <c r="S243" i="20"/>
  <c r="AB243" i="20"/>
  <c r="AK243" i="20"/>
  <c r="AT243" i="20"/>
  <c r="BC243" i="20"/>
  <c r="BL243" i="20"/>
  <c r="BU243" i="20"/>
  <c r="CE243" i="20"/>
  <c r="CN243" i="20"/>
  <c r="CW243" i="20"/>
  <c r="DF243" i="20"/>
  <c r="W243" i="20"/>
  <c r="AJ243" i="20"/>
  <c r="AV243" i="20"/>
  <c r="BH243" i="20"/>
  <c r="BT243" i="20"/>
  <c r="CG243" i="20"/>
  <c r="CR243" i="20"/>
  <c r="DE243" i="20"/>
  <c r="AA243" i="20"/>
  <c r="AM243" i="20"/>
  <c r="AY243" i="20"/>
  <c r="BK243" i="20"/>
  <c r="BX243" i="20"/>
  <c r="CI243" i="20"/>
  <c r="CV243" i="20"/>
  <c r="DH243" i="20"/>
  <c r="AC243" i="20"/>
  <c r="AN243" i="20"/>
  <c r="BA243" i="20"/>
  <c r="BM243" i="20"/>
  <c r="BY243" i="20"/>
  <c r="CK243" i="20"/>
  <c r="CX243" i="20"/>
  <c r="DI243" i="20"/>
  <c r="Y243" i="20"/>
  <c r="AS243" i="20"/>
  <c r="BO243" i="20"/>
  <c r="CF243" i="20"/>
  <c r="CZ243" i="20"/>
  <c r="AD243" i="20"/>
  <c r="AU243" i="20"/>
  <c r="BP243" i="20"/>
  <c r="CH243" i="20"/>
  <c r="DA243" i="20"/>
  <c r="AF243" i="20"/>
  <c r="BB243" i="20"/>
  <c r="BS243" i="20"/>
  <c r="CO243" i="20"/>
  <c r="DG243" i="20"/>
  <c r="AL243" i="20"/>
  <c r="BQ243" i="20"/>
  <c r="CU243" i="20"/>
  <c r="AO243" i="20"/>
  <c r="BW243" i="20"/>
  <c r="CY243" i="20"/>
  <c r="Q243" i="20"/>
  <c r="AR243" i="20"/>
  <c r="BZ243" i="20"/>
  <c r="DD243" i="20"/>
  <c r="T243" i="20"/>
  <c r="AW243" i="20"/>
  <c r="CB243" i="20"/>
  <c r="DK243" i="20"/>
  <c r="U243" i="20"/>
  <c r="BD243" i="20"/>
  <c r="CC243" i="20"/>
  <c r="V243" i="20"/>
  <c r="BE243" i="20"/>
  <c r="CM243" i="20"/>
  <c r="V246" i="20"/>
  <c r="AD246" i="20"/>
  <c r="AL246" i="20"/>
  <c r="AT246" i="20"/>
  <c r="BB246" i="20"/>
  <c r="BJ246" i="20"/>
  <c r="BR246" i="20"/>
  <c r="BZ246" i="20"/>
  <c r="CH246" i="20"/>
  <c r="CP246" i="20"/>
  <c r="CX246" i="20"/>
  <c r="DF246" i="20"/>
  <c r="Q246" i="20"/>
  <c r="Z246" i="20"/>
  <c r="AI246" i="20"/>
  <c r="AR246" i="20"/>
  <c r="BA246" i="20"/>
  <c r="BK246" i="20"/>
  <c r="BT246" i="20"/>
  <c r="CC246" i="20"/>
  <c r="CL246" i="20"/>
  <c r="CU246" i="20"/>
  <c r="DD246" i="20"/>
  <c r="T246" i="20"/>
  <c r="AC246" i="20"/>
  <c r="AM246" i="20"/>
  <c r="AV246" i="20"/>
  <c r="BE246" i="20"/>
  <c r="BN246" i="20"/>
  <c r="BW246" i="20"/>
  <c r="CF246" i="20"/>
  <c r="CO246" i="20"/>
  <c r="CY246" i="20"/>
  <c r="DH246" i="20"/>
  <c r="AB246" i="20"/>
  <c r="AO246" i="20"/>
  <c r="AZ246" i="20"/>
  <c r="BM246" i="20"/>
  <c r="BY246" i="20"/>
  <c r="CK246" i="20"/>
  <c r="CW246" i="20"/>
  <c r="DJ246" i="20"/>
  <c r="S246" i="20"/>
  <c r="AF246" i="20"/>
  <c r="AQ246" i="20"/>
  <c r="BD246" i="20"/>
  <c r="BP246" i="20"/>
  <c r="CB246" i="20"/>
  <c r="CN246" i="20"/>
  <c r="DA246" i="20"/>
  <c r="DL246" i="20"/>
  <c r="U246" i="20"/>
  <c r="AG246" i="20"/>
  <c r="AS246" i="20"/>
  <c r="BF246" i="20"/>
  <c r="BQ246" i="20"/>
  <c r="CD246" i="20"/>
  <c r="CQ246" i="20"/>
  <c r="DB246" i="20"/>
  <c r="R246" i="20"/>
  <c r="AK246" i="20"/>
  <c r="BG246" i="20"/>
  <c r="BX246" i="20"/>
  <c r="CS246" i="20"/>
  <c r="DK246" i="20"/>
  <c r="W246" i="20"/>
  <c r="AN246" i="20"/>
  <c r="BH246" i="20"/>
  <c r="CA246" i="20"/>
  <c r="CT246" i="20"/>
  <c r="Y246" i="20"/>
  <c r="AU246" i="20"/>
  <c r="BL246" i="20"/>
  <c r="CG246" i="20"/>
  <c r="CZ246" i="20"/>
  <c r="AX246" i="20"/>
  <c r="CE246" i="20"/>
  <c r="DG246" i="20"/>
  <c r="X246" i="20"/>
  <c r="AY246" i="20"/>
  <c r="CI246" i="20"/>
  <c r="DI246" i="20"/>
  <c r="AA246" i="20"/>
  <c r="BC246" i="20"/>
  <c r="CJ246" i="20"/>
  <c r="AE246" i="20"/>
  <c r="BI246" i="20"/>
  <c r="CM246" i="20"/>
  <c r="AH246" i="20"/>
  <c r="BO246" i="20"/>
  <c r="CR246" i="20"/>
  <c r="AJ246" i="20"/>
  <c r="BS246" i="20"/>
  <c r="CV246" i="20"/>
  <c r="W297" i="20"/>
  <c r="AE297" i="20"/>
  <c r="AM297" i="20"/>
  <c r="AU297" i="20"/>
  <c r="BC297" i="20"/>
  <c r="BK297" i="20"/>
  <c r="BS297" i="20"/>
  <c r="CA297" i="20"/>
  <c r="CI297" i="20"/>
  <c r="CQ297" i="20"/>
  <c r="CY297" i="20"/>
  <c r="DG297" i="20"/>
  <c r="X297" i="20"/>
  <c r="AF297" i="20"/>
  <c r="AN297" i="20"/>
  <c r="AV297" i="20"/>
  <c r="BD297" i="20"/>
  <c r="BL297" i="20"/>
  <c r="BT297" i="20"/>
  <c r="CB297" i="20"/>
  <c r="CJ297" i="20"/>
  <c r="CR297" i="20"/>
  <c r="CZ297" i="20"/>
  <c r="DH297" i="20"/>
  <c r="R297" i="20"/>
  <c r="AB297" i="20"/>
  <c r="AL297" i="20"/>
  <c r="AX297" i="20"/>
  <c r="BH297" i="20"/>
  <c r="BR297" i="20"/>
  <c r="CD297" i="20"/>
  <c r="CN297" i="20"/>
  <c r="CX297" i="20"/>
  <c r="DJ297" i="20"/>
  <c r="S297" i="20"/>
  <c r="AC297" i="20"/>
  <c r="AO297" i="20"/>
  <c r="AY297" i="20"/>
  <c r="BI297" i="20"/>
  <c r="BU297" i="20"/>
  <c r="CE297" i="20"/>
  <c r="CO297" i="20"/>
  <c r="DA297" i="20"/>
  <c r="DK297" i="20"/>
  <c r="U297" i="20"/>
  <c r="AG297" i="20"/>
  <c r="AQ297" i="20"/>
  <c r="BA297" i="20"/>
  <c r="BM297" i="20"/>
  <c r="BW297" i="20"/>
  <c r="CG297" i="20"/>
  <c r="CS297" i="20"/>
  <c r="DC297" i="20"/>
  <c r="AD297" i="20"/>
  <c r="AT297" i="20"/>
  <c r="BN297" i="20"/>
  <c r="CC297" i="20"/>
  <c r="CU297" i="20"/>
  <c r="DL297" i="20"/>
  <c r="AH297" i="20"/>
  <c r="AW297" i="20"/>
  <c r="BO297" i="20"/>
  <c r="CF297" i="20"/>
  <c r="CV297" i="20"/>
  <c r="Q297" i="20"/>
  <c r="AI297" i="20"/>
  <c r="AZ297" i="20"/>
  <c r="BP297" i="20"/>
  <c r="CH297" i="20"/>
  <c r="CW297" i="20"/>
  <c r="T297" i="20"/>
  <c r="AJ297" i="20"/>
  <c r="BB297" i="20"/>
  <c r="BQ297" i="20"/>
  <c r="CK297" i="20"/>
  <c r="DB297" i="20"/>
  <c r="U188" i="20"/>
  <c r="AC188" i="20"/>
  <c r="AK188" i="20"/>
  <c r="AS188" i="20"/>
  <c r="BA188" i="20"/>
  <c r="BI188" i="20"/>
  <c r="BQ188" i="20"/>
  <c r="BY188" i="20"/>
  <c r="CG188" i="20"/>
  <c r="CO188" i="20"/>
  <c r="CW188" i="20"/>
  <c r="DE188" i="20"/>
  <c r="V188" i="20"/>
  <c r="AD188" i="20"/>
  <c r="AL188" i="20"/>
  <c r="AT188" i="20"/>
  <c r="BB188" i="20"/>
  <c r="BJ188" i="20"/>
  <c r="BR188" i="20"/>
  <c r="BZ188" i="20"/>
  <c r="CH188" i="20"/>
  <c r="CP188" i="20"/>
  <c r="CX188" i="20"/>
  <c r="DF188" i="20"/>
  <c r="Y188" i="20"/>
  <c r="AI188" i="20"/>
  <c r="AU188" i="20"/>
  <c r="BE188" i="20"/>
  <c r="BO188" i="20"/>
  <c r="CA188" i="20"/>
  <c r="CK188" i="20"/>
  <c r="CU188" i="20"/>
  <c r="DG188" i="20"/>
  <c r="Z188" i="20"/>
  <c r="AJ188" i="20"/>
  <c r="AV188" i="20"/>
  <c r="BF188" i="20"/>
  <c r="BP188" i="20"/>
  <c r="CB188" i="20"/>
  <c r="CL188" i="20"/>
  <c r="CV188" i="20"/>
  <c r="DH188" i="20"/>
  <c r="S188" i="20"/>
  <c r="AG188" i="20"/>
  <c r="AW188" i="20"/>
  <c r="BK188" i="20"/>
  <c r="BW188" i="20"/>
  <c r="CM188" i="20"/>
  <c r="DA188" i="20"/>
  <c r="T188" i="20"/>
  <c r="AH188" i="20"/>
  <c r="AX188" i="20"/>
  <c r="BL188" i="20"/>
  <c r="BX188" i="20"/>
  <c r="CN188" i="20"/>
  <c r="DB188" i="20"/>
  <c r="W188" i="20"/>
  <c r="AM188" i="20"/>
  <c r="AY188" i="20"/>
  <c r="BM188" i="20"/>
  <c r="CC188" i="20"/>
  <c r="CQ188" i="20"/>
  <c r="DC188" i="20"/>
  <c r="AA188" i="20"/>
  <c r="AO188" i="20"/>
  <c r="BC188" i="20"/>
  <c r="BS188" i="20"/>
  <c r="CE188" i="20"/>
  <c r="CS188" i="20"/>
  <c r="DI188" i="20"/>
  <c r="R188" i="20"/>
  <c r="AR188" i="20"/>
  <c r="BV188" i="20"/>
  <c r="CZ188" i="20"/>
  <c r="X188" i="20"/>
  <c r="AZ188" i="20"/>
  <c r="CD188" i="20"/>
  <c r="DD188" i="20"/>
  <c r="AB188" i="20"/>
  <c r="BD188" i="20"/>
  <c r="CF188" i="20"/>
  <c r="DJ188" i="20"/>
  <c r="AE188" i="20"/>
  <c r="BG188" i="20"/>
  <c r="CI188" i="20"/>
  <c r="DK188" i="20"/>
  <c r="AN188" i="20"/>
  <c r="CR188" i="20"/>
  <c r="AP188" i="20"/>
  <c r="CT188" i="20"/>
  <c r="BH188" i="20"/>
  <c r="DL188" i="20"/>
  <c r="CY188" i="20"/>
  <c r="Q188" i="20"/>
  <c r="CJ188" i="20"/>
  <c r="AQ188" i="20"/>
  <c r="BN188" i="20"/>
  <c r="BT188" i="20"/>
  <c r="BU188" i="20"/>
  <c r="W290" i="20"/>
  <c r="AE290" i="20"/>
  <c r="AM290" i="20"/>
  <c r="AU290" i="20"/>
  <c r="BC290" i="20"/>
  <c r="BK290" i="20"/>
  <c r="BS290" i="20"/>
  <c r="CA290" i="20"/>
  <c r="CI290" i="20"/>
  <c r="CQ290" i="20"/>
  <c r="CY290" i="20"/>
  <c r="DG290" i="20"/>
  <c r="T290" i="20"/>
  <c r="AC290" i="20"/>
  <c r="AL290" i="20"/>
  <c r="AV290" i="20"/>
  <c r="BE290" i="20"/>
  <c r="BN290" i="20"/>
  <c r="BW290" i="20"/>
  <c r="CF290" i="20"/>
  <c r="CO290" i="20"/>
  <c r="CX290" i="20"/>
  <c r="DH290" i="20"/>
  <c r="U290" i="20"/>
  <c r="AD290" i="20"/>
  <c r="AN290" i="20"/>
  <c r="AW290" i="20"/>
  <c r="BF290" i="20"/>
  <c r="BO290" i="20"/>
  <c r="BX290" i="20"/>
  <c r="CG290" i="20"/>
  <c r="CP290" i="20"/>
  <c r="CZ290" i="20"/>
  <c r="DI290" i="20"/>
  <c r="Q290" i="20"/>
  <c r="AB290" i="20"/>
  <c r="AP290" i="20"/>
  <c r="BA290" i="20"/>
  <c r="BM290" i="20"/>
  <c r="BZ290" i="20"/>
  <c r="CL290" i="20"/>
  <c r="CW290" i="20"/>
  <c r="DK290" i="20"/>
  <c r="R290" i="20"/>
  <c r="AF290" i="20"/>
  <c r="AQ290" i="20"/>
  <c r="BB290" i="20"/>
  <c r="BP290" i="20"/>
  <c r="CB290" i="20"/>
  <c r="CM290" i="20"/>
  <c r="DA290" i="20"/>
  <c r="DL290" i="20"/>
  <c r="V290" i="20"/>
  <c r="AH290" i="20"/>
  <c r="AS290" i="20"/>
  <c r="BG290" i="20"/>
  <c r="BR290" i="20"/>
  <c r="CD290" i="20"/>
  <c r="CR290" i="20"/>
  <c r="DC290" i="20"/>
  <c r="AA290" i="20"/>
  <c r="AX290" i="20"/>
  <c r="BQ290" i="20"/>
  <c r="CJ290" i="20"/>
  <c r="DD290" i="20"/>
  <c r="AG290" i="20"/>
  <c r="AY290" i="20"/>
  <c r="BT290" i="20"/>
  <c r="CK290" i="20"/>
  <c r="DE290" i="20"/>
  <c r="AI290" i="20"/>
  <c r="AZ290" i="20"/>
  <c r="BU290" i="20"/>
  <c r="CN290" i="20"/>
  <c r="DF290" i="20"/>
  <c r="AJ290" i="20"/>
  <c r="BD290" i="20"/>
  <c r="BV290" i="20"/>
  <c r="CS290" i="20"/>
  <c r="DJ290" i="20"/>
  <c r="Q374" i="20"/>
  <c r="Y374" i="20"/>
  <c r="AG374" i="20"/>
  <c r="AO374" i="20"/>
  <c r="AW374" i="20"/>
  <c r="BE374" i="20"/>
  <c r="BM374" i="20"/>
  <c r="BU374" i="20"/>
  <c r="CC374" i="20"/>
  <c r="CK374" i="20"/>
  <c r="CS374" i="20"/>
  <c r="DA374" i="20"/>
  <c r="DI374" i="20"/>
  <c r="X374" i="20"/>
  <c r="AH374" i="20"/>
  <c r="AQ374" i="20"/>
  <c r="AZ374" i="20"/>
  <c r="BI374" i="20"/>
  <c r="BR374" i="20"/>
  <c r="CA374" i="20"/>
  <c r="CJ374" i="20"/>
  <c r="CT374" i="20"/>
  <c r="DC374" i="20"/>
  <c r="DL374" i="20"/>
  <c r="R374" i="20"/>
  <c r="AA374" i="20"/>
  <c r="AJ374" i="20"/>
  <c r="AS374" i="20"/>
  <c r="BB374" i="20"/>
  <c r="BK374" i="20"/>
  <c r="BT374" i="20"/>
  <c r="CD374" i="20"/>
  <c r="CM374" i="20"/>
  <c r="CV374" i="20"/>
  <c r="DE374" i="20"/>
  <c r="R235" i="20"/>
  <c r="Z235" i="20"/>
  <c r="AH235" i="20"/>
  <c r="AP235" i="20"/>
  <c r="AX235" i="20"/>
  <c r="BF235" i="20"/>
  <c r="BN235" i="20"/>
  <c r="BV235" i="20"/>
  <c r="CD235" i="20"/>
  <c r="CL235" i="20"/>
  <c r="CT235" i="20"/>
  <c r="DB235" i="20"/>
  <c r="DJ235" i="20"/>
  <c r="Q235" i="20"/>
  <c r="AA235" i="20"/>
  <c r="AJ235" i="20"/>
  <c r="AS235" i="20"/>
  <c r="BB235" i="20"/>
  <c r="BK235" i="20"/>
  <c r="BT235" i="20"/>
  <c r="CC235" i="20"/>
  <c r="CM235" i="20"/>
  <c r="CV235" i="20"/>
  <c r="DE235" i="20"/>
  <c r="W235" i="20"/>
  <c r="AG235" i="20"/>
  <c r="AR235" i="20"/>
  <c r="BC235" i="20"/>
  <c r="BM235" i="20"/>
  <c r="BX235" i="20"/>
  <c r="CH235" i="20"/>
  <c r="CR235" i="20"/>
  <c r="DC235" i="20"/>
  <c r="X235" i="20"/>
  <c r="AI235" i="20"/>
  <c r="AT235" i="20"/>
  <c r="BD235" i="20"/>
  <c r="BO235" i="20"/>
  <c r="BY235" i="20"/>
  <c r="CI235" i="20"/>
  <c r="CS235" i="20"/>
  <c r="DD235" i="20"/>
  <c r="AB235" i="20"/>
  <c r="AL235" i="20"/>
  <c r="AV235" i="20"/>
  <c r="BG235" i="20"/>
  <c r="BQ235" i="20"/>
  <c r="CA235" i="20"/>
  <c r="CK235" i="20"/>
  <c r="CW235" i="20"/>
  <c r="DG235" i="20"/>
  <c r="AD235" i="20"/>
  <c r="AU235" i="20"/>
  <c r="BJ235" i="20"/>
  <c r="CB235" i="20"/>
  <c r="CQ235" i="20"/>
  <c r="DI235" i="20"/>
  <c r="S235" i="20"/>
  <c r="AF235" i="20"/>
  <c r="AY235" i="20"/>
  <c r="BP235" i="20"/>
  <c r="CF235" i="20"/>
  <c r="CX235" i="20"/>
  <c r="DL235" i="20"/>
  <c r="T235" i="20"/>
  <c r="AK235" i="20"/>
  <c r="AZ235" i="20"/>
  <c r="BR235" i="20"/>
  <c r="CG235" i="20"/>
  <c r="CY235" i="20"/>
  <c r="U235" i="20"/>
  <c r="AQ235" i="20"/>
  <c r="BU235" i="20"/>
  <c r="CU235" i="20"/>
  <c r="V235" i="20"/>
  <c r="AW235" i="20"/>
  <c r="BW235" i="20"/>
  <c r="CZ235" i="20"/>
  <c r="AC235" i="20"/>
  <c r="BE235" i="20"/>
  <c r="CE235" i="20"/>
  <c r="DF235" i="20"/>
  <c r="Y235" i="20"/>
  <c r="BL235" i="20"/>
  <c r="DH235" i="20"/>
  <c r="AE235" i="20"/>
  <c r="BS235" i="20"/>
  <c r="DK235" i="20"/>
  <c r="AM235" i="20"/>
  <c r="BZ235" i="20"/>
  <c r="AN235" i="20"/>
  <c r="CJ235" i="20"/>
  <c r="AO235" i="20"/>
  <c r="CN235" i="20"/>
  <c r="BA235" i="20"/>
  <c r="CO235" i="20"/>
  <c r="Q187" i="20"/>
  <c r="Y187" i="20"/>
  <c r="AG187" i="20"/>
  <c r="AO187" i="20"/>
  <c r="AW187" i="20"/>
  <c r="BE187" i="20"/>
  <c r="BM187" i="20"/>
  <c r="BU187" i="20"/>
  <c r="CC187" i="20"/>
  <c r="CK187" i="20"/>
  <c r="CS187" i="20"/>
  <c r="DA187" i="20"/>
  <c r="DI187" i="20"/>
  <c r="R187" i="20"/>
  <c r="Z187" i="20"/>
  <c r="AH187" i="20"/>
  <c r="AP187" i="20"/>
  <c r="AX187" i="20"/>
  <c r="BF187" i="20"/>
  <c r="BN187" i="20"/>
  <c r="BV187" i="20"/>
  <c r="CD187" i="20"/>
  <c r="CL187" i="20"/>
  <c r="CT187" i="20"/>
  <c r="DB187" i="20"/>
  <c r="DJ187" i="20"/>
  <c r="S187" i="20"/>
  <c r="AC187" i="20"/>
  <c r="AM187" i="20"/>
  <c r="AY187" i="20"/>
  <c r="BI187" i="20"/>
  <c r="BS187" i="20"/>
  <c r="CE187" i="20"/>
  <c r="CO187" i="20"/>
  <c r="CY187" i="20"/>
  <c r="DK187" i="20"/>
  <c r="T187" i="20"/>
  <c r="AD187" i="20"/>
  <c r="AN187" i="20"/>
  <c r="AZ187" i="20"/>
  <c r="BJ187" i="20"/>
  <c r="BT187" i="20"/>
  <c r="CF187" i="20"/>
  <c r="CP187" i="20"/>
  <c r="CZ187" i="20"/>
  <c r="DL187" i="20"/>
  <c r="U187" i="20"/>
  <c r="AI187" i="20"/>
  <c r="AU187" i="20"/>
  <c r="BK187" i="20"/>
  <c r="BY187" i="20"/>
  <c r="CM187" i="20"/>
  <c r="DC187" i="20"/>
  <c r="V187" i="20"/>
  <c r="AJ187" i="20"/>
  <c r="AV187" i="20"/>
  <c r="BL187" i="20"/>
  <c r="BZ187" i="20"/>
  <c r="CN187" i="20"/>
  <c r="DD187" i="20"/>
  <c r="W187" i="20"/>
  <c r="AK187" i="20"/>
  <c r="BA187" i="20"/>
  <c r="BO187" i="20"/>
  <c r="CA187" i="20"/>
  <c r="CQ187" i="20"/>
  <c r="DE187" i="20"/>
  <c r="AA187" i="20"/>
  <c r="AQ187" i="20"/>
  <c r="BC187" i="20"/>
  <c r="BQ187" i="20"/>
  <c r="CG187" i="20"/>
  <c r="CU187" i="20"/>
  <c r="DG187" i="20"/>
  <c r="AF187" i="20"/>
  <c r="BH187" i="20"/>
  <c r="CJ187" i="20"/>
  <c r="AL187" i="20"/>
  <c r="BP187" i="20"/>
  <c r="CR187" i="20"/>
  <c r="AR187" i="20"/>
  <c r="BR187" i="20"/>
  <c r="CV187" i="20"/>
  <c r="AS187" i="20"/>
  <c r="BW187" i="20"/>
  <c r="CW187" i="20"/>
  <c r="X187" i="20"/>
  <c r="CB187" i="20"/>
  <c r="AB187" i="20"/>
  <c r="CH187" i="20"/>
  <c r="AT187" i="20"/>
  <c r="CX187" i="20"/>
  <c r="DH187" i="20"/>
  <c r="AE187" i="20"/>
  <c r="DF187" i="20"/>
  <c r="BB187" i="20"/>
  <c r="BD187" i="20"/>
  <c r="BG187" i="20"/>
  <c r="BX187" i="20"/>
  <c r="W258" i="20"/>
  <c r="AE258" i="20"/>
  <c r="AM258" i="20"/>
  <c r="AU258" i="20"/>
  <c r="BC258" i="20"/>
  <c r="BK258" i="20"/>
  <c r="BS258" i="20"/>
  <c r="CA258" i="20"/>
  <c r="CI258" i="20"/>
  <c r="CQ258" i="20"/>
  <c r="CY258" i="20"/>
  <c r="DG258" i="20"/>
  <c r="R258" i="20"/>
  <c r="AA258" i="20"/>
  <c r="AJ258" i="20"/>
  <c r="AS258" i="20"/>
  <c r="BB258" i="20"/>
  <c r="BL258" i="20"/>
  <c r="BU258" i="20"/>
  <c r="CD258" i="20"/>
  <c r="CM258" i="20"/>
  <c r="CV258" i="20"/>
  <c r="DE258" i="20"/>
  <c r="T258" i="20"/>
  <c r="AC258" i="20"/>
  <c r="AL258" i="20"/>
  <c r="AV258" i="20"/>
  <c r="BE258" i="20"/>
  <c r="BN258" i="20"/>
  <c r="BW258" i="20"/>
  <c r="CF258" i="20"/>
  <c r="CO258" i="20"/>
  <c r="CX258" i="20"/>
  <c r="DH258" i="20"/>
  <c r="U258" i="20"/>
  <c r="AD258" i="20"/>
  <c r="AN258" i="20"/>
  <c r="AW258" i="20"/>
  <c r="BF258" i="20"/>
  <c r="BO258" i="20"/>
  <c r="BX258" i="20"/>
  <c r="CG258" i="20"/>
  <c r="CP258" i="20"/>
  <c r="CZ258" i="20"/>
  <c r="DI258" i="20"/>
  <c r="Q258" i="20"/>
  <c r="AG258" i="20"/>
  <c r="AT258" i="20"/>
  <c r="BI258" i="20"/>
  <c r="BY258" i="20"/>
  <c r="CL258" i="20"/>
  <c r="DB258" i="20"/>
  <c r="S258" i="20"/>
  <c r="AH258" i="20"/>
  <c r="AX258" i="20"/>
  <c r="BJ258" i="20"/>
  <c r="BZ258" i="20"/>
  <c r="CN258" i="20"/>
  <c r="DC258" i="20"/>
  <c r="X258" i="20"/>
  <c r="AK258" i="20"/>
  <c r="AZ258" i="20"/>
  <c r="BP258" i="20"/>
  <c r="CC258" i="20"/>
  <c r="CS258" i="20"/>
  <c r="DF258" i="20"/>
  <c r="AB258" i="20"/>
  <c r="BA258" i="20"/>
  <c r="BV258" i="20"/>
  <c r="CU258" i="20"/>
  <c r="AF258" i="20"/>
  <c r="BD258" i="20"/>
  <c r="CB258" i="20"/>
  <c r="CW258" i="20"/>
  <c r="AI258" i="20"/>
  <c r="BG258" i="20"/>
  <c r="CE258" i="20"/>
  <c r="DA258" i="20"/>
  <c r="AO258" i="20"/>
  <c r="BH258" i="20"/>
  <c r="CH258" i="20"/>
  <c r="DD258" i="20"/>
  <c r="V258" i="20"/>
  <c r="AQ258" i="20"/>
  <c r="BQ258" i="20"/>
  <c r="CK258" i="20"/>
  <c r="DK258" i="20"/>
  <c r="S324" i="20"/>
  <c r="AA324" i="20"/>
  <c r="AI324" i="20"/>
  <c r="AQ324" i="20"/>
  <c r="AY324" i="20"/>
  <c r="BG324" i="20"/>
  <c r="BO324" i="20"/>
  <c r="BW324" i="20"/>
  <c r="CE324" i="20"/>
  <c r="CM324" i="20"/>
  <c r="CU324" i="20"/>
  <c r="DC324" i="20"/>
  <c r="DK324" i="20"/>
  <c r="T324" i="20"/>
  <c r="AB324" i="20"/>
  <c r="AJ324" i="20"/>
  <c r="AR324" i="20"/>
  <c r="AZ324" i="20"/>
  <c r="BH324" i="20"/>
  <c r="BP324" i="20"/>
  <c r="BX324" i="20"/>
  <c r="CF324" i="20"/>
  <c r="CN324" i="20"/>
  <c r="CV324" i="20"/>
  <c r="DD324" i="20"/>
  <c r="DL324" i="20"/>
  <c r="Q324" i="20"/>
  <c r="AC324" i="20"/>
  <c r="AM324" i="20"/>
  <c r="AW324" i="20"/>
  <c r="BI324" i="20"/>
  <c r="BS324" i="20"/>
  <c r="CC324" i="20"/>
  <c r="CO324" i="20"/>
  <c r="CY324" i="20"/>
  <c r="DI324" i="20"/>
  <c r="U324" i="20"/>
  <c r="AE324" i="20"/>
  <c r="AO324" i="20"/>
  <c r="BA324" i="20"/>
  <c r="BK324" i="20"/>
  <c r="BU324" i="20"/>
  <c r="CG324" i="20"/>
  <c r="CQ324" i="20"/>
  <c r="DA324" i="20"/>
  <c r="Z324" i="20"/>
  <c r="AP324" i="20"/>
  <c r="BD324" i="20"/>
  <c r="BR324" i="20"/>
  <c r="CH324" i="20"/>
  <c r="CT324" i="20"/>
  <c r="DH324" i="20"/>
  <c r="AD324" i="20"/>
  <c r="AS324" i="20"/>
  <c r="BE324" i="20"/>
  <c r="BT324" i="20"/>
  <c r="CI324" i="20"/>
  <c r="CW324" i="20"/>
  <c r="DJ324" i="20"/>
  <c r="AF324" i="20"/>
  <c r="AT324" i="20"/>
  <c r="BF324" i="20"/>
  <c r="BV324" i="20"/>
  <c r="CJ324" i="20"/>
  <c r="CX324" i="20"/>
  <c r="R233" i="20"/>
  <c r="Z233" i="20"/>
  <c r="AH233" i="20"/>
  <c r="AP233" i="20"/>
  <c r="AX233" i="20"/>
  <c r="BF233" i="20"/>
  <c r="BN233" i="20"/>
  <c r="BV233" i="20"/>
  <c r="CD233" i="20"/>
  <c r="CL233" i="20"/>
  <c r="CT233" i="20"/>
  <c r="DB233" i="20"/>
  <c r="DJ233" i="20"/>
  <c r="Y233" i="20"/>
  <c r="AI233" i="20"/>
  <c r="AR233" i="20"/>
  <c r="BA233" i="20"/>
  <c r="BJ233" i="20"/>
  <c r="BS233" i="20"/>
  <c r="CB233" i="20"/>
  <c r="CK233" i="20"/>
  <c r="CU233" i="20"/>
  <c r="DD233" i="20"/>
  <c r="X233" i="20"/>
  <c r="AJ233" i="20"/>
  <c r="AT233" i="20"/>
  <c r="BD233" i="20"/>
  <c r="BO233" i="20"/>
  <c r="BY233" i="20"/>
  <c r="CI233" i="20"/>
  <c r="CS233" i="20"/>
  <c r="DE233" i="20"/>
  <c r="AA233" i="20"/>
  <c r="AK233" i="20"/>
  <c r="AU233" i="20"/>
  <c r="BE233" i="20"/>
  <c r="BP233" i="20"/>
  <c r="BZ233" i="20"/>
  <c r="CJ233" i="20"/>
  <c r="CV233" i="20"/>
  <c r="DF233" i="20"/>
  <c r="S233" i="20"/>
  <c r="AC233" i="20"/>
  <c r="AM233" i="20"/>
  <c r="AW233" i="20"/>
  <c r="BH233" i="20"/>
  <c r="BR233" i="20"/>
  <c r="CC233" i="20"/>
  <c r="CN233" i="20"/>
  <c r="CX233" i="20"/>
  <c r="DH233" i="20"/>
  <c r="AD233" i="20"/>
  <c r="AS233" i="20"/>
  <c r="BK233" i="20"/>
  <c r="CA233" i="20"/>
  <c r="CQ233" i="20"/>
  <c r="DI233" i="20"/>
  <c r="Q233" i="20"/>
  <c r="AF233" i="20"/>
  <c r="AY233" i="20"/>
  <c r="BM233" i="20"/>
  <c r="CF233" i="20"/>
  <c r="CW233" i="20"/>
  <c r="DL233" i="20"/>
  <c r="T233" i="20"/>
  <c r="AG233" i="20"/>
  <c r="AZ233" i="20"/>
  <c r="BQ233" i="20"/>
  <c r="CG233" i="20"/>
  <c r="CY233" i="20"/>
  <c r="AE233" i="20"/>
  <c r="BG233" i="20"/>
  <c r="CH233" i="20"/>
  <c r="DG233" i="20"/>
  <c r="AL233" i="20"/>
  <c r="BI233" i="20"/>
  <c r="CM233" i="20"/>
  <c r="DK233" i="20"/>
  <c r="AO233" i="20"/>
  <c r="BT233" i="20"/>
  <c r="CP233" i="20"/>
  <c r="BB233" i="20"/>
  <c r="CR233" i="20"/>
  <c r="U233" i="20"/>
  <c r="BC233" i="20"/>
  <c r="CZ233" i="20"/>
  <c r="V233" i="20"/>
  <c r="BL233" i="20"/>
  <c r="DA233" i="20"/>
  <c r="W233" i="20"/>
  <c r="BU233" i="20"/>
  <c r="DC233" i="20"/>
  <c r="AB233" i="20"/>
  <c r="BW233" i="20"/>
  <c r="AN233" i="20"/>
  <c r="BX233" i="20"/>
  <c r="K183" i="20"/>
  <c r="H183" i="20"/>
  <c r="K90" i="20"/>
  <c r="H159" i="20"/>
  <c r="H302" i="20"/>
  <c r="H365" i="20"/>
  <c r="K240" i="20"/>
  <c r="K255" i="20"/>
  <c r="K359" i="20"/>
  <c r="H296" i="20"/>
  <c r="H306" i="20"/>
  <c r="DI416" i="20"/>
  <c r="CX416" i="20"/>
  <c r="CM416" i="20"/>
  <c r="CC416" i="20"/>
  <c r="BR416" i="20"/>
  <c r="BG416" i="20"/>
  <c r="AW416" i="20"/>
  <c r="AL416" i="20"/>
  <c r="AA416" i="20"/>
  <c r="DB415" i="20"/>
  <c r="CQ415" i="20"/>
  <c r="CG415" i="20"/>
  <c r="BV415" i="20"/>
  <c r="BK415" i="20"/>
  <c r="BA415" i="20"/>
  <c r="AP415" i="20"/>
  <c r="AE415" i="20"/>
  <c r="U415" i="20"/>
  <c r="DF414" i="20"/>
  <c r="CU414" i="20"/>
  <c r="CK414" i="20"/>
  <c r="BZ414" i="20"/>
  <c r="BO414" i="20"/>
  <c r="BE414" i="20"/>
  <c r="AT414" i="20"/>
  <c r="AI414" i="20"/>
  <c r="DJ413" i="20"/>
  <c r="CY413" i="20"/>
  <c r="CO413" i="20"/>
  <c r="CD413" i="20"/>
  <c r="BS413" i="20"/>
  <c r="BI413" i="20"/>
  <c r="AX413" i="20"/>
  <c r="AM413" i="20"/>
  <c r="AC413" i="20"/>
  <c r="R413" i="20"/>
  <c r="DC412" i="20"/>
  <c r="CS412" i="20"/>
  <c r="CH412" i="20"/>
  <c r="BW412" i="20"/>
  <c r="BM412" i="20"/>
  <c r="BB412" i="20"/>
  <c r="AQ412" i="20"/>
  <c r="AG412" i="20"/>
  <c r="V412" i="20"/>
  <c r="DG411" i="20"/>
  <c r="CW411" i="20"/>
  <c r="CL411" i="20"/>
  <c r="CA411" i="20"/>
  <c r="BQ411" i="20"/>
  <c r="BF411" i="20"/>
  <c r="AU411" i="20"/>
  <c r="AK411" i="20"/>
  <c r="Z411" i="20"/>
  <c r="DK410" i="20"/>
  <c r="DA410" i="20"/>
  <c r="CP410" i="20"/>
  <c r="CE410" i="20"/>
  <c r="BU410" i="20"/>
  <c r="BJ410" i="20"/>
  <c r="AY410" i="20"/>
  <c r="AO410" i="20"/>
  <c r="AD410" i="20"/>
  <c r="S410" i="20"/>
  <c r="DI408" i="20"/>
  <c r="CX408" i="20"/>
  <c r="CM408" i="20"/>
  <c r="CC408" i="20"/>
  <c r="BR408" i="20"/>
  <c r="BG408" i="20"/>
  <c r="AW408" i="20"/>
  <c r="AL408" i="20"/>
  <c r="AA408" i="20"/>
  <c r="DB407" i="20"/>
  <c r="CQ407" i="20"/>
  <c r="CG407" i="20"/>
  <c r="BV407" i="20"/>
  <c r="BK407" i="20"/>
  <c r="BA407" i="20"/>
  <c r="AP407" i="20"/>
  <c r="AE407" i="20"/>
  <c r="U407" i="20"/>
  <c r="DF406" i="20"/>
  <c r="CU406" i="20"/>
  <c r="CK406" i="20"/>
  <c r="BZ406" i="20"/>
  <c r="BO406" i="20"/>
  <c r="BE406" i="20"/>
  <c r="AT406" i="20"/>
  <c r="AI406" i="20"/>
  <c r="DJ405" i="20"/>
  <c r="CY405" i="20"/>
  <c r="CO405" i="20"/>
  <c r="CD405" i="20"/>
  <c r="BS405" i="20"/>
  <c r="BI405" i="20"/>
  <c r="AX405" i="20"/>
  <c r="AM405" i="20"/>
  <c r="AC405" i="20"/>
  <c r="R405" i="20"/>
  <c r="DG403" i="20"/>
  <c r="CW403" i="20"/>
  <c r="CL403" i="20"/>
  <c r="CA403" i="20"/>
  <c r="BQ403" i="20"/>
  <c r="BF403" i="20"/>
  <c r="AU403" i="20"/>
  <c r="AK403" i="20"/>
  <c r="Z403" i="20"/>
  <c r="DK402" i="20"/>
  <c r="DA402" i="20"/>
  <c r="CP402" i="20"/>
  <c r="CE402" i="20"/>
  <c r="BU402" i="20"/>
  <c r="BJ402" i="20"/>
  <c r="AY402" i="20"/>
  <c r="AO402" i="20"/>
  <c r="AD402" i="20"/>
  <c r="S402" i="20"/>
  <c r="DE401" i="20"/>
  <c r="CT401" i="20"/>
  <c r="CI401" i="20"/>
  <c r="BY401" i="20"/>
  <c r="BN401" i="20"/>
  <c r="BC401" i="20"/>
  <c r="AS401" i="20"/>
  <c r="AH401" i="20"/>
  <c r="W401" i="20"/>
  <c r="DI400" i="20"/>
  <c r="CX400" i="20"/>
  <c r="CM400" i="20"/>
  <c r="CC400" i="20"/>
  <c r="BR400" i="20"/>
  <c r="BG400" i="20"/>
  <c r="AW400" i="20"/>
  <c r="AL400" i="20"/>
  <c r="AA400" i="20"/>
  <c r="Q400" i="20"/>
  <c r="DB399" i="20"/>
  <c r="CQ399" i="20"/>
  <c r="CG399" i="20"/>
  <c r="BV399" i="20"/>
  <c r="BK399" i="20"/>
  <c r="BA399" i="20"/>
  <c r="AP399" i="20"/>
  <c r="AE399" i="20"/>
  <c r="DF398" i="20"/>
  <c r="CU398" i="20"/>
  <c r="CK398" i="20"/>
  <c r="BZ398" i="20"/>
  <c r="BO398" i="20"/>
  <c r="BE398" i="20"/>
  <c r="AT398" i="20"/>
  <c r="AI398" i="20"/>
  <c r="DC396" i="20"/>
  <c r="CS396" i="20"/>
  <c r="CH396" i="20"/>
  <c r="BW396" i="20"/>
  <c r="BM396" i="20"/>
  <c r="BB396" i="20"/>
  <c r="AQ396" i="20"/>
  <c r="AG396" i="20"/>
  <c r="V396" i="20"/>
  <c r="DK394" i="20"/>
  <c r="DA394" i="20"/>
  <c r="CP394" i="20"/>
  <c r="CE394" i="20"/>
  <c r="BU394" i="20"/>
  <c r="BJ394" i="20"/>
  <c r="AY394" i="20"/>
  <c r="AO394" i="20"/>
  <c r="AD394" i="20"/>
  <c r="S394" i="20"/>
  <c r="DI392" i="20"/>
  <c r="CX392" i="20"/>
  <c r="CM392" i="20"/>
  <c r="CC392" i="20"/>
  <c r="BR392" i="20"/>
  <c r="BG392" i="20"/>
  <c r="AW392" i="20"/>
  <c r="AL392" i="20"/>
  <c r="AA392" i="20"/>
  <c r="Q392" i="20"/>
  <c r="DB391" i="20"/>
  <c r="CQ391" i="20"/>
  <c r="CG391" i="20"/>
  <c r="BV391" i="20"/>
  <c r="BK391" i="20"/>
  <c r="BA391" i="20"/>
  <c r="AP391" i="20"/>
  <c r="AE391" i="20"/>
  <c r="T391" i="20"/>
  <c r="DH388" i="20"/>
  <c r="CW388" i="20"/>
  <c r="CJ388" i="20"/>
  <c r="BX388" i="20"/>
  <c r="BL388" i="20"/>
  <c r="AZ388" i="20"/>
  <c r="AM388" i="20"/>
  <c r="AB388" i="20"/>
  <c r="DK387" i="20"/>
  <c r="CY387" i="20"/>
  <c r="CM387" i="20"/>
  <c r="CA387" i="20"/>
  <c r="BN387" i="20"/>
  <c r="BC387" i="20"/>
  <c r="AP387" i="20"/>
  <c r="AD387" i="20"/>
  <c r="DB386" i="20"/>
  <c r="CO386" i="20"/>
  <c r="CD386" i="20"/>
  <c r="BQ386" i="20"/>
  <c r="BD386" i="20"/>
  <c r="AS386" i="20"/>
  <c r="AF386" i="20"/>
  <c r="T386" i="20"/>
  <c r="DF384" i="20"/>
  <c r="CU384" i="20"/>
  <c r="CH384" i="20"/>
  <c r="BV384" i="20"/>
  <c r="BJ384" i="20"/>
  <c r="AX384" i="20"/>
  <c r="AK384" i="20"/>
  <c r="Z384" i="20"/>
  <c r="DI383" i="20"/>
  <c r="CV383" i="20"/>
  <c r="CK383" i="20"/>
  <c r="BX383" i="20"/>
  <c r="BL383" i="20"/>
  <c r="AZ383" i="20"/>
  <c r="AN383" i="20"/>
  <c r="AA383" i="20"/>
  <c r="DL382" i="20"/>
  <c r="CY382" i="20"/>
  <c r="CM382" i="20"/>
  <c r="CA382" i="20"/>
  <c r="BO382" i="20"/>
  <c r="BB382" i="20"/>
  <c r="AQ382" i="20"/>
  <c r="AD382" i="20"/>
  <c r="R382" i="20"/>
  <c r="DB381" i="20"/>
  <c r="CP381" i="20"/>
  <c r="CC381" i="20"/>
  <c r="BR381" i="20"/>
  <c r="BE381" i="20"/>
  <c r="AR381" i="20"/>
  <c r="AG381" i="20"/>
  <c r="DD380" i="20"/>
  <c r="CR380" i="20"/>
  <c r="CF380" i="20"/>
  <c r="BS380" i="20"/>
  <c r="BH380" i="20"/>
  <c r="AU380" i="20"/>
  <c r="AI380" i="20"/>
  <c r="DG379" i="20"/>
  <c r="CT379" i="20"/>
  <c r="CI379" i="20"/>
  <c r="BV379" i="20"/>
  <c r="BJ379" i="20"/>
  <c r="AX379" i="20"/>
  <c r="AL379" i="20"/>
  <c r="Y379" i="20"/>
  <c r="DK377" i="20"/>
  <c r="CZ377" i="20"/>
  <c r="CM377" i="20"/>
  <c r="CA377" i="20"/>
  <c r="BO377" i="20"/>
  <c r="BC377" i="20"/>
  <c r="AP377" i="20"/>
  <c r="AE377" i="20"/>
  <c r="DB376" i="20"/>
  <c r="CP376" i="20"/>
  <c r="CD376" i="20"/>
  <c r="BQ376" i="20"/>
  <c r="BF376" i="20"/>
  <c r="AS376" i="20"/>
  <c r="AF376" i="20"/>
  <c r="U376" i="20"/>
  <c r="DG374" i="20"/>
  <c r="CU374" i="20"/>
  <c r="CH374" i="20"/>
  <c r="BW374" i="20"/>
  <c r="BJ374" i="20"/>
  <c r="AX374" i="20"/>
  <c r="AL374" i="20"/>
  <c r="Z374" i="20"/>
  <c r="DI373" i="20"/>
  <c r="CX373" i="20"/>
  <c r="CK373" i="20"/>
  <c r="BX373" i="20"/>
  <c r="BM373" i="20"/>
  <c r="AZ373" i="20"/>
  <c r="AN373" i="20"/>
  <c r="AB373" i="20"/>
  <c r="DB371" i="20"/>
  <c r="CP371" i="20"/>
  <c r="CD371" i="20"/>
  <c r="BR371" i="20"/>
  <c r="BE371" i="20"/>
  <c r="AT371" i="20"/>
  <c r="AG371" i="20"/>
  <c r="T371" i="20"/>
  <c r="DJ368" i="20"/>
  <c r="CW368" i="20"/>
  <c r="CL368" i="20"/>
  <c r="BY368" i="20"/>
  <c r="BL368" i="20"/>
  <c r="BA368" i="20"/>
  <c r="AN368" i="20"/>
  <c r="AB368" i="20"/>
  <c r="DC366" i="20"/>
  <c r="CP366" i="20"/>
  <c r="CD366" i="20"/>
  <c r="BR366" i="20"/>
  <c r="BF366" i="20"/>
  <c r="AS366" i="20"/>
  <c r="AH366" i="20"/>
  <c r="U366" i="20"/>
  <c r="DJ363" i="20"/>
  <c r="CX363" i="20"/>
  <c r="CK363" i="20"/>
  <c r="BZ363" i="20"/>
  <c r="BM363" i="20"/>
  <c r="AZ363" i="20"/>
  <c r="AO363" i="20"/>
  <c r="AA363" i="20"/>
  <c r="DH362" i="20"/>
  <c r="CV362" i="20"/>
  <c r="CG362" i="20"/>
  <c r="BR362" i="20"/>
  <c r="BD362" i="20"/>
  <c r="AP362" i="20"/>
  <c r="AB362" i="20"/>
  <c r="DJ361" i="20"/>
  <c r="CU361" i="20"/>
  <c r="CF361" i="20"/>
  <c r="BT361" i="20"/>
  <c r="BE361" i="20"/>
  <c r="AP361" i="20"/>
  <c r="AB361" i="20"/>
  <c r="DJ359" i="20"/>
  <c r="CU359" i="20"/>
  <c r="CC359" i="20"/>
  <c r="BJ359" i="20"/>
  <c r="AV359" i="20"/>
  <c r="AB359" i="20"/>
  <c r="DJ358" i="20"/>
  <c r="CQ358" i="20"/>
  <c r="BY358" i="20"/>
  <c r="BJ358" i="20"/>
  <c r="AR358" i="20"/>
  <c r="AC358" i="20"/>
  <c r="DF357" i="20"/>
  <c r="CM357" i="20"/>
  <c r="BX357" i="20"/>
  <c r="BF357" i="20"/>
  <c r="AQ357" i="20"/>
  <c r="Y357" i="20"/>
  <c r="DB356" i="20"/>
  <c r="CN356" i="20"/>
  <c r="BT356" i="20"/>
  <c r="BF356" i="20"/>
  <c r="AM356" i="20"/>
  <c r="DB355" i="20"/>
  <c r="CJ355" i="20"/>
  <c r="BU355" i="20"/>
  <c r="BB355" i="20"/>
  <c r="AI355" i="20"/>
  <c r="T355" i="20"/>
  <c r="CX354" i="20"/>
  <c r="CI354" i="20"/>
  <c r="BQ354" i="20"/>
  <c r="AX354" i="20"/>
  <c r="AJ354" i="20"/>
  <c r="CX351" i="20"/>
  <c r="CE351" i="20"/>
  <c r="BP351" i="20"/>
  <c r="AX351" i="20"/>
  <c r="AI351" i="20"/>
  <c r="Q351" i="20"/>
  <c r="CT350" i="20"/>
  <c r="CF350" i="20"/>
  <c r="BL350" i="20"/>
  <c r="AX350" i="20"/>
  <c r="AE350" i="20"/>
  <c r="DI349" i="20"/>
  <c r="CT349" i="20"/>
  <c r="CB349" i="20"/>
  <c r="BM349" i="20"/>
  <c r="AT349" i="20"/>
  <c r="DH348" i="20"/>
  <c r="CP348" i="20"/>
  <c r="CA348" i="20"/>
  <c r="BI348" i="20"/>
  <c r="AP348" i="20"/>
  <c r="AB348" i="20"/>
  <c r="DD347" i="20"/>
  <c r="CP347" i="20"/>
  <c r="BW347" i="20"/>
  <c r="BE347" i="20"/>
  <c r="AP347" i="20"/>
  <c r="X347" i="20"/>
  <c r="DE346" i="20"/>
  <c r="CL346" i="20"/>
  <c r="BS346" i="20"/>
  <c r="BD346" i="20"/>
  <c r="AL346" i="20"/>
  <c r="DA345" i="20"/>
  <c r="CH345" i="20"/>
  <c r="BT345" i="20"/>
  <c r="AZ345" i="20"/>
  <c r="AL345" i="20"/>
  <c r="CW344" i="20"/>
  <c r="CH344" i="20"/>
  <c r="BP344" i="20"/>
  <c r="BA344" i="20"/>
  <c r="DK343" i="20"/>
  <c r="CV343" i="20"/>
  <c r="CD343" i="20"/>
  <c r="BO343" i="20"/>
  <c r="AW343" i="20"/>
  <c r="AD343" i="20"/>
  <c r="DL342" i="20"/>
  <c r="CR342" i="20"/>
  <c r="CD342" i="20"/>
  <c r="BK342" i="20"/>
  <c r="AS342" i="20"/>
  <c r="AD342" i="20"/>
  <c r="DK339" i="20"/>
  <c r="CS339" i="20"/>
  <c r="BZ339" i="20"/>
  <c r="BL339" i="20"/>
  <c r="AR339" i="20"/>
  <c r="DG338" i="20"/>
  <c r="CO338" i="20"/>
  <c r="BZ338" i="20"/>
  <c r="BH338" i="20"/>
  <c r="AS338" i="20"/>
  <c r="Z338" i="20"/>
  <c r="DC337" i="20"/>
  <c r="CN337" i="20"/>
  <c r="BV337" i="20"/>
  <c r="BG337" i="20"/>
  <c r="AO337" i="20"/>
  <c r="DD336" i="20"/>
  <c r="CJ336" i="20"/>
  <c r="BV336" i="20"/>
  <c r="BC336" i="20"/>
  <c r="AK336" i="20"/>
  <c r="V336" i="20"/>
  <c r="CZ334" i="20"/>
  <c r="CH334" i="20"/>
  <c r="BS334" i="20"/>
  <c r="BA334" i="20"/>
  <c r="AH334" i="20"/>
  <c r="T334" i="20"/>
  <c r="CV333" i="20"/>
  <c r="CH333" i="20"/>
  <c r="BO333" i="20"/>
  <c r="AW333" i="20"/>
  <c r="AH333" i="20"/>
  <c r="DL332" i="20"/>
  <c r="CW332" i="20"/>
  <c r="CD332" i="20"/>
  <c r="BK332" i="20"/>
  <c r="AV332" i="20"/>
  <c r="DK331" i="20"/>
  <c r="CS331" i="20"/>
  <c r="BZ331" i="20"/>
  <c r="BL331" i="20"/>
  <c r="AR331" i="20"/>
  <c r="AD331" i="20"/>
  <c r="DC329" i="20"/>
  <c r="CN329" i="20"/>
  <c r="BV329" i="20"/>
  <c r="BG329" i="20"/>
  <c r="AN329" i="20"/>
  <c r="R329" i="20"/>
  <c r="CX328" i="20"/>
  <c r="CA328" i="20"/>
  <c r="BK328" i="20"/>
  <c r="AO328" i="20"/>
  <c r="U328" i="20"/>
  <c r="CZ327" i="20"/>
  <c r="CE327" i="20"/>
  <c r="BN327" i="20"/>
  <c r="AR327" i="20"/>
  <c r="V327" i="20"/>
  <c r="CZ326" i="20"/>
  <c r="CB326" i="20"/>
  <c r="BI326" i="20"/>
  <c r="AK326" i="20"/>
  <c r="CS324" i="20"/>
  <c r="BZ324" i="20"/>
  <c r="BB324" i="20"/>
  <c r="AG324" i="20"/>
  <c r="CQ322" i="20"/>
  <c r="BR322" i="20"/>
  <c r="AX322" i="20"/>
  <c r="X322" i="20"/>
  <c r="DH320" i="20"/>
  <c r="CO320" i="20"/>
  <c r="BN320" i="20"/>
  <c r="AO320" i="20"/>
  <c r="V320" i="20"/>
  <c r="CP317" i="20"/>
  <c r="BU317" i="20"/>
  <c r="AP317" i="20"/>
  <c r="S317" i="20"/>
  <c r="CJ316" i="20"/>
  <c r="BE316" i="20"/>
  <c r="AH316" i="20"/>
  <c r="DA315" i="20"/>
  <c r="CD315" i="20"/>
  <c r="AY315" i="20"/>
  <c r="DL313" i="20"/>
  <c r="CH313" i="20"/>
  <c r="BJ313" i="20"/>
  <c r="AH313" i="20"/>
  <c r="CS311" i="20"/>
  <c r="BV311" i="20"/>
  <c r="AQ311" i="20"/>
  <c r="DH310" i="20"/>
  <c r="CK310" i="20"/>
  <c r="BF310" i="20"/>
  <c r="AK310" i="20"/>
  <c r="CJ308" i="20"/>
  <c r="BC308" i="20"/>
  <c r="V308" i="20"/>
  <c r="DJ306" i="20"/>
  <c r="CB306" i="20"/>
  <c r="AS306" i="20"/>
  <c r="CP304" i="20"/>
  <c r="BI304" i="20"/>
  <c r="Z304" i="20"/>
  <c r="CN303" i="20"/>
  <c r="BE303" i="20"/>
  <c r="V303" i="20"/>
  <c r="CK302" i="20"/>
  <c r="BD302" i="20"/>
  <c r="DJ300" i="20"/>
  <c r="CA300" i="20"/>
  <c r="AT300" i="20"/>
  <c r="DI299" i="20"/>
  <c r="BZ299" i="20"/>
  <c r="AR299" i="20"/>
  <c r="DE298" i="20"/>
  <c r="BV298" i="20"/>
  <c r="AO298" i="20"/>
  <c r="DD297" i="20"/>
  <c r="BV297" i="20"/>
  <c r="AK297" i="20"/>
  <c r="CZ296" i="20"/>
  <c r="BS296" i="20"/>
  <c r="AL296" i="20"/>
  <c r="DF294" i="20"/>
  <c r="BT294" i="20"/>
  <c r="AC294" i="20"/>
  <c r="CS292" i="20"/>
  <c r="BE292" i="20"/>
  <c r="S292" i="20"/>
  <c r="CC291" i="20"/>
  <c r="AP291" i="20"/>
  <c r="CV290" i="20"/>
  <c r="BJ290" i="20"/>
  <c r="Y290" i="20"/>
  <c r="CI289" i="20"/>
  <c r="DB288" i="20"/>
  <c r="BP288" i="20"/>
  <c r="CL287" i="20"/>
  <c r="AZ287" i="20"/>
  <c r="DH286" i="20"/>
  <c r="BT286" i="20"/>
  <c r="AH286" i="20"/>
  <c r="CR285" i="20"/>
  <c r="DK284" i="20"/>
  <c r="BY284" i="20"/>
  <c r="AN284" i="20"/>
  <c r="CX283" i="20"/>
  <c r="BI283" i="20"/>
  <c r="U283" i="20"/>
  <c r="CH281" i="20"/>
  <c r="AV281" i="20"/>
  <c r="DF280" i="20"/>
  <c r="BU280" i="20"/>
  <c r="AF280" i="20"/>
  <c r="CN279" i="20"/>
  <c r="BB279" i="20"/>
  <c r="DL278" i="20"/>
  <c r="BX278" i="20"/>
  <c r="CS277" i="20"/>
  <c r="BE277" i="20"/>
  <c r="T277" i="20"/>
  <c r="CD276" i="20"/>
  <c r="AQ276" i="20"/>
  <c r="CW275" i="20"/>
  <c r="BK275" i="20"/>
  <c r="Y275" i="20"/>
  <c r="CJ274" i="20"/>
  <c r="AT274" i="20"/>
  <c r="DB273" i="20"/>
  <c r="BQ273" i="20"/>
  <c r="AE273" i="20"/>
  <c r="DB271" i="20"/>
  <c r="BP271" i="20"/>
  <c r="Y271" i="20"/>
  <c r="CJ270" i="20"/>
  <c r="DH269" i="20"/>
  <c r="BS269" i="20"/>
  <c r="CO268" i="20"/>
  <c r="DL267" i="20"/>
  <c r="BY267" i="20"/>
  <c r="BZ266" i="20"/>
  <c r="X266" i="20"/>
  <c r="CF264" i="20"/>
  <c r="AC264" i="20"/>
  <c r="CS261" i="20"/>
  <c r="AL261" i="20"/>
  <c r="CO260" i="20"/>
  <c r="AH260" i="20"/>
  <c r="BQ259" i="20"/>
  <c r="DJ258" i="20"/>
  <c r="AR258" i="20"/>
  <c r="CB257" i="20"/>
  <c r="DL256" i="20"/>
  <c r="AO256" i="20"/>
  <c r="BL255" i="20"/>
  <c r="CR254" i="20"/>
  <c r="Y254" i="20"/>
  <c r="CA249" i="20"/>
  <c r="AG247" i="20"/>
  <c r="DH245" i="20"/>
  <c r="CJ244" i="20"/>
  <c r="BG243" i="20"/>
  <c r="AK242" i="20"/>
  <c r="DG240" i="20"/>
  <c r="CJ239" i="20"/>
  <c r="BK238" i="20"/>
  <c r="Y237" i="20"/>
  <c r="BH235" i="20"/>
  <c r="CE233" i="20"/>
  <c r="DK231" i="20"/>
  <c r="CJ227" i="20"/>
  <c r="S226" i="20"/>
  <c r="DH216" i="20"/>
  <c r="CM214" i="20"/>
  <c r="DG211" i="20"/>
  <c r="AP208" i="20"/>
  <c r="BB205" i="20"/>
  <c r="AF202" i="20"/>
  <c r="R199" i="20"/>
  <c r="Z199" i="20"/>
  <c r="AH199" i="20"/>
  <c r="AP199" i="20"/>
  <c r="AX199" i="20"/>
  <c r="BF199" i="20"/>
  <c r="BN199" i="20"/>
  <c r="BV199" i="20"/>
  <c r="CD199" i="20"/>
  <c r="CL199" i="20"/>
  <c r="CT199" i="20"/>
  <c r="DB199" i="20"/>
  <c r="DJ199" i="20"/>
  <c r="X199" i="20"/>
  <c r="AG199" i="20"/>
  <c r="AQ199" i="20"/>
  <c r="AZ199" i="20"/>
  <c r="BI199" i="20"/>
  <c r="BR199" i="20"/>
  <c r="CA199" i="20"/>
  <c r="CJ199" i="20"/>
  <c r="CS199" i="20"/>
  <c r="DC199" i="20"/>
  <c r="DL199" i="20"/>
  <c r="Y199" i="20"/>
  <c r="AI199" i="20"/>
  <c r="AR199" i="20"/>
  <c r="BA199" i="20"/>
  <c r="BJ199" i="20"/>
  <c r="BS199" i="20"/>
  <c r="CB199" i="20"/>
  <c r="CK199" i="20"/>
  <c r="CU199" i="20"/>
  <c r="DD199" i="20"/>
  <c r="V199" i="20"/>
  <c r="AJ199" i="20"/>
  <c r="AU199" i="20"/>
  <c r="BG199" i="20"/>
  <c r="BT199" i="20"/>
  <c r="CF199" i="20"/>
  <c r="CQ199" i="20"/>
  <c r="DE199" i="20"/>
  <c r="W199" i="20"/>
  <c r="AK199" i="20"/>
  <c r="AV199" i="20"/>
  <c r="BH199" i="20"/>
  <c r="BU199" i="20"/>
  <c r="CG199" i="20"/>
  <c r="CR199" i="20"/>
  <c r="DF199" i="20"/>
  <c r="AA199" i="20"/>
  <c r="AL199" i="20"/>
  <c r="AW199" i="20"/>
  <c r="BK199" i="20"/>
  <c r="BW199" i="20"/>
  <c r="CH199" i="20"/>
  <c r="CV199" i="20"/>
  <c r="DG199" i="20"/>
  <c r="Q199" i="20"/>
  <c r="AC199" i="20"/>
  <c r="AN199" i="20"/>
  <c r="BB199" i="20"/>
  <c r="BM199" i="20"/>
  <c r="BY199" i="20"/>
  <c r="CM199" i="20"/>
  <c r="CX199" i="20"/>
  <c r="DI199" i="20"/>
  <c r="AF199" i="20"/>
  <c r="BE199" i="20"/>
  <c r="CE199" i="20"/>
  <c r="DA199" i="20"/>
  <c r="S199" i="20"/>
  <c r="AO199" i="20"/>
  <c r="BO199" i="20"/>
  <c r="CN199" i="20"/>
  <c r="DK199" i="20"/>
  <c r="T199" i="20"/>
  <c r="AS199" i="20"/>
  <c r="BP199" i="20"/>
  <c r="CO199" i="20"/>
  <c r="AE199" i="20"/>
  <c r="BX199" i="20"/>
  <c r="DH199" i="20"/>
  <c r="AM199" i="20"/>
  <c r="BZ199" i="20"/>
  <c r="AY199" i="20"/>
  <c r="CI199" i="20"/>
  <c r="BL199" i="20"/>
  <c r="BC199" i="20"/>
  <c r="CZ199" i="20"/>
  <c r="CP199" i="20"/>
  <c r="U199" i="20"/>
  <c r="CW199" i="20"/>
  <c r="AB199" i="20"/>
  <c r="CY199" i="20"/>
  <c r="AD199" i="20"/>
  <c r="AT199" i="20"/>
  <c r="BD199" i="20"/>
  <c r="Q18" i="20"/>
  <c r="Y18" i="20"/>
  <c r="AG18" i="20"/>
  <c r="AO18" i="20"/>
  <c r="AW18" i="20"/>
  <c r="BE18" i="20"/>
  <c r="BM18" i="20"/>
  <c r="BU18" i="20"/>
  <c r="CC18" i="20"/>
  <c r="CK18" i="20"/>
  <c r="CS18" i="20"/>
  <c r="DA18" i="20"/>
  <c r="DI18" i="20"/>
  <c r="R18" i="20"/>
  <c r="Z18" i="20"/>
  <c r="AH18" i="20"/>
  <c r="AP18" i="20"/>
  <c r="AX18" i="20"/>
  <c r="BF18" i="20"/>
  <c r="BN18" i="20"/>
  <c r="BV18" i="20"/>
  <c r="CD18" i="20"/>
  <c r="CL18" i="20"/>
  <c r="CT18" i="20"/>
  <c r="DB18" i="20"/>
  <c r="DJ18" i="20"/>
  <c r="S18" i="20"/>
  <c r="AA18" i="20"/>
  <c r="AI18" i="20"/>
  <c r="AQ18" i="20"/>
  <c r="AY18" i="20"/>
  <c r="BG18" i="20"/>
  <c r="BO18" i="20"/>
  <c r="BW18" i="20"/>
  <c r="CE18" i="20"/>
  <c r="CM18" i="20"/>
  <c r="CU18" i="20"/>
  <c r="DC18" i="20"/>
  <c r="DK18" i="20"/>
  <c r="X18" i="20"/>
  <c r="AL18" i="20"/>
  <c r="AZ18" i="20"/>
  <c r="BK18" i="20"/>
  <c r="BY18" i="20"/>
  <c r="CJ18" i="20"/>
  <c r="CX18" i="20"/>
  <c r="DL18" i="20"/>
  <c r="AB18" i="20"/>
  <c r="AM18" i="20"/>
  <c r="BA18" i="20"/>
  <c r="BL18" i="20"/>
  <c r="BZ18" i="20"/>
  <c r="CN18" i="20"/>
  <c r="CY18" i="20"/>
  <c r="AC18" i="20"/>
  <c r="AN18" i="20"/>
  <c r="BB18" i="20"/>
  <c r="BP18" i="20"/>
  <c r="CA18" i="20"/>
  <c r="CO18" i="20"/>
  <c r="CZ18" i="20"/>
  <c r="AD18" i="20"/>
  <c r="AR18" i="20"/>
  <c r="BC18" i="20"/>
  <c r="BQ18" i="20"/>
  <c r="CB18" i="20"/>
  <c r="CP18" i="20"/>
  <c r="DD18" i="20"/>
  <c r="U18" i="20"/>
  <c r="AT18" i="20"/>
  <c r="BS18" i="20"/>
  <c r="CR18" i="20"/>
  <c r="AE18" i="20"/>
  <c r="BD18" i="20"/>
  <c r="CF18" i="20"/>
  <c r="DE18" i="20"/>
  <c r="V18" i="20"/>
  <c r="BH18" i="20"/>
  <c r="CI18" i="20"/>
  <c r="W18" i="20"/>
  <c r="BI18" i="20"/>
  <c r="CQ18" i="20"/>
  <c r="BJ18" i="20"/>
  <c r="DF18" i="20"/>
  <c r="AK18" i="20"/>
  <c r="CG18" i="20"/>
  <c r="AJ18" i="20"/>
  <c r="CV18" i="20"/>
  <c r="AS18" i="20"/>
  <c r="CW18" i="20"/>
  <c r="AU18" i="20"/>
  <c r="DG18" i="20"/>
  <c r="AV18" i="20"/>
  <c r="DH18" i="20"/>
  <c r="BX18" i="20"/>
  <c r="BR18" i="20"/>
  <c r="BT18" i="20"/>
  <c r="CH18" i="20"/>
  <c r="T18" i="20"/>
  <c r="AF18" i="20"/>
  <c r="W33" i="20"/>
  <c r="AE33" i="20"/>
  <c r="AM33" i="20"/>
  <c r="AU33" i="20"/>
  <c r="BC33" i="20"/>
  <c r="BK33" i="20"/>
  <c r="BS33" i="20"/>
  <c r="CA33" i="20"/>
  <c r="CI33" i="20"/>
  <c r="CQ33" i="20"/>
  <c r="CY33" i="20"/>
  <c r="DG33" i="20"/>
  <c r="Y33" i="20"/>
  <c r="AH33" i="20"/>
  <c r="AQ33" i="20"/>
  <c r="AZ33" i="20"/>
  <c r="BI33" i="20"/>
  <c r="BR33" i="20"/>
  <c r="CB33" i="20"/>
  <c r="CK33" i="20"/>
  <c r="CT33" i="20"/>
  <c r="DC33" i="20"/>
  <c r="DL33" i="20"/>
  <c r="Q33" i="20"/>
  <c r="Z33" i="20"/>
  <c r="AI33" i="20"/>
  <c r="AR33" i="20"/>
  <c r="BA33" i="20"/>
  <c r="BJ33" i="20"/>
  <c r="BT33" i="20"/>
  <c r="CC33" i="20"/>
  <c r="CL33" i="20"/>
  <c r="CU33" i="20"/>
  <c r="DD33" i="20"/>
  <c r="T33" i="20"/>
  <c r="AF33" i="20"/>
  <c r="AS33" i="20"/>
  <c r="BE33" i="20"/>
  <c r="BP33" i="20"/>
  <c r="CD33" i="20"/>
  <c r="CO33" i="20"/>
  <c r="DA33" i="20"/>
  <c r="U33" i="20"/>
  <c r="AJ33" i="20"/>
  <c r="AW33" i="20"/>
  <c r="BL33" i="20"/>
  <c r="BX33" i="20"/>
  <c r="CM33" i="20"/>
  <c r="CZ33" i="20"/>
  <c r="V33" i="20"/>
  <c r="AK33" i="20"/>
  <c r="AX33" i="20"/>
  <c r="BM33" i="20"/>
  <c r="BY33" i="20"/>
  <c r="CN33" i="20"/>
  <c r="DB33" i="20"/>
  <c r="AA33" i="20"/>
  <c r="AN33" i="20"/>
  <c r="BB33" i="20"/>
  <c r="BO33" i="20"/>
  <c r="CE33" i="20"/>
  <c r="CR33" i="20"/>
  <c r="DF33" i="20"/>
  <c r="AB33" i="20"/>
  <c r="AV33" i="20"/>
  <c r="BU33" i="20"/>
  <c r="CP33" i="20"/>
  <c r="DJ33" i="20"/>
  <c r="R33" i="20"/>
  <c r="AO33" i="20"/>
  <c r="BH33" i="20"/>
  <c r="CG33" i="20"/>
  <c r="DE33" i="20"/>
  <c r="AD33" i="20"/>
  <c r="BG33" i="20"/>
  <c r="CJ33" i="20"/>
  <c r="AG33" i="20"/>
  <c r="BN33" i="20"/>
  <c r="CS33" i="20"/>
  <c r="AL33" i="20"/>
  <c r="BQ33" i="20"/>
  <c r="CV33" i="20"/>
  <c r="AP33" i="20"/>
  <c r="BV33" i="20"/>
  <c r="CW33" i="20"/>
  <c r="AT33" i="20"/>
  <c r="CX33" i="20"/>
  <c r="AY33" i="20"/>
  <c r="DH33" i="20"/>
  <c r="BD33" i="20"/>
  <c r="DI33" i="20"/>
  <c r="BF33" i="20"/>
  <c r="DK33" i="20"/>
  <c r="BW33" i="20"/>
  <c r="BZ33" i="20"/>
  <c r="CF33" i="20"/>
  <c r="CH33" i="20"/>
  <c r="S33" i="20"/>
  <c r="X33" i="20"/>
  <c r="AC33" i="20"/>
  <c r="U398" i="20"/>
  <c r="AC398" i="20"/>
  <c r="AK398" i="20"/>
  <c r="AS398" i="20"/>
  <c r="BA398" i="20"/>
  <c r="BI398" i="20"/>
  <c r="BQ398" i="20"/>
  <c r="BY398" i="20"/>
  <c r="CG398" i="20"/>
  <c r="CO398" i="20"/>
  <c r="CW398" i="20"/>
  <c r="DE398" i="20"/>
  <c r="W398" i="20"/>
  <c r="AE398" i="20"/>
  <c r="AM398" i="20"/>
  <c r="AU398" i="20"/>
  <c r="BC398" i="20"/>
  <c r="BK398" i="20"/>
  <c r="BS398" i="20"/>
  <c r="CA398" i="20"/>
  <c r="CI398" i="20"/>
  <c r="CQ398" i="20"/>
  <c r="CY398" i="20"/>
  <c r="DG398" i="20"/>
  <c r="T50" i="20"/>
  <c r="AB50" i="20"/>
  <c r="AJ50" i="20"/>
  <c r="AR50" i="20"/>
  <c r="AZ50" i="20"/>
  <c r="BH50" i="20"/>
  <c r="BP50" i="20"/>
  <c r="U50" i="20"/>
  <c r="AD50" i="20"/>
  <c r="AM50" i="20"/>
  <c r="AV50" i="20"/>
  <c r="BE50" i="20"/>
  <c r="BN50" i="20"/>
  <c r="BW50" i="20"/>
  <c r="CE50" i="20"/>
  <c r="CM50" i="20"/>
  <c r="CU50" i="20"/>
  <c r="DC50" i="20"/>
  <c r="DK50" i="20"/>
  <c r="Q50" i="20"/>
  <c r="AA50" i="20"/>
  <c r="AL50" i="20"/>
  <c r="AW50" i="20"/>
  <c r="BG50" i="20"/>
  <c r="BR50" i="20"/>
  <c r="CA50" i="20"/>
  <c r="CJ50" i="20"/>
  <c r="CS50" i="20"/>
  <c r="DB50" i="20"/>
  <c r="DL50" i="20"/>
  <c r="R50" i="20"/>
  <c r="AC50" i="20"/>
  <c r="AN50" i="20"/>
  <c r="AX50" i="20"/>
  <c r="BI50" i="20"/>
  <c r="BS50" i="20"/>
  <c r="CB50" i="20"/>
  <c r="CK50" i="20"/>
  <c r="CT50" i="20"/>
  <c r="DD50" i="20"/>
  <c r="S50" i="20"/>
  <c r="AE50" i="20"/>
  <c r="AO50" i="20"/>
  <c r="AY50" i="20"/>
  <c r="BJ50" i="20"/>
  <c r="BT50" i="20"/>
  <c r="CC50" i="20"/>
  <c r="CL50" i="20"/>
  <c r="CV50" i="20"/>
  <c r="DE50" i="20"/>
  <c r="V50" i="20"/>
  <c r="AF50" i="20"/>
  <c r="AP50" i="20"/>
  <c r="BA50" i="20"/>
  <c r="BK50" i="20"/>
  <c r="BU50" i="20"/>
  <c r="CD50" i="20"/>
  <c r="CN50" i="20"/>
  <c r="CW50" i="20"/>
  <c r="DF50" i="20"/>
  <c r="W50" i="20"/>
  <c r="AQ50" i="20"/>
  <c r="BL50" i="20"/>
  <c r="CF50" i="20"/>
  <c r="CX50" i="20"/>
  <c r="X50" i="20"/>
  <c r="AS50" i="20"/>
  <c r="BM50" i="20"/>
  <c r="CG50" i="20"/>
  <c r="CY50" i="20"/>
  <c r="Y50" i="20"/>
  <c r="AT50" i="20"/>
  <c r="BO50" i="20"/>
  <c r="CH50" i="20"/>
  <c r="CZ50" i="20"/>
  <c r="Z50" i="20"/>
  <c r="AU50" i="20"/>
  <c r="BQ50" i="20"/>
  <c r="CI50" i="20"/>
  <c r="DA50" i="20"/>
  <c r="AG50" i="20"/>
  <c r="BB50" i="20"/>
  <c r="BV50" i="20"/>
  <c r="CO50" i="20"/>
  <c r="DG50" i="20"/>
  <c r="AI50" i="20"/>
  <c r="CP50" i="20"/>
  <c r="AK50" i="20"/>
  <c r="CQ50" i="20"/>
  <c r="BC50" i="20"/>
  <c r="CR50" i="20"/>
  <c r="BD50" i="20"/>
  <c r="DH50" i="20"/>
  <c r="BF50" i="20"/>
  <c r="BX50" i="20"/>
  <c r="BY50" i="20"/>
  <c r="BZ50" i="20"/>
  <c r="DI50" i="20"/>
  <c r="DJ50" i="20"/>
  <c r="AH50" i="20"/>
  <c r="X125" i="20"/>
  <c r="AF125" i="20"/>
  <c r="AN125" i="20"/>
  <c r="AV125" i="20"/>
  <c r="BD125" i="20"/>
  <c r="BL125" i="20"/>
  <c r="BT125" i="20"/>
  <c r="CB125" i="20"/>
  <c r="CJ125" i="20"/>
  <c r="CR125" i="20"/>
  <c r="CZ125" i="20"/>
  <c r="DH125" i="20"/>
  <c r="Y125" i="20"/>
  <c r="AH125" i="20"/>
  <c r="AQ125" i="20"/>
  <c r="AZ125" i="20"/>
  <c r="BI125" i="20"/>
  <c r="BR125" i="20"/>
  <c r="CA125" i="20"/>
  <c r="CK125" i="20"/>
  <c r="CT125" i="20"/>
  <c r="DC125" i="20"/>
  <c r="DL125" i="20"/>
  <c r="Q125" i="20"/>
  <c r="Z125" i="20"/>
  <c r="AI125" i="20"/>
  <c r="AR125" i="20"/>
  <c r="BA125" i="20"/>
  <c r="BJ125" i="20"/>
  <c r="BS125" i="20"/>
  <c r="CC125" i="20"/>
  <c r="CL125" i="20"/>
  <c r="CU125" i="20"/>
  <c r="DD125" i="20"/>
  <c r="V125" i="20"/>
  <c r="AJ125" i="20"/>
  <c r="AU125" i="20"/>
  <c r="BG125" i="20"/>
  <c r="BU125" i="20"/>
  <c r="CF125" i="20"/>
  <c r="CQ125" i="20"/>
  <c r="DE125" i="20"/>
  <c r="W125" i="20"/>
  <c r="AK125" i="20"/>
  <c r="AW125" i="20"/>
  <c r="BH125" i="20"/>
  <c r="BV125" i="20"/>
  <c r="CG125" i="20"/>
  <c r="CS125" i="20"/>
  <c r="DF125" i="20"/>
  <c r="AA125" i="20"/>
  <c r="AL125" i="20"/>
  <c r="AX125" i="20"/>
  <c r="BK125" i="20"/>
  <c r="BW125" i="20"/>
  <c r="CH125" i="20"/>
  <c r="CV125" i="20"/>
  <c r="DG125" i="20"/>
  <c r="AB125" i="20"/>
  <c r="AM125" i="20"/>
  <c r="AY125" i="20"/>
  <c r="BM125" i="20"/>
  <c r="BX125" i="20"/>
  <c r="CI125" i="20"/>
  <c r="CW125" i="20"/>
  <c r="DI125" i="20"/>
  <c r="R125" i="20"/>
  <c r="AC125" i="20"/>
  <c r="AO125" i="20"/>
  <c r="BB125" i="20"/>
  <c r="BN125" i="20"/>
  <c r="BY125" i="20"/>
  <c r="CM125" i="20"/>
  <c r="CX125" i="20"/>
  <c r="DJ125" i="20"/>
  <c r="AE125" i="20"/>
  <c r="BO125" i="20"/>
  <c r="CP125" i="20"/>
  <c r="AG125" i="20"/>
  <c r="BP125" i="20"/>
  <c r="CY125" i="20"/>
  <c r="AP125" i="20"/>
  <c r="BQ125" i="20"/>
  <c r="DA125" i="20"/>
  <c r="AS125" i="20"/>
  <c r="BZ125" i="20"/>
  <c r="DB125" i="20"/>
  <c r="U125" i="20"/>
  <c r="CN125" i="20"/>
  <c r="AD125" i="20"/>
  <c r="CO125" i="20"/>
  <c r="AT125" i="20"/>
  <c r="DK125" i="20"/>
  <c r="BC125" i="20"/>
  <c r="BE125" i="20"/>
  <c r="BF125" i="20"/>
  <c r="CD125" i="20"/>
  <c r="CE125" i="20"/>
  <c r="S125" i="20"/>
  <c r="T125" i="20"/>
  <c r="W121" i="20"/>
  <c r="AE121" i="20"/>
  <c r="AM121" i="20"/>
  <c r="AU121" i="20"/>
  <c r="BC121" i="20"/>
  <c r="BK121" i="20"/>
  <c r="BS121" i="20"/>
  <c r="CA121" i="20"/>
  <c r="CI121" i="20"/>
  <c r="X121" i="20"/>
  <c r="AF121" i="20"/>
  <c r="AN121" i="20"/>
  <c r="AV121" i="20"/>
  <c r="BD121" i="20"/>
  <c r="BL121" i="20"/>
  <c r="BT121" i="20"/>
  <c r="CB121" i="20"/>
  <c r="CJ121" i="20"/>
  <c r="CR121" i="20"/>
  <c r="CZ121" i="20"/>
  <c r="DH121" i="20"/>
  <c r="T121" i="20"/>
  <c r="AD121" i="20"/>
  <c r="AP121" i="20"/>
  <c r="AZ121" i="20"/>
  <c r="BJ121" i="20"/>
  <c r="BV121" i="20"/>
  <c r="CF121" i="20"/>
  <c r="CP121" i="20"/>
  <c r="CY121" i="20"/>
  <c r="DI121" i="20"/>
  <c r="Q121" i="20"/>
  <c r="AB121" i="20"/>
  <c r="AO121" i="20"/>
  <c r="BA121" i="20"/>
  <c r="BN121" i="20"/>
  <c r="BY121" i="20"/>
  <c r="CL121" i="20"/>
  <c r="CV121" i="20"/>
  <c r="DF121" i="20"/>
  <c r="R121" i="20"/>
  <c r="AC121" i="20"/>
  <c r="AQ121" i="20"/>
  <c r="BB121" i="20"/>
  <c r="BO121" i="20"/>
  <c r="BZ121" i="20"/>
  <c r="CM121" i="20"/>
  <c r="CW121" i="20"/>
  <c r="DG121" i="20"/>
  <c r="AG121" i="20"/>
  <c r="AT121" i="20"/>
  <c r="BI121" i="20"/>
  <c r="CC121" i="20"/>
  <c r="CQ121" i="20"/>
  <c r="DD121" i="20"/>
  <c r="AH121" i="20"/>
  <c r="AW121" i="20"/>
  <c r="BM121" i="20"/>
  <c r="CD121" i="20"/>
  <c r="CS121" i="20"/>
  <c r="DE121" i="20"/>
  <c r="S121" i="20"/>
  <c r="AI121" i="20"/>
  <c r="AX121" i="20"/>
  <c r="BP121" i="20"/>
  <c r="CE121" i="20"/>
  <c r="CT121" i="20"/>
  <c r="DJ121" i="20"/>
  <c r="U121" i="20"/>
  <c r="AJ121" i="20"/>
  <c r="AY121" i="20"/>
  <c r="BQ121" i="20"/>
  <c r="CG121" i="20"/>
  <c r="CU121" i="20"/>
  <c r="DK121" i="20"/>
  <c r="V121" i="20"/>
  <c r="AK121" i="20"/>
  <c r="BE121" i="20"/>
  <c r="BR121" i="20"/>
  <c r="CH121" i="20"/>
  <c r="CX121" i="20"/>
  <c r="DL121" i="20"/>
  <c r="AL121" i="20"/>
  <c r="BX121" i="20"/>
  <c r="AR121" i="20"/>
  <c r="CK121" i="20"/>
  <c r="AS121" i="20"/>
  <c r="CN121" i="20"/>
  <c r="BF121" i="20"/>
  <c r="CO121" i="20"/>
  <c r="BU121" i="20"/>
  <c r="BW121" i="20"/>
  <c r="DA121" i="20"/>
  <c r="Y121" i="20"/>
  <c r="DB121" i="20"/>
  <c r="Z121" i="20"/>
  <c r="AA121" i="20"/>
  <c r="BG121" i="20"/>
  <c r="BH121" i="20"/>
  <c r="DC121" i="20"/>
  <c r="Q189" i="20"/>
  <c r="Y189" i="20"/>
  <c r="AG189" i="20"/>
  <c r="AO189" i="20"/>
  <c r="AW189" i="20"/>
  <c r="BE189" i="20"/>
  <c r="BM189" i="20"/>
  <c r="BU189" i="20"/>
  <c r="CC189" i="20"/>
  <c r="CK189" i="20"/>
  <c r="CS189" i="20"/>
  <c r="DA189" i="20"/>
  <c r="DI189" i="20"/>
  <c r="R189" i="20"/>
  <c r="Z189" i="20"/>
  <c r="AH189" i="20"/>
  <c r="AP189" i="20"/>
  <c r="AX189" i="20"/>
  <c r="BF189" i="20"/>
  <c r="BN189" i="20"/>
  <c r="BV189" i="20"/>
  <c r="CD189" i="20"/>
  <c r="CL189" i="20"/>
  <c r="CT189" i="20"/>
  <c r="DB189" i="20"/>
  <c r="DJ189" i="20"/>
  <c r="U189" i="20"/>
  <c r="AE189" i="20"/>
  <c r="AQ189" i="20"/>
  <c r="BA189" i="20"/>
  <c r="BK189" i="20"/>
  <c r="BW189" i="20"/>
  <c r="CG189" i="20"/>
  <c r="CQ189" i="20"/>
  <c r="DC189" i="20"/>
  <c r="V189" i="20"/>
  <c r="AF189" i="20"/>
  <c r="AR189" i="20"/>
  <c r="BB189" i="20"/>
  <c r="BL189" i="20"/>
  <c r="BX189" i="20"/>
  <c r="CH189" i="20"/>
  <c r="CR189" i="20"/>
  <c r="DD189" i="20"/>
  <c r="S189" i="20"/>
  <c r="AI189" i="20"/>
  <c r="AU189" i="20"/>
  <c r="BI189" i="20"/>
  <c r="BY189" i="20"/>
  <c r="CM189" i="20"/>
  <c r="CY189" i="20"/>
  <c r="T189" i="20"/>
  <c r="AJ189" i="20"/>
  <c r="AV189" i="20"/>
  <c r="BJ189" i="20"/>
  <c r="BZ189" i="20"/>
  <c r="CN189" i="20"/>
  <c r="CZ189" i="20"/>
  <c r="W189" i="20"/>
  <c r="AK189" i="20"/>
  <c r="AY189" i="20"/>
  <c r="BO189" i="20"/>
  <c r="CA189" i="20"/>
  <c r="CO189" i="20"/>
  <c r="DE189" i="20"/>
  <c r="AA189" i="20"/>
  <c r="AM189" i="20"/>
  <c r="BC189" i="20"/>
  <c r="BQ189" i="20"/>
  <c r="CE189" i="20"/>
  <c r="CU189" i="20"/>
  <c r="DG189" i="20"/>
  <c r="AD189" i="20"/>
  <c r="BH189" i="20"/>
  <c r="CJ189" i="20"/>
  <c r="DL189" i="20"/>
  <c r="AL189" i="20"/>
  <c r="BP189" i="20"/>
  <c r="CP189" i="20"/>
  <c r="AN189" i="20"/>
  <c r="BR189" i="20"/>
  <c r="CV189" i="20"/>
  <c r="AS189" i="20"/>
  <c r="BS189" i="20"/>
  <c r="CW189" i="20"/>
  <c r="AZ189" i="20"/>
  <c r="DF189" i="20"/>
  <c r="BD189" i="20"/>
  <c r="DH189" i="20"/>
  <c r="BT189" i="20"/>
  <c r="CI189" i="20"/>
  <c r="X189" i="20"/>
  <c r="CX189" i="20"/>
  <c r="CF189" i="20"/>
  <c r="CB189" i="20"/>
  <c r="DK189" i="20"/>
  <c r="AB189" i="20"/>
  <c r="AC189" i="20"/>
  <c r="Q89" i="20"/>
  <c r="Y89" i="20"/>
  <c r="AG89" i="20"/>
  <c r="AO89" i="20"/>
  <c r="AW89" i="20"/>
  <c r="BE89" i="20"/>
  <c r="BM89" i="20"/>
  <c r="BU89" i="20"/>
  <c r="CC89" i="20"/>
  <c r="CK89" i="20"/>
  <c r="CS89" i="20"/>
  <c r="DA89" i="20"/>
  <c r="DI89" i="20"/>
  <c r="X89" i="20"/>
  <c r="AH89" i="20"/>
  <c r="AQ89" i="20"/>
  <c r="AZ89" i="20"/>
  <c r="BI89" i="20"/>
  <c r="BR89" i="20"/>
  <c r="CA89" i="20"/>
  <c r="CJ89" i="20"/>
  <c r="CT89" i="20"/>
  <c r="DC89" i="20"/>
  <c r="DL89" i="20"/>
  <c r="Z89" i="20"/>
  <c r="AI89" i="20"/>
  <c r="AR89" i="20"/>
  <c r="BA89" i="20"/>
  <c r="BJ89" i="20"/>
  <c r="BS89" i="20"/>
  <c r="CB89" i="20"/>
  <c r="CL89" i="20"/>
  <c r="CU89" i="20"/>
  <c r="DD89" i="20"/>
  <c r="W89" i="20"/>
  <c r="AK89" i="20"/>
  <c r="AV89" i="20"/>
  <c r="BH89" i="20"/>
  <c r="BV89" i="20"/>
  <c r="CG89" i="20"/>
  <c r="CR89" i="20"/>
  <c r="DF89" i="20"/>
  <c r="R89" i="20"/>
  <c r="AC89" i="20"/>
  <c r="AN89" i="20"/>
  <c r="BB89" i="20"/>
  <c r="BN89" i="20"/>
  <c r="BY89" i="20"/>
  <c r="CM89" i="20"/>
  <c r="CX89" i="20"/>
  <c r="DJ89" i="20"/>
  <c r="S89" i="20"/>
  <c r="AD89" i="20"/>
  <c r="AP89" i="20"/>
  <c r="BC89" i="20"/>
  <c r="BO89" i="20"/>
  <c r="BZ89" i="20"/>
  <c r="CN89" i="20"/>
  <c r="CY89" i="20"/>
  <c r="DK89" i="20"/>
  <c r="AE89" i="20"/>
  <c r="AX89" i="20"/>
  <c r="BQ89" i="20"/>
  <c r="CI89" i="20"/>
  <c r="DE89" i="20"/>
  <c r="AF89" i="20"/>
  <c r="AY89" i="20"/>
  <c r="BT89" i="20"/>
  <c r="CO89" i="20"/>
  <c r="DG89" i="20"/>
  <c r="AJ89" i="20"/>
  <c r="BD89" i="20"/>
  <c r="BW89" i="20"/>
  <c r="CP89" i="20"/>
  <c r="DH89" i="20"/>
  <c r="V89" i="20"/>
  <c r="BF89" i="20"/>
  <c r="CF89" i="20"/>
  <c r="AA89" i="20"/>
  <c r="BG89" i="20"/>
  <c r="CH89" i="20"/>
  <c r="AB89" i="20"/>
  <c r="BK89" i="20"/>
  <c r="CQ89" i="20"/>
  <c r="AL89" i="20"/>
  <c r="BL89" i="20"/>
  <c r="CV89" i="20"/>
  <c r="AM89" i="20"/>
  <c r="BP89" i="20"/>
  <c r="CW89" i="20"/>
  <c r="AU89" i="20"/>
  <c r="BX89" i="20"/>
  <c r="CD89" i="20"/>
  <c r="CE89" i="20"/>
  <c r="T89" i="20"/>
  <c r="CZ89" i="20"/>
  <c r="U89" i="20"/>
  <c r="AS89" i="20"/>
  <c r="AT89" i="20"/>
  <c r="DB89" i="20"/>
  <c r="S302" i="20"/>
  <c r="AA302" i="20"/>
  <c r="AI302" i="20"/>
  <c r="AQ302" i="20"/>
  <c r="AY302" i="20"/>
  <c r="BG302" i="20"/>
  <c r="BO302" i="20"/>
  <c r="BW302" i="20"/>
  <c r="CE302" i="20"/>
  <c r="CM302" i="20"/>
  <c r="CU302" i="20"/>
  <c r="DC302" i="20"/>
  <c r="DK302" i="20"/>
  <c r="T302" i="20"/>
  <c r="AB302" i="20"/>
  <c r="AJ302" i="20"/>
  <c r="AR302" i="20"/>
  <c r="AZ302" i="20"/>
  <c r="BH302" i="20"/>
  <c r="BP302" i="20"/>
  <c r="BX302" i="20"/>
  <c r="CF302" i="20"/>
  <c r="CN302" i="20"/>
  <c r="CV302" i="20"/>
  <c r="DD302" i="20"/>
  <c r="DL302" i="20"/>
  <c r="R302" i="20"/>
  <c r="AD302" i="20"/>
  <c r="AN302" i="20"/>
  <c r="AX302" i="20"/>
  <c r="BJ302" i="20"/>
  <c r="BT302" i="20"/>
  <c r="CD302" i="20"/>
  <c r="CP302" i="20"/>
  <c r="CZ302" i="20"/>
  <c r="DJ302" i="20"/>
  <c r="U302" i="20"/>
  <c r="AE302" i="20"/>
  <c r="AO302" i="20"/>
  <c r="BA302" i="20"/>
  <c r="BK302" i="20"/>
  <c r="BU302" i="20"/>
  <c r="CG302" i="20"/>
  <c r="CQ302" i="20"/>
  <c r="DA302" i="20"/>
  <c r="W302" i="20"/>
  <c r="AG302" i="20"/>
  <c r="AS302" i="20"/>
  <c r="BC302" i="20"/>
  <c r="BM302" i="20"/>
  <c r="BY302" i="20"/>
  <c r="CI302" i="20"/>
  <c r="CS302" i="20"/>
  <c r="DE302" i="20"/>
  <c r="Y302" i="20"/>
  <c r="AP302" i="20"/>
  <c r="BF302" i="20"/>
  <c r="BZ302" i="20"/>
  <c r="CO302" i="20"/>
  <c r="DG302" i="20"/>
  <c r="Z302" i="20"/>
  <c r="AT302" i="20"/>
  <c r="BI302" i="20"/>
  <c r="CA302" i="20"/>
  <c r="CR302" i="20"/>
  <c r="DH302" i="20"/>
  <c r="AC302" i="20"/>
  <c r="AU302" i="20"/>
  <c r="BL302" i="20"/>
  <c r="CB302" i="20"/>
  <c r="CT302" i="20"/>
  <c r="DI302" i="20"/>
  <c r="AF302" i="20"/>
  <c r="AV302" i="20"/>
  <c r="BN302" i="20"/>
  <c r="CC302" i="20"/>
  <c r="CW302" i="20"/>
  <c r="H243" i="20"/>
  <c r="R209" i="20"/>
  <c r="Z209" i="20"/>
  <c r="AH209" i="20"/>
  <c r="AP209" i="20"/>
  <c r="AX209" i="20"/>
  <c r="BF209" i="20"/>
  <c r="BN209" i="20"/>
  <c r="BV209" i="20"/>
  <c r="CD209" i="20"/>
  <c r="CL209" i="20"/>
  <c r="CT209" i="20"/>
  <c r="DB209" i="20"/>
  <c r="DJ209" i="20"/>
  <c r="U209" i="20"/>
  <c r="AD209" i="20"/>
  <c r="AM209" i="20"/>
  <c r="AV209" i="20"/>
  <c r="BE209" i="20"/>
  <c r="BO209" i="20"/>
  <c r="BX209" i="20"/>
  <c r="CG209" i="20"/>
  <c r="CP209" i="20"/>
  <c r="CY209" i="20"/>
  <c r="DH209" i="20"/>
  <c r="V209" i="20"/>
  <c r="AE209" i="20"/>
  <c r="AN209" i="20"/>
  <c r="AW209" i="20"/>
  <c r="BG209" i="20"/>
  <c r="BP209" i="20"/>
  <c r="BY209" i="20"/>
  <c r="CH209" i="20"/>
  <c r="CQ209" i="20"/>
  <c r="CZ209" i="20"/>
  <c r="DI209" i="20"/>
  <c r="X209" i="20"/>
  <c r="AJ209" i="20"/>
  <c r="AU209" i="20"/>
  <c r="BI209" i="20"/>
  <c r="BT209" i="20"/>
  <c r="CF209" i="20"/>
  <c r="CS209" i="20"/>
  <c r="DE209" i="20"/>
  <c r="Y209" i="20"/>
  <c r="AK209" i="20"/>
  <c r="AY209" i="20"/>
  <c r="BJ209" i="20"/>
  <c r="BU209" i="20"/>
  <c r="CI209" i="20"/>
  <c r="CU209" i="20"/>
  <c r="DF209" i="20"/>
  <c r="AB209" i="20"/>
  <c r="AO209" i="20"/>
  <c r="BA209" i="20"/>
  <c r="BL209" i="20"/>
  <c r="BZ209" i="20"/>
  <c r="CK209" i="20"/>
  <c r="CW209" i="20"/>
  <c r="DK209" i="20"/>
  <c r="AC209" i="20"/>
  <c r="AT209" i="20"/>
  <c r="BQ209" i="20"/>
  <c r="CJ209" i="20"/>
  <c r="DC209" i="20"/>
  <c r="AG209" i="20"/>
  <c r="BB209" i="20"/>
  <c r="BS209" i="20"/>
  <c r="CN209" i="20"/>
  <c r="DG209" i="20"/>
  <c r="Q209" i="20"/>
  <c r="AI209" i="20"/>
  <c r="BC209" i="20"/>
  <c r="BW209" i="20"/>
  <c r="CO209" i="20"/>
  <c r="DL209" i="20"/>
  <c r="AR209" i="20"/>
  <c r="CA209" i="20"/>
  <c r="DA209" i="20"/>
  <c r="S209" i="20"/>
  <c r="AS209" i="20"/>
  <c r="CB209" i="20"/>
  <c r="DD209" i="20"/>
  <c r="W209" i="20"/>
  <c r="BD209" i="20"/>
  <c r="CE209" i="20"/>
  <c r="AQ209" i="20"/>
  <c r="CR209" i="20"/>
  <c r="AF209" i="20"/>
  <c r="CC209" i="20"/>
  <c r="BR209" i="20"/>
  <c r="T209" i="20"/>
  <c r="CM209" i="20"/>
  <c r="AA209" i="20"/>
  <c r="CV209" i="20"/>
  <c r="AL209" i="20"/>
  <c r="CX209" i="20"/>
  <c r="AZ209" i="20"/>
  <c r="BH209" i="20"/>
  <c r="U345" i="20"/>
  <c r="AC345" i="20"/>
  <c r="AK345" i="20"/>
  <c r="AS345" i="20"/>
  <c r="BA345" i="20"/>
  <c r="BI345" i="20"/>
  <c r="BQ345" i="20"/>
  <c r="BY345" i="20"/>
  <c r="CG345" i="20"/>
  <c r="CO345" i="20"/>
  <c r="CW345" i="20"/>
  <c r="DE345" i="20"/>
  <c r="W345" i="20"/>
  <c r="AE345" i="20"/>
  <c r="AM345" i="20"/>
  <c r="AU345" i="20"/>
  <c r="BC345" i="20"/>
  <c r="BK345" i="20"/>
  <c r="BS345" i="20"/>
  <c r="CA345" i="20"/>
  <c r="CI345" i="20"/>
  <c r="CQ345" i="20"/>
  <c r="CY345" i="20"/>
  <c r="DG345" i="20"/>
  <c r="X345" i="20"/>
  <c r="AH345" i="20"/>
  <c r="AR345" i="20"/>
  <c r="BD345" i="20"/>
  <c r="BN345" i="20"/>
  <c r="BX345" i="20"/>
  <c r="CJ345" i="20"/>
  <c r="CT345" i="20"/>
  <c r="DD345" i="20"/>
  <c r="Y345" i="20"/>
  <c r="AI345" i="20"/>
  <c r="AT345" i="20"/>
  <c r="BE345" i="20"/>
  <c r="BO345" i="20"/>
  <c r="BZ345" i="20"/>
  <c r="CK345" i="20"/>
  <c r="CU345" i="20"/>
  <c r="DF345" i="20"/>
  <c r="Z345" i="20"/>
  <c r="AJ345" i="20"/>
  <c r="AV345" i="20"/>
  <c r="BF345" i="20"/>
  <c r="BP345" i="20"/>
  <c r="CB345" i="20"/>
  <c r="CL345" i="20"/>
  <c r="CV345" i="20"/>
  <c r="DH345" i="20"/>
  <c r="K87" i="20"/>
  <c r="DF401" i="20"/>
  <c r="CV401" i="20"/>
  <c r="CJ401" i="20"/>
  <c r="BZ401" i="20"/>
  <c r="BP401" i="20"/>
  <c r="BD401" i="20"/>
  <c r="AT401" i="20"/>
  <c r="AJ401" i="20"/>
  <c r="X401" i="20"/>
  <c r="DJ400" i="20"/>
  <c r="CZ400" i="20"/>
  <c r="CN400" i="20"/>
  <c r="CD400" i="20"/>
  <c r="BT400" i="20"/>
  <c r="BH400" i="20"/>
  <c r="AX400" i="20"/>
  <c r="AN400" i="20"/>
  <c r="AB400" i="20"/>
  <c r="R400" i="20"/>
  <c r="DB382" i="20"/>
  <c r="CN382" i="20"/>
  <c r="CB382" i="20"/>
  <c r="BQ382" i="20"/>
  <c r="BC382" i="20"/>
  <c r="AR382" i="20"/>
  <c r="S382" i="20"/>
  <c r="DJ373" i="20"/>
  <c r="CY373" i="20"/>
  <c r="BN373" i="20"/>
  <c r="AO373" i="20"/>
  <c r="DK363" i="20"/>
  <c r="CL363" i="20"/>
  <c r="CA363" i="20"/>
  <c r="BB363" i="20"/>
  <c r="AD363" i="20"/>
  <c r="CW362" i="20"/>
  <c r="BS362" i="20"/>
  <c r="AC362" i="20"/>
  <c r="CX361" i="20"/>
  <c r="BU361" i="20"/>
  <c r="DK359" i="20"/>
  <c r="CD359" i="20"/>
  <c r="AW359" i="20"/>
  <c r="CR358" i="20"/>
  <c r="H13" i="20"/>
  <c r="W250" i="20"/>
  <c r="AE250" i="20"/>
  <c r="AM250" i="20"/>
  <c r="AU250" i="20"/>
  <c r="BC250" i="20"/>
  <c r="BK250" i="20"/>
  <c r="BS250" i="20"/>
  <c r="CA250" i="20"/>
  <c r="CI250" i="20"/>
  <c r="CQ250" i="20"/>
  <c r="CY250" i="20"/>
  <c r="DG250" i="20"/>
  <c r="R250" i="20"/>
  <c r="Z250" i="20"/>
  <c r="AH250" i="20"/>
  <c r="AP250" i="20"/>
  <c r="AX250" i="20"/>
  <c r="BF250" i="20"/>
  <c r="BN250" i="20"/>
  <c r="BV250" i="20"/>
  <c r="CD250" i="20"/>
  <c r="CL250" i="20"/>
  <c r="CT250" i="20"/>
  <c r="DB250" i="20"/>
  <c r="DJ250" i="20"/>
  <c r="Y250" i="20"/>
  <c r="AJ250" i="20"/>
  <c r="AT250" i="20"/>
  <c r="BE250" i="20"/>
  <c r="BP250" i="20"/>
  <c r="BZ250" i="20"/>
  <c r="CK250" i="20"/>
  <c r="CV250" i="20"/>
  <c r="DF250" i="20"/>
  <c r="Q250" i="20"/>
  <c r="AB250" i="20"/>
  <c r="AL250" i="20"/>
  <c r="AW250" i="20"/>
  <c r="BH250" i="20"/>
  <c r="BR250" i="20"/>
  <c r="CC250" i="20"/>
  <c r="CN250" i="20"/>
  <c r="CX250" i="20"/>
  <c r="DI250" i="20"/>
  <c r="S250" i="20"/>
  <c r="AC250" i="20"/>
  <c r="AN250" i="20"/>
  <c r="AY250" i="20"/>
  <c r="BI250" i="20"/>
  <c r="BT250" i="20"/>
  <c r="CE250" i="20"/>
  <c r="CO250" i="20"/>
  <c r="CZ250" i="20"/>
  <c r="DK250" i="20"/>
  <c r="V250" i="20"/>
  <c r="AO250" i="20"/>
  <c r="BD250" i="20"/>
  <c r="BW250" i="20"/>
  <c r="CM250" i="20"/>
  <c r="DD250" i="20"/>
  <c r="X250" i="20"/>
  <c r="AQ250" i="20"/>
  <c r="BG250" i="20"/>
  <c r="BX250" i="20"/>
  <c r="CP250" i="20"/>
  <c r="DE250" i="20"/>
  <c r="AD250" i="20"/>
  <c r="AS250" i="20"/>
  <c r="BL250" i="20"/>
  <c r="CB250" i="20"/>
  <c r="CS250" i="20"/>
  <c r="DL250" i="20"/>
  <c r="T250" i="20"/>
  <c r="AV250" i="20"/>
  <c r="BU250" i="20"/>
  <c r="CW250" i="20"/>
  <c r="U250" i="20"/>
  <c r="AZ250" i="20"/>
  <c r="BY250" i="20"/>
  <c r="DA250" i="20"/>
  <c r="AA250" i="20"/>
  <c r="BA250" i="20"/>
  <c r="CF250" i="20"/>
  <c r="DC250" i="20"/>
  <c r="AF250" i="20"/>
  <c r="BB250" i="20"/>
  <c r="CG250" i="20"/>
  <c r="DH250" i="20"/>
  <c r="AI250" i="20"/>
  <c r="BM250" i="20"/>
  <c r="CJ250" i="20"/>
  <c r="AN407" i="20"/>
  <c r="AD407" i="20"/>
  <c r="T407" i="20"/>
  <c r="DD401" i="20"/>
  <c r="BX401" i="20"/>
  <c r="AF401" i="20"/>
  <c r="CV400" i="20"/>
  <c r="CB400" i="20"/>
  <c r="DD398" i="20"/>
  <c r="CT398" i="20"/>
  <c r="CJ398" i="20"/>
  <c r="BX398" i="20"/>
  <c r="BN398" i="20"/>
  <c r="BD398" i="20"/>
  <c r="AR398" i="20"/>
  <c r="AH398" i="20"/>
  <c r="X398" i="20"/>
  <c r="DL396" i="20"/>
  <c r="DB396" i="20"/>
  <c r="CR396" i="20"/>
  <c r="CF396" i="20"/>
  <c r="BV396" i="20"/>
  <c r="BL396" i="20"/>
  <c r="AZ396" i="20"/>
  <c r="AP396" i="20"/>
  <c r="AF396" i="20"/>
  <c r="DJ394" i="20"/>
  <c r="CZ394" i="20"/>
  <c r="CN394" i="20"/>
  <c r="CD394" i="20"/>
  <c r="BT394" i="20"/>
  <c r="BH394" i="20"/>
  <c r="AX394" i="20"/>
  <c r="AN394" i="20"/>
  <c r="AB394" i="20"/>
  <c r="DL391" i="20"/>
  <c r="CZ391" i="20"/>
  <c r="CP391" i="20"/>
  <c r="CF391" i="20"/>
  <c r="BT391" i="20"/>
  <c r="BJ391" i="20"/>
  <c r="AZ391" i="20"/>
  <c r="AN391" i="20"/>
  <c r="AD391" i="20"/>
  <c r="S391" i="20"/>
  <c r="CY386" i="20"/>
  <c r="CN386" i="20"/>
  <c r="CB386" i="20"/>
  <c r="BO386" i="20"/>
  <c r="BC386" i="20"/>
  <c r="AR386" i="20"/>
  <c r="AD386" i="20"/>
  <c r="S386" i="20"/>
  <c r="DE384" i="20"/>
  <c r="CT384" i="20"/>
  <c r="CF384" i="20"/>
  <c r="BT384" i="20"/>
  <c r="BI384" i="20"/>
  <c r="AU384" i="20"/>
  <c r="AJ384" i="20"/>
  <c r="DG383" i="20"/>
  <c r="CU383" i="20"/>
  <c r="CJ383" i="20"/>
  <c r="BV383" i="20"/>
  <c r="BK383" i="20"/>
  <c r="AY383" i="20"/>
  <c r="AL383" i="20"/>
  <c r="DK382" i="20"/>
  <c r="CW382" i="20"/>
  <c r="CL382" i="20"/>
  <c r="BZ382" i="20"/>
  <c r="BL382" i="20"/>
  <c r="BA382" i="20"/>
  <c r="AP382" i="20"/>
  <c r="DD379" i="20"/>
  <c r="CS379" i="20"/>
  <c r="CH379" i="20"/>
  <c r="BT379" i="20"/>
  <c r="BH379" i="20"/>
  <c r="AW379" i="20"/>
  <c r="AI379" i="20"/>
  <c r="DH373" i="20"/>
  <c r="CV373" i="20"/>
  <c r="CI373" i="20"/>
  <c r="BW373" i="20"/>
  <c r="BL373" i="20"/>
  <c r="AX373" i="20"/>
  <c r="AM373" i="20"/>
  <c r="AA373" i="20"/>
  <c r="DG368" i="20"/>
  <c r="CV368" i="20"/>
  <c r="CJ368" i="20"/>
  <c r="BW368" i="20"/>
  <c r="BK368" i="20"/>
  <c r="AZ368" i="20"/>
  <c r="AL368" i="20"/>
  <c r="DI363" i="20"/>
  <c r="CU363" i="20"/>
  <c r="CJ363" i="20"/>
  <c r="BX363" i="20"/>
  <c r="BK363" i="20"/>
  <c r="AY363" i="20"/>
  <c r="AN363" i="20"/>
  <c r="Y363" i="20"/>
  <c r="DG362" i="20"/>
  <c r="CT362" i="20"/>
  <c r="CD362" i="20"/>
  <c r="BQ362" i="20"/>
  <c r="BC362" i="20"/>
  <c r="AM362" i="20"/>
  <c r="Z362" i="20"/>
  <c r="DI361" i="20"/>
  <c r="CS361" i="20"/>
  <c r="CE361" i="20"/>
  <c r="BR361" i="20"/>
  <c r="BB361" i="20"/>
  <c r="AO361" i="20"/>
  <c r="AA361" i="20"/>
  <c r="DI359" i="20"/>
  <c r="CP359" i="20"/>
  <c r="CB359" i="20"/>
  <c r="BH359" i="20"/>
  <c r="AT359" i="20"/>
  <c r="AA359" i="20"/>
  <c r="DE358" i="20"/>
  <c r="CP358" i="20"/>
  <c r="BX358" i="20"/>
  <c r="BI358" i="20"/>
  <c r="AP358" i="20"/>
  <c r="W358" i="20"/>
  <c r="DD357" i="20"/>
  <c r="CL357" i="20"/>
  <c r="BW357" i="20"/>
  <c r="BE357" i="20"/>
  <c r="AL357" i="20"/>
  <c r="X357" i="20"/>
  <c r="CW354" i="20"/>
  <c r="BP354" i="20"/>
  <c r="DK351" i="20"/>
  <c r="CV351" i="20"/>
  <c r="CD351" i="20"/>
  <c r="BO351" i="20"/>
  <c r="AW351" i="20"/>
  <c r="AD351" i="20"/>
  <c r="DL350" i="20"/>
  <c r="CR350" i="20"/>
  <c r="CD350" i="20"/>
  <c r="BK350" i="20"/>
  <c r="AS350" i="20"/>
  <c r="AD350" i="20"/>
  <c r="DG348" i="20"/>
  <c r="CO348" i="20"/>
  <c r="BV348" i="20"/>
  <c r="BH348" i="20"/>
  <c r="AN348" i="20"/>
  <c r="Z348" i="20"/>
  <c r="DC347" i="20"/>
  <c r="CK347" i="20"/>
  <c r="BV347" i="20"/>
  <c r="BD347" i="20"/>
  <c r="AO347" i="20"/>
  <c r="V347" i="20"/>
  <c r="CZ345" i="20"/>
  <c r="CF345" i="20"/>
  <c r="BR345" i="20"/>
  <c r="AY345" i="20"/>
  <c r="AG345" i="20"/>
  <c r="R345" i="20"/>
  <c r="DJ343" i="20"/>
  <c r="CU343" i="20"/>
  <c r="CC343" i="20"/>
  <c r="BJ343" i="20"/>
  <c r="AV343" i="20"/>
  <c r="DJ342" i="20"/>
  <c r="CQ342" i="20"/>
  <c r="BY342" i="20"/>
  <c r="BJ342" i="20"/>
  <c r="AR342" i="20"/>
  <c r="AC342" i="20"/>
  <c r="CI336" i="20"/>
  <c r="BB336" i="20"/>
  <c r="U336" i="20"/>
  <c r="CY334" i="20"/>
  <c r="CG334" i="20"/>
  <c r="BN334" i="20"/>
  <c r="AZ334" i="20"/>
  <c r="AF334" i="20"/>
  <c r="CU333" i="20"/>
  <c r="CC333" i="20"/>
  <c r="BN333" i="20"/>
  <c r="AV333" i="20"/>
  <c r="AG333" i="20"/>
  <c r="DF331" i="20"/>
  <c r="CR331" i="20"/>
  <c r="BX331" i="20"/>
  <c r="BJ331" i="20"/>
  <c r="AQ331" i="20"/>
  <c r="Y331" i="20"/>
  <c r="CA326" i="20"/>
  <c r="BB326" i="20"/>
  <c r="DG310" i="20"/>
  <c r="CJ310" i="20"/>
  <c r="BE310" i="20"/>
  <c r="Z310" i="20"/>
  <c r="CI308" i="20"/>
  <c r="BB308" i="20"/>
  <c r="R308" i="20"/>
  <c r="DH306" i="20"/>
  <c r="BY306" i="20"/>
  <c r="AP306" i="20"/>
  <c r="CO304" i="20"/>
  <c r="BF304" i="20"/>
  <c r="X304" i="20"/>
  <c r="CK303" i="20"/>
  <c r="BB303" i="20"/>
  <c r="U303" i="20"/>
  <c r="CJ302" i="20"/>
  <c r="BB302" i="20"/>
  <c r="Q302" i="20"/>
  <c r="CZ300" i="20"/>
  <c r="BQ300" i="20"/>
  <c r="AH300" i="20"/>
  <c r="CW299" i="20"/>
  <c r="BP299" i="20"/>
  <c r="AH299" i="20"/>
  <c r="CS298" i="20"/>
  <c r="BL298" i="20"/>
  <c r="AE298" i="20"/>
  <c r="CP296" i="20"/>
  <c r="BI296" i="20"/>
  <c r="Z296" i="20"/>
  <c r="DD294" i="20"/>
  <c r="BN294" i="20"/>
  <c r="CO292" i="20"/>
  <c r="BD292" i="20"/>
  <c r="R292" i="20"/>
  <c r="CA291" i="20"/>
  <c r="AK291" i="20"/>
  <c r="CJ287" i="20"/>
  <c r="AV287" i="20"/>
  <c r="DD286" i="20"/>
  <c r="BR286" i="20"/>
  <c r="DJ284" i="20"/>
  <c r="BX284" i="20"/>
  <c r="AL284" i="20"/>
  <c r="CL279" i="20"/>
  <c r="CP277" i="20"/>
  <c r="BD277" i="20"/>
  <c r="R277" i="20"/>
  <c r="CV275" i="20"/>
  <c r="BJ275" i="20"/>
  <c r="X275" i="20"/>
  <c r="DA273" i="20"/>
  <c r="BP273" i="20"/>
  <c r="CQ271" i="20"/>
  <c r="BB271" i="20"/>
  <c r="BO266" i="20"/>
  <c r="U266" i="20"/>
  <c r="BU264" i="20"/>
  <c r="AA264" i="20"/>
  <c r="CN261" i="20"/>
  <c r="AK261" i="20"/>
  <c r="CD260" i="20"/>
  <c r="AC260" i="20"/>
  <c r="BJ259" i="20"/>
  <c r="CT258" i="20"/>
  <c r="AP258" i="20"/>
  <c r="BZ257" i="20"/>
  <c r="CU256" i="20"/>
  <c r="BH255" i="20"/>
  <c r="AK250" i="20"/>
  <c r="BH249" i="20"/>
  <c r="DE246" i="20"/>
  <c r="CH245" i="20"/>
  <c r="AI243" i="20"/>
  <c r="DD241" i="20"/>
  <c r="CG240" i="20"/>
  <c r="BH239" i="20"/>
  <c r="CO236" i="20"/>
  <c r="DK234" i="20"/>
  <c r="AV233" i="20"/>
  <c r="BA227" i="20"/>
  <c r="BW225" i="20"/>
  <c r="CK219" i="20"/>
  <c r="BH216" i="20"/>
  <c r="CV211" i="20"/>
  <c r="CC199" i="20"/>
  <c r="AC193" i="20"/>
  <c r="BG189" i="20"/>
  <c r="K246" i="20"/>
  <c r="H246" i="20"/>
  <c r="K297" i="20"/>
  <c r="H297" i="20"/>
  <c r="K209" i="20"/>
  <c r="H209" i="20"/>
  <c r="AM350" i="20"/>
  <c r="BV303" i="20"/>
  <c r="U416" i="20"/>
  <c r="AC416" i="20"/>
  <c r="AK416" i="20"/>
  <c r="AS416" i="20"/>
  <c r="BA416" i="20"/>
  <c r="BI416" i="20"/>
  <c r="BQ416" i="20"/>
  <c r="BY416" i="20"/>
  <c r="CG416" i="20"/>
  <c r="CO416" i="20"/>
  <c r="CW416" i="20"/>
  <c r="DE416" i="20"/>
  <c r="W416" i="20"/>
  <c r="AE416" i="20"/>
  <c r="AM416" i="20"/>
  <c r="AU416" i="20"/>
  <c r="BC416" i="20"/>
  <c r="BK416" i="20"/>
  <c r="BS416" i="20"/>
  <c r="CA416" i="20"/>
  <c r="CI416" i="20"/>
  <c r="CQ416" i="20"/>
  <c r="CY416" i="20"/>
  <c r="DG416" i="20"/>
  <c r="Q382" i="20"/>
  <c r="Y382" i="20"/>
  <c r="AG382" i="20"/>
  <c r="AO382" i="20"/>
  <c r="AW382" i="20"/>
  <c r="BE382" i="20"/>
  <c r="BM382" i="20"/>
  <c r="BU382" i="20"/>
  <c r="CC382" i="20"/>
  <c r="CK382" i="20"/>
  <c r="CS382" i="20"/>
  <c r="DA382" i="20"/>
  <c r="DI382" i="20"/>
  <c r="T382" i="20"/>
  <c r="AC382" i="20"/>
  <c r="AL382" i="20"/>
  <c r="AU382" i="20"/>
  <c r="BD382" i="20"/>
  <c r="BN382" i="20"/>
  <c r="BW382" i="20"/>
  <c r="CF382" i="20"/>
  <c r="CO382" i="20"/>
  <c r="CX382" i="20"/>
  <c r="DG382" i="20"/>
  <c r="V382" i="20"/>
  <c r="AE382" i="20"/>
  <c r="AN382" i="20"/>
  <c r="AX382" i="20"/>
  <c r="BG382" i="20"/>
  <c r="BP382" i="20"/>
  <c r="BY382" i="20"/>
  <c r="CH382" i="20"/>
  <c r="CQ382" i="20"/>
  <c r="CZ382" i="20"/>
  <c r="DJ382" i="20"/>
  <c r="U400" i="20"/>
  <c r="AC400" i="20"/>
  <c r="AK400" i="20"/>
  <c r="AS400" i="20"/>
  <c r="BA400" i="20"/>
  <c r="BI400" i="20"/>
  <c r="BQ400" i="20"/>
  <c r="BY400" i="20"/>
  <c r="CG400" i="20"/>
  <c r="CO400" i="20"/>
  <c r="CW400" i="20"/>
  <c r="DE400" i="20"/>
  <c r="W400" i="20"/>
  <c r="AE400" i="20"/>
  <c r="AM400" i="20"/>
  <c r="AU400" i="20"/>
  <c r="BC400" i="20"/>
  <c r="BK400" i="20"/>
  <c r="BS400" i="20"/>
  <c r="CA400" i="20"/>
  <c r="CI400" i="20"/>
  <c r="CQ400" i="20"/>
  <c r="CY400" i="20"/>
  <c r="DG400" i="20"/>
  <c r="W55" i="20"/>
  <c r="AE55" i="20"/>
  <c r="AM55" i="20"/>
  <c r="AU55" i="20"/>
  <c r="BC55" i="20"/>
  <c r="BK55" i="20"/>
  <c r="BS55" i="20"/>
  <c r="CA55" i="20"/>
  <c r="CI55" i="20"/>
  <c r="CQ55" i="20"/>
  <c r="CY55" i="20"/>
  <c r="DG55" i="20"/>
  <c r="R55" i="20"/>
  <c r="AA55" i="20"/>
  <c r="AJ55" i="20"/>
  <c r="AS55" i="20"/>
  <c r="BB55" i="20"/>
  <c r="BL55" i="20"/>
  <c r="BU55" i="20"/>
  <c r="CD55" i="20"/>
  <c r="CM55" i="20"/>
  <c r="CV55" i="20"/>
  <c r="DE55" i="20"/>
  <c r="S55" i="20"/>
  <c r="AB55" i="20"/>
  <c r="AK55" i="20"/>
  <c r="AT55" i="20"/>
  <c r="BD55" i="20"/>
  <c r="BM55" i="20"/>
  <c r="BV55" i="20"/>
  <c r="CE55" i="20"/>
  <c r="CN55" i="20"/>
  <c r="CW55" i="20"/>
  <c r="DF55" i="20"/>
  <c r="T55" i="20"/>
  <c r="AC55" i="20"/>
  <c r="AL55" i="20"/>
  <c r="AV55" i="20"/>
  <c r="BE55" i="20"/>
  <c r="BN55" i="20"/>
  <c r="BW55" i="20"/>
  <c r="CF55" i="20"/>
  <c r="CO55" i="20"/>
  <c r="CX55" i="20"/>
  <c r="DH55" i="20"/>
  <c r="U55" i="20"/>
  <c r="AD55" i="20"/>
  <c r="AN55" i="20"/>
  <c r="AW55" i="20"/>
  <c r="BF55" i="20"/>
  <c r="BO55" i="20"/>
  <c r="BX55" i="20"/>
  <c r="CG55" i="20"/>
  <c r="CP55" i="20"/>
  <c r="CZ55" i="20"/>
  <c r="DI55" i="20"/>
  <c r="V55" i="20"/>
  <c r="AO55" i="20"/>
  <c r="BG55" i="20"/>
  <c r="BY55" i="20"/>
  <c r="CR55" i="20"/>
  <c r="DJ55" i="20"/>
  <c r="X55" i="20"/>
  <c r="AP55" i="20"/>
  <c r="BH55" i="20"/>
  <c r="BZ55" i="20"/>
  <c r="CS55" i="20"/>
  <c r="DK55" i="20"/>
  <c r="Y55" i="20"/>
  <c r="AQ55" i="20"/>
  <c r="BI55" i="20"/>
  <c r="CB55" i="20"/>
  <c r="CT55" i="20"/>
  <c r="DL55" i="20"/>
  <c r="Z55" i="20"/>
  <c r="AR55" i="20"/>
  <c r="BJ55" i="20"/>
  <c r="CC55" i="20"/>
  <c r="CU55" i="20"/>
  <c r="AF55" i="20"/>
  <c r="AX55" i="20"/>
  <c r="BP55" i="20"/>
  <c r="CH55" i="20"/>
  <c r="DA55" i="20"/>
  <c r="AG55" i="20"/>
  <c r="BT55" i="20"/>
  <c r="AH55" i="20"/>
  <c r="CJ55" i="20"/>
  <c r="AI55" i="20"/>
  <c r="CK55" i="20"/>
  <c r="AY55" i="20"/>
  <c r="CL55" i="20"/>
  <c r="AZ55" i="20"/>
  <c r="BA55" i="20"/>
  <c r="BQ55" i="20"/>
  <c r="DB55" i="20"/>
  <c r="DC55" i="20"/>
  <c r="Q55" i="20"/>
  <c r="BR55" i="20"/>
  <c r="DD55" i="20"/>
  <c r="S273" i="20"/>
  <c r="AA273" i="20"/>
  <c r="AI273" i="20"/>
  <c r="AQ273" i="20"/>
  <c r="AY273" i="20"/>
  <c r="BG273" i="20"/>
  <c r="BO273" i="20"/>
  <c r="BW273" i="20"/>
  <c r="CE273" i="20"/>
  <c r="CM273" i="20"/>
  <c r="CU273" i="20"/>
  <c r="DC273" i="20"/>
  <c r="DK273" i="20"/>
  <c r="T273" i="20"/>
  <c r="AC273" i="20"/>
  <c r="AL273" i="20"/>
  <c r="AU273" i="20"/>
  <c r="BD273" i="20"/>
  <c r="BM273" i="20"/>
  <c r="BV273" i="20"/>
  <c r="CF273" i="20"/>
  <c r="CO273" i="20"/>
  <c r="CX273" i="20"/>
  <c r="DG273" i="20"/>
  <c r="U273" i="20"/>
  <c r="AD273" i="20"/>
  <c r="AM273" i="20"/>
  <c r="AV273" i="20"/>
  <c r="BE273" i="20"/>
  <c r="BN273" i="20"/>
  <c r="BX273" i="20"/>
  <c r="CG273" i="20"/>
  <c r="CP273" i="20"/>
  <c r="CY273" i="20"/>
  <c r="DH273" i="20"/>
  <c r="W273" i="20"/>
  <c r="AH273" i="20"/>
  <c r="AT273" i="20"/>
  <c r="BH273" i="20"/>
  <c r="BS273" i="20"/>
  <c r="CD273" i="20"/>
  <c r="CR273" i="20"/>
  <c r="DD273" i="20"/>
  <c r="X273" i="20"/>
  <c r="AJ273" i="20"/>
  <c r="AW273" i="20"/>
  <c r="BI273" i="20"/>
  <c r="BT273" i="20"/>
  <c r="CH273" i="20"/>
  <c r="CS273" i="20"/>
  <c r="DE273" i="20"/>
  <c r="Z273" i="20"/>
  <c r="AN273" i="20"/>
  <c r="AZ273" i="20"/>
  <c r="BK273" i="20"/>
  <c r="BY273" i="20"/>
  <c r="CJ273" i="20"/>
  <c r="CV273" i="20"/>
  <c r="DI273" i="20"/>
  <c r="AF273" i="20"/>
  <c r="BA273" i="20"/>
  <c r="BR273" i="20"/>
  <c r="CL273" i="20"/>
  <c r="DF273" i="20"/>
  <c r="AG273" i="20"/>
  <c r="BB273" i="20"/>
  <c r="BU273" i="20"/>
  <c r="CN273" i="20"/>
  <c r="DJ273" i="20"/>
  <c r="Q273" i="20"/>
  <c r="AK273" i="20"/>
  <c r="BC273" i="20"/>
  <c r="BZ273" i="20"/>
  <c r="CQ273" i="20"/>
  <c r="DL273" i="20"/>
  <c r="R273" i="20"/>
  <c r="AO273" i="20"/>
  <c r="BF273" i="20"/>
  <c r="CA273" i="20"/>
  <c r="CT273" i="20"/>
  <c r="CL401" i="20"/>
  <c r="BQ401" i="20"/>
  <c r="AK401" i="20"/>
  <c r="DA400" i="20"/>
  <c r="BJ400" i="20"/>
  <c r="DE391" i="20"/>
  <c r="CI391" i="20"/>
  <c r="BN391" i="20"/>
  <c r="AF363" i="20"/>
  <c r="CX359" i="20"/>
  <c r="AX359" i="20"/>
  <c r="DE354" i="20"/>
  <c r="CL354" i="20"/>
  <c r="BS354" i="20"/>
  <c r="BD354" i="20"/>
  <c r="AL354" i="20"/>
  <c r="W354" i="20"/>
  <c r="CH350" i="20"/>
  <c r="BS350" i="20"/>
  <c r="BA350" i="20"/>
  <c r="AH350" i="20"/>
  <c r="DL348" i="20"/>
  <c r="CD348" i="20"/>
  <c r="DK347" i="20"/>
  <c r="DF336" i="20"/>
  <c r="CQ336" i="20"/>
  <c r="BY336" i="20"/>
  <c r="BF336" i="20"/>
  <c r="AR336" i="20"/>
  <c r="X336" i="20"/>
  <c r="CK333" i="20"/>
  <c r="CT313" i="20"/>
  <c r="BO313" i="20"/>
  <c r="AR313" i="20"/>
  <c r="BN308" i="20"/>
  <c r="CN284" i="20"/>
  <c r="AZ284" i="20"/>
  <c r="CC273" i="20"/>
  <c r="AR273" i="20"/>
  <c r="CG266" i="20"/>
  <c r="W294" i="20"/>
  <c r="AE294" i="20"/>
  <c r="AM294" i="20"/>
  <c r="AU294" i="20"/>
  <c r="BC294" i="20"/>
  <c r="BK294" i="20"/>
  <c r="BS294" i="20"/>
  <c r="CA294" i="20"/>
  <c r="CI294" i="20"/>
  <c r="CQ294" i="20"/>
  <c r="CY294" i="20"/>
  <c r="DG294" i="20"/>
  <c r="V294" i="20"/>
  <c r="AF294" i="20"/>
  <c r="AO294" i="20"/>
  <c r="AX294" i="20"/>
  <c r="BG294" i="20"/>
  <c r="BP294" i="20"/>
  <c r="BY294" i="20"/>
  <c r="CH294" i="20"/>
  <c r="CR294" i="20"/>
  <c r="DA294" i="20"/>
  <c r="DJ294" i="20"/>
  <c r="X294" i="20"/>
  <c r="AG294" i="20"/>
  <c r="AP294" i="20"/>
  <c r="AY294" i="20"/>
  <c r="BH294" i="20"/>
  <c r="BQ294" i="20"/>
  <c r="BZ294" i="20"/>
  <c r="CJ294" i="20"/>
  <c r="CS294" i="20"/>
  <c r="DB294" i="20"/>
  <c r="DK294" i="20"/>
  <c r="S294" i="20"/>
  <c r="AD294" i="20"/>
  <c r="AR294" i="20"/>
  <c r="BD294" i="20"/>
  <c r="BO294" i="20"/>
  <c r="CC294" i="20"/>
  <c r="CN294" i="20"/>
  <c r="CZ294" i="20"/>
  <c r="T294" i="20"/>
  <c r="AH294" i="20"/>
  <c r="AS294" i="20"/>
  <c r="BE294" i="20"/>
  <c r="BR294" i="20"/>
  <c r="CD294" i="20"/>
  <c r="CO294" i="20"/>
  <c r="DC294" i="20"/>
  <c r="Y294" i="20"/>
  <c r="AJ294" i="20"/>
  <c r="AV294" i="20"/>
  <c r="BI294" i="20"/>
  <c r="BU294" i="20"/>
  <c r="CF294" i="20"/>
  <c r="CT294" i="20"/>
  <c r="DE294" i="20"/>
  <c r="R294" i="20"/>
  <c r="AL294" i="20"/>
  <c r="BF294" i="20"/>
  <c r="BX294" i="20"/>
  <c r="CU294" i="20"/>
  <c r="DL294" i="20"/>
  <c r="U294" i="20"/>
  <c r="AN294" i="20"/>
  <c r="BJ294" i="20"/>
  <c r="CB294" i="20"/>
  <c r="CV294" i="20"/>
  <c r="Z294" i="20"/>
  <c r="AQ294" i="20"/>
  <c r="BL294" i="20"/>
  <c r="CE294" i="20"/>
  <c r="CW294" i="20"/>
  <c r="AA294" i="20"/>
  <c r="AT294" i="20"/>
  <c r="BM294" i="20"/>
  <c r="CG294" i="20"/>
  <c r="CX294" i="20"/>
  <c r="R9" i="20"/>
  <c r="Z9" i="20"/>
  <c r="AH9" i="20"/>
  <c r="AP9" i="20"/>
  <c r="AX9" i="20"/>
  <c r="BF9" i="20"/>
  <c r="BN9" i="20"/>
  <c r="BV9" i="20"/>
  <c r="CD9" i="20"/>
  <c r="CL9" i="20"/>
  <c r="S9" i="20"/>
  <c r="AB9" i="20"/>
  <c r="AK9" i="20"/>
  <c r="AT9" i="20"/>
  <c r="BC9" i="20"/>
  <c r="BL9" i="20"/>
  <c r="BU9" i="20"/>
  <c r="CE9" i="20"/>
  <c r="CN9" i="20"/>
  <c r="CV9" i="20"/>
  <c r="DD9" i="20"/>
  <c r="DL9" i="20"/>
  <c r="T9" i="20"/>
  <c r="AC9" i="20"/>
  <c r="AL9" i="20"/>
  <c r="AU9" i="20"/>
  <c r="BD9" i="20"/>
  <c r="BM9" i="20"/>
  <c r="BW9" i="20"/>
  <c r="CF9" i="20"/>
  <c r="CO9" i="20"/>
  <c r="CW9" i="20"/>
  <c r="DE9" i="20"/>
  <c r="U9" i="20"/>
  <c r="AD9" i="20"/>
  <c r="AM9" i="20"/>
  <c r="AV9" i="20"/>
  <c r="BE9" i="20"/>
  <c r="BO9" i="20"/>
  <c r="BX9" i="20"/>
  <c r="CG9" i="20"/>
  <c r="CP9" i="20"/>
  <c r="CX9" i="20"/>
  <c r="DF9" i="20"/>
  <c r="Y9" i="20"/>
  <c r="AO9" i="20"/>
  <c r="BB9" i="20"/>
  <c r="BR9" i="20"/>
  <c r="CH9" i="20"/>
  <c r="CT9" i="20"/>
  <c r="DH9" i="20"/>
  <c r="AA9" i="20"/>
  <c r="AQ9" i="20"/>
  <c r="BG9" i="20"/>
  <c r="BS9" i="20"/>
  <c r="CI9" i="20"/>
  <c r="CU9" i="20"/>
  <c r="DI9" i="20"/>
  <c r="AE9" i="20"/>
  <c r="AR9" i="20"/>
  <c r="BH9" i="20"/>
  <c r="BT9" i="20"/>
  <c r="CJ9" i="20"/>
  <c r="CY9" i="20"/>
  <c r="DJ9" i="20"/>
  <c r="V9" i="20"/>
  <c r="AS9" i="20"/>
  <c r="BP9" i="20"/>
  <c r="CM9" i="20"/>
  <c r="DG9" i="20"/>
  <c r="W9" i="20"/>
  <c r="AW9" i="20"/>
  <c r="BQ9" i="20"/>
  <c r="CQ9" i="20"/>
  <c r="DK9" i="20"/>
  <c r="X9" i="20"/>
  <c r="AY9" i="20"/>
  <c r="BY9" i="20"/>
  <c r="CR9" i="20"/>
  <c r="AN9" i="20"/>
  <c r="CB9" i="20"/>
  <c r="AZ9" i="20"/>
  <c r="CC9" i="20"/>
  <c r="BA9" i="20"/>
  <c r="CK9" i="20"/>
  <c r="Q9" i="20"/>
  <c r="BI9" i="20"/>
  <c r="CS9" i="20"/>
  <c r="BK9" i="20"/>
  <c r="BZ9" i="20"/>
  <c r="AF9" i="20"/>
  <c r="CZ9" i="20"/>
  <c r="DA9" i="20"/>
  <c r="DB9" i="20"/>
  <c r="BJ9" i="20"/>
  <c r="AG9" i="20"/>
  <c r="AI9" i="20"/>
  <c r="AJ9" i="20"/>
  <c r="CA9" i="20"/>
  <c r="DC9" i="20"/>
  <c r="Q183" i="20"/>
  <c r="Y183" i="20"/>
  <c r="AG183" i="20"/>
  <c r="AO183" i="20"/>
  <c r="AW183" i="20"/>
  <c r="BE183" i="20"/>
  <c r="BM183" i="20"/>
  <c r="BU183" i="20"/>
  <c r="CC183" i="20"/>
  <c r="CK183" i="20"/>
  <c r="CS183" i="20"/>
  <c r="DA183" i="20"/>
  <c r="DI183" i="20"/>
  <c r="R183" i="20"/>
  <c r="Z183" i="20"/>
  <c r="AH183" i="20"/>
  <c r="AP183" i="20"/>
  <c r="AX183" i="20"/>
  <c r="BF183" i="20"/>
  <c r="BN183" i="20"/>
  <c r="BV183" i="20"/>
  <c r="CD183" i="20"/>
  <c r="CL183" i="20"/>
  <c r="CT183" i="20"/>
  <c r="DB183" i="20"/>
  <c r="DJ183" i="20"/>
  <c r="W183" i="20"/>
  <c r="AI183" i="20"/>
  <c r="AS183" i="20"/>
  <c r="BC183" i="20"/>
  <c r="BO183" i="20"/>
  <c r="BY183" i="20"/>
  <c r="CI183" i="20"/>
  <c r="CU183" i="20"/>
  <c r="DE183" i="20"/>
  <c r="X183" i="20"/>
  <c r="AJ183" i="20"/>
  <c r="AT183" i="20"/>
  <c r="BD183" i="20"/>
  <c r="BP183" i="20"/>
  <c r="BZ183" i="20"/>
  <c r="CJ183" i="20"/>
  <c r="CV183" i="20"/>
  <c r="DF183" i="20"/>
  <c r="U183" i="20"/>
  <c r="AK183" i="20"/>
  <c r="AY183" i="20"/>
  <c r="BK183" i="20"/>
  <c r="CA183" i="20"/>
  <c r="CO183" i="20"/>
  <c r="DC183" i="20"/>
  <c r="V183" i="20"/>
  <c r="AL183" i="20"/>
  <c r="AZ183" i="20"/>
  <c r="BL183" i="20"/>
  <c r="CB183" i="20"/>
  <c r="CP183" i="20"/>
  <c r="DD183" i="20"/>
  <c r="AA183" i="20"/>
  <c r="AM183" i="20"/>
  <c r="BA183" i="20"/>
  <c r="BQ183" i="20"/>
  <c r="CE183" i="20"/>
  <c r="CQ183" i="20"/>
  <c r="DG183" i="20"/>
  <c r="AC183" i="20"/>
  <c r="AQ183" i="20"/>
  <c r="BG183" i="20"/>
  <c r="BS183" i="20"/>
  <c r="CG183" i="20"/>
  <c r="CW183" i="20"/>
  <c r="DK183" i="20"/>
  <c r="AF183" i="20"/>
  <c r="BJ183" i="20"/>
  <c r="CN183" i="20"/>
  <c r="AN183" i="20"/>
  <c r="BR183" i="20"/>
  <c r="CR183" i="20"/>
  <c r="AR183" i="20"/>
  <c r="BT183" i="20"/>
  <c r="CX183" i="20"/>
  <c r="S183" i="20"/>
  <c r="AU183" i="20"/>
  <c r="BW183" i="20"/>
  <c r="CY183" i="20"/>
  <c r="AB183" i="20"/>
  <c r="CF183" i="20"/>
  <c r="AD183" i="20"/>
  <c r="CH183" i="20"/>
  <c r="AE183" i="20"/>
  <c r="CM183" i="20"/>
  <c r="AV183" i="20"/>
  <c r="CZ183" i="20"/>
  <c r="DH183" i="20"/>
  <c r="DL183" i="20"/>
  <c r="BX183" i="20"/>
  <c r="BB183" i="20"/>
  <c r="BH183" i="20"/>
  <c r="BI183" i="20"/>
  <c r="W73" i="20"/>
  <c r="AE73" i="20"/>
  <c r="AM73" i="20"/>
  <c r="AU73" i="20"/>
  <c r="BC73" i="20"/>
  <c r="BK73" i="20"/>
  <c r="BS73" i="20"/>
  <c r="CA73" i="20"/>
  <c r="CI73" i="20"/>
  <c r="CQ73" i="20"/>
  <c r="CY73" i="20"/>
  <c r="DG73" i="20"/>
  <c r="S73" i="20"/>
  <c r="AB73" i="20"/>
  <c r="AK73" i="20"/>
  <c r="AT73" i="20"/>
  <c r="BD73" i="20"/>
  <c r="BM73" i="20"/>
  <c r="BV73" i="20"/>
  <c r="CE73" i="20"/>
  <c r="CN73" i="20"/>
  <c r="Q73" i="20"/>
  <c r="AA73" i="20"/>
  <c r="AL73" i="20"/>
  <c r="AW73" i="20"/>
  <c r="BG73" i="20"/>
  <c r="BQ73" i="20"/>
  <c r="CB73" i="20"/>
  <c r="CL73" i="20"/>
  <c r="CV73" i="20"/>
  <c r="DE73" i="20"/>
  <c r="R73" i="20"/>
  <c r="AC73" i="20"/>
  <c r="AN73" i="20"/>
  <c r="AX73" i="20"/>
  <c r="BH73" i="20"/>
  <c r="BR73" i="20"/>
  <c r="CC73" i="20"/>
  <c r="CM73" i="20"/>
  <c r="CW73" i="20"/>
  <c r="DF73" i="20"/>
  <c r="U73" i="20"/>
  <c r="AF73" i="20"/>
  <c r="AP73" i="20"/>
  <c r="AZ73" i="20"/>
  <c r="BJ73" i="20"/>
  <c r="AG73" i="20"/>
  <c r="AV73" i="20"/>
  <c r="BN73" i="20"/>
  <c r="BZ73" i="20"/>
  <c r="CP73" i="20"/>
  <c r="DB73" i="20"/>
  <c r="AH73" i="20"/>
  <c r="AY73" i="20"/>
  <c r="BO73" i="20"/>
  <c r="CD73" i="20"/>
  <c r="CR73" i="20"/>
  <c r="DC73" i="20"/>
  <c r="T73" i="20"/>
  <c r="AO73" i="20"/>
  <c r="BI73" i="20"/>
  <c r="CF73" i="20"/>
  <c r="CU73" i="20"/>
  <c r="DK73" i="20"/>
  <c r="V73" i="20"/>
  <c r="AQ73" i="20"/>
  <c r="BL73" i="20"/>
  <c r="CG73" i="20"/>
  <c r="CX73" i="20"/>
  <c r="DL73" i="20"/>
  <c r="X73" i="20"/>
  <c r="AR73" i="20"/>
  <c r="BP73" i="20"/>
  <c r="CH73" i="20"/>
  <c r="CZ73" i="20"/>
  <c r="AD73" i="20"/>
  <c r="BB73" i="20"/>
  <c r="BW73" i="20"/>
  <c r="CO73" i="20"/>
  <c r="DH73" i="20"/>
  <c r="Z73" i="20"/>
  <c r="BU73" i="20"/>
  <c r="DD73" i="20"/>
  <c r="AJ73" i="20"/>
  <c r="BY73" i="20"/>
  <c r="DJ73" i="20"/>
  <c r="AS73" i="20"/>
  <c r="CJ73" i="20"/>
  <c r="BA73" i="20"/>
  <c r="CK73" i="20"/>
  <c r="BF73" i="20"/>
  <c r="BT73" i="20"/>
  <c r="BX73" i="20"/>
  <c r="CT73" i="20"/>
  <c r="Y73" i="20"/>
  <c r="AI73" i="20"/>
  <c r="BE73" i="20"/>
  <c r="CS73" i="20"/>
  <c r="DA73" i="20"/>
  <c r="DI73" i="20"/>
  <c r="W254" i="20"/>
  <c r="AE254" i="20"/>
  <c r="AM254" i="20"/>
  <c r="AU254" i="20"/>
  <c r="BC254" i="20"/>
  <c r="BK254" i="20"/>
  <c r="BS254" i="20"/>
  <c r="CA254" i="20"/>
  <c r="CI254" i="20"/>
  <c r="CQ254" i="20"/>
  <c r="CY254" i="20"/>
  <c r="DG254" i="20"/>
  <c r="R254" i="20"/>
  <c r="Z254" i="20"/>
  <c r="AH254" i="20"/>
  <c r="AP254" i="20"/>
  <c r="AX254" i="20"/>
  <c r="BF254" i="20"/>
  <c r="BN254" i="20"/>
  <c r="BV254" i="20"/>
  <c r="CD254" i="20"/>
  <c r="CL254" i="20"/>
  <c r="CT254" i="20"/>
  <c r="DB254" i="20"/>
  <c r="DJ254" i="20"/>
  <c r="T254" i="20"/>
  <c r="AD254" i="20"/>
  <c r="AO254" i="20"/>
  <c r="AZ254" i="20"/>
  <c r="BJ254" i="20"/>
  <c r="BU254" i="20"/>
  <c r="CF254" i="20"/>
  <c r="CP254" i="20"/>
  <c r="DA254" i="20"/>
  <c r="DL254" i="20"/>
  <c r="V254" i="20"/>
  <c r="AG254" i="20"/>
  <c r="AR254" i="20"/>
  <c r="BB254" i="20"/>
  <c r="BM254" i="20"/>
  <c r="BX254" i="20"/>
  <c r="CH254" i="20"/>
  <c r="CS254" i="20"/>
  <c r="DD254" i="20"/>
  <c r="X254" i="20"/>
  <c r="AI254" i="20"/>
  <c r="AS254" i="20"/>
  <c r="BD254" i="20"/>
  <c r="BO254" i="20"/>
  <c r="BY254" i="20"/>
  <c r="CJ254" i="20"/>
  <c r="CU254" i="20"/>
  <c r="DE254" i="20"/>
  <c r="AF254" i="20"/>
  <c r="AW254" i="20"/>
  <c r="BP254" i="20"/>
  <c r="CE254" i="20"/>
  <c r="CW254" i="20"/>
  <c r="Q254" i="20"/>
  <c r="AJ254" i="20"/>
  <c r="AY254" i="20"/>
  <c r="BQ254" i="20"/>
  <c r="CG254" i="20"/>
  <c r="CX254" i="20"/>
  <c r="U254" i="20"/>
  <c r="AL254" i="20"/>
  <c r="BE254" i="20"/>
  <c r="BT254" i="20"/>
  <c r="CM254" i="20"/>
  <c r="DC254" i="20"/>
  <c r="AB254" i="20"/>
  <c r="BG254" i="20"/>
  <c r="CC254" i="20"/>
  <c r="DH254" i="20"/>
  <c r="AC254" i="20"/>
  <c r="BH254" i="20"/>
  <c r="CK254" i="20"/>
  <c r="DI254" i="20"/>
  <c r="AK254" i="20"/>
  <c r="BI254" i="20"/>
  <c r="CN254" i="20"/>
  <c r="DK254" i="20"/>
  <c r="AN254" i="20"/>
  <c r="BL254" i="20"/>
  <c r="CO254" i="20"/>
  <c r="S254" i="20"/>
  <c r="AT254" i="20"/>
  <c r="BW254" i="20"/>
  <c r="CV254" i="20"/>
  <c r="U106" i="20"/>
  <c r="AC106" i="20"/>
  <c r="AK106" i="20"/>
  <c r="AS106" i="20"/>
  <c r="BA106" i="20"/>
  <c r="BI106" i="20"/>
  <c r="BQ106" i="20"/>
  <c r="BY106" i="20"/>
  <c r="CG106" i="20"/>
  <c r="CO106" i="20"/>
  <c r="CW106" i="20"/>
  <c r="DE106" i="20"/>
  <c r="Y106" i="20"/>
  <c r="AH106" i="20"/>
  <c r="AQ106" i="20"/>
  <c r="AZ106" i="20"/>
  <c r="BJ106" i="20"/>
  <c r="BS106" i="20"/>
  <c r="CB106" i="20"/>
  <c r="CK106" i="20"/>
  <c r="CT106" i="20"/>
  <c r="DC106" i="20"/>
  <c r="DL106" i="20"/>
  <c r="Q106" i="20"/>
  <c r="Z106" i="20"/>
  <c r="AI106" i="20"/>
  <c r="AR106" i="20"/>
  <c r="BB106" i="20"/>
  <c r="BK106" i="20"/>
  <c r="BT106" i="20"/>
  <c r="CC106" i="20"/>
  <c r="CL106" i="20"/>
  <c r="CU106" i="20"/>
  <c r="DD106" i="20"/>
  <c r="S106" i="20"/>
  <c r="AE106" i="20"/>
  <c r="AP106" i="20"/>
  <c r="BD106" i="20"/>
  <c r="BO106" i="20"/>
  <c r="CA106" i="20"/>
  <c r="CN106" i="20"/>
  <c r="CZ106" i="20"/>
  <c r="DK106" i="20"/>
  <c r="W106" i="20"/>
  <c r="AJ106" i="20"/>
  <c r="AV106" i="20"/>
  <c r="BG106" i="20"/>
  <c r="BU106" i="20"/>
  <c r="CF106" i="20"/>
  <c r="X106" i="20"/>
  <c r="AL106" i="20"/>
  <c r="AW106" i="20"/>
  <c r="BH106" i="20"/>
  <c r="BV106" i="20"/>
  <c r="CH106" i="20"/>
  <c r="CS106" i="20"/>
  <c r="DG106" i="20"/>
  <c r="AB106" i="20"/>
  <c r="AU106" i="20"/>
  <c r="BN106" i="20"/>
  <c r="CI106" i="20"/>
  <c r="CY106" i="20"/>
  <c r="AD106" i="20"/>
  <c r="AX106" i="20"/>
  <c r="BP106" i="20"/>
  <c r="CJ106" i="20"/>
  <c r="DA106" i="20"/>
  <c r="V106" i="20"/>
  <c r="AY106" i="20"/>
  <c r="BX106" i="20"/>
  <c r="CV106" i="20"/>
  <c r="AA106" i="20"/>
  <c r="BC106" i="20"/>
  <c r="BZ106" i="20"/>
  <c r="CX106" i="20"/>
  <c r="AF106" i="20"/>
  <c r="BE106" i="20"/>
  <c r="CD106" i="20"/>
  <c r="DB106" i="20"/>
  <c r="AG106" i="20"/>
  <c r="BF106" i="20"/>
  <c r="CE106" i="20"/>
  <c r="DF106" i="20"/>
  <c r="AM106" i="20"/>
  <c r="BL106" i="20"/>
  <c r="CM106" i="20"/>
  <c r="DH106" i="20"/>
  <c r="BW106" i="20"/>
  <c r="R106" i="20"/>
  <c r="CP106" i="20"/>
  <c r="T106" i="20"/>
  <c r="CQ106" i="20"/>
  <c r="AN106" i="20"/>
  <c r="CR106" i="20"/>
  <c r="BM106" i="20"/>
  <c r="BR106" i="20"/>
  <c r="DI106" i="20"/>
  <c r="DJ106" i="20"/>
  <c r="AO106" i="20"/>
  <c r="AT106" i="20"/>
  <c r="Q145" i="20"/>
  <c r="Y145" i="20"/>
  <c r="AG145" i="20"/>
  <c r="AO145" i="20"/>
  <c r="AW145" i="20"/>
  <c r="BE145" i="20"/>
  <c r="BM145" i="20"/>
  <c r="BU145" i="20"/>
  <c r="CC145" i="20"/>
  <c r="CK145" i="20"/>
  <c r="CS145" i="20"/>
  <c r="DA145" i="20"/>
  <c r="DI145" i="20"/>
  <c r="R145" i="20"/>
  <c r="Z145" i="20"/>
  <c r="AH145" i="20"/>
  <c r="AP145" i="20"/>
  <c r="AX145" i="20"/>
  <c r="BF145" i="20"/>
  <c r="BN145" i="20"/>
  <c r="BV145" i="20"/>
  <c r="CD145" i="20"/>
  <c r="CL145" i="20"/>
  <c r="CT145" i="20"/>
  <c r="DB145" i="20"/>
  <c r="DJ145" i="20"/>
  <c r="S145" i="20"/>
  <c r="AC145" i="20"/>
  <c r="AM145" i="20"/>
  <c r="AY145" i="20"/>
  <c r="BI145" i="20"/>
  <c r="BS145" i="20"/>
  <c r="CE145" i="20"/>
  <c r="CO145" i="20"/>
  <c r="CY145" i="20"/>
  <c r="DK145" i="20"/>
  <c r="T145" i="20"/>
  <c r="AD145" i="20"/>
  <c r="AN145" i="20"/>
  <c r="AZ145" i="20"/>
  <c r="BJ145" i="20"/>
  <c r="BT145" i="20"/>
  <c r="CF145" i="20"/>
  <c r="CP145" i="20"/>
  <c r="CZ145" i="20"/>
  <c r="DL145" i="20"/>
  <c r="V145" i="20"/>
  <c r="AF145" i="20"/>
  <c r="AR145" i="20"/>
  <c r="BB145" i="20"/>
  <c r="BL145" i="20"/>
  <c r="BX145" i="20"/>
  <c r="CH145" i="20"/>
  <c r="CR145" i="20"/>
  <c r="DD145" i="20"/>
  <c r="W145" i="20"/>
  <c r="AI145" i="20"/>
  <c r="AS145" i="20"/>
  <c r="BC145" i="20"/>
  <c r="BO145" i="20"/>
  <c r="BY145" i="20"/>
  <c r="CI145" i="20"/>
  <c r="CU145" i="20"/>
  <c r="DE145" i="20"/>
  <c r="U145" i="20"/>
  <c r="AQ145" i="20"/>
  <c r="BK145" i="20"/>
  <c r="CG145" i="20"/>
  <c r="DC145" i="20"/>
  <c r="X145" i="20"/>
  <c r="AT145" i="20"/>
  <c r="BP145" i="20"/>
  <c r="CJ145" i="20"/>
  <c r="DF145" i="20"/>
  <c r="AA145" i="20"/>
  <c r="AU145" i="20"/>
  <c r="BQ145" i="20"/>
  <c r="CM145" i="20"/>
  <c r="DG145" i="20"/>
  <c r="AB145" i="20"/>
  <c r="AV145" i="20"/>
  <c r="BR145" i="20"/>
  <c r="CN145" i="20"/>
  <c r="DH145" i="20"/>
  <c r="AK145" i="20"/>
  <c r="CA145" i="20"/>
  <c r="AL145" i="20"/>
  <c r="CB145" i="20"/>
  <c r="BD145" i="20"/>
  <c r="CV145" i="20"/>
  <c r="BZ145" i="20"/>
  <c r="CQ145" i="20"/>
  <c r="AE145" i="20"/>
  <c r="CW145" i="20"/>
  <c r="AJ145" i="20"/>
  <c r="CX145" i="20"/>
  <c r="BA145" i="20"/>
  <c r="BG145" i="20"/>
  <c r="BH145" i="20"/>
  <c r="BW145" i="20"/>
  <c r="W65" i="20"/>
  <c r="AE65" i="20"/>
  <c r="AM65" i="20"/>
  <c r="AU65" i="20"/>
  <c r="BC65" i="20"/>
  <c r="BK65" i="20"/>
  <c r="BS65" i="20"/>
  <c r="CA65" i="20"/>
  <c r="CI65" i="20"/>
  <c r="CQ65" i="20"/>
  <c r="CY65" i="20"/>
  <c r="DG65" i="20"/>
  <c r="X65" i="20"/>
  <c r="AG65" i="20"/>
  <c r="AP65" i="20"/>
  <c r="AY65" i="20"/>
  <c r="BH65" i="20"/>
  <c r="BQ65" i="20"/>
  <c r="BZ65" i="20"/>
  <c r="CJ65" i="20"/>
  <c r="CS65" i="20"/>
  <c r="DB65" i="20"/>
  <c r="DK65" i="20"/>
  <c r="Y65" i="20"/>
  <c r="AH65" i="20"/>
  <c r="AQ65" i="20"/>
  <c r="AZ65" i="20"/>
  <c r="BI65" i="20"/>
  <c r="BR65" i="20"/>
  <c r="CB65" i="20"/>
  <c r="CK65" i="20"/>
  <c r="CT65" i="20"/>
  <c r="DC65" i="20"/>
  <c r="DL65" i="20"/>
  <c r="R65" i="20"/>
  <c r="AA65" i="20"/>
  <c r="AJ65" i="20"/>
  <c r="AS65" i="20"/>
  <c r="BB65" i="20"/>
  <c r="BL65" i="20"/>
  <c r="BU65" i="20"/>
  <c r="CD65" i="20"/>
  <c r="CM65" i="20"/>
  <c r="CV65" i="20"/>
  <c r="DE65" i="20"/>
  <c r="V65" i="20"/>
  <c r="AL65" i="20"/>
  <c r="BA65" i="20"/>
  <c r="BO65" i="20"/>
  <c r="CE65" i="20"/>
  <c r="CR65" i="20"/>
  <c r="DH65" i="20"/>
  <c r="Z65" i="20"/>
  <c r="AN65" i="20"/>
  <c r="BD65" i="20"/>
  <c r="BP65" i="20"/>
  <c r="CF65" i="20"/>
  <c r="CU65" i="20"/>
  <c r="DI65" i="20"/>
  <c r="AB65" i="20"/>
  <c r="AO65" i="20"/>
  <c r="BE65" i="20"/>
  <c r="BT65" i="20"/>
  <c r="CG65" i="20"/>
  <c r="CW65" i="20"/>
  <c r="DJ65" i="20"/>
  <c r="AC65" i="20"/>
  <c r="AR65" i="20"/>
  <c r="BF65" i="20"/>
  <c r="BV65" i="20"/>
  <c r="CH65" i="20"/>
  <c r="CX65" i="20"/>
  <c r="S65" i="20"/>
  <c r="AV65" i="20"/>
  <c r="BX65" i="20"/>
  <c r="DA65" i="20"/>
  <c r="T65" i="20"/>
  <c r="AW65" i="20"/>
  <c r="BY65" i="20"/>
  <c r="DD65" i="20"/>
  <c r="U65" i="20"/>
  <c r="AX65" i="20"/>
  <c r="CC65" i="20"/>
  <c r="DF65" i="20"/>
  <c r="AD65" i="20"/>
  <c r="BG65" i="20"/>
  <c r="CL65" i="20"/>
  <c r="AF65" i="20"/>
  <c r="CN65" i="20"/>
  <c r="AI65" i="20"/>
  <c r="CO65" i="20"/>
  <c r="AK65" i="20"/>
  <c r="CP65" i="20"/>
  <c r="BM65" i="20"/>
  <c r="BJ65" i="20"/>
  <c r="BN65" i="20"/>
  <c r="BW65" i="20"/>
  <c r="CZ65" i="20"/>
  <c r="Q65" i="20"/>
  <c r="AT65" i="20"/>
  <c r="Q133" i="20"/>
  <c r="Y133" i="20"/>
  <c r="AG133" i="20"/>
  <c r="AO133" i="20"/>
  <c r="AW133" i="20"/>
  <c r="BE133" i="20"/>
  <c r="BM133" i="20"/>
  <c r="BU133" i="20"/>
  <c r="CC133" i="20"/>
  <c r="CK133" i="20"/>
  <c r="CS133" i="20"/>
  <c r="DA133" i="20"/>
  <c r="DI133" i="20"/>
  <c r="R133" i="20"/>
  <c r="Z133" i="20"/>
  <c r="AH133" i="20"/>
  <c r="AP133" i="20"/>
  <c r="AX133" i="20"/>
  <c r="BF133" i="20"/>
  <c r="BN133" i="20"/>
  <c r="BV133" i="20"/>
  <c r="CD133" i="20"/>
  <c r="CL133" i="20"/>
  <c r="CT133" i="20"/>
  <c r="DB133" i="20"/>
  <c r="DJ133" i="20"/>
  <c r="W133" i="20"/>
  <c r="AI133" i="20"/>
  <c r="AS133" i="20"/>
  <c r="BC133" i="20"/>
  <c r="BO133" i="20"/>
  <c r="BY133" i="20"/>
  <c r="CI133" i="20"/>
  <c r="CU133" i="20"/>
  <c r="DE133" i="20"/>
  <c r="X133" i="20"/>
  <c r="AJ133" i="20"/>
  <c r="AT133" i="20"/>
  <c r="BD133" i="20"/>
  <c r="BP133" i="20"/>
  <c r="BZ133" i="20"/>
  <c r="CJ133" i="20"/>
  <c r="CV133" i="20"/>
  <c r="DF133" i="20"/>
  <c r="AA133" i="20"/>
  <c r="AK133" i="20"/>
  <c r="AU133" i="20"/>
  <c r="BG133" i="20"/>
  <c r="BQ133" i="20"/>
  <c r="CA133" i="20"/>
  <c r="CM133" i="20"/>
  <c r="CW133" i="20"/>
  <c r="DG133" i="20"/>
  <c r="AB133" i="20"/>
  <c r="AL133" i="20"/>
  <c r="AV133" i="20"/>
  <c r="BH133" i="20"/>
  <c r="BR133" i="20"/>
  <c r="CB133" i="20"/>
  <c r="CN133" i="20"/>
  <c r="CX133" i="20"/>
  <c r="DH133" i="20"/>
  <c r="S133" i="20"/>
  <c r="AC133" i="20"/>
  <c r="AM133" i="20"/>
  <c r="AY133" i="20"/>
  <c r="BI133" i="20"/>
  <c r="BS133" i="20"/>
  <c r="CE133" i="20"/>
  <c r="CO133" i="20"/>
  <c r="CY133" i="20"/>
  <c r="DK133" i="20"/>
  <c r="AE133" i="20"/>
  <c r="BJ133" i="20"/>
  <c r="CH133" i="20"/>
  <c r="AF133" i="20"/>
  <c r="BK133" i="20"/>
  <c r="CP133" i="20"/>
  <c r="AN133" i="20"/>
  <c r="BL133" i="20"/>
  <c r="CQ133" i="20"/>
  <c r="AQ133" i="20"/>
  <c r="BT133" i="20"/>
  <c r="CR133" i="20"/>
  <c r="BA133" i="20"/>
  <c r="DD133" i="20"/>
  <c r="BB133" i="20"/>
  <c r="DL133" i="20"/>
  <c r="U133" i="20"/>
  <c r="BX133" i="20"/>
  <c r="AR133" i="20"/>
  <c r="AZ133" i="20"/>
  <c r="BW133" i="20"/>
  <c r="CF133" i="20"/>
  <c r="CG133" i="20"/>
  <c r="CZ133" i="20"/>
  <c r="DC133" i="20"/>
  <c r="T133" i="20"/>
  <c r="V133" i="20"/>
  <c r="AD133" i="20"/>
  <c r="Q384" i="20"/>
  <c r="Y384" i="20"/>
  <c r="AG384" i="20"/>
  <c r="AO384" i="20"/>
  <c r="AW384" i="20"/>
  <c r="BE384" i="20"/>
  <c r="BM384" i="20"/>
  <c r="BU384" i="20"/>
  <c r="CC384" i="20"/>
  <c r="CK384" i="20"/>
  <c r="CS384" i="20"/>
  <c r="DA384" i="20"/>
  <c r="DI384" i="20"/>
  <c r="U384" i="20"/>
  <c r="AD384" i="20"/>
  <c r="AM384" i="20"/>
  <c r="AV384" i="20"/>
  <c r="BF384" i="20"/>
  <c r="BO384" i="20"/>
  <c r="BX384" i="20"/>
  <c r="CG384" i="20"/>
  <c r="CP384" i="20"/>
  <c r="CY384" i="20"/>
  <c r="DH384" i="20"/>
  <c r="W384" i="20"/>
  <c r="AF384" i="20"/>
  <c r="AP384" i="20"/>
  <c r="AY384" i="20"/>
  <c r="BH384" i="20"/>
  <c r="BQ384" i="20"/>
  <c r="BZ384" i="20"/>
  <c r="CI384" i="20"/>
  <c r="CR384" i="20"/>
  <c r="DB384" i="20"/>
  <c r="DK384" i="20"/>
  <c r="S279" i="20"/>
  <c r="AA279" i="20"/>
  <c r="AI279" i="20"/>
  <c r="AQ279" i="20"/>
  <c r="AY279" i="20"/>
  <c r="BG279" i="20"/>
  <c r="BO279" i="20"/>
  <c r="BW279" i="20"/>
  <c r="CE279" i="20"/>
  <c r="CM279" i="20"/>
  <c r="CU279" i="20"/>
  <c r="DC279" i="20"/>
  <c r="DK279" i="20"/>
  <c r="W279" i="20"/>
  <c r="AF279" i="20"/>
  <c r="AO279" i="20"/>
  <c r="AX279" i="20"/>
  <c r="BH279" i="20"/>
  <c r="BQ279" i="20"/>
  <c r="BZ279" i="20"/>
  <c r="CI279" i="20"/>
  <c r="CR279" i="20"/>
  <c r="DA279" i="20"/>
  <c r="DJ279" i="20"/>
  <c r="X279" i="20"/>
  <c r="AG279" i="20"/>
  <c r="AP279" i="20"/>
  <c r="AZ279" i="20"/>
  <c r="BI279" i="20"/>
  <c r="BR279" i="20"/>
  <c r="CA279" i="20"/>
  <c r="CJ279" i="20"/>
  <c r="CS279" i="20"/>
  <c r="DB279" i="20"/>
  <c r="DL279" i="20"/>
  <c r="T279" i="20"/>
  <c r="AE279" i="20"/>
  <c r="AS279" i="20"/>
  <c r="BD279" i="20"/>
  <c r="BP279" i="20"/>
  <c r="CC279" i="20"/>
  <c r="CO279" i="20"/>
  <c r="CZ279" i="20"/>
  <c r="U279" i="20"/>
  <c r="AH279" i="20"/>
  <c r="AT279" i="20"/>
  <c r="BE279" i="20"/>
  <c r="BS279" i="20"/>
  <c r="CD279" i="20"/>
  <c r="CP279" i="20"/>
  <c r="DD279" i="20"/>
  <c r="Y279" i="20"/>
  <c r="AK279" i="20"/>
  <c r="AV279" i="20"/>
  <c r="BJ279" i="20"/>
  <c r="BU279" i="20"/>
  <c r="CG279" i="20"/>
  <c r="CT279" i="20"/>
  <c r="DF279" i="20"/>
  <c r="Q279" i="20"/>
  <c r="AL279" i="20"/>
  <c r="BC279" i="20"/>
  <c r="BX279" i="20"/>
  <c r="CQ279" i="20"/>
  <c r="DI279" i="20"/>
  <c r="R279" i="20"/>
  <c r="AM279" i="20"/>
  <c r="BF279" i="20"/>
  <c r="BY279" i="20"/>
  <c r="CV279" i="20"/>
  <c r="V279" i="20"/>
  <c r="AN279" i="20"/>
  <c r="BK279" i="20"/>
  <c r="CB279" i="20"/>
  <c r="CW279" i="20"/>
  <c r="Z279" i="20"/>
  <c r="AR279" i="20"/>
  <c r="BL279" i="20"/>
  <c r="CF279" i="20"/>
  <c r="CX279" i="20"/>
  <c r="CZ416" i="20"/>
  <c r="CN416" i="20"/>
  <c r="CD416" i="20"/>
  <c r="BT416" i="20"/>
  <c r="BH416" i="20"/>
  <c r="AX416" i="20"/>
  <c r="AN416" i="20"/>
  <c r="AB416" i="20"/>
  <c r="R416" i="20"/>
  <c r="CB398" i="20"/>
  <c r="BF398" i="20"/>
  <c r="AV398" i="20"/>
  <c r="AJ398" i="20"/>
  <c r="Z398" i="20"/>
  <c r="DJ388" i="20"/>
  <c r="CX388" i="20"/>
  <c r="CM388" i="20"/>
  <c r="BY388" i="20"/>
  <c r="BN388" i="20"/>
  <c r="BB388" i="20"/>
  <c r="AN388" i="20"/>
  <c r="AC388" i="20"/>
  <c r="R388" i="20"/>
  <c r="AF382" i="20"/>
  <c r="R354" i="20"/>
  <c r="U414" i="20"/>
  <c r="AC414" i="20"/>
  <c r="AK414" i="20"/>
  <c r="AS414" i="20"/>
  <c r="BA414" i="20"/>
  <c r="BI414" i="20"/>
  <c r="BQ414" i="20"/>
  <c r="BY414" i="20"/>
  <c r="CG414" i="20"/>
  <c r="CO414" i="20"/>
  <c r="CW414" i="20"/>
  <c r="DE414" i="20"/>
  <c r="W414" i="20"/>
  <c r="AE414" i="20"/>
  <c r="AM414" i="20"/>
  <c r="AU414" i="20"/>
  <c r="BC414" i="20"/>
  <c r="BK414" i="20"/>
  <c r="BS414" i="20"/>
  <c r="CA414" i="20"/>
  <c r="CI414" i="20"/>
  <c r="CQ414" i="20"/>
  <c r="CY414" i="20"/>
  <c r="DG414" i="20"/>
  <c r="U8" i="20"/>
  <c r="AC8" i="20"/>
  <c r="AK8" i="20"/>
  <c r="AS8" i="20"/>
  <c r="BA8" i="20"/>
  <c r="BI8" i="20"/>
  <c r="V8" i="20"/>
  <c r="AD8" i="20"/>
  <c r="AL8" i="20"/>
  <c r="AT8" i="20"/>
  <c r="BB8" i="20"/>
  <c r="BJ8" i="20"/>
  <c r="BR8" i="20"/>
  <c r="BZ8" i="20"/>
  <c r="CH8" i="20"/>
  <c r="CP8" i="20"/>
  <c r="CX8" i="20"/>
  <c r="DF8" i="20"/>
  <c r="W8" i="20"/>
  <c r="AE8" i="20"/>
  <c r="R8" i="20"/>
  <c r="AF8" i="20"/>
  <c r="AP8" i="20"/>
  <c r="AZ8" i="20"/>
  <c r="BL8" i="20"/>
  <c r="BU8" i="20"/>
  <c r="CD8" i="20"/>
  <c r="CM8" i="20"/>
  <c r="CV8" i="20"/>
  <c r="DE8" i="20"/>
  <c r="S8" i="20"/>
  <c r="AG8" i="20"/>
  <c r="AQ8" i="20"/>
  <c r="BC8" i="20"/>
  <c r="BM8" i="20"/>
  <c r="BV8" i="20"/>
  <c r="CE8" i="20"/>
  <c r="CN8" i="20"/>
  <c r="CW8" i="20"/>
  <c r="DG8" i="20"/>
  <c r="T8" i="20"/>
  <c r="AH8" i="20"/>
  <c r="AR8" i="20"/>
  <c r="BD8" i="20"/>
  <c r="BN8" i="20"/>
  <c r="BW8" i="20"/>
  <c r="CF8" i="20"/>
  <c r="CO8" i="20"/>
  <c r="CY8" i="20"/>
  <c r="DH8" i="20"/>
  <c r="AI8" i="20"/>
  <c r="AX8" i="20"/>
  <c r="BP8" i="20"/>
  <c r="CC8" i="20"/>
  <c r="CS8" i="20"/>
  <c r="DI8" i="20"/>
  <c r="AJ8" i="20"/>
  <c r="AY8" i="20"/>
  <c r="BQ8" i="20"/>
  <c r="CG8" i="20"/>
  <c r="CT8" i="20"/>
  <c r="DJ8" i="20"/>
  <c r="Q8" i="20"/>
  <c r="AM8" i="20"/>
  <c r="BE8" i="20"/>
  <c r="BS8" i="20"/>
  <c r="CI8" i="20"/>
  <c r="CU8" i="20"/>
  <c r="DK8" i="20"/>
  <c r="X8" i="20"/>
  <c r="AV8" i="20"/>
  <c r="BX8" i="20"/>
  <c r="CR8" i="20"/>
  <c r="Y8" i="20"/>
  <c r="AW8" i="20"/>
  <c r="BY8" i="20"/>
  <c r="CZ8" i="20"/>
  <c r="Z8" i="20"/>
  <c r="BF8" i="20"/>
  <c r="CA8" i="20"/>
  <c r="DA8" i="20"/>
  <c r="AA8" i="20"/>
  <c r="BG8" i="20"/>
  <c r="CB8" i="20"/>
  <c r="DB8" i="20"/>
  <c r="BH8" i="20"/>
  <c r="DC8" i="20"/>
  <c r="BK8" i="20"/>
  <c r="DD8" i="20"/>
  <c r="BO8" i="20"/>
  <c r="DL8" i="20"/>
  <c r="BT8" i="20"/>
  <c r="CK8" i="20"/>
  <c r="CL8" i="20"/>
  <c r="AB8" i="20"/>
  <c r="AU8" i="20"/>
  <c r="CJ8" i="20"/>
  <c r="CQ8" i="20"/>
  <c r="AO8" i="20"/>
  <c r="AN8" i="20"/>
  <c r="U15" i="20"/>
  <c r="AC15" i="20"/>
  <c r="AK15" i="20"/>
  <c r="AS15" i="20"/>
  <c r="BA15" i="20"/>
  <c r="BI15" i="20"/>
  <c r="BQ15" i="20"/>
  <c r="BY15" i="20"/>
  <c r="CG15" i="20"/>
  <c r="CO15" i="20"/>
  <c r="CW15" i="20"/>
  <c r="DE15" i="20"/>
  <c r="V15" i="20"/>
  <c r="AD15" i="20"/>
  <c r="AL15" i="20"/>
  <c r="AT15" i="20"/>
  <c r="BB15" i="20"/>
  <c r="BJ15" i="20"/>
  <c r="BR15" i="20"/>
  <c r="BZ15" i="20"/>
  <c r="CH15" i="20"/>
  <c r="CP15" i="20"/>
  <c r="CX15" i="20"/>
  <c r="DF15" i="20"/>
  <c r="W15" i="20"/>
  <c r="AE15" i="20"/>
  <c r="AM15" i="20"/>
  <c r="AU15" i="20"/>
  <c r="BC15" i="20"/>
  <c r="BK15" i="20"/>
  <c r="BS15" i="20"/>
  <c r="CA15" i="20"/>
  <c r="CI15" i="20"/>
  <c r="CQ15" i="20"/>
  <c r="CY15" i="20"/>
  <c r="DG15" i="20"/>
  <c r="R15" i="20"/>
  <c r="AF15" i="20"/>
  <c r="AQ15" i="20"/>
  <c r="BE15" i="20"/>
  <c r="BP15" i="20"/>
  <c r="CD15" i="20"/>
  <c r="CR15" i="20"/>
  <c r="DC15" i="20"/>
  <c r="S15" i="20"/>
  <c r="AG15" i="20"/>
  <c r="AR15" i="20"/>
  <c r="BF15" i="20"/>
  <c r="BT15" i="20"/>
  <c r="CE15" i="20"/>
  <c r="CS15" i="20"/>
  <c r="DD15" i="20"/>
  <c r="T15" i="20"/>
  <c r="AH15" i="20"/>
  <c r="AV15" i="20"/>
  <c r="BG15" i="20"/>
  <c r="BU15" i="20"/>
  <c r="CF15" i="20"/>
  <c r="CT15" i="20"/>
  <c r="DH15" i="20"/>
  <c r="X15" i="20"/>
  <c r="AI15" i="20"/>
  <c r="AW15" i="20"/>
  <c r="BH15" i="20"/>
  <c r="BV15" i="20"/>
  <c r="CJ15" i="20"/>
  <c r="CU15" i="20"/>
  <c r="DI15" i="20"/>
  <c r="AN15" i="20"/>
  <c r="BM15" i="20"/>
  <c r="CL15" i="20"/>
  <c r="DK15" i="20"/>
  <c r="Y15" i="20"/>
  <c r="AX15" i="20"/>
  <c r="BW15" i="20"/>
  <c r="CV15" i="20"/>
  <c r="AY15" i="20"/>
  <c r="CC15" i="20"/>
  <c r="DL15" i="20"/>
  <c r="Q15" i="20"/>
  <c r="AZ15" i="20"/>
  <c r="CK15" i="20"/>
  <c r="AO15" i="20"/>
  <c r="CM15" i="20"/>
  <c r="Z15" i="20"/>
  <c r="BN15" i="20"/>
  <c r="DB15" i="20"/>
  <c r="AB15" i="20"/>
  <c r="CN15" i="20"/>
  <c r="AJ15" i="20"/>
  <c r="CZ15" i="20"/>
  <c r="AP15" i="20"/>
  <c r="DA15" i="20"/>
  <c r="BD15" i="20"/>
  <c r="DJ15" i="20"/>
  <c r="BL15" i="20"/>
  <c r="BO15" i="20"/>
  <c r="AA15" i="20"/>
  <c r="BX15" i="20"/>
  <c r="CB15" i="20"/>
  <c r="W69" i="20"/>
  <c r="AE69" i="20"/>
  <c r="AM69" i="20"/>
  <c r="AU69" i="20"/>
  <c r="BC69" i="20"/>
  <c r="BK69" i="20"/>
  <c r="BS69" i="20"/>
  <c r="CA69" i="20"/>
  <c r="CI69" i="20"/>
  <c r="CQ69" i="20"/>
  <c r="CY69" i="20"/>
  <c r="DG69" i="20"/>
  <c r="Q69" i="20"/>
  <c r="Z69" i="20"/>
  <c r="AI69" i="20"/>
  <c r="AR69" i="20"/>
  <c r="BA69" i="20"/>
  <c r="BJ69" i="20"/>
  <c r="BT69" i="20"/>
  <c r="CC69" i="20"/>
  <c r="CL69" i="20"/>
  <c r="CU69" i="20"/>
  <c r="DD69" i="20"/>
  <c r="R69" i="20"/>
  <c r="AA69" i="20"/>
  <c r="AJ69" i="20"/>
  <c r="AS69" i="20"/>
  <c r="BB69" i="20"/>
  <c r="BL69" i="20"/>
  <c r="BU69" i="20"/>
  <c r="CD69" i="20"/>
  <c r="CM69" i="20"/>
  <c r="CV69" i="20"/>
  <c r="DE69" i="20"/>
  <c r="X69" i="20"/>
  <c r="AK69" i="20"/>
  <c r="AW69" i="20"/>
  <c r="BH69" i="20"/>
  <c r="BV69" i="20"/>
  <c r="CG69" i="20"/>
  <c r="CS69" i="20"/>
  <c r="DF69" i="20"/>
  <c r="Y69" i="20"/>
  <c r="AL69" i="20"/>
  <c r="AX69" i="20"/>
  <c r="BI69" i="20"/>
  <c r="BW69" i="20"/>
  <c r="CH69" i="20"/>
  <c r="CT69" i="20"/>
  <c r="DH69" i="20"/>
  <c r="AB69" i="20"/>
  <c r="AN69" i="20"/>
  <c r="AY69" i="20"/>
  <c r="BM69" i="20"/>
  <c r="BX69" i="20"/>
  <c r="CJ69" i="20"/>
  <c r="CW69" i="20"/>
  <c r="DI69" i="20"/>
  <c r="AC69" i="20"/>
  <c r="AO69" i="20"/>
  <c r="AZ69" i="20"/>
  <c r="BN69" i="20"/>
  <c r="BY69" i="20"/>
  <c r="CK69" i="20"/>
  <c r="CX69" i="20"/>
  <c r="DJ69" i="20"/>
  <c r="U69" i="20"/>
  <c r="AT69" i="20"/>
  <c r="BQ69" i="20"/>
  <c r="CP69" i="20"/>
  <c r="V69" i="20"/>
  <c r="AV69" i="20"/>
  <c r="BR69" i="20"/>
  <c r="CR69" i="20"/>
  <c r="AP69" i="20"/>
  <c r="BZ69" i="20"/>
  <c r="DB69" i="20"/>
  <c r="AQ69" i="20"/>
  <c r="CB69" i="20"/>
  <c r="DC69" i="20"/>
  <c r="S69" i="20"/>
  <c r="BD69" i="20"/>
  <c r="CE69" i="20"/>
  <c r="DK69" i="20"/>
  <c r="AF69" i="20"/>
  <c r="BG69" i="20"/>
  <c r="CO69" i="20"/>
  <c r="AD69" i="20"/>
  <c r="CN69" i="20"/>
  <c r="AH69" i="20"/>
  <c r="DA69" i="20"/>
  <c r="BE69" i="20"/>
  <c r="DL69" i="20"/>
  <c r="BF69" i="20"/>
  <c r="T69" i="20"/>
  <c r="AG69" i="20"/>
  <c r="BP69" i="20"/>
  <c r="BO69" i="20"/>
  <c r="CF69" i="20"/>
  <c r="CZ69" i="20"/>
  <c r="U383" i="20"/>
  <c r="AC383" i="20"/>
  <c r="AK383" i="20"/>
  <c r="AS383" i="20"/>
  <c r="BA383" i="20"/>
  <c r="BI383" i="20"/>
  <c r="BQ383" i="20"/>
  <c r="BY383" i="20"/>
  <c r="CG383" i="20"/>
  <c r="CO383" i="20"/>
  <c r="CW383" i="20"/>
  <c r="DE383" i="20"/>
  <c r="T383" i="20"/>
  <c r="AD383" i="20"/>
  <c r="AM383" i="20"/>
  <c r="AV383" i="20"/>
  <c r="BE383" i="20"/>
  <c r="BN383" i="20"/>
  <c r="BW383" i="20"/>
  <c r="CF383" i="20"/>
  <c r="CP383" i="20"/>
  <c r="CY383" i="20"/>
  <c r="DH383" i="20"/>
  <c r="W383" i="20"/>
  <c r="AF383" i="20"/>
  <c r="AO383" i="20"/>
  <c r="AX383" i="20"/>
  <c r="BG383" i="20"/>
  <c r="BP383" i="20"/>
  <c r="BZ383" i="20"/>
  <c r="CI383" i="20"/>
  <c r="CR383" i="20"/>
  <c r="DA383" i="20"/>
  <c r="DJ383" i="20"/>
  <c r="U396" i="20"/>
  <c r="AC396" i="20"/>
  <c r="AK396" i="20"/>
  <c r="AS396" i="20"/>
  <c r="BA396" i="20"/>
  <c r="BI396" i="20"/>
  <c r="BQ396" i="20"/>
  <c r="BY396" i="20"/>
  <c r="CG396" i="20"/>
  <c r="CO396" i="20"/>
  <c r="CW396" i="20"/>
  <c r="DE396" i="20"/>
  <c r="W396" i="20"/>
  <c r="AE396" i="20"/>
  <c r="AM396" i="20"/>
  <c r="AU396" i="20"/>
  <c r="BC396" i="20"/>
  <c r="BK396" i="20"/>
  <c r="BS396" i="20"/>
  <c r="CA396" i="20"/>
  <c r="CI396" i="20"/>
  <c r="CQ396" i="20"/>
  <c r="CY396" i="20"/>
  <c r="DG396" i="20"/>
  <c r="X43" i="20"/>
  <c r="AF43" i="20"/>
  <c r="AN43" i="20"/>
  <c r="AV43" i="20"/>
  <c r="BD43" i="20"/>
  <c r="BL43" i="20"/>
  <c r="BT43" i="20"/>
  <c r="CB43" i="20"/>
  <c r="CJ43" i="20"/>
  <c r="CR43" i="20"/>
  <c r="CZ43" i="20"/>
  <c r="DH43" i="20"/>
  <c r="Q43" i="20"/>
  <c r="Z43" i="20"/>
  <c r="AI43" i="20"/>
  <c r="AR43" i="20"/>
  <c r="BA43" i="20"/>
  <c r="BJ43" i="20"/>
  <c r="BS43" i="20"/>
  <c r="CC43" i="20"/>
  <c r="CL43" i="20"/>
  <c r="CU43" i="20"/>
  <c r="DD43" i="20"/>
  <c r="T43" i="20"/>
  <c r="AC43" i="20"/>
  <c r="AL43" i="20"/>
  <c r="AU43" i="20"/>
  <c r="BE43" i="20"/>
  <c r="BN43" i="20"/>
  <c r="BW43" i="20"/>
  <c r="CF43" i="20"/>
  <c r="CO43" i="20"/>
  <c r="R43" i="20"/>
  <c r="AD43" i="20"/>
  <c r="AP43" i="20"/>
  <c r="BB43" i="20"/>
  <c r="BO43" i="20"/>
  <c r="BZ43" i="20"/>
  <c r="CM43" i="20"/>
  <c r="S43" i="20"/>
  <c r="AG43" i="20"/>
  <c r="AT43" i="20"/>
  <c r="BH43" i="20"/>
  <c r="BV43" i="20"/>
  <c r="CI43" i="20"/>
  <c r="CW43" i="20"/>
  <c r="DG43" i="20"/>
  <c r="U43" i="20"/>
  <c r="AH43" i="20"/>
  <c r="AW43" i="20"/>
  <c r="BI43" i="20"/>
  <c r="BX43" i="20"/>
  <c r="CK43" i="20"/>
  <c r="CX43" i="20"/>
  <c r="DI43" i="20"/>
  <c r="V43" i="20"/>
  <c r="AJ43" i="20"/>
  <c r="AX43" i="20"/>
  <c r="BK43" i="20"/>
  <c r="BY43" i="20"/>
  <c r="CN43" i="20"/>
  <c r="CY43" i="20"/>
  <c r="DJ43" i="20"/>
  <c r="W43" i="20"/>
  <c r="AK43" i="20"/>
  <c r="AY43" i="20"/>
  <c r="BM43" i="20"/>
  <c r="CA43" i="20"/>
  <c r="CP43" i="20"/>
  <c r="DA43" i="20"/>
  <c r="DK43" i="20"/>
  <c r="AM43" i="20"/>
  <c r="BP43" i="20"/>
  <c r="CQ43" i="20"/>
  <c r="DL43" i="20"/>
  <c r="AO43" i="20"/>
  <c r="BQ43" i="20"/>
  <c r="CS43" i="20"/>
  <c r="AQ43" i="20"/>
  <c r="BR43" i="20"/>
  <c r="CT43" i="20"/>
  <c r="AS43" i="20"/>
  <c r="BU43" i="20"/>
  <c r="CV43" i="20"/>
  <c r="Y43" i="20"/>
  <c r="AZ43" i="20"/>
  <c r="CD43" i="20"/>
  <c r="DB43" i="20"/>
  <c r="BF43" i="20"/>
  <c r="BG43" i="20"/>
  <c r="CE43" i="20"/>
  <c r="CG43" i="20"/>
  <c r="CH43" i="20"/>
  <c r="DC43" i="20"/>
  <c r="DE43" i="20"/>
  <c r="DF43" i="20"/>
  <c r="AA43" i="20"/>
  <c r="AB43" i="20"/>
  <c r="AE43" i="20"/>
  <c r="BC43" i="20"/>
  <c r="R221" i="20"/>
  <c r="Z221" i="20"/>
  <c r="AH221" i="20"/>
  <c r="AP221" i="20"/>
  <c r="AX221" i="20"/>
  <c r="BF221" i="20"/>
  <c r="BN221" i="20"/>
  <c r="BV221" i="20"/>
  <c r="CD221" i="20"/>
  <c r="CL221" i="20"/>
  <c r="CT221" i="20"/>
  <c r="DB221" i="20"/>
  <c r="DJ221" i="20"/>
  <c r="S221" i="20"/>
  <c r="AB221" i="20"/>
  <c r="AK221" i="20"/>
  <c r="AT221" i="20"/>
  <c r="BC221" i="20"/>
  <c r="BL221" i="20"/>
  <c r="BU221" i="20"/>
  <c r="CE221" i="20"/>
  <c r="CN221" i="20"/>
  <c r="CW221" i="20"/>
  <c r="DF221" i="20"/>
  <c r="W221" i="20"/>
  <c r="AG221" i="20"/>
  <c r="AR221" i="20"/>
  <c r="BB221" i="20"/>
  <c r="BM221" i="20"/>
  <c r="BX221" i="20"/>
  <c r="CH221" i="20"/>
  <c r="CR221" i="20"/>
  <c r="DC221" i="20"/>
  <c r="X221" i="20"/>
  <c r="AI221" i="20"/>
  <c r="AS221" i="20"/>
  <c r="BD221" i="20"/>
  <c r="BO221" i="20"/>
  <c r="BY221" i="20"/>
  <c r="CI221" i="20"/>
  <c r="CS221" i="20"/>
  <c r="DD221" i="20"/>
  <c r="AA221" i="20"/>
  <c r="AL221" i="20"/>
  <c r="AV221" i="20"/>
  <c r="BG221" i="20"/>
  <c r="BQ221" i="20"/>
  <c r="CA221" i="20"/>
  <c r="CK221" i="20"/>
  <c r="CV221" i="20"/>
  <c r="DG221" i="20"/>
  <c r="Y221" i="20"/>
  <c r="AO221" i="20"/>
  <c r="BH221" i="20"/>
  <c r="BW221" i="20"/>
  <c r="CO221" i="20"/>
  <c r="DE221" i="20"/>
  <c r="AD221" i="20"/>
  <c r="AU221" i="20"/>
  <c r="BJ221" i="20"/>
  <c r="CB221" i="20"/>
  <c r="CQ221" i="20"/>
  <c r="DI221" i="20"/>
  <c r="AE221" i="20"/>
  <c r="AW221" i="20"/>
  <c r="BK221" i="20"/>
  <c r="CC221" i="20"/>
  <c r="CU221" i="20"/>
  <c r="DK221" i="20"/>
  <c r="AC221" i="20"/>
  <c r="BA221" i="20"/>
  <c r="CF221" i="20"/>
  <c r="DA221" i="20"/>
  <c r="AF221" i="20"/>
  <c r="BE221" i="20"/>
  <c r="CG221" i="20"/>
  <c r="DH221" i="20"/>
  <c r="AM221" i="20"/>
  <c r="BP221" i="20"/>
  <c r="CM221" i="20"/>
  <c r="AQ221" i="20"/>
  <c r="CJ221" i="20"/>
  <c r="AY221" i="20"/>
  <c r="CX221" i="20"/>
  <c r="AZ221" i="20"/>
  <c r="CY221" i="20"/>
  <c r="Q221" i="20"/>
  <c r="BI221" i="20"/>
  <c r="CZ221" i="20"/>
  <c r="T221" i="20"/>
  <c r="BR221" i="20"/>
  <c r="DL221" i="20"/>
  <c r="U221" i="20"/>
  <c r="BS221" i="20"/>
  <c r="V221" i="20"/>
  <c r="BT221" i="20"/>
  <c r="U408" i="20"/>
  <c r="AC408" i="20"/>
  <c r="AK408" i="20"/>
  <c r="AS408" i="20"/>
  <c r="BA408" i="20"/>
  <c r="BI408" i="20"/>
  <c r="BQ408" i="20"/>
  <c r="BY408" i="20"/>
  <c r="CG408" i="20"/>
  <c r="CO408" i="20"/>
  <c r="CW408" i="20"/>
  <c r="DE408" i="20"/>
  <c r="W408" i="20"/>
  <c r="AE408" i="20"/>
  <c r="AM408" i="20"/>
  <c r="AU408" i="20"/>
  <c r="BC408" i="20"/>
  <c r="BK408" i="20"/>
  <c r="BS408" i="20"/>
  <c r="CA408" i="20"/>
  <c r="CI408" i="20"/>
  <c r="CQ408" i="20"/>
  <c r="CY408" i="20"/>
  <c r="DG408" i="20"/>
  <c r="T122" i="20"/>
  <c r="AB122" i="20"/>
  <c r="AJ122" i="20"/>
  <c r="AR122" i="20"/>
  <c r="AZ122" i="20"/>
  <c r="BH122" i="20"/>
  <c r="BP122" i="20"/>
  <c r="BX122" i="20"/>
  <c r="CF122" i="20"/>
  <c r="CN122" i="20"/>
  <c r="CV122" i="20"/>
  <c r="DD122" i="20"/>
  <c r="DL122" i="20"/>
  <c r="V122" i="20"/>
  <c r="AE122" i="20"/>
  <c r="AN122" i="20"/>
  <c r="AW122" i="20"/>
  <c r="BF122" i="20"/>
  <c r="BO122" i="20"/>
  <c r="BY122" i="20"/>
  <c r="CH122" i="20"/>
  <c r="CQ122" i="20"/>
  <c r="CZ122" i="20"/>
  <c r="DI122" i="20"/>
  <c r="U122" i="20"/>
  <c r="AF122" i="20"/>
  <c r="AP122" i="20"/>
  <c r="BA122" i="20"/>
  <c r="BK122" i="20"/>
  <c r="BU122" i="20"/>
  <c r="CE122" i="20"/>
  <c r="CP122" i="20"/>
  <c r="DA122" i="20"/>
  <c r="DK122" i="20"/>
  <c r="W122" i="20"/>
  <c r="AG122" i="20"/>
  <c r="AQ122" i="20"/>
  <c r="BB122" i="20"/>
  <c r="BL122" i="20"/>
  <c r="BV122" i="20"/>
  <c r="CG122" i="20"/>
  <c r="CR122" i="20"/>
  <c r="DB122" i="20"/>
  <c r="X122" i="20"/>
  <c r="AK122" i="20"/>
  <c r="AX122" i="20"/>
  <c r="BM122" i="20"/>
  <c r="CA122" i="20"/>
  <c r="CM122" i="20"/>
  <c r="DC122" i="20"/>
  <c r="Y122" i="20"/>
  <c r="AL122" i="20"/>
  <c r="AY122" i="20"/>
  <c r="BN122" i="20"/>
  <c r="CB122" i="20"/>
  <c r="CO122" i="20"/>
  <c r="DE122" i="20"/>
  <c r="Z122" i="20"/>
  <c r="AM122" i="20"/>
  <c r="BC122" i="20"/>
  <c r="BQ122" i="20"/>
  <c r="CC122" i="20"/>
  <c r="CS122" i="20"/>
  <c r="DF122" i="20"/>
  <c r="AA122" i="20"/>
  <c r="AO122" i="20"/>
  <c r="BD122" i="20"/>
  <c r="BR122" i="20"/>
  <c r="CD122" i="20"/>
  <c r="CT122" i="20"/>
  <c r="DG122" i="20"/>
  <c r="AC122" i="20"/>
  <c r="AS122" i="20"/>
  <c r="BE122" i="20"/>
  <c r="BS122" i="20"/>
  <c r="CI122" i="20"/>
  <c r="CU122" i="20"/>
  <c r="DH122" i="20"/>
  <c r="R122" i="20"/>
  <c r="BG122" i="20"/>
  <c r="CL122" i="20"/>
  <c r="S122" i="20"/>
  <c r="BI122" i="20"/>
  <c r="CW122" i="20"/>
  <c r="AD122" i="20"/>
  <c r="BJ122" i="20"/>
  <c r="CX122" i="20"/>
  <c r="AH122" i="20"/>
  <c r="BT122" i="20"/>
  <c r="CY122" i="20"/>
  <c r="AU122" i="20"/>
  <c r="AV122" i="20"/>
  <c r="BW122" i="20"/>
  <c r="BZ122" i="20"/>
  <c r="CJ122" i="20"/>
  <c r="CK122" i="20"/>
  <c r="DJ122" i="20"/>
  <c r="Q122" i="20"/>
  <c r="AI122" i="20"/>
  <c r="AT122" i="20"/>
  <c r="H337" i="20"/>
  <c r="U343" i="20"/>
  <c r="AC343" i="20"/>
  <c r="AK343" i="20"/>
  <c r="AS343" i="20"/>
  <c r="BA343" i="20"/>
  <c r="BI343" i="20"/>
  <c r="BQ343" i="20"/>
  <c r="BY343" i="20"/>
  <c r="CG343" i="20"/>
  <c r="CO343" i="20"/>
  <c r="CW343" i="20"/>
  <c r="DE343" i="20"/>
  <c r="W343" i="20"/>
  <c r="AE343" i="20"/>
  <c r="AM343" i="20"/>
  <c r="AU343" i="20"/>
  <c r="BC343" i="20"/>
  <c r="BK343" i="20"/>
  <c r="BS343" i="20"/>
  <c r="CA343" i="20"/>
  <c r="CI343" i="20"/>
  <c r="CQ343" i="20"/>
  <c r="CY343" i="20"/>
  <c r="DG343" i="20"/>
  <c r="T343" i="20"/>
  <c r="AF343" i="20"/>
  <c r="AP343" i="20"/>
  <c r="AZ343" i="20"/>
  <c r="BL343" i="20"/>
  <c r="BV343" i="20"/>
  <c r="CF343" i="20"/>
  <c r="CR343" i="20"/>
  <c r="DB343" i="20"/>
  <c r="DL343" i="20"/>
  <c r="V343" i="20"/>
  <c r="AG343" i="20"/>
  <c r="AQ343" i="20"/>
  <c r="BB343" i="20"/>
  <c r="BM343" i="20"/>
  <c r="BW343" i="20"/>
  <c r="CH343" i="20"/>
  <c r="CS343" i="20"/>
  <c r="DC343" i="20"/>
  <c r="X343" i="20"/>
  <c r="AH343" i="20"/>
  <c r="AR343" i="20"/>
  <c r="BD343" i="20"/>
  <c r="BN343" i="20"/>
  <c r="BX343" i="20"/>
  <c r="CJ343" i="20"/>
  <c r="CT343" i="20"/>
  <c r="DD343" i="20"/>
  <c r="Q334" i="20"/>
  <c r="Y334" i="20"/>
  <c r="AG334" i="20"/>
  <c r="AO334" i="20"/>
  <c r="AW334" i="20"/>
  <c r="BE334" i="20"/>
  <c r="BM334" i="20"/>
  <c r="BU334" i="20"/>
  <c r="CC334" i="20"/>
  <c r="CK334" i="20"/>
  <c r="CS334" i="20"/>
  <c r="DA334" i="20"/>
  <c r="DI334" i="20"/>
  <c r="S334" i="20"/>
  <c r="AA334" i="20"/>
  <c r="AI334" i="20"/>
  <c r="AQ334" i="20"/>
  <c r="AY334" i="20"/>
  <c r="BG334" i="20"/>
  <c r="BO334" i="20"/>
  <c r="BW334" i="20"/>
  <c r="CE334" i="20"/>
  <c r="CM334" i="20"/>
  <c r="CU334" i="20"/>
  <c r="DC334" i="20"/>
  <c r="DK334" i="20"/>
  <c r="X334" i="20"/>
  <c r="AJ334" i="20"/>
  <c r="AT334" i="20"/>
  <c r="BD334" i="20"/>
  <c r="BP334" i="20"/>
  <c r="BZ334" i="20"/>
  <c r="CJ334" i="20"/>
  <c r="CV334" i="20"/>
  <c r="DF334" i="20"/>
  <c r="Z334" i="20"/>
  <c r="AK334" i="20"/>
  <c r="AU334" i="20"/>
  <c r="BF334" i="20"/>
  <c r="BQ334" i="20"/>
  <c r="CA334" i="20"/>
  <c r="CL334" i="20"/>
  <c r="CW334" i="20"/>
  <c r="DG334" i="20"/>
  <c r="AB334" i="20"/>
  <c r="AL334" i="20"/>
  <c r="AV334" i="20"/>
  <c r="BH334" i="20"/>
  <c r="BR334" i="20"/>
  <c r="CB334" i="20"/>
  <c r="CN334" i="20"/>
  <c r="CX334" i="20"/>
  <c r="DH334" i="20"/>
  <c r="W256" i="20"/>
  <c r="AE256" i="20"/>
  <c r="AM256" i="20"/>
  <c r="AU256" i="20"/>
  <c r="BC256" i="20"/>
  <c r="BK256" i="20"/>
  <c r="BS256" i="20"/>
  <c r="CA256" i="20"/>
  <c r="CI256" i="20"/>
  <c r="CQ256" i="20"/>
  <c r="CY256" i="20"/>
  <c r="DG256" i="20"/>
  <c r="R256" i="20"/>
  <c r="Z256" i="20"/>
  <c r="AH256" i="20"/>
  <c r="AP256" i="20"/>
  <c r="AX256" i="20"/>
  <c r="BF256" i="20"/>
  <c r="BN256" i="20"/>
  <c r="BV256" i="20"/>
  <c r="CD256" i="20"/>
  <c r="CL256" i="20"/>
  <c r="CT256" i="20"/>
  <c r="DB256" i="20"/>
  <c r="DJ256" i="20"/>
  <c r="V256" i="20"/>
  <c r="AG256" i="20"/>
  <c r="AR256" i="20"/>
  <c r="BB256" i="20"/>
  <c r="BM256" i="20"/>
  <c r="BX256" i="20"/>
  <c r="CH256" i="20"/>
  <c r="CS256" i="20"/>
  <c r="DD256" i="20"/>
  <c r="Y256" i="20"/>
  <c r="AJ256" i="20"/>
  <c r="AT256" i="20"/>
  <c r="BE256" i="20"/>
  <c r="BP256" i="20"/>
  <c r="BZ256" i="20"/>
  <c r="CK256" i="20"/>
  <c r="CV256" i="20"/>
  <c r="DF256" i="20"/>
  <c r="AA256" i="20"/>
  <c r="AK256" i="20"/>
  <c r="AV256" i="20"/>
  <c r="BG256" i="20"/>
  <c r="BQ256" i="20"/>
  <c r="CB256" i="20"/>
  <c r="CM256" i="20"/>
  <c r="CW256" i="20"/>
  <c r="DH256" i="20"/>
  <c r="T256" i="20"/>
  <c r="AL256" i="20"/>
  <c r="BA256" i="20"/>
  <c r="BT256" i="20"/>
  <c r="CJ256" i="20"/>
  <c r="DA256" i="20"/>
  <c r="U256" i="20"/>
  <c r="AN256" i="20"/>
  <c r="BD256" i="20"/>
  <c r="BU256" i="20"/>
  <c r="CN256" i="20"/>
  <c r="DC256" i="20"/>
  <c r="AB256" i="20"/>
  <c r="AQ256" i="20"/>
  <c r="BI256" i="20"/>
  <c r="BY256" i="20"/>
  <c r="CP256" i="20"/>
  <c r="DI256" i="20"/>
  <c r="S256" i="20"/>
  <c r="AW256" i="20"/>
  <c r="BW256" i="20"/>
  <c r="CX256" i="20"/>
  <c r="X256" i="20"/>
  <c r="AY256" i="20"/>
  <c r="CC256" i="20"/>
  <c r="CZ256" i="20"/>
  <c r="AC256" i="20"/>
  <c r="AZ256" i="20"/>
  <c r="CE256" i="20"/>
  <c r="DE256" i="20"/>
  <c r="AD256" i="20"/>
  <c r="BH256" i="20"/>
  <c r="CF256" i="20"/>
  <c r="DK256" i="20"/>
  <c r="AI256" i="20"/>
  <c r="BL256" i="20"/>
  <c r="CO256" i="20"/>
  <c r="Q368" i="20"/>
  <c r="Y368" i="20"/>
  <c r="AG368" i="20"/>
  <c r="AO368" i="20"/>
  <c r="AW368" i="20"/>
  <c r="BE368" i="20"/>
  <c r="BM368" i="20"/>
  <c r="BU368" i="20"/>
  <c r="CC368" i="20"/>
  <c r="CK368" i="20"/>
  <c r="CS368" i="20"/>
  <c r="DA368" i="20"/>
  <c r="DI368" i="20"/>
  <c r="U368" i="20"/>
  <c r="AD368" i="20"/>
  <c r="AM368" i="20"/>
  <c r="AV368" i="20"/>
  <c r="BF368" i="20"/>
  <c r="BO368" i="20"/>
  <c r="BX368" i="20"/>
  <c r="CG368" i="20"/>
  <c r="CP368" i="20"/>
  <c r="CY368" i="20"/>
  <c r="DH368" i="20"/>
  <c r="W368" i="20"/>
  <c r="AF368" i="20"/>
  <c r="AP368" i="20"/>
  <c r="AY368" i="20"/>
  <c r="BH368" i="20"/>
  <c r="BQ368" i="20"/>
  <c r="BZ368" i="20"/>
  <c r="CI368" i="20"/>
  <c r="CR368" i="20"/>
  <c r="DB368" i="20"/>
  <c r="DK368" i="20"/>
  <c r="U394" i="20"/>
  <c r="AC394" i="20"/>
  <c r="AK394" i="20"/>
  <c r="AS394" i="20"/>
  <c r="BA394" i="20"/>
  <c r="BI394" i="20"/>
  <c r="BQ394" i="20"/>
  <c r="BY394" i="20"/>
  <c r="CG394" i="20"/>
  <c r="CO394" i="20"/>
  <c r="CW394" i="20"/>
  <c r="DE394" i="20"/>
  <c r="W394" i="20"/>
  <c r="AE394" i="20"/>
  <c r="AM394" i="20"/>
  <c r="AU394" i="20"/>
  <c r="BC394" i="20"/>
  <c r="BK394" i="20"/>
  <c r="BS394" i="20"/>
  <c r="CA394" i="20"/>
  <c r="CI394" i="20"/>
  <c r="CQ394" i="20"/>
  <c r="CY394" i="20"/>
  <c r="DG394" i="20"/>
  <c r="U178" i="20"/>
  <c r="AC178" i="20"/>
  <c r="AK178" i="20"/>
  <c r="AS178" i="20"/>
  <c r="BA178" i="20"/>
  <c r="BI178" i="20"/>
  <c r="BQ178" i="20"/>
  <c r="BY178" i="20"/>
  <c r="CG178" i="20"/>
  <c r="CO178" i="20"/>
  <c r="CW178" i="20"/>
  <c r="DE178" i="20"/>
  <c r="V178" i="20"/>
  <c r="AD178" i="20"/>
  <c r="AL178" i="20"/>
  <c r="AT178" i="20"/>
  <c r="BB178" i="20"/>
  <c r="BJ178" i="20"/>
  <c r="BR178" i="20"/>
  <c r="BZ178" i="20"/>
  <c r="CH178" i="20"/>
  <c r="CP178" i="20"/>
  <c r="CX178" i="20"/>
  <c r="DF178" i="20"/>
  <c r="W178" i="20"/>
  <c r="AG178" i="20"/>
  <c r="AQ178" i="20"/>
  <c r="BC178" i="20"/>
  <c r="BM178" i="20"/>
  <c r="BW178" i="20"/>
  <c r="CI178" i="20"/>
  <c r="CS178" i="20"/>
  <c r="DC178" i="20"/>
  <c r="X178" i="20"/>
  <c r="AH178" i="20"/>
  <c r="AR178" i="20"/>
  <c r="BD178" i="20"/>
  <c r="BN178" i="20"/>
  <c r="BX178" i="20"/>
  <c r="CJ178" i="20"/>
  <c r="CT178" i="20"/>
  <c r="DD178" i="20"/>
  <c r="Y178" i="20"/>
  <c r="AM178" i="20"/>
  <c r="AY178" i="20"/>
  <c r="BO178" i="20"/>
  <c r="CC178" i="20"/>
  <c r="CQ178" i="20"/>
  <c r="DG178" i="20"/>
  <c r="Z178" i="20"/>
  <c r="AN178" i="20"/>
  <c r="AZ178" i="20"/>
  <c r="BP178" i="20"/>
  <c r="CD178" i="20"/>
  <c r="CR178" i="20"/>
  <c r="DH178" i="20"/>
  <c r="AA178" i="20"/>
  <c r="AO178" i="20"/>
  <c r="BE178" i="20"/>
  <c r="BS178" i="20"/>
  <c r="CE178" i="20"/>
  <c r="CU178" i="20"/>
  <c r="DI178" i="20"/>
  <c r="Q178" i="20"/>
  <c r="AE178" i="20"/>
  <c r="AU178" i="20"/>
  <c r="BG178" i="20"/>
  <c r="BU178" i="20"/>
  <c r="CK178" i="20"/>
  <c r="CY178" i="20"/>
  <c r="DK178" i="20"/>
  <c r="T178" i="20"/>
  <c r="AX178" i="20"/>
  <c r="CB178" i="20"/>
  <c r="DB178" i="20"/>
  <c r="AB178" i="20"/>
  <c r="BF178" i="20"/>
  <c r="CF178" i="20"/>
  <c r="DJ178" i="20"/>
  <c r="AF178" i="20"/>
  <c r="BH178" i="20"/>
  <c r="CL178" i="20"/>
  <c r="DL178" i="20"/>
  <c r="AI178" i="20"/>
  <c r="BK178" i="20"/>
  <c r="CM178" i="20"/>
  <c r="BT178" i="20"/>
  <c r="R178" i="20"/>
  <c r="BV178" i="20"/>
  <c r="S178" i="20"/>
  <c r="CA178" i="20"/>
  <c r="AJ178" i="20"/>
  <c r="CN178" i="20"/>
  <c r="AP178" i="20"/>
  <c r="AV178" i="20"/>
  <c r="AW178" i="20"/>
  <c r="BL178" i="20"/>
  <c r="CV178" i="20"/>
  <c r="CZ178" i="20"/>
  <c r="T174" i="20"/>
  <c r="AB174" i="20"/>
  <c r="AJ174" i="20"/>
  <c r="AR174" i="20"/>
  <c r="AZ174" i="20"/>
  <c r="BH174" i="20"/>
  <c r="BP174" i="20"/>
  <c r="BX174" i="20"/>
  <c r="CF174" i="20"/>
  <c r="CN174" i="20"/>
  <c r="CV174" i="20"/>
  <c r="DD174" i="20"/>
  <c r="DL174" i="20"/>
  <c r="S174" i="20"/>
  <c r="AC174" i="20"/>
  <c r="AL174" i="20"/>
  <c r="AU174" i="20"/>
  <c r="BD174" i="20"/>
  <c r="BM174" i="20"/>
  <c r="BV174" i="20"/>
  <c r="CE174" i="20"/>
  <c r="CO174" i="20"/>
  <c r="CX174" i="20"/>
  <c r="DG174" i="20"/>
  <c r="U174" i="20"/>
  <c r="AD174" i="20"/>
  <c r="AM174" i="20"/>
  <c r="AV174" i="20"/>
  <c r="BE174" i="20"/>
  <c r="BN174" i="20"/>
  <c r="BW174" i="20"/>
  <c r="CG174" i="20"/>
  <c r="CP174" i="20"/>
  <c r="CY174" i="20"/>
  <c r="DH174" i="20"/>
  <c r="V174" i="20"/>
  <c r="AG174" i="20"/>
  <c r="AS174" i="20"/>
  <c r="BF174" i="20"/>
  <c r="BR174" i="20"/>
  <c r="CC174" i="20"/>
  <c r="CQ174" i="20"/>
  <c r="DB174" i="20"/>
  <c r="W174" i="20"/>
  <c r="AH174" i="20"/>
  <c r="AT174" i="20"/>
  <c r="BG174" i="20"/>
  <c r="BS174" i="20"/>
  <c r="CD174" i="20"/>
  <c r="CR174" i="20"/>
  <c r="DC174" i="20"/>
  <c r="Q174" i="20"/>
  <c r="AI174" i="20"/>
  <c r="AY174" i="20"/>
  <c r="BO174" i="20"/>
  <c r="CH174" i="20"/>
  <c r="CU174" i="20"/>
  <c r="DK174" i="20"/>
  <c r="R174" i="20"/>
  <c r="AK174" i="20"/>
  <c r="BA174" i="20"/>
  <c r="BQ174" i="20"/>
  <c r="CI174" i="20"/>
  <c r="CW174" i="20"/>
  <c r="X174" i="20"/>
  <c r="AN174" i="20"/>
  <c r="BB174" i="20"/>
  <c r="BT174" i="20"/>
  <c r="CJ174" i="20"/>
  <c r="CZ174" i="20"/>
  <c r="Z174" i="20"/>
  <c r="AP174" i="20"/>
  <c r="BI174" i="20"/>
  <c r="BY174" i="20"/>
  <c r="CL174" i="20"/>
  <c r="DE174" i="20"/>
  <c r="AF174" i="20"/>
  <c r="BL174" i="20"/>
  <c r="CT174" i="20"/>
  <c r="AO174" i="20"/>
  <c r="BU174" i="20"/>
  <c r="DA174" i="20"/>
  <c r="AQ174" i="20"/>
  <c r="BZ174" i="20"/>
  <c r="DF174" i="20"/>
  <c r="AW174" i="20"/>
  <c r="CA174" i="20"/>
  <c r="DI174" i="20"/>
  <c r="Y174" i="20"/>
  <c r="CK174" i="20"/>
  <c r="AA174" i="20"/>
  <c r="CM174" i="20"/>
  <c r="AE174" i="20"/>
  <c r="CS174" i="20"/>
  <c r="AX174" i="20"/>
  <c r="DJ174" i="20"/>
  <c r="BC174" i="20"/>
  <c r="BJ174" i="20"/>
  <c r="BK174" i="20"/>
  <c r="CB174" i="20"/>
  <c r="Q16" i="20"/>
  <c r="Y16" i="20"/>
  <c r="AG16" i="20"/>
  <c r="AO16" i="20"/>
  <c r="AW16" i="20"/>
  <c r="BE16" i="20"/>
  <c r="BM16" i="20"/>
  <c r="BU16" i="20"/>
  <c r="CC16" i="20"/>
  <c r="CK16" i="20"/>
  <c r="CS16" i="20"/>
  <c r="DA16" i="20"/>
  <c r="DI16" i="20"/>
  <c r="R16" i="20"/>
  <c r="Z16" i="20"/>
  <c r="AH16" i="20"/>
  <c r="AP16" i="20"/>
  <c r="AX16" i="20"/>
  <c r="BF16" i="20"/>
  <c r="BN16" i="20"/>
  <c r="BV16" i="20"/>
  <c r="CD16" i="20"/>
  <c r="CL16" i="20"/>
  <c r="CT16" i="20"/>
  <c r="DB16" i="20"/>
  <c r="DJ16" i="20"/>
  <c r="S16" i="20"/>
  <c r="AA16" i="20"/>
  <c r="AI16" i="20"/>
  <c r="AQ16" i="20"/>
  <c r="AY16" i="20"/>
  <c r="BG16" i="20"/>
  <c r="BO16" i="20"/>
  <c r="BW16" i="20"/>
  <c r="CE16" i="20"/>
  <c r="CM16" i="20"/>
  <c r="CU16" i="20"/>
  <c r="DC16" i="20"/>
  <c r="DK16" i="20"/>
  <c r="U16" i="20"/>
  <c r="AF16" i="20"/>
  <c r="AT16" i="20"/>
  <c r="BH16" i="20"/>
  <c r="BS16" i="20"/>
  <c r="CG16" i="20"/>
  <c r="CR16" i="20"/>
  <c r="DF16" i="20"/>
  <c r="V16" i="20"/>
  <c r="AJ16" i="20"/>
  <c r="AU16" i="20"/>
  <c r="BI16" i="20"/>
  <c r="BT16" i="20"/>
  <c r="CH16" i="20"/>
  <c r="CV16" i="20"/>
  <c r="DG16" i="20"/>
  <c r="W16" i="20"/>
  <c r="AK16" i="20"/>
  <c r="AV16" i="20"/>
  <c r="BJ16" i="20"/>
  <c r="BX16" i="20"/>
  <c r="CI16" i="20"/>
  <c r="CW16" i="20"/>
  <c r="DH16" i="20"/>
  <c r="X16" i="20"/>
  <c r="AL16" i="20"/>
  <c r="AZ16" i="20"/>
  <c r="BK16" i="20"/>
  <c r="BY16" i="20"/>
  <c r="CJ16" i="20"/>
  <c r="CX16" i="20"/>
  <c r="DL16" i="20"/>
  <c r="AN16" i="20"/>
  <c r="BP16" i="20"/>
  <c r="CO16" i="20"/>
  <c r="AB16" i="20"/>
  <c r="BA16" i="20"/>
  <c r="BZ16" i="20"/>
  <c r="CY16" i="20"/>
  <c r="BB16" i="20"/>
  <c r="CF16" i="20"/>
  <c r="T16" i="20"/>
  <c r="BC16" i="20"/>
  <c r="CN16" i="20"/>
  <c r="AE16" i="20"/>
  <c r="CA16" i="20"/>
  <c r="BD16" i="20"/>
  <c r="CZ16" i="20"/>
  <c r="AS16" i="20"/>
  <c r="DE16" i="20"/>
  <c r="BL16" i="20"/>
  <c r="BQ16" i="20"/>
  <c r="BR16" i="20"/>
  <c r="CB16" i="20"/>
  <c r="CP16" i="20"/>
  <c r="AM16" i="20"/>
  <c r="AR16" i="20"/>
  <c r="CQ16" i="20"/>
  <c r="DD16" i="20"/>
  <c r="AC16" i="20"/>
  <c r="AD16" i="20"/>
  <c r="W117" i="20"/>
  <c r="AE117" i="20"/>
  <c r="AM117" i="20"/>
  <c r="AU117" i="20"/>
  <c r="BC117" i="20"/>
  <c r="BK117" i="20"/>
  <c r="BS117" i="20"/>
  <c r="CA117" i="20"/>
  <c r="CI117" i="20"/>
  <c r="CQ117" i="20"/>
  <c r="CY117" i="20"/>
  <c r="DG117" i="20"/>
  <c r="X117" i="20"/>
  <c r="AF117" i="20"/>
  <c r="AN117" i="20"/>
  <c r="AV117" i="20"/>
  <c r="BD117" i="20"/>
  <c r="BL117" i="20"/>
  <c r="BT117" i="20"/>
  <c r="CB117" i="20"/>
  <c r="CJ117" i="20"/>
  <c r="CR117" i="20"/>
  <c r="CZ117" i="20"/>
  <c r="DH117" i="20"/>
  <c r="Z117" i="20"/>
  <c r="AJ117" i="20"/>
  <c r="AT117" i="20"/>
  <c r="BF117" i="20"/>
  <c r="BP117" i="20"/>
  <c r="BZ117" i="20"/>
  <c r="CL117" i="20"/>
  <c r="CV117" i="20"/>
  <c r="DF117" i="20"/>
  <c r="T117" i="20"/>
  <c r="AD117" i="20"/>
  <c r="AP117" i="20"/>
  <c r="AZ117" i="20"/>
  <c r="BJ117" i="20"/>
  <c r="BV117" i="20"/>
  <c r="CF117" i="20"/>
  <c r="CP117" i="20"/>
  <c r="DB117" i="20"/>
  <c r="DL117" i="20"/>
  <c r="Y117" i="20"/>
  <c r="AL117" i="20"/>
  <c r="BA117" i="20"/>
  <c r="BO117" i="20"/>
  <c r="CD117" i="20"/>
  <c r="CS117" i="20"/>
  <c r="DE117" i="20"/>
  <c r="AA117" i="20"/>
  <c r="AO117" i="20"/>
  <c r="BB117" i="20"/>
  <c r="BQ117" i="20"/>
  <c r="CE117" i="20"/>
  <c r="CT117" i="20"/>
  <c r="DI117" i="20"/>
  <c r="AB117" i="20"/>
  <c r="AS117" i="20"/>
  <c r="BM117" i="20"/>
  <c r="CG117" i="20"/>
  <c r="CX117" i="20"/>
  <c r="AC117" i="20"/>
  <c r="AW117" i="20"/>
  <c r="BN117" i="20"/>
  <c r="CH117" i="20"/>
  <c r="DA117" i="20"/>
  <c r="AG117" i="20"/>
  <c r="AX117" i="20"/>
  <c r="BR117" i="20"/>
  <c r="CK117" i="20"/>
  <c r="DC117" i="20"/>
  <c r="Q117" i="20"/>
  <c r="AH117" i="20"/>
  <c r="AY117" i="20"/>
  <c r="BU117" i="20"/>
  <c r="CM117" i="20"/>
  <c r="DD117" i="20"/>
  <c r="R117" i="20"/>
  <c r="AI117" i="20"/>
  <c r="BE117" i="20"/>
  <c r="BW117" i="20"/>
  <c r="CN117" i="20"/>
  <c r="DJ117" i="20"/>
  <c r="AK117" i="20"/>
  <c r="CC117" i="20"/>
  <c r="AQ117" i="20"/>
  <c r="CO117" i="20"/>
  <c r="AR117" i="20"/>
  <c r="CU117" i="20"/>
  <c r="BG117" i="20"/>
  <c r="CW117" i="20"/>
  <c r="U117" i="20"/>
  <c r="V117" i="20"/>
  <c r="BH117" i="20"/>
  <c r="BI117" i="20"/>
  <c r="BX117" i="20"/>
  <c r="BY117" i="20"/>
  <c r="DK117" i="20"/>
  <c r="S117" i="20"/>
  <c r="W53" i="20"/>
  <c r="AE53" i="20"/>
  <c r="AM53" i="20"/>
  <c r="AU53" i="20"/>
  <c r="BC53" i="20"/>
  <c r="BK53" i="20"/>
  <c r="BS53" i="20"/>
  <c r="CA53" i="20"/>
  <c r="CI53" i="20"/>
  <c r="CQ53" i="20"/>
  <c r="CY53" i="20"/>
  <c r="DG53" i="20"/>
  <c r="Q53" i="20"/>
  <c r="Z53" i="20"/>
  <c r="AI53" i="20"/>
  <c r="AR53" i="20"/>
  <c r="BA53" i="20"/>
  <c r="BJ53" i="20"/>
  <c r="BT53" i="20"/>
  <c r="CC53" i="20"/>
  <c r="CL53" i="20"/>
  <c r="CU53" i="20"/>
  <c r="DD53" i="20"/>
  <c r="R53" i="20"/>
  <c r="AA53" i="20"/>
  <c r="AJ53" i="20"/>
  <c r="AS53" i="20"/>
  <c r="BB53" i="20"/>
  <c r="BL53" i="20"/>
  <c r="BU53" i="20"/>
  <c r="CD53" i="20"/>
  <c r="CM53" i="20"/>
  <c r="CV53" i="20"/>
  <c r="DE53" i="20"/>
  <c r="S53" i="20"/>
  <c r="AB53" i="20"/>
  <c r="AK53" i="20"/>
  <c r="AT53" i="20"/>
  <c r="BD53" i="20"/>
  <c r="BM53" i="20"/>
  <c r="BV53" i="20"/>
  <c r="CE53" i="20"/>
  <c r="CN53" i="20"/>
  <c r="CW53" i="20"/>
  <c r="DF53" i="20"/>
  <c r="T53" i="20"/>
  <c r="AC53" i="20"/>
  <c r="AL53" i="20"/>
  <c r="AV53" i="20"/>
  <c r="BE53" i="20"/>
  <c r="BN53" i="20"/>
  <c r="BW53" i="20"/>
  <c r="CF53" i="20"/>
  <c r="CO53" i="20"/>
  <c r="CX53" i="20"/>
  <c r="DH53" i="20"/>
  <c r="U53" i="20"/>
  <c r="AN53" i="20"/>
  <c r="BF53" i="20"/>
  <c r="BX53" i="20"/>
  <c r="CP53" i="20"/>
  <c r="DI53" i="20"/>
  <c r="V53" i="20"/>
  <c r="AO53" i="20"/>
  <c r="BG53" i="20"/>
  <c r="BY53" i="20"/>
  <c r="CR53" i="20"/>
  <c r="DJ53" i="20"/>
  <c r="X53" i="20"/>
  <c r="AP53" i="20"/>
  <c r="BH53" i="20"/>
  <c r="BZ53" i="20"/>
  <c r="CS53" i="20"/>
  <c r="DK53" i="20"/>
  <c r="Y53" i="20"/>
  <c r="AQ53" i="20"/>
  <c r="BI53" i="20"/>
  <c r="CB53" i="20"/>
  <c r="CT53" i="20"/>
  <c r="DL53" i="20"/>
  <c r="AD53" i="20"/>
  <c r="AW53" i="20"/>
  <c r="BO53" i="20"/>
  <c r="CG53" i="20"/>
  <c r="CZ53" i="20"/>
  <c r="AG53" i="20"/>
  <c r="CH53" i="20"/>
  <c r="AH53" i="20"/>
  <c r="CJ53" i="20"/>
  <c r="AX53" i="20"/>
  <c r="CK53" i="20"/>
  <c r="AY53" i="20"/>
  <c r="DA53" i="20"/>
  <c r="AZ53" i="20"/>
  <c r="BP53" i="20"/>
  <c r="BQ53" i="20"/>
  <c r="DB53" i="20"/>
  <c r="DC53" i="20"/>
  <c r="BR53" i="20"/>
  <c r="AF53" i="20"/>
  <c r="S60" i="20"/>
  <c r="AA60" i="20"/>
  <c r="AI60" i="20"/>
  <c r="AQ60" i="20"/>
  <c r="AY60" i="20"/>
  <c r="BG60" i="20"/>
  <c r="BO60" i="20"/>
  <c r="BW60" i="20"/>
  <c r="CE60" i="20"/>
  <c r="CM60" i="20"/>
  <c r="CU60" i="20"/>
  <c r="DC60" i="20"/>
  <c r="DK60" i="20"/>
  <c r="U60" i="20"/>
  <c r="AD60" i="20"/>
  <c r="AM60" i="20"/>
  <c r="AV60" i="20"/>
  <c r="BE60" i="20"/>
  <c r="BN60" i="20"/>
  <c r="BX60" i="20"/>
  <c r="CG60" i="20"/>
  <c r="CP60" i="20"/>
  <c r="CY60" i="20"/>
  <c r="DH60" i="20"/>
  <c r="V60" i="20"/>
  <c r="AE60" i="20"/>
  <c r="AN60" i="20"/>
  <c r="AW60" i="20"/>
  <c r="BF60" i="20"/>
  <c r="BP60" i="20"/>
  <c r="BY60" i="20"/>
  <c r="CH60" i="20"/>
  <c r="CQ60" i="20"/>
  <c r="CZ60" i="20"/>
  <c r="DI60" i="20"/>
  <c r="W60" i="20"/>
  <c r="AF60" i="20"/>
  <c r="AO60" i="20"/>
  <c r="AX60" i="20"/>
  <c r="BH60" i="20"/>
  <c r="BQ60" i="20"/>
  <c r="BZ60" i="20"/>
  <c r="CI60" i="20"/>
  <c r="CR60" i="20"/>
  <c r="DA60" i="20"/>
  <c r="DJ60" i="20"/>
  <c r="X60" i="20"/>
  <c r="AG60" i="20"/>
  <c r="AP60" i="20"/>
  <c r="AZ60" i="20"/>
  <c r="BI60" i="20"/>
  <c r="BR60" i="20"/>
  <c r="CA60" i="20"/>
  <c r="CJ60" i="20"/>
  <c r="CS60" i="20"/>
  <c r="DB60" i="20"/>
  <c r="DL60" i="20"/>
  <c r="AH60" i="20"/>
  <c r="BA60" i="20"/>
  <c r="BS60" i="20"/>
  <c r="CK60" i="20"/>
  <c r="DD60" i="20"/>
  <c r="Q60" i="20"/>
  <c r="AJ60" i="20"/>
  <c r="BB60" i="20"/>
  <c r="BT60" i="20"/>
  <c r="CL60" i="20"/>
  <c r="DE60" i="20"/>
  <c r="R60" i="20"/>
  <c r="AK60" i="20"/>
  <c r="BC60" i="20"/>
  <c r="BU60" i="20"/>
  <c r="CN60" i="20"/>
  <c r="DF60" i="20"/>
  <c r="T60" i="20"/>
  <c r="AL60" i="20"/>
  <c r="BD60" i="20"/>
  <c r="BV60" i="20"/>
  <c r="CO60" i="20"/>
  <c r="DG60" i="20"/>
  <c r="Y60" i="20"/>
  <c r="AR60" i="20"/>
  <c r="BJ60" i="20"/>
  <c r="CB60" i="20"/>
  <c r="CT60" i="20"/>
  <c r="BL60" i="20"/>
  <c r="Z60" i="20"/>
  <c r="BM60" i="20"/>
  <c r="AB60" i="20"/>
  <c r="CC60" i="20"/>
  <c r="AC60" i="20"/>
  <c r="CD60" i="20"/>
  <c r="AS60" i="20"/>
  <c r="AT60" i="20"/>
  <c r="AU60" i="20"/>
  <c r="CV60" i="20"/>
  <c r="CF60" i="20"/>
  <c r="CW60" i="20"/>
  <c r="CX60" i="20"/>
  <c r="BK60" i="20"/>
  <c r="V224" i="20"/>
  <c r="AD224" i="20"/>
  <c r="AL224" i="20"/>
  <c r="AT224" i="20"/>
  <c r="BB224" i="20"/>
  <c r="BJ224" i="20"/>
  <c r="BR224" i="20"/>
  <c r="BZ224" i="20"/>
  <c r="CH224" i="20"/>
  <c r="CP224" i="20"/>
  <c r="CX224" i="20"/>
  <c r="DF224" i="20"/>
  <c r="T224" i="20"/>
  <c r="AC224" i="20"/>
  <c r="AM224" i="20"/>
  <c r="AV224" i="20"/>
  <c r="BE224" i="20"/>
  <c r="BN224" i="20"/>
  <c r="BW224" i="20"/>
  <c r="CF224" i="20"/>
  <c r="CO224" i="20"/>
  <c r="CY224" i="20"/>
  <c r="DH224" i="20"/>
  <c r="Z224" i="20"/>
  <c r="AJ224" i="20"/>
  <c r="AU224" i="20"/>
  <c r="BF224" i="20"/>
  <c r="BP224" i="20"/>
  <c r="CA224" i="20"/>
  <c r="CK224" i="20"/>
  <c r="CU224" i="20"/>
  <c r="DE224" i="20"/>
  <c r="Q224" i="20"/>
  <c r="AA224" i="20"/>
  <c r="AK224" i="20"/>
  <c r="AW224" i="20"/>
  <c r="BG224" i="20"/>
  <c r="BQ224" i="20"/>
  <c r="CB224" i="20"/>
  <c r="CL224" i="20"/>
  <c r="CV224" i="20"/>
  <c r="DG224" i="20"/>
  <c r="S224" i="20"/>
  <c r="AE224" i="20"/>
  <c r="AO224" i="20"/>
  <c r="AY224" i="20"/>
  <c r="BI224" i="20"/>
  <c r="BT224" i="20"/>
  <c r="CD224" i="20"/>
  <c r="CN224" i="20"/>
  <c r="CZ224" i="20"/>
  <c r="DJ224" i="20"/>
  <c r="Y224" i="20"/>
  <c r="AQ224" i="20"/>
  <c r="BH224" i="20"/>
  <c r="BX224" i="20"/>
  <c r="CQ224" i="20"/>
  <c r="DD224" i="20"/>
  <c r="AF224" i="20"/>
  <c r="AS224" i="20"/>
  <c r="BL224" i="20"/>
  <c r="CC224" i="20"/>
  <c r="CS224" i="20"/>
  <c r="DK224" i="20"/>
  <c r="AG224" i="20"/>
  <c r="AX224" i="20"/>
  <c r="BM224" i="20"/>
  <c r="CE224" i="20"/>
  <c r="CT224" i="20"/>
  <c r="DL224" i="20"/>
  <c r="W224" i="20"/>
  <c r="AZ224" i="20"/>
  <c r="BV224" i="20"/>
  <c r="DA224" i="20"/>
  <c r="X224" i="20"/>
  <c r="BA224" i="20"/>
  <c r="BY224" i="20"/>
  <c r="DB224" i="20"/>
  <c r="AH224" i="20"/>
  <c r="BD224" i="20"/>
  <c r="CI224" i="20"/>
  <c r="DI224" i="20"/>
  <c r="BC224" i="20"/>
  <c r="CR224" i="20"/>
  <c r="R224" i="20"/>
  <c r="BK224" i="20"/>
  <c r="CW224" i="20"/>
  <c r="U224" i="20"/>
  <c r="BO224" i="20"/>
  <c r="DC224" i="20"/>
  <c r="AB224" i="20"/>
  <c r="BS224" i="20"/>
  <c r="AI224" i="20"/>
  <c r="BU224" i="20"/>
  <c r="AN224" i="20"/>
  <c r="CG224" i="20"/>
  <c r="U379" i="20"/>
  <c r="AC379" i="20"/>
  <c r="AK379" i="20"/>
  <c r="AS379" i="20"/>
  <c r="BA379" i="20"/>
  <c r="BI379" i="20"/>
  <c r="BQ379" i="20"/>
  <c r="BY379" i="20"/>
  <c r="CG379" i="20"/>
  <c r="CO379" i="20"/>
  <c r="CW379" i="20"/>
  <c r="DE379" i="20"/>
  <c r="R379" i="20"/>
  <c r="AA379" i="20"/>
  <c r="AJ379" i="20"/>
  <c r="AT379" i="20"/>
  <c r="BC379" i="20"/>
  <c r="BL379" i="20"/>
  <c r="BU379" i="20"/>
  <c r="CD379" i="20"/>
  <c r="CM379" i="20"/>
  <c r="CV379" i="20"/>
  <c r="DF379" i="20"/>
  <c r="T379" i="20"/>
  <c r="AD379" i="20"/>
  <c r="AM379" i="20"/>
  <c r="AV379" i="20"/>
  <c r="BE379" i="20"/>
  <c r="BN379" i="20"/>
  <c r="BW379" i="20"/>
  <c r="CF379" i="20"/>
  <c r="CP379" i="20"/>
  <c r="CY379" i="20"/>
  <c r="DH379" i="20"/>
  <c r="W286" i="20"/>
  <c r="AE286" i="20"/>
  <c r="AM286" i="20"/>
  <c r="AU286" i="20"/>
  <c r="BC286" i="20"/>
  <c r="BK286" i="20"/>
  <c r="BS286" i="20"/>
  <c r="CA286" i="20"/>
  <c r="CI286" i="20"/>
  <c r="CQ286" i="20"/>
  <c r="CY286" i="20"/>
  <c r="DG286" i="20"/>
  <c r="R286" i="20"/>
  <c r="AA286" i="20"/>
  <c r="AJ286" i="20"/>
  <c r="AS286" i="20"/>
  <c r="BB286" i="20"/>
  <c r="BL286" i="20"/>
  <c r="BU286" i="20"/>
  <c r="CD286" i="20"/>
  <c r="CM286" i="20"/>
  <c r="CV286" i="20"/>
  <c r="DE286" i="20"/>
  <c r="S286" i="20"/>
  <c r="AB286" i="20"/>
  <c r="AK286" i="20"/>
  <c r="AT286" i="20"/>
  <c r="BD286" i="20"/>
  <c r="BM286" i="20"/>
  <c r="BV286" i="20"/>
  <c r="CE286" i="20"/>
  <c r="CN286" i="20"/>
  <c r="CW286" i="20"/>
  <c r="DF286" i="20"/>
  <c r="Z286" i="20"/>
  <c r="AN286" i="20"/>
  <c r="AY286" i="20"/>
  <c r="BJ286" i="20"/>
  <c r="BX286" i="20"/>
  <c r="CJ286" i="20"/>
  <c r="CU286" i="20"/>
  <c r="DI286" i="20"/>
  <c r="AC286" i="20"/>
  <c r="AO286" i="20"/>
  <c r="AZ286" i="20"/>
  <c r="BN286" i="20"/>
  <c r="BY286" i="20"/>
  <c r="CK286" i="20"/>
  <c r="CX286" i="20"/>
  <c r="DJ286" i="20"/>
  <c r="T286" i="20"/>
  <c r="AF286" i="20"/>
  <c r="AQ286" i="20"/>
  <c r="BE286" i="20"/>
  <c r="BP286" i="20"/>
  <c r="CB286" i="20"/>
  <c r="CO286" i="20"/>
  <c r="DA286" i="20"/>
  <c r="DL286" i="20"/>
  <c r="U286" i="20"/>
  <c r="AL286" i="20"/>
  <c r="BG286" i="20"/>
  <c r="BZ286" i="20"/>
  <c r="CS286" i="20"/>
  <c r="V286" i="20"/>
  <c r="AP286" i="20"/>
  <c r="BH286" i="20"/>
  <c r="CC286" i="20"/>
  <c r="CT286" i="20"/>
  <c r="X286" i="20"/>
  <c r="AR286" i="20"/>
  <c r="BI286" i="20"/>
  <c r="CF286" i="20"/>
  <c r="CZ286" i="20"/>
  <c r="Y286" i="20"/>
  <c r="AV286" i="20"/>
  <c r="BO286" i="20"/>
  <c r="CG286" i="20"/>
  <c r="DB286" i="20"/>
  <c r="W59" i="20"/>
  <c r="AE59" i="20"/>
  <c r="AM59" i="20"/>
  <c r="AU59" i="20"/>
  <c r="BC59" i="20"/>
  <c r="BK59" i="20"/>
  <c r="BS59" i="20"/>
  <c r="CA59" i="20"/>
  <c r="CI59" i="20"/>
  <c r="CQ59" i="20"/>
  <c r="CY59" i="20"/>
  <c r="DG59" i="20"/>
  <c r="T59" i="20"/>
  <c r="AC59" i="20"/>
  <c r="AL59" i="20"/>
  <c r="AV59" i="20"/>
  <c r="BE59" i="20"/>
  <c r="BN59" i="20"/>
  <c r="BW59" i="20"/>
  <c r="CF59" i="20"/>
  <c r="CO59" i="20"/>
  <c r="CX59" i="20"/>
  <c r="DH59" i="20"/>
  <c r="U59" i="20"/>
  <c r="AD59" i="20"/>
  <c r="AN59" i="20"/>
  <c r="AW59" i="20"/>
  <c r="BF59" i="20"/>
  <c r="BO59" i="20"/>
  <c r="BX59" i="20"/>
  <c r="CG59" i="20"/>
  <c r="CP59" i="20"/>
  <c r="CZ59" i="20"/>
  <c r="DI59" i="20"/>
  <c r="V59" i="20"/>
  <c r="AF59" i="20"/>
  <c r="AO59" i="20"/>
  <c r="AX59" i="20"/>
  <c r="BG59" i="20"/>
  <c r="BP59" i="20"/>
  <c r="BY59" i="20"/>
  <c r="CH59" i="20"/>
  <c r="CR59" i="20"/>
  <c r="DA59" i="20"/>
  <c r="DJ59" i="20"/>
  <c r="X59" i="20"/>
  <c r="AG59" i="20"/>
  <c r="AP59" i="20"/>
  <c r="AY59" i="20"/>
  <c r="BH59" i="20"/>
  <c r="BQ59" i="20"/>
  <c r="BZ59" i="20"/>
  <c r="CJ59" i="20"/>
  <c r="CS59" i="20"/>
  <c r="DB59" i="20"/>
  <c r="DK59" i="20"/>
  <c r="Y59" i="20"/>
  <c r="AQ59" i="20"/>
  <c r="BI59" i="20"/>
  <c r="CB59" i="20"/>
  <c r="CT59" i="20"/>
  <c r="DL59" i="20"/>
  <c r="Z59" i="20"/>
  <c r="AR59" i="20"/>
  <c r="BJ59" i="20"/>
  <c r="CC59" i="20"/>
  <c r="CU59" i="20"/>
  <c r="AA59" i="20"/>
  <c r="AS59" i="20"/>
  <c r="BL59" i="20"/>
  <c r="CD59" i="20"/>
  <c r="CV59" i="20"/>
  <c r="AB59" i="20"/>
  <c r="AT59" i="20"/>
  <c r="BM59" i="20"/>
  <c r="CE59" i="20"/>
  <c r="CW59" i="20"/>
  <c r="AH59" i="20"/>
  <c r="AZ59" i="20"/>
  <c r="BR59" i="20"/>
  <c r="CK59" i="20"/>
  <c r="DC59" i="20"/>
  <c r="R59" i="20"/>
  <c r="BT59" i="20"/>
  <c r="DF59" i="20"/>
  <c r="S59" i="20"/>
  <c r="BU59" i="20"/>
  <c r="AI59" i="20"/>
  <c r="BV59" i="20"/>
  <c r="AJ59" i="20"/>
  <c r="CL59" i="20"/>
  <c r="AK59" i="20"/>
  <c r="BA59" i="20"/>
  <c r="BB59" i="20"/>
  <c r="CN59" i="20"/>
  <c r="Q59" i="20"/>
  <c r="BD59" i="20"/>
  <c r="CM59" i="20"/>
  <c r="DD59" i="20"/>
  <c r="DE59" i="20"/>
  <c r="X169" i="20"/>
  <c r="AF169" i="20"/>
  <c r="AN169" i="20"/>
  <c r="AV169" i="20"/>
  <c r="BD169" i="20"/>
  <c r="BL169" i="20"/>
  <c r="BT169" i="20"/>
  <c r="CB169" i="20"/>
  <c r="CJ169" i="20"/>
  <c r="CR169" i="20"/>
  <c r="CZ169" i="20"/>
  <c r="DH169" i="20"/>
  <c r="T169" i="20"/>
  <c r="AB169" i="20"/>
  <c r="AJ169" i="20"/>
  <c r="AR169" i="20"/>
  <c r="AZ169" i="20"/>
  <c r="BH169" i="20"/>
  <c r="BP169" i="20"/>
  <c r="BX169" i="20"/>
  <c r="CF169" i="20"/>
  <c r="CN169" i="20"/>
  <c r="CV169" i="20"/>
  <c r="DD169" i="20"/>
  <c r="DL169" i="20"/>
  <c r="Z169" i="20"/>
  <c r="AK169" i="20"/>
  <c r="AU169" i="20"/>
  <c r="BF169" i="20"/>
  <c r="BQ169" i="20"/>
  <c r="CA169" i="20"/>
  <c r="CL169" i="20"/>
  <c r="CW169" i="20"/>
  <c r="DG169" i="20"/>
  <c r="Q169" i="20"/>
  <c r="AA169" i="20"/>
  <c r="AL169" i="20"/>
  <c r="AW169" i="20"/>
  <c r="BG169" i="20"/>
  <c r="BR169" i="20"/>
  <c r="CC169" i="20"/>
  <c r="CM169" i="20"/>
  <c r="CX169" i="20"/>
  <c r="DI169" i="20"/>
  <c r="U169" i="20"/>
  <c r="AH169" i="20"/>
  <c r="AX169" i="20"/>
  <c r="BK169" i="20"/>
  <c r="BY169" i="20"/>
  <c r="CO169" i="20"/>
  <c r="DB169" i="20"/>
  <c r="V169" i="20"/>
  <c r="AI169" i="20"/>
  <c r="AY169" i="20"/>
  <c r="BM169" i="20"/>
  <c r="BZ169" i="20"/>
  <c r="CP169" i="20"/>
  <c r="DC169" i="20"/>
  <c r="Y169" i="20"/>
  <c r="AO169" i="20"/>
  <c r="BB169" i="20"/>
  <c r="BO169" i="20"/>
  <c r="CE169" i="20"/>
  <c r="CS169" i="20"/>
  <c r="DF169" i="20"/>
  <c r="R169" i="20"/>
  <c r="AP169" i="20"/>
  <c r="BJ169" i="20"/>
  <c r="CH169" i="20"/>
  <c r="DE169" i="20"/>
  <c r="S169" i="20"/>
  <c r="AQ169" i="20"/>
  <c r="BN169" i="20"/>
  <c r="CI169" i="20"/>
  <c r="DJ169" i="20"/>
  <c r="W169" i="20"/>
  <c r="AS169" i="20"/>
  <c r="BS169" i="20"/>
  <c r="CK169" i="20"/>
  <c r="DK169" i="20"/>
  <c r="AD169" i="20"/>
  <c r="BA169" i="20"/>
  <c r="BV169" i="20"/>
  <c r="CT169" i="20"/>
  <c r="BI169" i="20"/>
  <c r="DA169" i="20"/>
  <c r="AC169" i="20"/>
  <c r="BU169" i="20"/>
  <c r="AE169" i="20"/>
  <c r="BW169" i="20"/>
  <c r="AG169" i="20"/>
  <c r="CD169" i="20"/>
  <c r="CQ169" i="20"/>
  <c r="CU169" i="20"/>
  <c r="CY169" i="20"/>
  <c r="AM169" i="20"/>
  <c r="CG169" i="20"/>
  <c r="AT169" i="20"/>
  <c r="BC169" i="20"/>
  <c r="BE169" i="20"/>
  <c r="W25" i="20"/>
  <c r="AE25" i="20"/>
  <c r="AM25" i="20"/>
  <c r="AU25" i="20"/>
  <c r="BC25" i="20"/>
  <c r="BK25" i="20"/>
  <c r="BS25" i="20"/>
  <c r="CA25" i="20"/>
  <c r="CI25" i="20"/>
  <c r="CQ25" i="20"/>
  <c r="CY25" i="20"/>
  <c r="DG25" i="20"/>
  <c r="Q25" i="20"/>
  <c r="Z25" i="20"/>
  <c r="AI25" i="20"/>
  <c r="AR25" i="20"/>
  <c r="BA25" i="20"/>
  <c r="BJ25" i="20"/>
  <c r="BT25" i="20"/>
  <c r="CC25" i="20"/>
  <c r="CL25" i="20"/>
  <c r="CU25" i="20"/>
  <c r="DD25" i="20"/>
  <c r="T25" i="20"/>
  <c r="AC25" i="20"/>
  <c r="AL25" i="20"/>
  <c r="AV25" i="20"/>
  <c r="BE25" i="20"/>
  <c r="BN25" i="20"/>
  <c r="BW25" i="20"/>
  <c r="CF25" i="20"/>
  <c r="CO25" i="20"/>
  <c r="CX25" i="20"/>
  <c r="AA25" i="20"/>
  <c r="AN25" i="20"/>
  <c r="AY25" i="20"/>
  <c r="BL25" i="20"/>
  <c r="BX25" i="20"/>
  <c r="CJ25" i="20"/>
  <c r="CV25" i="20"/>
  <c r="DH25" i="20"/>
  <c r="AB25" i="20"/>
  <c r="AO25" i="20"/>
  <c r="AZ25" i="20"/>
  <c r="BM25" i="20"/>
  <c r="BY25" i="20"/>
  <c r="CK25" i="20"/>
  <c r="CW25" i="20"/>
  <c r="DI25" i="20"/>
  <c r="U25" i="20"/>
  <c r="AJ25" i="20"/>
  <c r="BB25" i="20"/>
  <c r="BQ25" i="20"/>
  <c r="CG25" i="20"/>
  <c r="CZ25" i="20"/>
  <c r="DL25" i="20"/>
  <c r="AF25" i="20"/>
  <c r="AW25" i="20"/>
  <c r="BP25" i="20"/>
  <c r="CH25" i="20"/>
  <c r="DB25" i="20"/>
  <c r="AG25" i="20"/>
  <c r="AX25" i="20"/>
  <c r="BR25" i="20"/>
  <c r="CM25" i="20"/>
  <c r="DC25" i="20"/>
  <c r="S25" i="20"/>
  <c r="AK25" i="20"/>
  <c r="BF25" i="20"/>
  <c r="BV25" i="20"/>
  <c r="CP25" i="20"/>
  <c r="DF25" i="20"/>
  <c r="V25" i="20"/>
  <c r="AT25" i="20"/>
  <c r="CB25" i="20"/>
  <c r="DE25" i="20"/>
  <c r="X25" i="20"/>
  <c r="BD25" i="20"/>
  <c r="CD25" i="20"/>
  <c r="DJ25" i="20"/>
  <c r="AQ25" i="20"/>
  <c r="BU25" i="20"/>
  <c r="CT25" i="20"/>
  <c r="AP25" i="20"/>
  <c r="CN25" i="20"/>
  <c r="AS25" i="20"/>
  <c r="CR25" i="20"/>
  <c r="BG25" i="20"/>
  <c r="CS25" i="20"/>
  <c r="BH25" i="20"/>
  <c r="DA25" i="20"/>
  <c r="R25" i="20"/>
  <c r="DK25" i="20"/>
  <c r="Y25" i="20"/>
  <c r="AD25" i="20"/>
  <c r="AH25" i="20"/>
  <c r="BI25" i="20"/>
  <c r="BZ25" i="20"/>
  <c r="CE25" i="20"/>
  <c r="BO25" i="20"/>
  <c r="R223" i="20"/>
  <c r="Z223" i="20"/>
  <c r="AH223" i="20"/>
  <c r="AP223" i="20"/>
  <c r="AX223" i="20"/>
  <c r="BF223" i="20"/>
  <c r="BN223" i="20"/>
  <c r="BV223" i="20"/>
  <c r="CD223" i="20"/>
  <c r="CL223" i="20"/>
  <c r="CT223" i="20"/>
  <c r="DB223" i="20"/>
  <c r="DJ223" i="20"/>
  <c r="T223" i="20"/>
  <c r="AC223" i="20"/>
  <c r="AL223" i="20"/>
  <c r="AU223" i="20"/>
  <c r="BD223" i="20"/>
  <c r="BM223" i="20"/>
  <c r="BW223" i="20"/>
  <c r="CF223" i="20"/>
  <c r="CO223" i="20"/>
  <c r="CX223" i="20"/>
  <c r="DG223" i="20"/>
  <c r="V223" i="20"/>
  <c r="AF223" i="20"/>
  <c r="AQ223" i="20"/>
  <c r="BA223" i="20"/>
  <c r="BK223" i="20"/>
  <c r="BU223" i="20"/>
  <c r="CG223" i="20"/>
  <c r="CQ223" i="20"/>
  <c r="DA223" i="20"/>
  <c r="DL223" i="20"/>
  <c r="W223" i="20"/>
  <c r="AG223" i="20"/>
  <c r="AR223" i="20"/>
  <c r="BB223" i="20"/>
  <c r="BL223" i="20"/>
  <c r="BX223" i="20"/>
  <c r="CH223" i="20"/>
  <c r="CR223" i="20"/>
  <c r="DC223" i="20"/>
  <c r="Y223" i="20"/>
  <c r="AJ223" i="20"/>
  <c r="AT223" i="20"/>
  <c r="BE223" i="20"/>
  <c r="BP223" i="20"/>
  <c r="BZ223" i="20"/>
  <c r="CJ223" i="20"/>
  <c r="CU223" i="20"/>
  <c r="DE223" i="20"/>
  <c r="AA223" i="20"/>
  <c r="AO223" i="20"/>
  <c r="BH223" i="20"/>
  <c r="BY223" i="20"/>
  <c r="CN223" i="20"/>
  <c r="DF223" i="20"/>
  <c r="AD223" i="20"/>
  <c r="AV223" i="20"/>
  <c r="BJ223" i="20"/>
  <c r="CB223" i="20"/>
  <c r="CS223" i="20"/>
  <c r="DI223" i="20"/>
  <c r="AE223" i="20"/>
  <c r="AW223" i="20"/>
  <c r="BO223" i="20"/>
  <c r="CC223" i="20"/>
  <c r="CV223" i="20"/>
  <c r="DK223" i="20"/>
  <c r="Q223" i="20"/>
  <c r="AN223" i="20"/>
  <c r="BR223" i="20"/>
  <c r="CP223" i="20"/>
  <c r="S223" i="20"/>
  <c r="AS223" i="20"/>
  <c r="BS223" i="20"/>
  <c r="CW223" i="20"/>
  <c r="X223" i="20"/>
  <c r="AZ223" i="20"/>
  <c r="CA223" i="20"/>
  <c r="CZ223" i="20"/>
  <c r="AB223" i="20"/>
  <c r="BQ223" i="20"/>
  <c r="DH223" i="20"/>
  <c r="AI223" i="20"/>
  <c r="BT223" i="20"/>
  <c r="AK223" i="20"/>
  <c r="CE223" i="20"/>
  <c r="AM223" i="20"/>
  <c r="CI223" i="20"/>
  <c r="AY223" i="20"/>
  <c r="CK223" i="20"/>
  <c r="BC223" i="20"/>
  <c r="CM223" i="20"/>
  <c r="DH416" i="20"/>
  <c r="CV416" i="20"/>
  <c r="CL416" i="20"/>
  <c r="CB416" i="20"/>
  <c r="BP416" i="20"/>
  <c r="BF416" i="20"/>
  <c r="AV416" i="20"/>
  <c r="AJ416" i="20"/>
  <c r="Z416" i="20"/>
  <c r="DD414" i="20"/>
  <c r="CT414" i="20"/>
  <c r="CJ414" i="20"/>
  <c r="BX414" i="20"/>
  <c r="BN414" i="20"/>
  <c r="BD414" i="20"/>
  <c r="AR414" i="20"/>
  <c r="AH414" i="20"/>
  <c r="X414" i="20"/>
  <c r="DF411" i="20"/>
  <c r="CV411" i="20"/>
  <c r="CJ411" i="20"/>
  <c r="BZ411" i="20"/>
  <c r="BP411" i="20"/>
  <c r="BD411" i="20"/>
  <c r="AT411" i="20"/>
  <c r="AJ411" i="20"/>
  <c r="X411" i="20"/>
  <c r="CR401" i="20"/>
  <c r="CH401" i="20"/>
  <c r="BL401" i="20"/>
  <c r="BB401" i="20"/>
  <c r="AR401" i="20"/>
  <c r="V401" i="20"/>
  <c r="DH400" i="20"/>
  <c r="CL400" i="20"/>
  <c r="BP400" i="20"/>
  <c r="BF400" i="20"/>
  <c r="AV400" i="20"/>
  <c r="Z400" i="20"/>
  <c r="DG388" i="20"/>
  <c r="CV388" i="20"/>
  <c r="CH388" i="20"/>
  <c r="BW388" i="20"/>
  <c r="BK388" i="20"/>
  <c r="AX388" i="20"/>
  <c r="AL388" i="20"/>
  <c r="AA388" i="20"/>
  <c r="CD354" i="20"/>
  <c r="AV354" i="20"/>
  <c r="AH354" i="20"/>
  <c r="DB336" i="20"/>
  <c r="BQ336" i="20"/>
  <c r="AJ336" i="20"/>
  <c r="DB329" i="20"/>
  <c r="CM329" i="20"/>
  <c r="BU329" i="20"/>
  <c r="BB329" i="20"/>
  <c r="AL329" i="20"/>
  <c r="CY326" i="20"/>
  <c r="AH326" i="20"/>
  <c r="DF320" i="20"/>
  <c r="CG320" i="20"/>
  <c r="BL320" i="20"/>
  <c r="AN320" i="20"/>
  <c r="U320" i="20"/>
  <c r="CO317" i="20"/>
  <c r="BR317" i="20"/>
  <c r="AO317" i="20"/>
  <c r="DI313" i="20"/>
  <c r="CF313" i="20"/>
  <c r="BG313" i="20"/>
  <c r="AD313" i="20"/>
  <c r="H271" i="20"/>
  <c r="H384" i="20"/>
  <c r="Q3" i="20"/>
  <c r="Y3" i="20"/>
  <c r="AG3" i="20"/>
  <c r="AO3" i="20"/>
  <c r="AW3" i="20"/>
  <c r="BE3" i="20"/>
  <c r="BM3" i="20"/>
  <c r="BU3" i="20"/>
  <c r="CC3" i="20"/>
  <c r="CK3" i="20"/>
  <c r="CS3" i="20"/>
  <c r="DA3" i="20"/>
  <c r="DI3" i="20"/>
  <c r="R3" i="20"/>
  <c r="Z3" i="20"/>
  <c r="AH3" i="20"/>
  <c r="AP3" i="20"/>
  <c r="AX3" i="20"/>
  <c r="BF3" i="20"/>
  <c r="BN3" i="20"/>
  <c r="BV3" i="20"/>
  <c r="CD3" i="20"/>
  <c r="CL3" i="20"/>
  <c r="CT3" i="20"/>
  <c r="DB3" i="20"/>
  <c r="DJ3" i="20"/>
  <c r="S3" i="20"/>
  <c r="AA3" i="20"/>
  <c r="AI3" i="20"/>
  <c r="AQ3" i="20"/>
  <c r="AY3" i="20"/>
  <c r="BG3" i="20"/>
  <c r="BO3" i="20"/>
  <c r="BW3" i="20"/>
  <c r="CE3" i="20"/>
  <c r="CM3" i="20"/>
  <c r="CU3" i="20"/>
  <c r="DC3" i="20"/>
  <c r="DK3" i="20"/>
  <c r="T3" i="20"/>
  <c r="AE3" i="20"/>
  <c r="AS3" i="20"/>
  <c r="BD3" i="20"/>
  <c r="BR3" i="20"/>
  <c r="CF3" i="20"/>
  <c r="CQ3" i="20"/>
  <c r="DE3" i="20"/>
  <c r="U3" i="20"/>
  <c r="AF3" i="20"/>
  <c r="AT3" i="20"/>
  <c r="BH3" i="20"/>
  <c r="BS3" i="20"/>
  <c r="CG3" i="20"/>
  <c r="CR3" i="20"/>
  <c r="DF3" i="20"/>
  <c r="V3" i="20"/>
  <c r="AJ3" i="20"/>
  <c r="AU3" i="20"/>
  <c r="BI3" i="20"/>
  <c r="BT3" i="20"/>
  <c r="CH3" i="20"/>
  <c r="CV3" i="20"/>
  <c r="DG3" i="20"/>
  <c r="W3" i="20"/>
  <c r="AN3" i="20"/>
  <c r="BK3" i="20"/>
  <c r="CB3" i="20"/>
  <c r="CY3" i="20"/>
  <c r="X3" i="20"/>
  <c r="AR3" i="20"/>
  <c r="BL3" i="20"/>
  <c r="CI3" i="20"/>
  <c r="CZ3" i="20"/>
  <c r="AB3" i="20"/>
  <c r="AV3" i="20"/>
  <c r="BP3" i="20"/>
  <c r="CJ3" i="20"/>
  <c r="DD3" i="20"/>
  <c r="AC3" i="20"/>
  <c r="BC3" i="20"/>
  <c r="CO3" i="20"/>
  <c r="AD3" i="20"/>
  <c r="BJ3" i="20"/>
  <c r="CP3" i="20"/>
  <c r="AK3" i="20"/>
  <c r="BQ3" i="20"/>
  <c r="CW3" i="20"/>
  <c r="AL3" i="20"/>
  <c r="BX3" i="20"/>
  <c r="CX3" i="20"/>
  <c r="AM3" i="20"/>
  <c r="DH3" i="20"/>
  <c r="AZ3" i="20"/>
  <c r="DL3" i="20"/>
  <c r="BA3" i="20"/>
  <c r="BB3" i="20"/>
  <c r="BY3" i="20"/>
  <c r="BZ3" i="20"/>
  <c r="CA3" i="20"/>
  <c r="CN3" i="20"/>
  <c r="U387" i="20"/>
  <c r="AC387" i="20"/>
  <c r="AK387" i="20"/>
  <c r="AS387" i="20"/>
  <c r="BA387" i="20"/>
  <c r="BI387" i="20"/>
  <c r="BQ387" i="20"/>
  <c r="BY387" i="20"/>
  <c r="CG387" i="20"/>
  <c r="CO387" i="20"/>
  <c r="CW387" i="20"/>
  <c r="DE387" i="20"/>
  <c r="W387" i="20"/>
  <c r="AF387" i="20"/>
  <c r="AO387" i="20"/>
  <c r="AX387" i="20"/>
  <c r="BG387" i="20"/>
  <c r="BP387" i="20"/>
  <c r="BZ387" i="20"/>
  <c r="CI387" i="20"/>
  <c r="CR387" i="20"/>
  <c r="DA387" i="20"/>
  <c r="DJ387" i="20"/>
  <c r="Y387" i="20"/>
  <c r="AH387" i="20"/>
  <c r="AQ387" i="20"/>
  <c r="AZ387" i="20"/>
  <c r="BJ387" i="20"/>
  <c r="BS387" i="20"/>
  <c r="CB387" i="20"/>
  <c r="CK387" i="20"/>
  <c r="CT387" i="20"/>
  <c r="DC387" i="20"/>
  <c r="DL387" i="20"/>
  <c r="U134" i="20"/>
  <c r="AC134" i="20"/>
  <c r="AK134" i="20"/>
  <c r="AS134" i="20"/>
  <c r="BA134" i="20"/>
  <c r="BI134" i="20"/>
  <c r="BQ134" i="20"/>
  <c r="BY134" i="20"/>
  <c r="CG134" i="20"/>
  <c r="CO134" i="20"/>
  <c r="CW134" i="20"/>
  <c r="DE134" i="20"/>
  <c r="V134" i="20"/>
  <c r="AD134" i="20"/>
  <c r="AL134" i="20"/>
  <c r="AT134" i="20"/>
  <c r="BB134" i="20"/>
  <c r="BJ134" i="20"/>
  <c r="BR134" i="20"/>
  <c r="BZ134" i="20"/>
  <c r="CH134" i="20"/>
  <c r="CP134" i="20"/>
  <c r="CX134" i="20"/>
  <c r="DF134" i="20"/>
  <c r="S134" i="20"/>
  <c r="AE134" i="20"/>
  <c r="AO134" i="20"/>
  <c r="AY134" i="20"/>
  <c r="BK134" i="20"/>
  <c r="BU134" i="20"/>
  <c r="CE134" i="20"/>
  <c r="CQ134" i="20"/>
  <c r="DA134" i="20"/>
  <c r="DK134" i="20"/>
  <c r="T134" i="20"/>
  <c r="AF134" i="20"/>
  <c r="AP134" i="20"/>
  <c r="AZ134" i="20"/>
  <c r="BL134" i="20"/>
  <c r="BV134" i="20"/>
  <c r="CF134" i="20"/>
  <c r="CR134" i="20"/>
  <c r="DB134" i="20"/>
  <c r="DL134" i="20"/>
  <c r="W134" i="20"/>
  <c r="AG134" i="20"/>
  <c r="AQ134" i="20"/>
  <c r="BC134" i="20"/>
  <c r="BM134" i="20"/>
  <c r="BW134" i="20"/>
  <c r="CI134" i="20"/>
  <c r="CS134" i="20"/>
  <c r="DC134" i="20"/>
  <c r="X134" i="20"/>
  <c r="AH134" i="20"/>
  <c r="AR134" i="20"/>
  <c r="BD134" i="20"/>
  <c r="BN134" i="20"/>
  <c r="BX134" i="20"/>
  <c r="CJ134" i="20"/>
  <c r="CT134" i="20"/>
  <c r="DD134" i="20"/>
  <c r="Y134" i="20"/>
  <c r="AI134" i="20"/>
  <c r="AU134" i="20"/>
  <c r="BE134" i="20"/>
  <c r="BO134" i="20"/>
  <c r="CA134" i="20"/>
  <c r="CK134" i="20"/>
  <c r="CU134" i="20"/>
  <c r="DG134" i="20"/>
  <c r="Q134" i="20"/>
  <c r="AV134" i="20"/>
  <c r="BT134" i="20"/>
  <c r="CY134" i="20"/>
  <c r="R134" i="20"/>
  <c r="AW134" i="20"/>
  <c r="CB134" i="20"/>
  <c r="CZ134" i="20"/>
  <c r="Z134" i="20"/>
  <c r="AX134" i="20"/>
  <c r="CC134" i="20"/>
  <c r="DH134" i="20"/>
  <c r="AA134" i="20"/>
  <c r="BF134" i="20"/>
  <c r="CD134" i="20"/>
  <c r="DI134" i="20"/>
  <c r="BP134" i="20"/>
  <c r="BS134" i="20"/>
  <c r="AJ134" i="20"/>
  <c r="CM134" i="20"/>
  <c r="AM134" i="20"/>
  <c r="AN134" i="20"/>
  <c r="BG134" i="20"/>
  <c r="BH134" i="20"/>
  <c r="CL134" i="20"/>
  <c r="AB134" i="20"/>
  <c r="CN134" i="20"/>
  <c r="CV134" i="20"/>
  <c r="DJ134" i="20"/>
  <c r="U406" i="20"/>
  <c r="AC406" i="20"/>
  <c r="AK406" i="20"/>
  <c r="AS406" i="20"/>
  <c r="BA406" i="20"/>
  <c r="BI406" i="20"/>
  <c r="BQ406" i="20"/>
  <c r="BY406" i="20"/>
  <c r="CG406" i="20"/>
  <c r="CO406" i="20"/>
  <c r="CW406" i="20"/>
  <c r="DE406" i="20"/>
  <c r="W406" i="20"/>
  <c r="AE406" i="20"/>
  <c r="AM406" i="20"/>
  <c r="AU406" i="20"/>
  <c r="BC406" i="20"/>
  <c r="BK406" i="20"/>
  <c r="BS406" i="20"/>
  <c r="CA406" i="20"/>
  <c r="CI406" i="20"/>
  <c r="CQ406" i="20"/>
  <c r="CY406" i="20"/>
  <c r="DG406" i="20"/>
  <c r="U339" i="20"/>
  <c r="AC339" i="20"/>
  <c r="AK339" i="20"/>
  <c r="AS339" i="20"/>
  <c r="BA339" i="20"/>
  <c r="BI339" i="20"/>
  <c r="BQ339" i="20"/>
  <c r="BY339" i="20"/>
  <c r="CG339" i="20"/>
  <c r="CO339" i="20"/>
  <c r="CW339" i="20"/>
  <c r="DE339" i="20"/>
  <c r="W339" i="20"/>
  <c r="AE339" i="20"/>
  <c r="AM339" i="20"/>
  <c r="AU339" i="20"/>
  <c r="BC339" i="20"/>
  <c r="BK339" i="20"/>
  <c r="BS339" i="20"/>
  <c r="CA339" i="20"/>
  <c r="CI339" i="20"/>
  <c r="CQ339" i="20"/>
  <c r="CY339" i="20"/>
  <c r="DG339" i="20"/>
  <c r="Z339" i="20"/>
  <c r="AJ339" i="20"/>
  <c r="AV339" i="20"/>
  <c r="BF339" i="20"/>
  <c r="BP339" i="20"/>
  <c r="CB339" i="20"/>
  <c r="CL339" i="20"/>
  <c r="CV339" i="20"/>
  <c r="DH339" i="20"/>
  <c r="Q339" i="20"/>
  <c r="AA339" i="20"/>
  <c r="AL339" i="20"/>
  <c r="AW339" i="20"/>
  <c r="BG339" i="20"/>
  <c r="BR339" i="20"/>
  <c r="CC339" i="20"/>
  <c r="CM339" i="20"/>
  <c r="CX339" i="20"/>
  <c r="DI339" i="20"/>
  <c r="R339" i="20"/>
  <c r="AB339" i="20"/>
  <c r="AN339" i="20"/>
  <c r="AX339" i="20"/>
  <c r="BH339" i="20"/>
  <c r="BT339" i="20"/>
  <c r="CD339" i="20"/>
  <c r="CN339" i="20"/>
  <c r="CZ339" i="20"/>
  <c r="DJ339" i="20"/>
  <c r="U96" i="20"/>
  <c r="AC96" i="20"/>
  <c r="AK96" i="20"/>
  <c r="AS96" i="20"/>
  <c r="BA96" i="20"/>
  <c r="BI96" i="20"/>
  <c r="BQ96" i="20"/>
  <c r="BY96" i="20"/>
  <c r="CG96" i="20"/>
  <c r="CO96" i="20"/>
  <c r="CW96" i="20"/>
  <c r="DE96" i="20"/>
  <c r="S96" i="20"/>
  <c r="AB96" i="20"/>
  <c r="AL96" i="20"/>
  <c r="AU96" i="20"/>
  <c r="BD96" i="20"/>
  <c r="BM96" i="20"/>
  <c r="BV96" i="20"/>
  <c r="CE96" i="20"/>
  <c r="CN96" i="20"/>
  <c r="CX96" i="20"/>
  <c r="DG96" i="20"/>
  <c r="T96" i="20"/>
  <c r="AD96" i="20"/>
  <c r="AM96" i="20"/>
  <c r="AV96" i="20"/>
  <c r="BE96" i="20"/>
  <c r="BN96" i="20"/>
  <c r="BW96" i="20"/>
  <c r="CF96" i="20"/>
  <c r="CP96" i="20"/>
  <c r="CY96" i="20"/>
  <c r="DH96" i="20"/>
  <c r="R96" i="20"/>
  <c r="AF96" i="20"/>
  <c r="AQ96" i="20"/>
  <c r="BC96" i="20"/>
  <c r="BP96" i="20"/>
  <c r="CB96" i="20"/>
  <c r="CM96" i="20"/>
  <c r="DA96" i="20"/>
  <c r="DL96" i="20"/>
  <c r="X96" i="20"/>
  <c r="AI96" i="20"/>
  <c r="AW96" i="20"/>
  <c r="BH96" i="20"/>
  <c r="BT96" i="20"/>
  <c r="CH96" i="20"/>
  <c r="CS96" i="20"/>
  <c r="DD96" i="20"/>
  <c r="Y96" i="20"/>
  <c r="AJ96" i="20"/>
  <c r="AX96" i="20"/>
  <c r="BJ96" i="20"/>
  <c r="BU96" i="20"/>
  <c r="CI96" i="20"/>
  <c r="CT96" i="20"/>
  <c r="DF96" i="20"/>
  <c r="AG96" i="20"/>
  <c r="AZ96" i="20"/>
  <c r="BS96" i="20"/>
  <c r="CL96" i="20"/>
  <c r="DI96" i="20"/>
  <c r="AH96" i="20"/>
  <c r="BB96" i="20"/>
  <c r="BX96" i="20"/>
  <c r="CQ96" i="20"/>
  <c r="DJ96" i="20"/>
  <c r="Q96" i="20"/>
  <c r="AN96" i="20"/>
  <c r="BF96" i="20"/>
  <c r="BZ96" i="20"/>
  <c r="CR96" i="20"/>
  <c r="DK96" i="20"/>
  <c r="AP96" i="20"/>
  <c r="BR96" i="20"/>
  <c r="CZ96" i="20"/>
  <c r="AR96" i="20"/>
  <c r="CA96" i="20"/>
  <c r="DB96" i="20"/>
  <c r="V96" i="20"/>
  <c r="AT96" i="20"/>
  <c r="CC96" i="20"/>
  <c r="DC96" i="20"/>
  <c r="W96" i="20"/>
  <c r="AY96" i="20"/>
  <c r="CD96" i="20"/>
  <c r="Z96" i="20"/>
  <c r="BG96" i="20"/>
  <c r="CJ96" i="20"/>
  <c r="AE96" i="20"/>
  <c r="AO96" i="20"/>
  <c r="BK96" i="20"/>
  <c r="BL96" i="20"/>
  <c r="AA96" i="20"/>
  <c r="BO96" i="20"/>
  <c r="CK96" i="20"/>
  <c r="CU96" i="20"/>
  <c r="CV96" i="20"/>
  <c r="U92" i="20"/>
  <c r="AC92" i="20"/>
  <c r="AK92" i="20"/>
  <c r="AS92" i="20"/>
  <c r="BA92" i="20"/>
  <c r="BI92" i="20"/>
  <c r="BQ92" i="20"/>
  <c r="BY92" i="20"/>
  <c r="CG92" i="20"/>
  <c r="CO92" i="20"/>
  <c r="CW92" i="20"/>
  <c r="DE92" i="20"/>
  <c r="Q92" i="20"/>
  <c r="Z92" i="20"/>
  <c r="AI92" i="20"/>
  <c r="AR92" i="20"/>
  <c r="BB92" i="20"/>
  <c r="BK92" i="20"/>
  <c r="BT92" i="20"/>
  <c r="CC92" i="20"/>
  <c r="CL92" i="20"/>
  <c r="CU92" i="20"/>
  <c r="DD92" i="20"/>
  <c r="R92" i="20"/>
  <c r="AA92" i="20"/>
  <c r="AJ92" i="20"/>
  <c r="AT92" i="20"/>
  <c r="BC92" i="20"/>
  <c r="BL92" i="20"/>
  <c r="BU92" i="20"/>
  <c r="CD92" i="20"/>
  <c r="CM92" i="20"/>
  <c r="CV92" i="20"/>
  <c r="DF92" i="20"/>
  <c r="AD92" i="20"/>
  <c r="AO92" i="20"/>
  <c r="AZ92" i="20"/>
  <c r="BN92" i="20"/>
  <c r="BZ92" i="20"/>
  <c r="CK92" i="20"/>
  <c r="CY92" i="20"/>
  <c r="DJ92" i="20"/>
  <c r="V92" i="20"/>
  <c r="AG92" i="20"/>
  <c r="AU92" i="20"/>
  <c r="BF92" i="20"/>
  <c r="BR92" i="20"/>
  <c r="CE92" i="20"/>
  <c r="CQ92" i="20"/>
  <c r="DB92" i="20"/>
  <c r="W92" i="20"/>
  <c r="AH92" i="20"/>
  <c r="AV92" i="20"/>
  <c r="BG92" i="20"/>
  <c r="BS92" i="20"/>
  <c r="CF92" i="20"/>
  <c r="CR92" i="20"/>
  <c r="DC92" i="20"/>
  <c r="X92" i="20"/>
  <c r="AP92" i="20"/>
  <c r="BJ92" i="20"/>
  <c r="CB92" i="20"/>
  <c r="CX92" i="20"/>
  <c r="Y92" i="20"/>
  <c r="AQ92" i="20"/>
  <c r="BM92" i="20"/>
  <c r="CH92" i="20"/>
  <c r="CZ92" i="20"/>
  <c r="AB92" i="20"/>
  <c r="AW92" i="20"/>
  <c r="BO92" i="20"/>
  <c r="CI92" i="20"/>
  <c r="DA92" i="20"/>
  <c r="AL92" i="20"/>
  <c r="BP92" i="20"/>
  <c r="CS92" i="20"/>
  <c r="AM92" i="20"/>
  <c r="BV92" i="20"/>
  <c r="CT92" i="20"/>
  <c r="AN92" i="20"/>
  <c r="BW92" i="20"/>
  <c r="DG92" i="20"/>
  <c r="AX92" i="20"/>
  <c r="BX92" i="20"/>
  <c r="DH92" i="20"/>
  <c r="S92" i="20"/>
  <c r="AY92" i="20"/>
  <c r="CA92" i="20"/>
  <c r="DI92" i="20"/>
  <c r="CN92" i="20"/>
  <c r="T92" i="20"/>
  <c r="CP92" i="20"/>
  <c r="AE92" i="20"/>
  <c r="DK92" i="20"/>
  <c r="AF92" i="20"/>
  <c r="DL92" i="20"/>
  <c r="BD92" i="20"/>
  <c r="BH92" i="20"/>
  <c r="CJ92" i="20"/>
  <c r="BE92" i="20"/>
  <c r="R231" i="20"/>
  <c r="Z231" i="20"/>
  <c r="AH231" i="20"/>
  <c r="AP231" i="20"/>
  <c r="AX231" i="20"/>
  <c r="BF231" i="20"/>
  <c r="BN231" i="20"/>
  <c r="BV231" i="20"/>
  <c r="CD231" i="20"/>
  <c r="CL231" i="20"/>
  <c r="CT231" i="20"/>
  <c r="DB231" i="20"/>
  <c r="DJ231" i="20"/>
  <c r="X231" i="20"/>
  <c r="AG231" i="20"/>
  <c r="AQ231" i="20"/>
  <c r="AZ231" i="20"/>
  <c r="BI231" i="20"/>
  <c r="BR231" i="20"/>
  <c r="CA231" i="20"/>
  <c r="CJ231" i="20"/>
  <c r="CS231" i="20"/>
  <c r="DC231" i="20"/>
  <c r="DL231" i="20"/>
  <c r="AA231" i="20"/>
  <c r="AK231" i="20"/>
  <c r="AU231" i="20"/>
  <c r="BE231" i="20"/>
  <c r="BP231" i="20"/>
  <c r="BZ231" i="20"/>
  <c r="CK231" i="20"/>
  <c r="CV231" i="20"/>
  <c r="DF231" i="20"/>
  <c r="Q231" i="20"/>
  <c r="AB231" i="20"/>
  <c r="AL231" i="20"/>
  <c r="AV231" i="20"/>
  <c r="BG231" i="20"/>
  <c r="BQ231" i="20"/>
  <c r="CB231" i="20"/>
  <c r="CM231" i="20"/>
  <c r="CW231" i="20"/>
  <c r="DG231" i="20"/>
  <c r="T231" i="20"/>
  <c r="AD231" i="20"/>
  <c r="AN231" i="20"/>
  <c r="AY231" i="20"/>
  <c r="BJ231" i="20"/>
  <c r="BT231" i="20"/>
  <c r="CE231" i="20"/>
  <c r="CO231" i="20"/>
  <c r="CY231" i="20"/>
  <c r="DI231" i="20"/>
  <c r="AC231" i="20"/>
  <c r="AS231" i="20"/>
  <c r="BK231" i="20"/>
  <c r="BY231" i="20"/>
  <c r="CQ231" i="20"/>
  <c r="DH231" i="20"/>
  <c r="AF231" i="20"/>
  <c r="AW231" i="20"/>
  <c r="BM231" i="20"/>
  <c r="CF231" i="20"/>
  <c r="CU231" i="20"/>
  <c r="S231" i="20"/>
  <c r="AI231" i="20"/>
  <c r="BA231" i="20"/>
  <c r="BO231" i="20"/>
  <c r="CG231" i="20"/>
  <c r="CX231" i="20"/>
  <c r="U231" i="20"/>
  <c r="AR231" i="20"/>
  <c r="BU231" i="20"/>
  <c r="CR231" i="20"/>
  <c r="V231" i="20"/>
  <c r="AT231" i="20"/>
  <c r="BW231" i="20"/>
  <c r="CZ231" i="20"/>
  <c r="Y231" i="20"/>
  <c r="BC231" i="20"/>
  <c r="CC231" i="20"/>
  <c r="DD231" i="20"/>
  <c r="AM231" i="20"/>
  <c r="CH231" i="20"/>
  <c r="AO231" i="20"/>
  <c r="CI231" i="20"/>
  <c r="BB231" i="20"/>
  <c r="CN231" i="20"/>
  <c r="BD231" i="20"/>
  <c r="CP231" i="20"/>
  <c r="BH231" i="20"/>
  <c r="DA231" i="20"/>
  <c r="W231" i="20"/>
  <c r="BL231" i="20"/>
  <c r="DE231" i="20"/>
  <c r="Q356" i="20"/>
  <c r="Y356" i="20"/>
  <c r="AG356" i="20"/>
  <c r="AO356" i="20"/>
  <c r="AW356" i="20"/>
  <c r="BE356" i="20"/>
  <c r="BM356" i="20"/>
  <c r="BU356" i="20"/>
  <c r="CC356" i="20"/>
  <c r="CK356" i="20"/>
  <c r="CS356" i="20"/>
  <c r="DA356" i="20"/>
  <c r="DI356" i="20"/>
  <c r="S356" i="20"/>
  <c r="AA356" i="20"/>
  <c r="AI356" i="20"/>
  <c r="AQ356" i="20"/>
  <c r="AY356" i="20"/>
  <c r="BG356" i="20"/>
  <c r="BO356" i="20"/>
  <c r="BW356" i="20"/>
  <c r="CE356" i="20"/>
  <c r="CM356" i="20"/>
  <c r="CU356" i="20"/>
  <c r="DC356" i="20"/>
  <c r="DK356" i="20"/>
  <c r="V356" i="20"/>
  <c r="AF356" i="20"/>
  <c r="AR356" i="20"/>
  <c r="BB356" i="20"/>
  <c r="BL356" i="20"/>
  <c r="BX356" i="20"/>
  <c r="CH356" i="20"/>
  <c r="CR356" i="20"/>
  <c r="DD356" i="20"/>
  <c r="W356" i="20"/>
  <c r="AH356" i="20"/>
  <c r="AS356" i="20"/>
  <c r="BC356" i="20"/>
  <c r="BN356" i="20"/>
  <c r="BY356" i="20"/>
  <c r="CI356" i="20"/>
  <c r="CT356" i="20"/>
  <c r="DE356" i="20"/>
  <c r="X356" i="20"/>
  <c r="AJ356" i="20"/>
  <c r="AT356" i="20"/>
  <c r="BD356" i="20"/>
  <c r="BP356" i="20"/>
  <c r="BZ356" i="20"/>
  <c r="CJ356" i="20"/>
  <c r="CV356" i="20"/>
  <c r="DF356" i="20"/>
  <c r="U86" i="20"/>
  <c r="AC86" i="20"/>
  <c r="AK86" i="20"/>
  <c r="AS86" i="20"/>
  <c r="BA86" i="20"/>
  <c r="BI86" i="20"/>
  <c r="BQ86" i="20"/>
  <c r="BY86" i="20"/>
  <c r="CG86" i="20"/>
  <c r="CO86" i="20"/>
  <c r="CW86" i="20"/>
  <c r="DE86" i="20"/>
  <c r="W86" i="20"/>
  <c r="AF86" i="20"/>
  <c r="AO86" i="20"/>
  <c r="AX86" i="20"/>
  <c r="BG86" i="20"/>
  <c r="BP86" i="20"/>
  <c r="BZ86" i="20"/>
  <c r="CI86" i="20"/>
  <c r="CR86" i="20"/>
  <c r="DA86" i="20"/>
  <c r="DJ86" i="20"/>
  <c r="X86" i="20"/>
  <c r="AG86" i="20"/>
  <c r="AP86" i="20"/>
  <c r="AY86" i="20"/>
  <c r="BH86" i="20"/>
  <c r="BR86" i="20"/>
  <c r="CA86" i="20"/>
  <c r="CJ86" i="20"/>
  <c r="CS86" i="20"/>
  <c r="DB86" i="20"/>
  <c r="DK86" i="20"/>
  <c r="R86" i="20"/>
  <c r="AD86" i="20"/>
  <c r="AQ86" i="20"/>
  <c r="BC86" i="20"/>
  <c r="BN86" i="20"/>
  <c r="CB86" i="20"/>
  <c r="CM86" i="20"/>
  <c r="CY86" i="20"/>
  <c r="DL86" i="20"/>
  <c r="AB86" i="20"/>
  <c r="AR86" i="20"/>
  <c r="BE86" i="20"/>
  <c r="BT86" i="20"/>
  <c r="CF86" i="20"/>
  <c r="CU86" i="20"/>
  <c r="DH86" i="20"/>
  <c r="S86" i="20"/>
  <c r="AH86" i="20"/>
  <c r="AU86" i="20"/>
  <c r="BJ86" i="20"/>
  <c r="BV86" i="20"/>
  <c r="CK86" i="20"/>
  <c r="CX86" i="20"/>
  <c r="T86" i="20"/>
  <c r="AI86" i="20"/>
  <c r="AV86" i="20"/>
  <c r="BK86" i="20"/>
  <c r="BW86" i="20"/>
  <c r="CL86" i="20"/>
  <c r="CZ86" i="20"/>
  <c r="V86" i="20"/>
  <c r="AJ86" i="20"/>
  <c r="AW86" i="20"/>
  <c r="BL86" i="20"/>
  <c r="BX86" i="20"/>
  <c r="CN86" i="20"/>
  <c r="DC86" i="20"/>
  <c r="Z86" i="20"/>
  <c r="BB86" i="20"/>
  <c r="CD86" i="20"/>
  <c r="DF86" i="20"/>
  <c r="AA86" i="20"/>
  <c r="BD86" i="20"/>
  <c r="CE86" i="20"/>
  <c r="DG86" i="20"/>
  <c r="AE86" i="20"/>
  <c r="BF86" i="20"/>
  <c r="CH86" i="20"/>
  <c r="DI86" i="20"/>
  <c r="AM86" i="20"/>
  <c r="CC86" i="20"/>
  <c r="AN86" i="20"/>
  <c r="CP86" i="20"/>
  <c r="AT86" i="20"/>
  <c r="CQ86" i="20"/>
  <c r="AZ86" i="20"/>
  <c r="CT86" i="20"/>
  <c r="BM86" i="20"/>
  <c r="CV86" i="20"/>
  <c r="AL86" i="20"/>
  <c r="BO86" i="20"/>
  <c r="BS86" i="20"/>
  <c r="BU86" i="20"/>
  <c r="DD86" i="20"/>
  <c r="Q86" i="20"/>
  <c r="Y86" i="20"/>
  <c r="U337" i="20"/>
  <c r="AC337" i="20"/>
  <c r="AK337" i="20"/>
  <c r="AS337" i="20"/>
  <c r="BA337" i="20"/>
  <c r="BI337" i="20"/>
  <c r="BQ337" i="20"/>
  <c r="BY337" i="20"/>
  <c r="CG337" i="20"/>
  <c r="CO337" i="20"/>
  <c r="CW337" i="20"/>
  <c r="DE337" i="20"/>
  <c r="W337" i="20"/>
  <c r="AE337" i="20"/>
  <c r="AM337" i="20"/>
  <c r="AU337" i="20"/>
  <c r="BC337" i="20"/>
  <c r="BK337" i="20"/>
  <c r="BS337" i="20"/>
  <c r="CA337" i="20"/>
  <c r="CI337" i="20"/>
  <c r="CQ337" i="20"/>
  <c r="CY337" i="20"/>
  <c r="DG337" i="20"/>
  <c r="X337" i="20"/>
  <c r="AH337" i="20"/>
  <c r="AR337" i="20"/>
  <c r="BD337" i="20"/>
  <c r="BN337" i="20"/>
  <c r="BX337" i="20"/>
  <c r="CJ337" i="20"/>
  <c r="CT337" i="20"/>
  <c r="DD337" i="20"/>
  <c r="Y337" i="20"/>
  <c r="AI337" i="20"/>
  <c r="AT337" i="20"/>
  <c r="BE337" i="20"/>
  <c r="BO337" i="20"/>
  <c r="BZ337" i="20"/>
  <c r="CK337" i="20"/>
  <c r="CU337" i="20"/>
  <c r="DF337" i="20"/>
  <c r="Z337" i="20"/>
  <c r="AJ337" i="20"/>
  <c r="AV337" i="20"/>
  <c r="BF337" i="20"/>
  <c r="BP337" i="20"/>
  <c r="CB337" i="20"/>
  <c r="CL337" i="20"/>
  <c r="CV337" i="20"/>
  <c r="DH337" i="20"/>
  <c r="Q399" i="20"/>
  <c r="Y399" i="20"/>
  <c r="AG399" i="20"/>
  <c r="AO399" i="20"/>
  <c r="AW399" i="20"/>
  <c r="BE399" i="20"/>
  <c r="BM399" i="20"/>
  <c r="BU399" i="20"/>
  <c r="CC399" i="20"/>
  <c r="CK399" i="20"/>
  <c r="CS399" i="20"/>
  <c r="DA399" i="20"/>
  <c r="DI399" i="20"/>
  <c r="S399" i="20"/>
  <c r="AA399" i="20"/>
  <c r="AI399" i="20"/>
  <c r="AQ399" i="20"/>
  <c r="AY399" i="20"/>
  <c r="BG399" i="20"/>
  <c r="BO399" i="20"/>
  <c r="BW399" i="20"/>
  <c r="CE399" i="20"/>
  <c r="CM399" i="20"/>
  <c r="CU399" i="20"/>
  <c r="DC399" i="20"/>
  <c r="DK399" i="20"/>
  <c r="S66" i="20"/>
  <c r="AA66" i="20"/>
  <c r="AI66" i="20"/>
  <c r="AQ66" i="20"/>
  <c r="AY66" i="20"/>
  <c r="BG66" i="20"/>
  <c r="BO66" i="20"/>
  <c r="BW66" i="20"/>
  <c r="CE66" i="20"/>
  <c r="CM66" i="20"/>
  <c r="CU66" i="20"/>
  <c r="DC66" i="20"/>
  <c r="DK66" i="20"/>
  <c r="X66" i="20"/>
  <c r="AG66" i="20"/>
  <c r="AP66" i="20"/>
  <c r="AZ66" i="20"/>
  <c r="BI66" i="20"/>
  <c r="BR66" i="20"/>
  <c r="CA66" i="20"/>
  <c r="CJ66" i="20"/>
  <c r="CS66" i="20"/>
  <c r="DB66" i="20"/>
  <c r="DL66" i="20"/>
  <c r="Y66" i="20"/>
  <c r="AH66" i="20"/>
  <c r="AR66" i="20"/>
  <c r="BA66" i="20"/>
  <c r="BJ66" i="20"/>
  <c r="BS66" i="20"/>
  <c r="CB66" i="20"/>
  <c r="CK66" i="20"/>
  <c r="CT66" i="20"/>
  <c r="DD66" i="20"/>
  <c r="R66" i="20"/>
  <c r="AB66" i="20"/>
  <c r="AK66" i="20"/>
  <c r="AT66" i="20"/>
  <c r="BC66" i="20"/>
  <c r="BL66" i="20"/>
  <c r="BU66" i="20"/>
  <c r="CD66" i="20"/>
  <c r="CN66" i="20"/>
  <c r="CW66" i="20"/>
  <c r="DF66" i="20"/>
  <c r="Z66" i="20"/>
  <c r="AN66" i="20"/>
  <c r="BD66" i="20"/>
  <c r="BQ66" i="20"/>
  <c r="CG66" i="20"/>
  <c r="CV66" i="20"/>
  <c r="DI66" i="20"/>
  <c r="AC66" i="20"/>
  <c r="AO66" i="20"/>
  <c r="BE66" i="20"/>
  <c r="BT66" i="20"/>
  <c r="CH66" i="20"/>
  <c r="CX66" i="20"/>
  <c r="DJ66" i="20"/>
  <c r="AD66" i="20"/>
  <c r="AS66" i="20"/>
  <c r="BF66" i="20"/>
  <c r="BV66" i="20"/>
  <c r="CI66" i="20"/>
  <c r="CY66" i="20"/>
  <c r="AE66" i="20"/>
  <c r="AU66" i="20"/>
  <c r="BH66" i="20"/>
  <c r="BX66" i="20"/>
  <c r="CL66" i="20"/>
  <c r="CZ66" i="20"/>
  <c r="AJ66" i="20"/>
  <c r="BM66" i="20"/>
  <c r="CP66" i="20"/>
  <c r="AL66" i="20"/>
  <c r="BN66" i="20"/>
  <c r="CQ66" i="20"/>
  <c r="AM66" i="20"/>
  <c r="BP66" i="20"/>
  <c r="CR66" i="20"/>
  <c r="AF66" i="20"/>
  <c r="CC66" i="20"/>
  <c r="AV66" i="20"/>
  <c r="CF66" i="20"/>
  <c r="AW66" i="20"/>
  <c r="CO66" i="20"/>
  <c r="U66" i="20"/>
  <c r="BK66" i="20"/>
  <c r="DG66" i="20"/>
  <c r="BB66" i="20"/>
  <c r="BY66" i="20"/>
  <c r="BZ66" i="20"/>
  <c r="DA66" i="20"/>
  <c r="T66" i="20"/>
  <c r="DE66" i="20"/>
  <c r="AX66" i="20"/>
  <c r="DH66" i="20"/>
  <c r="V66" i="20"/>
  <c r="W66" i="20"/>
  <c r="X127" i="20"/>
  <c r="AF127" i="20"/>
  <c r="AN127" i="20"/>
  <c r="AV127" i="20"/>
  <c r="BD127" i="20"/>
  <c r="BL127" i="20"/>
  <c r="BT127" i="20"/>
  <c r="CB127" i="20"/>
  <c r="Q127" i="20"/>
  <c r="Z127" i="20"/>
  <c r="AI127" i="20"/>
  <c r="AR127" i="20"/>
  <c r="BA127" i="20"/>
  <c r="BJ127" i="20"/>
  <c r="BS127" i="20"/>
  <c r="CC127" i="20"/>
  <c r="CK127" i="20"/>
  <c r="CS127" i="20"/>
  <c r="DA127" i="20"/>
  <c r="DI127" i="20"/>
  <c r="R127" i="20"/>
  <c r="AA127" i="20"/>
  <c r="AJ127" i="20"/>
  <c r="AS127" i="20"/>
  <c r="BB127" i="20"/>
  <c r="BK127" i="20"/>
  <c r="BU127" i="20"/>
  <c r="CD127" i="20"/>
  <c r="CL127" i="20"/>
  <c r="CT127" i="20"/>
  <c r="DB127" i="20"/>
  <c r="DJ127" i="20"/>
  <c r="S127" i="20"/>
  <c r="AD127" i="20"/>
  <c r="AP127" i="20"/>
  <c r="BC127" i="20"/>
  <c r="BO127" i="20"/>
  <c r="BZ127" i="20"/>
  <c r="CM127" i="20"/>
  <c r="CW127" i="20"/>
  <c r="DG127" i="20"/>
  <c r="T127" i="20"/>
  <c r="AE127" i="20"/>
  <c r="AQ127" i="20"/>
  <c r="BE127" i="20"/>
  <c r="BP127" i="20"/>
  <c r="CA127" i="20"/>
  <c r="CN127" i="20"/>
  <c r="CX127" i="20"/>
  <c r="DH127" i="20"/>
  <c r="U127" i="20"/>
  <c r="AG127" i="20"/>
  <c r="AT127" i="20"/>
  <c r="BF127" i="20"/>
  <c r="BQ127" i="20"/>
  <c r="CE127" i="20"/>
  <c r="CO127" i="20"/>
  <c r="CY127" i="20"/>
  <c r="DK127" i="20"/>
  <c r="V127" i="20"/>
  <c r="AH127" i="20"/>
  <c r="AU127" i="20"/>
  <c r="BG127" i="20"/>
  <c r="BR127" i="20"/>
  <c r="CF127" i="20"/>
  <c r="CP127" i="20"/>
  <c r="CZ127" i="20"/>
  <c r="DL127" i="20"/>
  <c r="W127" i="20"/>
  <c r="AK127" i="20"/>
  <c r="AW127" i="20"/>
  <c r="BH127" i="20"/>
  <c r="BV127" i="20"/>
  <c r="CG127" i="20"/>
  <c r="CQ127" i="20"/>
  <c r="DC127" i="20"/>
  <c r="AB127" i="20"/>
  <c r="BI127" i="20"/>
  <c r="CJ127" i="20"/>
  <c r="AC127" i="20"/>
  <c r="BM127" i="20"/>
  <c r="CR127" i="20"/>
  <c r="AL127" i="20"/>
  <c r="BN127" i="20"/>
  <c r="CU127" i="20"/>
  <c r="AM127" i="20"/>
  <c r="BW127" i="20"/>
  <c r="CV127" i="20"/>
  <c r="CH127" i="20"/>
  <c r="Y127" i="20"/>
  <c r="CI127" i="20"/>
  <c r="AO127" i="20"/>
  <c r="DD127" i="20"/>
  <c r="AX127" i="20"/>
  <c r="DE127" i="20"/>
  <c r="DF127" i="20"/>
  <c r="AY127" i="20"/>
  <c r="BY127" i="20"/>
  <c r="AZ127" i="20"/>
  <c r="BX127" i="20"/>
  <c r="Q346" i="20"/>
  <c r="Y346" i="20"/>
  <c r="AG346" i="20"/>
  <c r="AO346" i="20"/>
  <c r="AW346" i="20"/>
  <c r="BE346" i="20"/>
  <c r="BM346" i="20"/>
  <c r="BU346" i="20"/>
  <c r="CC346" i="20"/>
  <c r="CK346" i="20"/>
  <c r="CS346" i="20"/>
  <c r="DA346" i="20"/>
  <c r="DI346" i="20"/>
  <c r="S346" i="20"/>
  <c r="AA346" i="20"/>
  <c r="AI346" i="20"/>
  <c r="AQ346" i="20"/>
  <c r="AY346" i="20"/>
  <c r="BG346" i="20"/>
  <c r="BO346" i="20"/>
  <c r="BW346" i="20"/>
  <c r="CE346" i="20"/>
  <c r="CM346" i="20"/>
  <c r="CU346" i="20"/>
  <c r="DC346" i="20"/>
  <c r="DK346" i="20"/>
  <c r="T346" i="20"/>
  <c r="AD346" i="20"/>
  <c r="AN346" i="20"/>
  <c r="AZ346" i="20"/>
  <c r="BJ346" i="20"/>
  <c r="BT346" i="20"/>
  <c r="CF346" i="20"/>
  <c r="CP346" i="20"/>
  <c r="CZ346" i="20"/>
  <c r="DL346" i="20"/>
  <c r="U346" i="20"/>
  <c r="AE346" i="20"/>
  <c r="AP346" i="20"/>
  <c r="BA346" i="20"/>
  <c r="BK346" i="20"/>
  <c r="BV346" i="20"/>
  <c r="CG346" i="20"/>
  <c r="CQ346" i="20"/>
  <c r="DB346" i="20"/>
  <c r="V346" i="20"/>
  <c r="AF346" i="20"/>
  <c r="AR346" i="20"/>
  <c r="BB346" i="20"/>
  <c r="BL346" i="20"/>
  <c r="BX346" i="20"/>
  <c r="CH346" i="20"/>
  <c r="CR346" i="20"/>
  <c r="DD346" i="20"/>
  <c r="U104" i="20"/>
  <c r="AC104" i="20"/>
  <c r="AK104" i="20"/>
  <c r="AS104" i="20"/>
  <c r="BA104" i="20"/>
  <c r="BI104" i="20"/>
  <c r="BQ104" i="20"/>
  <c r="BY104" i="20"/>
  <c r="CG104" i="20"/>
  <c r="CO104" i="20"/>
  <c r="CW104" i="20"/>
  <c r="DE104" i="20"/>
  <c r="X104" i="20"/>
  <c r="AG104" i="20"/>
  <c r="AP104" i="20"/>
  <c r="AY104" i="20"/>
  <c r="BH104" i="20"/>
  <c r="BR104" i="20"/>
  <c r="CA104" i="20"/>
  <c r="CJ104" i="20"/>
  <c r="CS104" i="20"/>
  <c r="DB104" i="20"/>
  <c r="DK104" i="20"/>
  <c r="Y104" i="20"/>
  <c r="AH104" i="20"/>
  <c r="AQ104" i="20"/>
  <c r="AZ104" i="20"/>
  <c r="BJ104" i="20"/>
  <c r="BS104" i="20"/>
  <c r="CB104" i="20"/>
  <c r="CK104" i="20"/>
  <c r="CT104" i="20"/>
  <c r="DC104" i="20"/>
  <c r="DL104" i="20"/>
  <c r="W104" i="20"/>
  <c r="AJ104" i="20"/>
  <c r="AV104" i="20"/>
  <c r="BG104" i="20"/>
  <c r="BU104" i="20"/>
  <c r="CF104" i="20"/>
  <c r="CR104" i="20"/>
  <c r="DF104" i="20"/>
  <c r="Q104" i="20"/>
  <c r="AB104" i="20"/>
  <c r="AN104" i="20"/>
  <c r="BB104" i="20"/>
  <c r="BM104" i="20"/>
  <c r="BX104" i="20"/>
  <c r="CL104" i="20"/>
  <c r="CX104" i="20"/>
  <c r="DI104" i="20"/>
  <c r="R104" i="20"/>
  <c r="AD104" i="20"/>
  <c r="AO104" i="20"/>
  <c r="BC104" i="20"/>
  <c r="BN104" i="20"/>
  <c r="BZ104" i="20"/>
  <c r="CM104" i="20"/>
  <c r="CY104" i="20"/>
  <c r="DJ104" i="20"/>
  <c r="AF104" i="20"/>
  <c r="AX104" i="20"/>
  <c r="BT104" i="20"/>
  <c r="CN104" i="20"/>
  <c r="DG104" i="20"/>
  <c r="AI104" i="20"/>
  <c r="BD104" i="20"/>
  <c r="BV104" i="20"/>
  <c r="CP104" i="20"/>
  <c r="DH104" i="20"/>
  <c r="S104" i="20"/>
  <c r="AR104" i="20"/>
  <c r="BO104" i="20"/>
  <c r="CQ104" i="20"/>
  <c r="T104" i="20"/>
  <c r="AT104" i="20"/>
  <c r="BP104" i="20"/>
  <c r="CU104" i="20"/>
  <c r="V104" i="20"/>
  <c r="AU104" i="20"/>
  <c r="BW104" i="20"/>
  <c r="CV104" i="20"/>
  <c r="Z104" i="20"/>
  <c r="AW104" i="20"/>
  <c r="CC104" i="20"/>
  <c r="CZ104" i="20"/>
  <c r="AA104" i="20"/>
  <c r="BE104" i="20"/>
  <c r="CD104" i="20"/>
  <c r="DA104" i="20"/>
  <c r="BL104" i="20"/>
  <c r="CE104" i="20"/>
  <c r="CH104" i="20"/>
  <c r="AE104" i="20"/>
  <c r="CI104" i="20"/>
  <c r="AL104" i="20"/>
  <c r="AM104" i="20"/>
  <c r="BF104" i="20"/>
  <c r="BK104" i="20"/>
  <c r="DD104" i="20"/>
  <c r="U186" i="20"/>
  <c r="AC186" i="20"/>
  <c r="AK186" i="20"/>
  <c r="AS186" i="20"/>
  <c r="BA186" i="20"/>
  <c r="BI186" i="20"/>
  <c r="BQ186" i="20"/>
  <c r="BY186" i="20"/>
  <c r="CG186" i="20"/>
  <c r="CO186" i="20"/>
  <c r="CW186" i="20"/>
  <c r="DE186" i="20"/>
  <c r="V186" i="20"/>
  <c r="AD186" i="20"/>
  <c r="AL186" i="20"/>
  <c r="AT186" i="20"/>
  <c r="BB186" i="20"/>
  <c r="BJ186" i="20"/>
  <c r="BR186" i="20"/>
  <c r="BZ186" i="20"/>
  <c r="CH186" i="20"/>
  <c r="CP186" i="20"/>
  <c r="CX186" i="20"/>
  <c r="DF186" i="20"/>
  <c r="W186" i="20"/>
  <c r="AG186" i="20"/>
  <c r="AQ186" i="20"/>
  <c r="BC186" i="20"/>
  <c r="BM186" i="20"/>
  <c r="BW186" i="20"/>
  <c r="CI186" i="20"/>
  <c r="CS186" i="20"/>
  <c r="DC186" i="20"/>
  <c r="X186" i="20"/>
  <c r="AH186" i="20"/>
  <c r="AR186" i="20"/>
  <c r="BD186" i="20"/>
  <c r="BN186" i="20"/>
  <c r="BX186" i="20"/>
  <c r="CJ186" i="20"/>
  <c r="CT186" i="20"/>
  <c r="DD186" i="20"/>
  <c r="S186" i="20"/>
  <c r="AI186" i="20"/>
  <c r="AW186" i="20"/>
  <c r="BK186" i="20"/>
  <c r="CA186" i="20"/>
  <c r="CM186" i="20"/>
  <c r="DA186" i="20"/>
  <c r="T186" i="20"/>
  <c r="AJ186" i="20"/>
  <c r="AX186" i="20"/>
  <c r="BL186" i="20"/>
  <c r="CB186" i="20"/>
  <c r="CN186" i="20"/>
  <c r="DB186" i="20"/>
  <c r="Y186" i="20"/>
  <c r="AM186" i="20"/>
  <c r="AY186" i="20"/>
  <c r="BO186" i="20"/>
  <c r="CC186" i="20"/>
  <c r="CQ186" i="20"/>
  <c r="DG186" i="20"/>
  <c r="AA186" i="20"/>
  <c r="AO186" i="20"/>
  <c r="BE186" i="20"/>
  <c r="BS186" i="20"/>
  <c r="CE186" i="20"/>
  <c r="CU186" i="20"/>
  <c r="DI186" i="20"/>
  <c r="R186" i="20"/>
  <c r="AV186" i="20"/>
  <c r="BV186" i="20"/>
  <c r="CZ186" i="20"/>
  <c r="Z186" i="20"/>
  <c r="AZ186" i="20"/>
  <c r="CD186" i="20"/>
  <c r="DH186" i="20"/>
  <c r="AB186" i="20"/>
  <c r="BF186" i="20"/>
  <c r="CF186" i="20"/>
  <c r="DJ186" i="20"/>
  <c r="AE186" i="20"/>
  <c r="BG186" i="20"/>
  <c r="CK186" i="20"/>
  <c r="DK186" i="20"/>
  <c r="BP186" i="20"/>
  <c r="BT186" i="20"/>
  <c r="Q186" i="20"/>
  <c r="AF186" i="20"/>
  <c r="CL186" i="20"/>
  <c r="AN186" i="20"/>
  <c r="DL186" i="20"/>
  <c r="AP186" i="20"/>
  <c r="CY186" i="20"/>
  <c r="CR186" i="20"/>
  <c r="CV186" i="20"/>
  <c r="AU186" i="20"/>
  <c r="S269" i="20"/>
  <c r="AA269" i="20"/>
  <c r="AI269" i="20"/>
  <c r="AQ269" i="20"/>
  <c r="AY269" i="20"/>
  <c r="BG269" i="20"/>
  <c r="BO269" i="20"/>
  <c r="BW269" i="20"/>
  <c r="CE269" i="20"/>
  <c r="CM269" i="20"/>
  <c r="CU269" i="20"/>
  <c r="DC269" i="20"/>
  <c r="DK269" i="20"/>
  <c r="Q269" i="20"/>
  <c r="Z269" i="20"/>
  <c r="AJ269" i="20"/>
  <c r="AS269" i="20"/>
  <c r="BB269" i="20"/>
  <c r="BK269" i="20"/>
  <c r="BT269" i="20"/>
  <c r="CC269" i="20"/>
  <c r="CL269" i="20"/>
  <c r="CV269" i="20"/>
  <c r="DE269" i="20"/>
  <c r="R269" i="20"/>
  <c r="AB269" i="20"/>
  <c r="AK269" i="20"/>
  <c r="AT269" i="20"/>
  <c r="BC269" i="20"/>
  <c r="BL269" i="20"/>
  <c r="BU269" i="20"/>
  <c r="CD269" i="20"/>
  <c r="CN269" i="20"/>
  <c r="CW269" i="20"/>
  <c r="DF269" i="20"/>
  <c r="U269" i="20"/>
  <c r="AF269" i="20"/>
  <c r="AR269" i="20"/>
  <c r="BE269" i="20"/>
  <c r="BQ269" i="20"/>
  <c r="CB269" i="20"/>
  <c r="CP269" i="20"/>
  <c r="DA269" i="20"/>
  <c r="V269" i="20"/>
  <c r="AG269" i="20"/>
  <c r="AU269" i="20"/>
  <c r="BF269" i="20"/>
  <c r="BR269" i="20"/>
  <c r="CF269" i="20"/>
  <c r="CQ269" i="20"/>
  <c r="DB269" i="20"/>
  <c r="X269" i="20"/>
  <c r="AL269" i="20"/>
  <c r="AW269" i="20"/>
  <c r="BI269" i="20"/>
  <c r="BV269" i="20"/>
  <c r="CH269" i="20"/>
  <c r="CS269" i="20"/>
  <c r="DG269" i="20"/>
  <c r="W269" i="20"/>
  <c r="AO269" i="20"/>
  <c r="BJ269" i="20"/>
  <c r="CA269" i="20"/>
  <c r="CX269" i="20"/>
  <c r="Y269" i="20"/>
  <c r="AP269" i="20"/>
  <c r="BM269" i="20"/>
  <c r="CG269" i="20"/>
  <c r="CY269" i="20"/>
  <c r="AC269" i="20"/>
  <c r="AV269" i="20"/>
  <c r="BN269" i="20"/>
  <c r="CI269" i="20"/>
  <c r="CZ269" i="20"/>
  <c r="AD269" i="20"/>
  <c r="AX269" i="20"/>
  <c r="BP269" i="20"/>
  <c r="CJ269" i="20"/>
  <c r="DD269" i="20"/>
  <c r="S26" i="20"/>
  <c r="AA26" i="20"/>
  <c r="AI26" i="20"/>
  <c r="AQ26" i="20"/>
  <c r="AY26" i="20"/>
  <c r="BG26" i="20"/>
  <c r="BO26" i="20"/>
  <c r="BW26" i="20"/>
  <c r="CE26" i="20"/>
  <c r="CM26" i="20"/>
  <c r="CU26" i="20"/>
  <c r="DC26" i="20"/>
  <c r="DK26" i="20"/>
  <c r="Q26" i="20"/>
  <c r="Z26" i="20"/>
  <c r="AJ26" i="20"/>
  <c r="AS26" i="20"/>
  <c r="BB26" i="20"/>
  <c r="BK26" i="20"/>
  <c r="BT26" i="20"/>
  <c r="CC26" i="20"/>
  <c r="CL26" i="20"/>
  <c r="CV26" i="20"/>
  <c r="DE26" i="20"/>
  <c r="V26" i="20"/>
  <c r="AF26" i="20"/>
  <c r="AP26" i="20"/>
  <c r="BA26" i="20"/>
  <c r="BL26" i="20"/>
  <c r="BV26" i="20"/>
  <c r="CG26" i="20"/>
  <c r="CQ26" i="20"/>
  <c r="DA26" i="20"/>
  <c r="DL26" i="20"/>
  <c r="W26" i="20"/>
  <c r="AG26" i="20"/>
  <c r="AR26" i="20"/>
  <c r="BC26" i="20"/>
  <c r="BM26" i="20"/>
  <c r="BX26" i="20"/>
  <c r="CH26" i="20"/>
  <c r="CR26" i="20"/>
  <c r="DB26" i="20"/>
  <c r="AD26" i="20"/>
  <c r="AT26" i="20"/>
  <c r="BF26" i="20"/>
  <c r="BS26" i="20"/>
  <c r="CI26" i="20"/>
  <c r="CW26" i="20"/>
  <c r="DI26" i="20"/>
  <c r="U26" i="20"/>
  <c r="AL26" i="20"/>
  <c r="AZ26" i="20"/>
  <c r="BQ26" i="20"/>
  <c r="CF26" i="20"/>
  <c r="CX26" i="20"/>
  <c r="X26" i="20"/>
  <c r="AM26" i="20"/>
  <c r="BD26" i="20"/>
  <c r="BR26" i="20"/>
  <c r="CJ26" i="20"/>
  <c r="CY26" i="20"/>
  <c r="AB26" i="20"/>
  <c r="AO26" i="20"/>
  <c r="BH26" i="20"/>
  <c r="BY26" i="20"/>
  <c r="CN26" i="20"/>
  <c r="DD26" i="20"/>
  <c r="AH26" i="20"/>
  <c r="BI26" i="20"/>
  <c r="CD26" i="20"/>
  <c r="DG26" i="20"/>
  <c r="AK26" i="20"/>
  <c r="BJ26" i="20"/>
  <c r="CK26" i="20"/>
  <c r="DH26" i="20"/>
  <c r="AC26" i="20"/>
  <c r="AX26" i="20"/>
  <c r="CA26" i="20"/>
  <c r="CZ26" i="20"/>
  <c r="AE26" i="20"/>
  <c r="BU26" i="20"/>
  <c r="DJ26" i="20"/>
  <c r="AN26" i="20"/>
  <c r="BZ26" i="20"/>
  <c r="AU26" i="20"/>
  <c r="CB26" i="20"/>
  <c r="AV26" i="20"/>
  <c r="CO26" i="20"/>
  <c r="CP26" i="20"/>
  <c r="R26" i="20"/>
  <c r="CS26" i="20"/>
  <c r="T26" i="20"/>
  <c r="CT26" i="20"/>
  <c r="Y26" i="20"/>
  <c r="DF26" i="20"/>
  <c r="AW26" i="20"/>
  <c r="BE26" i="20"/>
  <c r="BN26" i="20"/>
  <c r="BP26" i="20"/>
  <c r="Q109" i="20"/>
  <c r="Y109" i="20"/>
  <c r="AG109" i="20"/>
  <c r="AO109" i="20"/>
  <c r="AW109" i="20"/>
  <c r="BE109" i="20"/>
  <c r="BM109" i="20"/>
  <c r="BU109" i="20"/>
  <c r="CC109" i="20"/>
  <c r="CK109" i="20"/>
  <c r="CS109" i="20"/>
  <c r="DA109" i="20"/>
  <c r="DI109" i="20"/>
  <c r="R109" i="20"/>
  <c r="AA109" i="20"/>
  <c r="AJ109" i="20"/>
  <c r="AS109" i="20"/>
  <c r="BB109" i="20"/>
  <c r="BK109" i="20"/>
  <c r="BT109" i="20"/>
  <c r="CD109" i="20"/>
  <c r="CM109" i="20"/>
  <c r="CV109" i="20"/>
  <c r="DE109" i="20"/>
  <c r="S109" i="20"/>
  <c r="AB109" i="20"/>
  <c r="AK109" i="20"/>
  <c r="AT109" i="20"/>
  <c r="BC109" i="20"/>
  <c r="BL109" i="20"/>
  <c r="BV109" i="20"/>
  <c r="CE109" i="20"/>
  <c r="CN109" i="20"/>
  <c r="CW109" i="20"/>
  <c r="DF109" i="20"/>
  <c r="W109" i="20"/>
  <c r="AI109" i="20"/>
  <c r="AV109" i="20"/>
  <c r="BH109" i="20"/>
  <c r="BS109" i="20"/>
  <c r="CG109" i="20"/>
  <c r="CR109" i="20"/>
  <c r="DD109" i="20"/>
  <c r="AD109" i="20"/>
  <c r="AP109" i="20"/>
  <c r="BA109" i="20"/>
  <c r="BO109" i="20"/>
  <c r="BZ109" i="20"/>
  <c r="CL109" i="20"/>
  <c r="CY109" i="20"/>
  <c r="DK109" i="20"/>
  <c r="AE109" i="20"/>
  <c r="AU109" i="20"/>
  <c r="BJ109" i="20"/>
  <c r="CA109" i="20"/>
  <c r="CQ109" i="20"/>
  <c r="DH109" i="20"/>
  <c r="AF109" i="20"/>
  <c r="AX109" i="20"/>
  <c r="BN109" i="20"/>
  <c r="CB109" i="20"/>
  <c r="CT109" i="20"/>
  <c r="DJ109" i="20"/>
  <c r="T109" i="20"/>
  <c r="AM109" i="20"/>
  <c r="BG109" i="20"/>
  <c r="CF109" i="20"/>
  <c r="CZ109" i="20"/>
  <c r="U109" i="20"/>
  <c r="AN109" i="20"/>
  <c r="BI109" i="20"/>
  <c r="CH109" i="20"/>
  <c r="DB109" i="20"/>
  <c r="V109" i="20"/>
  <c r="AQ109" i="20"/>
  <c r="BP109" i="20"/>
  <c r="CI109" i="20"/>
  <c r="DC109" i="20"/>
  <c r="X109" i="20"/>
  <c r="AR109" i="20"/>
  <c r="BQ109" i="20"/>
  <c r="CJ109" i="20"/>
  <c r="DG109" i="20"/>
  <c r="Z109" i="20"/>
  <c r="AY109" i="20"/>
  <c r="BR109" i="20"/>
  <c r="CO109" i="20"/>
  <c r="DL109" i="20"/>
  <c r="BW109" i="20"/>
  <c r="BX109" i="20"/>
  <c r="AC109" i="20"/>
  <c r="BY109" i="20"/>
  <c r="AH109" i="20"/>
  <c r="CP109" i="20"/>
  <c r="AL109" i="20"/>
  <c r="AZ109" i="20"/>
  <c r="BD109" i="20"/>
  <c r="BF109" i="20"/>
  <c r="CU109" i="20"/>
  <c r="CX109" i="20"/>
  <c r="W71" i="20"/>
  <c r="AE71" i="20"/>
  <c r="AM71" i="20"/>
  <c r="AU71" i="20"/>
  <c r="BC71" i="20"/>
  <c r="BK71" i="20"/>
  <c r="BS71" i="20"/>
  <c r="CA71" i="20"/>
  <c r="CI71" i="20"/>
  <c r="CQ71" i="20"/>
  <c r="CY71" i="20"/>
  <c r="DG71" i="20"/>
  <c r="R71" i="20"/>
  <c r="AA71" i="20"/>
  <c r="AJ71" i="20"/>
  <c r="AS71" i="20"/>
  <c r="BB71" i="20"/>
  <c r="BL71" i="20"/>
  <c r="BU71" i="20"/>
  <c r="CD71" i="20"/>
  <c r="CM71" i="20"/>
  <c r="CV71" i="20"/>
  <c r="DE71" i="20"/>
  <c r="S71" i="20"/>
  <c r="AC71" i="20"/>
  <c r="AN71" i="20"/>
  <c r="AX71" i="20"/>
  <c r="BH71" i="20"/>
  <c r="BR71" i="20"/>
  <c r="CC71" i="20"/>
  <c r="CN71" i="20"/>
  <c r="CX71" i="20"/>
  <c r="DI71" i="20"/>
  <c r="T71" i="20"/>
  <c r="AD71" i="20"/>
  <c r="AO71" i="20"/>
  <c r="AY71" i="20"/>
  <c r="BI71" i="20"/>
  <c r="BT71" i="20"/>
  <c r="CE71" i="20"/>
  <c r="CO71" i="20"/>
  <c r="CZ71" i="20"/>
  <c r="DJ71" i="20"/>
  <c r="U71" i="20"/>
  <c r="AF71" i="20"/>
  <c r="AP71" i="20"/>
  <c r="AZ71" i="20"/>
  <c r="BJ71" i="20"/>
  <c r="BV71" i="20"/>
  <c r="CF71" i="20"/>
  <c r="CP71" i="20"/>
  <c r="DA71" i="20"/>
  <c r="DK71" i="20"/>
  <c r="V71" i="20"/>
  <c r="AG71" i="20"/>
  <c r="AQ71" i="20"/>
  <c r="BA71" i="20"/>
  <c r="BM71" i="20"/>
  <c r="BW71" i="20"/>
  <c r="CG71" i="20"/>
  <c r="CR71" i="20"/>
  <c r="DB71" i="20"/>
  <c r="DL71" i="20"/>
  <c r="AK71" i="20"/>
  <c r="BF71" i="20"/>
  <c r="BZ71" i="20"/>
  <c r="CU71" i="20"/>
  <c r="Q71" i="20"/>
  <c r="AL71" i="20"/>
  <c r="BG71" i="20"/>
  <c r="CB71" i="20"/>
  <c r="CW71" i="20"/>
  <c r="AH71" i="20"/>
  <c r="BN71" i="20"/>
  <c r="CK71" i="20"/>
  <c r="AI71" i="20"/>
  <c r="BO71" i="20"/>
  <c r="CL71" i="20"/>
  <c r="AR71" i="20"/>
  <c r="BP71" i="20"/>
  <c r="CS71" i="20"/>
  <c r="Y71" i="20"/>
  <c r="AW71" i="20"/>
  <c r="BY71" i="20"/>
  <c r="DD71" i="20"/>
  <c r="X71" i="20"/>
  <c r="BX71" i="20"/>
  <c r="AB71" i="20"/>
  <c r="CJ71" i="20"/>
  <c r="AT71" i="20"/>
  <c r="CT71" i="20"/>
  <c r="AV71" i="20"/>
  <c r="DC71" i="20"/>
  <c r="BE71" i="20"/>
  <c r="BQ71" i="20"/>
  <c r="CH71" i="20"/>
  <c r="DH71" i="20"/>
  <c r="Z71" i="20"/>
  <c r="BD71" i="20"/>
  <c r="DF71" i="20"/>
  <c r="S267" i="20"/>
  <c r="AA267" i="20"/>
  <c r="AI267" i="20"/>
  <c r="AQ267" i="20"/>
  <c r="AY267" i="20"/>
  <c r="BG267" i="20"/>
  <c r="BO267" i="20"/>
  <c r="BW267" i="20"/>
  <c r="CE267" i="20"/>
  <c r="CM267" i="20"/>
  <c r="CU267" i="20"/>
  <c r="DC267" i="20"/>
  <c r="DK267" i="20"/>
  <c r="Y267" i="20"/>
  <c r="AH267" i="20"/>
  <c r="AR267" i="20"/>
  <c r="BA267" i="20"/>
  <c r="BJ267" i="20"/>
  <c r="BS267" i="20"/>
  <c r="CB267" i="20"/>
  <c r="CK267" i="20"/>
  <c r="CT267" i="20"/>
  <c r="DD267" i="20"/>
  <c r="Q267" i="20"/>
  <c r="Z267" i="20"/>
  <c r="AJ267" i="20"/>
  <c r="AS267" i="20"/>
  <c r="BB267" i="20"/>
  <c r="BK267" i="20"/>
  <c r="BT267" i="20"/>
  <c r="CC267" i="20"/>
  <c r="CL267" i="20"/>
  <c r="CV267" i="20"/>
  <c r="DE267" i="20"/>
  <c r="X267" i="20"/>
  <c r="AL267" i="20"/>
  <c r="AW267" i="20"/>
  <c r="BI267" i="20"/>
  <c r="BV267" i="20"/>
  <c r="CH267" i="20"/>
  <c r="CS267" i="20"/>
  <c r="DG267" i="20"/>
  <c r="AB267" i="20"/>
  <c r="AM267" i="20"/>
  <c r="AX267" i="20"/>
  <c r="BL267" i="20"/>
  <c r="BX267" i="20"/>
  <c r="CI267" i="20"/>
  <c r="CW267" i="20"/>
  <c r="DH267" i="20"/>
  <c r="R267" i="20"/>
  <c r="AD267" i="20"/>
  <c r="AO267" i="20"/>
  <c r="BC267" i="20"/>
  <c r="BN267" i="20"/>
  <c r="BZ267" i="20"/>
  <c r="CN267" i="20"/>
  <c r="CY267" i="20"/>
  <c r="DJ267" i="20"/>
  <c r="AC267" i="20"/>
  <c r="AU267" i="20"/>
  <c r="BP267" i="20"/>
  <c r="CG267" i="20"/>
  <c r="DA267" i="20"/>
  <c r="AE267" i="20"/>
  <c r="AV267" i="20"/>
  <c r="BQ267" i="20"/>
  <c r="CJ267" i="20"/>
  <c r="DB267" i="20"/>
  <c r="AF267" i="20"/>
  <c r="AZ267" i="20"/>
  <c r="BR267" i="20"/>
  <c r="CO267" i="20"/>
  <c r="DF267" i="20"/>
  <c r="AG267" i="20"/>
  <c r="BD267" i="20"/>
  <c r="BU267" i="20"/>
  <c r="CP267" i="20"/>
  <c r="DI267" i="20"/>
  <c r="U267" i="20"/>
  <c r="AN267" i="20"/>
  <c r="T158" i="20"/>
  <c r="AB158" i="20"/>
  <c r="AJ158" i="20"/>
  <c r="AR158" i="20"/>
  <c r="AZ158" i="20"/>
  <c r="BH158" i="20"/>
  <c r="BP158" i="20"/>
  <c r="BX158" i="20"/>
  <c r="CF158" i="20"/>
  <c r="CN158" i="20"/>
  <c r="CV158" i="20"/>
  <c r="DD158" i="20"/>
  <c r="DL158" i="20"/>
  <c r="X158" i="20"/>
  <c r="AF158" i="20"/>
  <c r="AN158" i="20"/>
  <c r="AV158" i="20"/>
  <c r="BD158" i="20"/>
  <c r="BL158" i="20"/>
  <c r="BT158" i="20"/>
  <c r="CB158" i="20"/>
  <c r="CJ158" i="20"/>
  <c r="CR158" i="20"/>
  <c r="CZ158" i="20"/>
  <c r="DH158" i="20"/>
  <c r="Z158" i="20"/>
  <c r="AK158" i="20"/>
  <c r="AU158" i="20"/>
  <c r="BF158" i="20"/>
  <c r="BQ158" i="20"/>
  <c r="CA158" i="20"/>
  <c r="CL158" i="20"/>
  <c r="CW158" i="20"/>
  <c r="DG158" i="20"/>
  <c r="Q158" i="20"/>
  <c r="AA158" i="20"/>
  <c r="AL158" i="20"/>
  <c r="AW158" i="20"/>
  <c r="BG158" i="20"/>
  <c r="BR158" i="20"/>
  <c r="CC158" i="20"/>
  <c r="CM158" i="20"/>
  <c r="CX158" i="20"/>
  <c r="DI158" i="20"/>
  <c r="R158" i="20"/>
  <c r="AC158" i="20"/>
  <c r="AM158" i="20"/>
  <c r="AX158" i="20"/>
  <c r="BI158" i="20"/>
  <c r="BS158" i="20"/>
  <c r="CD158" i="20"/>
  <c r="CO158" i="20"/>
  <c r="CY158" i="20"/>
  <c r="DJ158" i="20"/>
  <c r="AD158" i="20"/>
  <c r="AS158" i="20"/>
  <c r="BK158" i="20"/>
  <c r="BZ158" i="20"/>
  <c r="CS158" i="20"/>
  <c r="DK158" i="20"/>
  <c r="AE158" i="20"/>
  <c r="AT158" i="20"/>
  <c r="BM158" i="20"/>
  <c r="CE158" i="20"/>
  <c r="CT158" i="20"/>
  <c r="S158" i="20"/>
  <c r="AH158" i="20"/>
  <c r="BA158" i="20"/>
  <c r="BO158" i="20"/>
  <c r="CH158" i="20"/>
  <c r="DA158" i="20"/>
  <c r="W158" i="20"/>
  <c r="BB158" i="20"/>
  <c r="BY158" i="20"/>
  <c r="DC158" i="20"/>
  <c r="Y158" i="20"/>
  <c r="BC158" i="20"/>
  <c r="CG158" i="20"/>
  <c r="DE158" i="20"/>
  <c r="AG158" i="20"/>
  <c r="BE158" i="20"/>
  <c r="CI158" i="20"/>
  <c r="DF158" i="20"/>
  <c r="AI158" i="20"/>
  <c r="BJ158" i="20"/>
  <c r="CK158" i="20"/>
  <c r="AO158" i="20"/>
  <c r="BN158" i="20"/>
  <c r="CP158" i="20"/>
  <c r="AQ158" i="20"/>
  <c r="AY158" i="20"/>
  <c r="BU158" i="20"/>
  <c r="BV158" i="20"/>
  <c r="CQ158" i="20"/>
  <c r="CU158" i="20"/>
  <c r="DB158" i="20"/>
  <c r="U158" i="20"/>
  <c r="V158" i="20"/>
  <c r="V244" i="20"/>
  <c r="AD244" i="20"/>
  <c r="AL244" i="20"/>
  <c r="AT244" i="20"/>
  <c r="BB244" i="20"/>
  <c r="BJ244" i="20"/>
  <c r="BR244" i="20"/>
  <c r="BZ244" i="20"/>
  <c r="CH244" i="20"/>
  <c r="CP244" i="20"/>
  <c r="CX244" i="20"/>
  <c r="DF244" i="20"/>
  <c r="Y244" i="20"/>
  <c r="AH244" i="20"/>
  <c r="AQ244" i="20"/>
  <c r="AZ244" i="20"/>
  <c r="BI244" i="20"/>
  <c r="BS244" i="20"/>
  <c r="CB244" i="20"/>
  <c r="CK244" i="20"/>
  <c r="CT244" i="20"/>
  <c r="DC244" i="20"/>
  <c r="DL244" i="20"/>
  <c r="S244" i="20"/>
  <c r="AB244" i="20"/>
  <c r="AK244" i="20"/>
  <c r="AU244" i="20"/>
  <c r="BD244" i="20"/>
  <c r="BM244" i="20"/>
  <c r="BV244" i="20"/>
  <c r="CE244" i="20"/>
  <c r="CN244" i="20"/>
  <c r="CW244" i="20"/>
  <c r="DG244" i="20"/>
  <c r="U244" i="20"/>
  <c r="AG244" i="20"/>
  <c r="AS244" i="20"/>
  <c r="BF244" i="20"/>
  <c r="BQ244" i="20"/>
  <c r="CD244" i="20"/>
  <c r="CQ244" i="20"/>
  <c r="DB244" i="20"/>
  <c r="X244" i="20"/>
  <c r="AJ244" i="20"/>
  <c r="AW244" i="20"/>
  <c r="BH244" i="20"/>
  <c r="BU244" i="20"/>
  <c r="CG244" i="20"/>
  <c r="CS244" i="20"/>
  <c r="DE244" i="20"/>
  <c r="Z244" i="20"/>
  <c r="AM244" i="20"/>
  <c r="AX244" i="20"/>
  <c r="BK244" i="20"/>
  <c r="BW244" i="20"/>
  <c r="CI244" i="20"/>
  <c r="CU244" i="20"/>
  <c r="DH244" i="20"/>
  <c r="W244" i="20"/>
  <c r="AP244" i="20"/>
  <c r="BL244" i="20"/>
  <c r="CC244" i="20"/>
  <c r="CY244" i="20"/>
  <c r="AA244" i="20"/>
  <c r="AR244" i="20"/>
  <c r="BN244" i="20"/>
  <c r="CF244" i="20"/>
  <c r="CZ244" i="20"/>
  <c r="AE244" i="20"/>
  <c r="AY244" i="20"/>
  <c r="BP244" i="20"/>
  <c r="CL244" i="20"/>
  <c r="DD244" i="20"/>
  <c r="AF244" i="20"/>
  <c r="BG244" i="20"/>
  <c r="CO244" i="20"/>
  <c r="AI244" i="20"/>
  <c r="BO244" i="20"/>
  <c r="CR244" i="20"/>
  <c r="AN244" i="20"/>
  <c r="BT244" i="20"/>
  <c r="CV244" i="20"/>
  <c r="AO244" i="20"/>
  <c r="BX244" i="20"/>
  <c r="DA244" i="20"/>
  <c r="Q244" i="20"/>
  <c r="AV244" i="20"/>
  <c r="BY244" i="20"/>
  <c r="DI244" i="20"/>
  <c r="R244" i="20"/>
  <c r="BA244" i="20"/>
  <c r="CA244" i="20"/>
  <c r="DJ244" i="20"/>
  <c r="R203" i="20"/>
  <c r="Z203" i="20"/>
  <c r="AH203" i="20"/>
  <c r="AP203" i="20"/>
  <c r="AX203" i="20"/>
  <c r="BF203" i="20"/>
  <c r="BN203" i="20"/>
  <c r="BV203" i="20"/>
  <c r="CD203" i="20"/>
  <c r="CL203" i="20"/>
  <c r="CT203" i="20"/>
  <c r="DB203" i="20"/>
  <c r="DJ203" i="20"/>
  <c r="Q203" i="20"/>
  <c r="AA203" i="20"/>
  <c r="AJ203" i="20"/>
  <c r="AS203" i="20"/>
  <c r="BB203" i="20"/>
  <c r="BK203" i="20"/>
  <c r="BT203" i="20"/>
  <c r="CC203" i="20"/>
  <c r="CM203" i="20"/>
  <c r="CV203" i="20"/>
  <c r="DE203" i="20"/>
  <c r="S203" i="20"/>
  <c r="AB203" i="20"/>
  <c r="AK203" i="20"/>
  <c r="AT203" i="20"/>
  <c r="BC203" i="20"/>
  <c r="BL203" i="20"/>
  <c r="BU203" i="20"/>
  <c r="CE203" i="20"/>
  <c r="CN203" i="20"/>
  <c r="CW203" i="20"/>
  <c r="DF203" i="20"/>
  <c r="X203" i="20"/>
  <c r="AL203" i="20"/>
  <c r="AW203" i="20"/>
  <c r="BI203" i="20"/>
  <c r="BW203" i="20"/>
  <c r="CH203" i="20"/>
  <c r="CS203" i="20"/>
  <c r="DG203" i="20"/>
  <c r="Y203" i="20"/>
  <c r="AM203" i="20"/>
  <c r="AY203" i="20"/>
  <c r="BJ203" i="20"/>
  <c r="BX203" i="20"/>
  <c r="CI203" i="20"/>
  <c r="CU203" i="20"/>
  <c r="DH203" i="20"/>
  <c r="AC203" i="20"/>
  <c r="AN203" i="20"/>
  <c r="AZ203" i="20"/>
  <c r="BM203" i="20"/>
  <c r="BY203" i="20"/>
  <c r="CJ203" i="20"/>
  <c r="CX203" i="20"/>
  <c r="DI203" i="20"/>
  <c r="T203" i="20"/>
  <c r="AE203" i="20"/>
  <c r="AQ203" i="20"/>
  <c r="BD203" i="20"/>
  <c r="BP203" i="20"/>
  <c r="CA203" i="20"/>
  <c r="CO203" i="20"/>
  <c r="CZ203" i="20"/>
  <c r="DL203" i="20"/>
  <c r="W203" i="20"/>
  <c r="AV203" i="20"/>
  <c r="BS203" i="20"/>
  <c r="CR203" i="20"/>
  <c r="AF203" i="20"/>
  <c r="BE203" i="20"/>
  <c r="CB203" i="20"/>
  <c r="DA203" i="20"/>
  <c r="AG203" i="20"/>
  <c r="BG203" i="20"/>
  <c r="CF203" i="20"/>
  <c r="DC203" i="20"/>
  <c r="V203" i="20"/>
  <c r="BO203" i="20"/>
  <c r="CY203" i="20"/>
  <c r="AD203" i="20"/>
  <c r="BQ203" i="20"/>
  <c r="DD203" i="20"/>
  <c r="AO203" i="20"/>
  <c r="BZ203" i="20"/>
  <c r="AR203" i="20"/>
  <c r="CQ203" i="20"/>
  <c r="U203" i="20"/>
  <c r="CK203" i="20"/>
  <c r="DK203" i="20"/>
  <c r="AI203" i="20"/>
  <c r="AU203" i="20"/>
  <c r="BA203" i="20"/>
  <c r="BH203" i="20"/>
  <c r="BR203" i="20"/>
  <c r="W115" i="20"/>
  <c r="AE115" i="20"/>
  <c r="AM115" i="20"/>
  <c r="AU115" i="20"/>
  <c r="BC115" i="20"/>
  <c r="BK115" i="20"/>
  <c r="BS115" i="20"/>
  <c r="CA115" i="20"/>
  <c r="CI115" i="20"/>
  <c r="CQ115" i="20"/>
  <c r="CY115" i="20"/>
  <c r="DG115" i="20"/>
  <c r="X115" i="20"/>
  <c r="AF115" i="20"/>
  <c r="AN115" i="20"/>
  <c r="AV115" i="20"/>
  <c r="BD115" i="20"/>
  <c r="BL115" i="20"/>
  <c r="BT115" i="20"/>
  <c r="CB115" i="20"/>
  <c r="CJ115" i="20"/>
  <c r="CR115" i="20"/>
  <c r="CZ115" i="20"/>
  <c r="DH115" i="20"/>
  <c r="V115" i="20"/>
  <c r="AH115" i="20"/>
  <c r="AR115" i="20"/>
  <c r="BB115" i="20"/>
  <c r="BN115" i="20"/>
  <c r="BX115" i="20"/>
  <c r="CH115" i="20"/>
  <c r="CT115" i="20"/>
  <c r="DD115" i="20"/>
  <c r="R115" i="20"/>
  <c r="AB115" i="20"/>
  <c r="AL115" i="20"/>
  <c r="AX115" i="20"/>
  <c r="BH115" i="20"/>
  <c r="BR115" i="20"/>
  <c r="CD115" i="20"/>
  <c r="CN115" i="20"/>
  <c r="CX115" i="20"/>
  <c r="DJ115" i="20"/>
  <c r="Z115" i="20"/>
  <c r="AO115" i="20"/>
  <c r="BA115" i="20"/>
  <c r="BP115" i="20"/>
  <c r="CE115" i="20"/>
  <c r="CS115" i="20"/>
  <c r="DF115" i="20"/>
  <c r="AA115" i="20"/>
  <c r="AP115" i="20"/>
  <c r="BE115" i="20"/>
  <c r="BQ115" i="20"/>
  <c r="CF115" i="20"/>
  <c r="CU115" i="20"/>
  <c r="DI115" i="20"/>
  <c r="S115" i="20"/>
  <c r="AJ115" i="20"/>
  <c r="BF115" i="20"/>
  <c r="BW115" i="20"/>
  <c r="CO115" i="20"/>
  <c r="DK115" i="20"/>
  <c r="T115" i="20"/>
  <c r="AK115" i="20"/>
  <c r="BG115" i="20"/>
  <c r="BY115" i="20"/>
  <c r="CP115" i="20"/>
  <c r="DL115" i="20"/>
  <c r="U115" i="20"/>
  <c r="AQ115" i="20"/>
  <c r="BI115" i="20"/>
  <c r="BZ115" i="20"/>
  <c r="CV115" i="20"/>
  <c r="Y115" i="20"/>
  <c r="AS115" i="20"/>
  <c r="BJ115" i="20"/>
  <c r="CC115" i="20"/>
  <c r="CW115" i="20"/>
  <c r="AC115" i="20"/>
  <c r="AT115" i="20"/>
  <c r="BM115" i="20"/>
  <c r="CG115" i="20"/>
  <c r="DA115" i="20"/>
  <c r="AG115" i="20"/>
  <c r="CK115" i="20"/>
  <c r="AI115" i="20"/>
  <c r="CL115" i="20"/>
  <c r="AW115" i="20"/>
  <c r="CM115" i="20"/>
  <c r="AY115" i="20"/>
  <c r="DB115" i="20"/>
  <c r="Q115" i="20"/>
  <c r="AD115" i="20"/>
  <c r="AZ115" i="20"/>
  <c r="BO115" i="20"/>
  <c r="BU115" i="20"/>
  <c r="BV115" i="20"/>
  <c r="DC115" i="20"/>
  <c r="DE115" i="20"/>
  <c r="Q195" i="20"/>
  <c r="Y195" i="20"/>
  <c r="AG195" i="20"/>
  <c r="AO195" i="20"/>
  <c r="AW195" i="20"/>
  <c r="BE195" i="20"/>
  <c r="BM195" i="20"/>
  <c r="BU195" i="20"/>
  <c r="CC195" i="20"/>
  <c r="CK195" i="20"/>
  <c r="CS195" i="20"/>
  <c r="DA195" i="20"/>
  <c r="DI195" i="20"/>
  <c r="R195" i="20"/>
  <c r="Z195" i="20"/>
  <c r="AH195" i="20"/>
  <c r="AP195" i="20"/>
  <c r="AX195" i="20"/>
  <c r="BF195" i="20"/>
  <c r="BN195" i="20"/>
  <c r="BV195" i="20"/>
  <c r="CD195" i="20"/>
  <c r="CL195" i="20"/>
  <c r="CT195" i="20"/>
  <c r="DB195" i="20"/>
  <c r="DJ195" i="20"/>
  <c r="S195" i="20"/>
  <c r="AC195" i="20"/>
  <c r="AM195" i="20"/>
  <c r="AY195" i="20"/>
  <c r="BI195" i="20"/>
  <c r="BS195" i="20"/>
  <c r="CE195" i="20"/>
  <c r="CO195" i="20"/>
  <c r="CY195" i="20"/>
  <c r="DK195" i="20"/>
  <c r="T195" i="20"/>
  <c r="AD195" i="20"/>
  <c r="AN195" i="20"/>
  <c r="AZ195" i="20"/>
  <c r="BJ195" i="20"/>
  <c r="BT195" i="20"/>
  <c r="CF195" i="20"/>
  <c r="CP195" i="20"/>
  <c r="CZ195" i="20"/>
  <c r="DL195" i="20"/>
  <c r="AE195" i="20"/>
  <c r="AS195" i="20"/>
  <c r="BG195" i="20"/>
  <c r="BW195" i="20"/>
  <c r="CI195" i="20"/>
  <c r="CW195" i="20"/>
  <c r="AF195" i="20"/>
  <c r="AT195" i="20"/>
  <c r="BH195" i="20"/>
  <c r="BX195" i="20"/>
  <c r="CJ195" i="20"/>
  <c r="CX195" i="20"/>
  <c r="U195" i="20"/>
  <c r="AI195" i="20"/>
  <c r="AU195" i="20"/>
  <c r="BK195" i="20"/>
  <c r="BY195" i="20"/>
  <c r="CM195" i="20"/>
  <c r="DC195" i="20"/>
  <c r="W195" i="20"/>
  <c r="AK195" i="20"/>
  <c r="BA195" i="20"/>
  <c r="BO195" i="20"/>
  <c r="CA195" i="20"/>
  <c r="CQ195" i="20"/>
  <c r="DE195" i="20"/>
  <c r="AB195" i="20"/>
  <c r="BD195" i="20"/>
  <c r="CH195" i="20"/>
  <c r="DH195" i="20"/>
  <c r="AL195" i="20"/>
  <c r="BP195" i="20"/>
  <c r="CR195" i="20"/>
  <c r="AQ195" i="20"/>
  <c r="BQ195" i="20"/>
  <c r="CU195" i="20"/>
  <c r="AV195" i="20"/>
  <c r="CN195" i="20"/>
  <c r="BB195" i="20"/>
  <c r="CV195" i="20"/>
  <c r="V195" i="20"/>
  <c r="BL195" i="20"/>
  <c r="DF195" i="20"/>
  <c r="BC195" i="20"/>
  <c r="AJ195" i="20"/>
  <c r="DG195" i="20"/>
  <c r="AA195" i="20"/>
  <c r="AR195" i="20"/>
  <c r="BR195" i="20"/>
  <c r="BZ195" i="20"/>
  <c r="CB195" i="20"/>
  <c r="CG195" i="20"/>
  <c r="S289" i="20"/>
  <c r="AA289" i="20"/>
  <c r="AI289" i="20"/>
  <c r="AQ289" i="20"/>
  <c r="AY289" i="20"/>
  <c r="BG289" i="20"/>
  <c r="BO289" i="20"/>
  <c r="BW289" i="20"/>
  <c r="CE289" i="20"/>
  <c r="CM289" i="20"/>
  <c r="CU289" i="20"/>
  <c r="DC289" i="20"/>
  <c r="DK289" i="20"/>
  <c r="T289" i="20"/>
  <c r="AC289" i="20"/>
  <c r="AL289" i="20"/>
  <c r="AU289" i="20"/>
  <c r="BD289" i="20"/>
  <c r="BM289" i="20"/>
  <c r="BV289" i="20"/>
  <c r="CF289" i="20"/>
  <c r="CO289" i="20"/>
  <c r="CX289" i="20"/>
  <c r="DG289" i="20"/>
  <c r="U289" i="20"/>
  <c r="AD289" i="20"/>
  <c r="AM289" i="20"/>
  <c r="AV289" i="20"/>
  <c r="BE289" i="20"/>
  <c r="BN289" i="20"/>
  <c r="BX289" i="20"/>
  <c r="CG289" i="20"/>
  <c r="CP289" i="20"/>
  <c r="CY289" i="20"/>
  <c r="DH289" i="20"/>
  <c r="R289" i="20"/>
  <c r="AF289" i="20"/>
  <c r="AR289" i="20"/>
  <c r="BC289" i="20"/>
  <c r="BQ289" i="20"/>
  <c r="CB289" i="20"/>
  <c r="CN289" i="20"/>
  <c r="DA289" i="20"/>
  <c r="V289" i="20"/>
  <c r="AG289" i="20"/>
  <c r="AS289" i="20"/>
  <c r="BF289" i="20"/>
  <c r="BR289" i="20"/>
  <c r="CC289" i="20"/>
  <c r="CQ289" i="20"/>
  <c r="DB289" i="20"/>
  <c r="X289" i="20"/>
  <c r="AJ289" i="20"/>
  <c r="AW289" i="20"/>
  <c r="BI289" i="20"/>
  <c r="BT289" i="20"/>
  <c r="CH289" i="20"/>
  <c r="CS289" i="20"/>
  <c r="DE289" i="20"/>
  <c r="AE289" i="20"/>
  <c r="AZ289" i="20"/>
  <c r="BS289" i="20"/>
  <c r="CK289" i="20"/>
  <c r="DF289" i="20"/>
  <c r="AH289" i="20"/>
  <c r="BA289" i="20"/>
  <c r="BU289" i="20"/>
  <c r="CL289" i="20"/>
  <c r="DI289" i="20"/>
  <c r="AK289" i="20"/>
  <c r="BB289" i="20"/>
  <c r="BY289" i="20"/>
  <c r="CR289" i="20"/>
  <c r="DJ289" i="20"/>
  <c r="Q289" i="20"/>
  <c r="AN289" i="20"/>
  <c r="BH289" i="20"/>
  <c r="BZ289" i="20"/>
  <c r="CT289" i="20"/>
  <c r="DL289" i="20"/>
  <c r="U152" i="20"/>
  <c r="AC152" i="20"/>
  <c r="AK152" i="20"/>
  <c r="AS152" i="20"/>
  <c r="BA152" i="20"/>
  <c r="BI152" i="20"/>
  <c r="BQ152" i="20"/>
  <c r="BY152" i="20"/>
  <c r="CG152" i="20"/>
  <c r="CO152" i="20"/>
  <c r="CW152" i="20"/>
  <c r="DE152" i="20"/>
  <c r="T152" i="20"/>
  <c r="AD152" i="20"/>
  <c r="AM152" i="20"/>
  <c r="AV152" i="20"/>
  <c r="BE152" i="20"/>
  <c r="BN152" i="20"/>
  <c r="BW152" i="20"/>
  <c r="CF152" i="20"/>
  <c r="CP152" i="20"/>
  <c r="CY152" i="20"/>
  <c r="DH152" i="20"/>
  <c r="X152" i="20"/>
  <c r="AG152" i="20"/>
  <c r="AP152" i="20"/>
  <c r="AY152" i="20"/>
  <c r="BH152" i="20"/>
  <c r="BR152" i="20"/>
  <c r="CA152" i="20"/>
  <c r="CJ152" i="20"/>
  <c r="CS152" i="20"/>
  <c r="DB152" i="20"/>
  <c r="DK152" i="20"/>
  <c r="Y152" i="20"/>
  <c r="AH152" i="20"/>
  <c r="AQ152" i="20"/>
  <c r="AZ152" i="20"/>
  <c r="BJ152" i="20"/>
  <c r="BS152" i="20"/>
  <c r="CB152" i="20"/>
  <c r="CK152" i="20"/>
  <c r="CT152" i="20"/>
  <c r="DC152" i="20"/>
  <c r="DL152" i="20"/>
  <c r="Q152" i="20"/>
  <c r="AE152" i="20"/>
  <c r="AT152" i="20"/>
  <c r="BG152" i="20"/>
  <c r="BV152" i="20"/>
  <c r="CL152" i="20"/>
  <c r="CZ152" i="20"/>
  <c r="R152" i="20"/>
  <c r="AF152" i="20"/>
  <c r="AU152" i="20"/>
  <c r="BK152" i="20"/>
  <c r="BX152" i="20"/>
  <c r="CM152" i="20"/>
  <c r="DA152" i="20"/>
  <c r="S152" i="20"/>
  <c r="AI152" i="20"/>
  <c r="AW152" i="20"/>
  <c r="BL152" i="20"/>
  <c r="BZ152" i="20"/>
  <c r="CN152" i="20"/>
  <c r="DD152" i="20"/>
  <c r="V152" i="20"/>
  <c r="AJ152" i="20"/>
  <c r="AX152" i="20"/>
  <c r="BM152" i="20"/>
  <c r="CC152" i="20"/>
  <c r="CQ152" i="20"/>
  <c r="DF152" i="20"/>
  <c r="AA152" i="20"/>
  <c r="BD152" i="20"/>
  <c r="CH152" i="20"/>
  <c r="DJ152" i="20"/>
  <c r="AB152" i="20"/>
  <c r="BF152" i="20"/>
  <c r="CI152" i="20"/>
  <c r="AN152" i="20"/>
  <c r="BP152" i="20"/>
  <c r="CU152" i="20"/>
  <c r="BB152" i="20"/>
  <c r="CV152" i="20"/>
  <c r="BC152" i="20"/>
  <c r="CX152" i="20"/>
  <c r="BO152" i="20"/>
  <c r="DG152" i="20"/>
  <c r="W152" i="20"/>
  <c r="BT152" i="20"/>
  <c r="DI152" i="20"/>
  <c r="Z152" i="20"/>
  <c r="BU152" i="20"/>
  <c r="AO152" i="20"/>
  <c r="AR152" i="20"/>
  <c r="CD152" i="20"/>
  <c r="CE152" i="20"/>
  <c r="CR152" i="20"/>
  <c r="AL152" i="20"/>
  <c r="R205" i="20"/>
  <c r="Z205" i="20"/>
  <c r="AH205" i="20"/>
  <c r="AP205" i="20"/>
  <c r="AX205" i="20"/>
  <c r="BF205" i="20"/>
  <c r="BN205" i="20"/>
  <c r="BV205" i="20"/>
  <c r="CD205" i="20"/>
  <c r="CL205" i="20"/>
  <c r="CT205" i="20"/>
  <c r="DB205" i="20"/>
  <c r="DJ205" i="20"/>
  <c r="S205" i="20"/>
  <c r="AB205" i="20"/>
  <c r="AK205" i="20"/>
  <c r="AT205" i="20"/>
  <c r="BC205" i="20"/>
  <c r="BL205" i="20"/>
  <c r="BU205" i="20"/>
  <c r="CE205" i="20"/>
  <c r="CN205" i="20"/>
  <c r="CW205" i="20"/>
  <c r="DF205" i="20"/>
  <c r="T205" i="20"/>
  <c r="AC205" i="20"/>
  <c r="AL205" i="20"/>
  <c r="AU205" i="20"/>
  <c r="BD205" i="20"/>
  <c r="BM205" i="20"/>
  <c r="BW205" i="20"/>
  <c r="CF205" i="20"/>
  <c r="CO205" i="20"/>
  <c r="CX205" i="20"/>
  <c r="DG205" i="20"/>
  <c r="U205" i="20"/>
  <c r="AF205" i="20"/>
  <c r="AR205" i="20"/>
  <c r="BE205" i="20"/>
  <c r="BQ205" i="20"/>
  <c r="CB205" i="20"/>
  <c r="CP205" i="20"/>
  <c r="DA205" i="20"/>
  <c r="V205" i="20"/>
  <c r="AG205" i="20"/>
  <c r="AS205" i="20"/>
  <c r="BG205" i="20"/>
  <c r="BR205" i="20"/>
  <c r="CC205" i="20"/>
  <c r="CQ205" i="20"/>
  <c r="DC205" i="20"/>
  <c r="W205" i="20"/>
  <c r="AI205" i="20"/>
  <c r="AV205" i="20"/>
  <c r="BH205" i="20"/>
  <c r="BS205" i="20"/>
  <c r="CG205" i="20"/>
  <c r="CR205" i="20"/>
  <c r="DD205" i="20"/>
  <c r="Y205" i="20"/>
  <c r="AM205" i="20"/>
  <c r="AY205" i="20"/>
  <c r="BJ205" i="20"/>
  <c r="BX205" i="20"/>
  <c r="CI205" i="20"/>
  <c r="CU205" i="20"/>
  <c r="DH205" i="20"/>
  <c r="Q205" i="20"/>
  <c r="AQ205" i="20"/>
  <c r="BP205" i="20"/>
  <c r="CM205" i="20"/>
  <c r="DL205" i="20"/>
  <c r="AA205" i="20"/>
  <c r="AZ205" i="20"/>
  <c r="BY205" i="20"/>
  <c r="CV205" i="20"/>
  <c r="AD205" i="20"/>
  <c r="BA205" i="20"/>
  <c r="BZ205" i="20"/>
  <c r="CY205" i="20"/>
  <c r="BI205" i="20"/>
  <c r="CS205" i="20"/>
  <c r="X205" i="20"/>
  <c r="BK205" i="20"/>
  <c r="CZ205" i="20"/>
  <c r="AJ205" i="20"/>
  <c r="BT205" i="20"/>
  <c r="DI205" i="20"/>
  <c r="AE205" i="20"/>
  <c r="CJ205" i="20"/>
  <c r="CA205" i="20"/>
  <c r="BO205" i="20"/>
  <c r="CH205" i="20"/>
  <c r="CK205" i="20"/>
  <c r="DE205" i="20"/>
  <c r="AN205" i="20"/>
  <c r="DK205" i="20"/>
  <c r="AO205" i="20"/>
  <c r="U182" i="20"/>
  <c r="AC182" i="20"/>
  <c r="AK182" i="20"/>
  <c r="AS182" i="20"/>
  <c r="BA182" i="20"/>
  <c r="BI182" i="20"/>
  <c r="BQ182" i="20"/>
  <c r="BY182" i="20"/>
  <c r="CG182" i="20"/>
  <c r="CO182" i="20"/>
  <c r="CW182" i="20"/>
  <c r="DE182" i="20"/>
  <c r="V182" i="20"/>
  <c r="AD182" i="20"/>
  <c r="AL182" i="20"/>
  <c r="AT182" i="20"/>
  <c r="BB182" i="20"/>
  <c r="BJ182" i="20"/>
  <c r="BR182" i="20"/>
  <c r="BZ182" i="20"/>
  <c r="CH182" i="20"/>
  <c r="CP182" i="20"/>
  <c r="CX182" i="20"/>
  <c r="DF182" i="20"/>
  <c r="Q182" i="20"/>
  <c r="AA182" i="20"/>
  <c r="AM182" i="20"/>
  <c r="AW182" i="20"/>
  <c r="BG182" i="20"/>
  <c r="BS182" i="20"/>
  <c r="CC182" i="20"/>
  <c r="CM182" i="20"/>
  <c r="CY182" i="20"/>
  <c r="DI182" i="20"/>
  <c r="R182" i="20"/>
  <c r="AB182" i="20"/>
  <c r="AN182" i="20"/>
  <c r="AX182" i="20"/>
  <c r="BH182" i="20"/>
  <c r="BT182" i="20"/>
  <c r="CD182" i="20"/>
  <c r="CN182" i="20"/>
  <c r="CZ182" i="20"/>
  <c r="DJ182" i="20"/>
  <c r="W182" i="20"/>
  <c r="AI182" i="20"/>
  <c r="AY182" i="20"/>
  <c r="BM182" i="20"/>
  <c r="CA182" i="20"/>
  <c r="CQ182" i="20"/>
  <c r="DC182" i="20"/>
  <c r="X182" i="20"/>
  <c r="AJ182" i="20"/>
  <c r="AZ182" i="20"/>
  <c r="BN182" i="20"/>
  <c r="CB182" i="20"/>
  <c r="CR182" i="20"/>
  <c r="DD182" i="20"/>
  <c r="Y182" i="20"/>
  <c r="AO182" i="20"/>
  <c r="BC182" i="20"/>
  <c r="BO182" i="20"/>
  <c r="CE182" i="20"/>
  <c r="CS182" i="20"/>
  <c r="DG182" i="20"/>
  <c r="AE182" i="20"/>
  <c r="AQ182" i="20"/>
  <c r="BE182" i="20"/>
  <c r="BU182" i="20"/>
  <c r="CI182" i="20"/>
  <c r="CU182" i="20"/>
  <c r="DK182" i="20"/>
  <c r="T182" i="20"/>
  <c r="AV182" i="20"/>
  <c r="BX182" i="20"/>
  <c r="DB182" i="20"/>
  <c r="Z182" i="20"/>
  <c r="BD182" i="20"/>
  <c r="CF182" i="20"/>
  <c r="DH182" i="20"/>
  <c r="AF182" i="20"/>
  <c r="BF182" i="20"/>
  <c r="CJ182" i="20"/>
  <c r="DL182" i="20"/>
  <c r="AG182" i="20"/>
  <c r="BK182" i="20"/>
  <c r="CK182" i="20"/>
  <c r="BP182" i="20"/>
  <c r="BV182" i="20"/>
  <c r="S182" i="20"/>
  <c r="BW182" i="20"/>
  <c r="AH182" i="20"/>
  <c r="CL182" i="20"/>
  <c r="CT182" i="20"/>
  <c r="CV182" i="20"/>
  <c r="BL182" i="20"/>
  <c r="AP182" i="20"/>
  <c r="AR182" i="20"/>
  <c r="AU182" i="20"/>
  <c r="U180" i="20"/>
  <c r="AC180" i="20"/>
  <c r="AK180" i="20"/>
  <c r="AS180" i="20"/>
  <c r="BA180" i="20"/>
  <c r="BI180" i="20"/>
  <c r="BQ180" i="20"/>
  <c r="BY180" i="20"/>
  <c r="CG180" i="20"/>
  <c r="CO180" i="20"/>
  <c r="CW180" i="20"/>
  <c r="DE180" i="20"/>
  <c r="V180" i="20"/>
  <c r="AD180" i="20"/>
  <c r="AL180" i="20"/>
  <c r="AT180" i="20"/>
  <c r="BB180" i="20"/>
  <c r="BJ180" i="20"/>
  <c r="BR180" i="20"/>
  <c r="BZ180" i="20"/>
  <c r="CH180" i="20"/>
  <c r="CP180" i="20"/>
  <c r="CX180" i="20"/>
  <c r="DF180" i="20"/>
  <c r="Y180" i="20"/>
  <c r="AI180" i="20"/>
  <c r="AU180" i="20"/>
  <c r="BE180" i="20"/>
  <c r="BO180" i="20"/>
  <c r="CA180" i="20"/>
  <c r="CK180" i="20"/>
  <c r="CU180" i="20"/>
  <c r="DG180" i="20"/>
  <c r="Z180" i="20"/>
  <c r="AJ180" i="20"/>
  <c r="AV180" i="20"/>
  <c r="BF180" i="20"/>
  <c r="BP180" i="20"/>
  <c r="CB180" i="20"/>
  <c r="CL180" i="20"/>
  <c r="CV180" i="20"/>
  <c r="DH180" i="20"/>
  <c r="W180" i="20"/>
  <c r="AM180" i="20"/>
  <c r="AY180" i="20"/>
  <c r="BM180" i="20"/>
  <c r="CC180" i="20"/>
  <c r="CQ180" i="20"/>
  <c r="DC180" i="20"/>
  <c r="X180" i="20"/>
  <c r="AN180" i="20"/>
  <c r="AZ180" i="20"/>
  <c r="BN180" i="20"/>
  <c r="CD180" i="20"/>
  <c r="CR180" i="20"/>
  <c r="DD180" i="20"/>
  <c r="AA180" i="20"/>
  <c r="AO180" i="20"/>
  <c r="BC180" i="20"/>
  <c r="BS180" i="20"/>
  <c r="CE180" i="20"/>
  <c r="CS180" i="20"/>
  <c r="DI180" i="20"/>
  <c r="Q180" i="20"/>
  <c r="AE180" i="20"/>
  <c r="AQ180" i="20"/>
  <c r="BG180" i="20"/>
  <c r="BU180" i="20"/>
  <c r="CI180" i="20"/>
  <c r="CY180" i="20"/>
  <c r="DK180" i="20"/>
  <c r="T180" i="20"/>
  <c r="AX180" i="20"/>
  <c r="BX180" i="20"/>
  <c r="DB180" i="20"/>
  <c r="AB180" i="20"/>
  <c r="BD180" i="20"/>
  <c r="CF180" i="20"/>
  <c r="DJ180" i="20"/>
  <c r="AF180" i="20"/>
  <c r="BH180" i="20"/>
  <c r="CJ180" i="20"/>
  <c r="DL180" i="20"/>
  <c r="AG180" i="20"/>
  <c r="BK180" i="20"/>
  <c r="CM180" i="20"/>
  <c r="AP180" i="20"/>
  <c r="CT180" i="20"/>
  <c r="AR180" i="20"/>
  <c r="CZ180" i="20"/>
  <c r="AW180" i="20"/>
  <c r="DA180" i="20"/>
  <c r="BL180" i="20"/>
  <c r="BT180" i="20"/>
  <c r="BV180" i="20"/>
  <c r="AH180" i="20"/>
  <c r="R180" i="20"/>
  <c r="S180" i="20"/>
  <c r="BW180" i="20"/>
  <c r="CN180" i="20"/>
  <c r="V238" i="20"/>
  <c r="AD238" i="20"/>
  <c r="AL238" i="20"/>
  <c r="AT238" i="20"/>
  <c r="BB238" i="20"/>
  <c r="BJ238" i="20"/>
  <c r="BR238" i="20"/>
  <c r="BZ238" i="20"/>
  <c r="CH238" i="20"/>
  <c r="CP238" i="20"/>
  <c r="CX238" i="20"/>
  <c r="DF238" i="20"/>
  <c r="U238" i="20"/>
  <c r="AE238" i="20"/>
  <c r="AN238" i="20"/>
  <c r="AW238" i="20"/>
  <c r="BF238" i="20"/>
  <c r="BO238" i="20"/>
  <c r="BX238" i="20"/>
  <c r="CG238" i="20"/>
  <c r="CQ238" i="20"/>
  <c r="CZ238" i="20"/>
  <c r="DI238" i="20"/>
  <c r="Y238" i="20"/>
  <c r="AH238" i="20"/>
  <c r="AQ238" i="20"/>
  <c r="AZ238" i="20"/>
  <c r="BI238" i="20"/>
  <c r="BS238" i="20"/>
  <c r="CB238" i="20"/>
  <c r="CK238" i="20"/>
  <c r="CT238" i="20"/>
  <c r="DC238" i="20"/>
  <c r="DL238" i="20"/>
  <c r="X238" i="20"/>
  <c r="AJ238" i="20"/>
  <c r="AV238" i="20"/>
  <c r="BH238" i="20"/>
  <c r="BU238" i="20"/>
  <c r="CF238" i="20"/>
  <c r="CS238" i="20"/>
  <c r="DE238" i="20"/>
  <c r="AA238" i="20"/>
  <c r="AM238" i="20"/>
  <c r="AY238" i="20"/>
  <c r="BL238" i="20"/>
  <c r="BW238" i="20"/>
  <c r="CJ238" i="20"/>
  <c r="CV238" i="20"/>
  <c r="DH238" i="20"/>
  <c r="Q238" i="20"/>
  <c r="AB238" i="20"/>
  <c r="AO238" i="20"/>
  <c r="BA238" i="20"/>
  <c r="BM238" i="20"/>
  <c r="BY238" i="20"/>
  <c r="CL238" i="20"/>
  <c r="CW238" i="20"/>
  <c r="DJ238" i="20"/>
  <c r="S238" i="20"/>
  <c r="AK238" i="20"/>
  <c r="BE238" i="20"/>
  <c r="CA238" i="20"/>
  <c r="CR238" i="20"/>
  <c r="T238" i="20"/>
  <c r="AP238" i="20"/>
  <c r="BG238" i="20"/>
  <c r="CC238" i="20"/>
  <c r="CU238" i="20"/>
  <c r="Z238" i="20"/>
  <c r="AS238" i="20"/>
  <c r="BN238" i="20"/>
  <c r="CE238" i="20"/>
  <c r="DA238" i="20"/>
  <c r="AI238" i="20"/>
  <c r="BQ238" i="20"/>
  <c r="CY238" i="20"/>
  <c r="AR238" i="20"/>
  <c r="BT238" i="20"/>
  <c r="DB238" i="20"/>
  <c r="AU238" i="20"/>
  <c r="BV238" i="20"/>
  <c r="DD238" i="20"/>
  <c r="R238" i="20"/>
  <c r="AX238" i="20"/>
  <c r="CD238" i="20"/>
  <c r="DG238" i="20"/>
  <c r="W238" i="20"/>
  <c r="BC238" i="20"/>
  <c r="CI238" i="20"/>
  <c r="DK238" i="20"/>
  <c r="AC238" i="20"/>
  <c r="BD238" i="20"/>
  <c r="CM238" i="20"/>
  <c r="U130" i="20"/>
  <c r="AC130" i="20"/>
  <c r="AK130" i="20"/>
  <c r="AS130" i="20"/>
  <c r="BA130" i="20"/>
  <c r="BI130" i="20"/>
  <c r="BQ130" i="20"/>
  <c r="BY130" i="20"/>
  <c r="CG130" i="20"/>
  <c r="CO130" i="20"/>
  <c r="CW130" i="20"/>
  <c r="DE130" i="20"/>
  <c r="V130" i="20"/>
  <c r="AD130" i="20"/>
  <c r="AL130" i="20"/>
  <c r="AT130" i="20"/>
  <c r="BB130" i="20"/>
  <c r="BJ130" i="20"/>
  <c r="BR130" i="20"/>
  <c r="BZ130" i="20"/>
  <c r="CH130" i="20"/>
  <c r="CP130" i="20"/>
  <c r="CX130" i="20"/>
  <c r="DF130" i="20"/>
  <c r="Y130" i="20"/>
  <c r="AI130" i="20"/>
  <c r="AU130" i="20"/>
  <c r="BE130" i="20"/>
  <c r="BO130" i="20"/>
  <c r="CA130" i="20"/>
  <c r="CK130" i="20"/>
  <c r="CU130" i="20"/>
  <c r="DG130" i="20"/>
  <c r="Z130" i="20"/>
  <c r="AJ130" i="20"/>
  <c r="AV130" i="20"/>
  <c r="BF130" i="20"/>
  <c r="BP130" i="20"/>
  <c r="CB130" i="20"/>
  <c r="CL130" i="20"/>
  <c r="CV130" i="20"/>
  <c r="DH130" i="20"/>
  <c r="Q130" i="20"/>
  <c r="AA130" i="20"/>
  <c r="AM130" i="20"/>
  <c r="AW130" i="20"/>
  <c r="BG130" i="20"/>
  <c r="BS130" i="20"/>
  <c r="CC130" i="20"/>
  <c r="CM130" i="20"/>
  <c r="CY130" i="20"/>
  <c r="DI130" i="20"/>
  <c r="R130" i="20"/>
  <c r="AB130" i="20"/>
  <c r="AN130" i="20"/>
  <c r="AX130" i="20"/>
  <c r="BH130" i="20"/>
  <c r="BT130" i="20"/>
  <c r="CD130" i="20"/>
  <c r="CN130" i="20"/>
  <c r="CZ130" i="20"/>
  <c r="DJ130" i="20"/>
  <c r="S130" i="20"/>
  <c r="AE130" i="20"/>
  <c r="AO130" i="20"/>
  <c r="AY130" i="20"/>
  <c r="BK130" i="20"/>
  <c r="BU130" i="20"/>
  <c r="CE130" i="20"/>
  <c r="CQ130" i="20"/>
  <c r="DA130" i="20"/>
  <c r="DK130" i="20"/>
  <c r="T130" i="20"/>
  <c r="AR130" i="20"/>
  <c r="BW130" i="20"/>
  <c r="DB130" i="20"/>
  <c r="W130" i="20"/>
  <c r="AZ130" i="20"/>
  <c r="BX130" i="20"/>
  <c r="DC130" i="20"/>
  <c r="X130" i="20"/>
  <c r="BC130" i="20"/>
  <c r="CF130" i="20"/>
  <c r="DD130" i="20"/>
  <c r="AF130" i="20"/>
  <c r="BD130" i="20"/>
  <c r="CI130" i="20"/>
  <c r="DL130" i="20"/>
  <c r="BN130" i="20"/>
  <c r="BV130" i="20"/>
  <c r="AG130" i="20"/>
  <c r="CJ130" i="20"/>
  <c r="AH130" i="20"/>
  <c r="CR130" i="20"/>
  <c r="AP130" i="20"/>
  <c r="AQ130" i="20"/>
  <c r="BL130" i="20"/>
  <c r="BM130" i="20"/>
  <c r="CS130" i="20"/>
  <c r="CT130" i="20"/>
  <c r="U154" i="20"/>
  <c r="AC154" i="20"/>
  <c r="AK154" i="20"/>
  <c r="AS154" i="20"/>
  <c r="BA154" i="20"/>
  <c r="BI154" i="20"/>
  <c r="BQ154" i="20"/>
  <c r="BY154" i="20"/>
  <c r="CG154" i="20"/>
  <c r="CO154" i="20"/>
  <c r="CW154" i="20"/>
  <c r="DE154" i="20"/>
  <c r="V154" i="20"/>
  <c r="AE154" i="20"/>
  <c r="AN154" i="20"/>
  <c r="AW154" i="20"/>
  <c r="BF154" i="20"/>
  <c r="BO154" i="20"/>
  <c r="BX154" i="20"/>
  <c r="CH154" i="20"/>
  <c r="CQ154" i="20"/>
  <c r="CZ154" i="20"/>
  <c r="DI154" i="20"/>
  <c r="Y154" i="20"/>
  <c r="AH154" i="20"/>
  <c r="AQ154" i="20"/>
  <c r="AZ154" i="20"/>
  <c r="BJ154" i="20"/>
  <c r="BS154" i="20"/>
  <c r="CB154" i="20"/>
  <c r="CK154" i="20"/>
  <c r="CT154" i="20"/>
  <c r="DC154" i="20"/>
  <c r="DL154" i="20"/>
  <c r="Q154" i="20"/>
  <c r="Z154" i="20"/>
  <c r="AI154" i="20"/>
  <c r="AR154" i="20"/>
  <c r="BB154" i="20"/>
  <c r="BK154" i="20"/>
  <c r="BT154" i="20"/>
  <c r="CC154" i="20"/>
  <c r="CL154" i="20"/>
  <c r="CU154" i="20"/>
  <c r="DD154" i="20"/>
  <c r="T154" i="20"/>
  <c r="AJ154" i="20"/>
  <c r="AX154" i="20"/>
  <c r="BM154" i="20"/>
  <c r="CA154" i="20"/>
  <c r="W154" i="20"/>
  <c r="AL154" i="20"/>
  <c r="AY154" i="20"/>
  <c r="BN154" i="20"/>
  <c r="CD154" i="20"/>
  <c r="CR154" i="20"/>
  <c r="DG154" i="20"/>
  <c r="X154" i="20"/>
  <c r="AM154" i="20"/>
  <c r="BC154" i="20"/>
  <c r="BP154" i="20"/>
  <c r="CE154" i="20"/>
  <c r="CS154" i="20"/>
  <c r="DH154" i="20"/>
  <c r="AA154" i="20"/>
  <c r="AO154" i="20"/>
  <c r="BD154" i="20"/>
  <c r="BR154" i="20"/>
  <c r="CF154" i="20"/>
  <c r="CV154" i="20"/>
  <c r="DJ154" i="20"/>
  <c r="AF154" i="20"/>
  <c r="BH154" i="20"/>
  <c r="CM154" i="20"/>
  <c r="DK154" i="20"/>
  <c r="AG154" i="20"/>
  <c r="BL154" i="20"/>
  <c r="CN154" i="20"/>
  <c r="AT154" i="20"/>
  <c r="BV154" i="20"/>
  <c r="CX154" i="20"/>
  <c r="AP154" i="20"/>
  <c r="CI154" i="20"/>
  <c r="AU154" i="20"/>
  <c r="CJ154" i="20"/>
  <c r="AV154" i="20"/>
  <c r="CP154" i="20"/>
  <c r="BE154" i="20"/>
  <c r="CY154" i="20"/>
  <c r="R154" i="20"/>
  <c r="BG154" i="20"/>
  <c r="DA154" i="20"/>
  <c r="BZ154" i="20"/>
  <c r="DB154" i="20"/>
  <c r="DF154" i="20"/>
  <c r="S154" i="20"/>
  <c r="AB154" i="20"/>
  <c r="AD154" i="20"/>
  <c r="BU154" i="20"/>
  <c r="BW154" i="20"/>
  <c r="W278" i="20"/>
  <c r="AE278" i="20"/>
  <c r="AM278" i="20"/>
  <c r="AU278" i="20"/>
  <c r="BC278" i="20"/>
  <c r="BK278" i="20"/>
  <c r="BS278" i="20"/>
  <c r="CA278" i="20"/>
  <c r="CI278" i="20"/>
  <c r="CQ278" i="20"/>
  <c r="CY278" i="20"/>
  <c r="DG278" i="20"/>
  <c r="V278" i="20"/>
  <c r="AF278" i="20"/>
  <c r="AO278" i="20"/>
  <c r="AX278" i="20"/>
  <c r="BG278" i="20"/>
  <c r="BP278" i="20"/>
  <c r="BY278" i="20"/>
  <c r="CH278" i="20"/>
  <c r="CR278" i="20"/>
  <c r="DA278" i="20"/>
  <c r="DJ278" i="20"/>
  <c r="X278" i="20"/>
  <c r="AG278" i="20"/>
  <c r="AP278" i="20"/>
  <c r="AY278" i="20"/>
  <c r="BH278" i="20"/>
  <c r="BQ278" i="20"/>
  <c r="BZ278" i="20"/>
  <c r="CJ278" i="20"/>
  <c r="CS278" i="20"/>
  <c r="DB278" i="20"/>
  <c r="DK278" i="20"/>
  <c r="U278" i="20"/>
  <c r="AI278" i="20"/>
  <c r="AT278" i="20"/>
  <c r="BF278" i="20"/>
  <c r="BT278" i="20"/>
  <c r="CE278" i="20"/>
  <c r="CP278" i="20"/>
  <c r="DD278" i="20"/>
  <c r="Y278" i="20"/>
  <c r="AJ278" i="20"/>
  <c r="AV278" i="20"/>
  <c r="BI278" i="20"/>
  <c r="BU278" i="20"/>
  <c r="CF278" i="20"/>
  <c r="CT278" i="20"/>
  <c r="DE278" i="20"/>
  <c r="AA278" i="20"/>
  <c r="AL278" i="20"/>
  <c r="AZ278" i="20"/>
  <c r="BL278" i="20"/>
  <c r="BW278" i="20"/>
  <c r="CK278" i="20"/>
  <c r="CV278" i="20"/>
  <c r="DH278" i="20"/>
  <c r="S278" i="20"/>
  <c r="AN278" i="20"/>
  <c r="BE278" i="20"/>
  <c r="CB278" i="20"/>
  <c r="CU278" i="20"/>
  <c r="T278" i="20"/>
  <c r="AQ278" i="20"/>
  <c r="BJ278" i="20"/>
  <c r="CC278" i="20"/>
  <c r="CW278" i="20"/>
  <c r="Z278" i="20"/>
  <c r="AR278" i="20"/>
  <c r="BM278" i="20"/>
  <c r="CD278" i="20"/>
  <c r="CX278" i="20"/>
  <c r="AB278" i="20"/>
  <c r="AS278" i="20"/>
  <c r="BN278" i="20"/>
  <c r="CG278" i="20"/>
  <c r="CZ278" i="20"/>
  <c r="Q129" i="20"/>
  <c r="Y129" i="20"/>
  <c r="AG129" i="20"/>
  <c r="AO129" i="20"/>
  <c r="AW129" i="20"/>
  <c r="BE129" i="20"/>
  <c r="BM129" i="20"/>
  <c r="BU129" i="20"/>
  <c r="CC129" i="20"/>
  <c r="CK129" i="20"/>
  <c r="CS129" i="20"/>
  <c r="DA129" i="20"/>
  <c r="DI129" i="20"/>
  <c r="R129" i="20"/>
  <c r="Z129" i="20"/>
  <c r="AH129" i="20"/>
  <c r="AP129" i="20"/>
  <c r="AX129" i="20"/>
  <c r="BF129" i="20"/>
  <c r="BN129" i="20"/>
  <c r="BV129" i="20"/>
  <c r="CD129" i="20"/>
  <c r="CL129" i="20"/>
  <c r="CT129" i="20"/>
  <c r="DB129" i="20"/>
  <c r="DJ129" i="20"/>
  <c r="S129" i="20"/>
  <c r="AC129" i="20"/>
  <c r="AM129" i="20"/>
  <c r="AY129" i="20"/>
  <c r="BI129" i="20"/>
  <c r="BS129" i="20"/>
  <c r="CE129" i="20"/>
  <c r="CO129" i="20"/>
  <c r="CY129" i="20"/>
  <c r="DK129" i="20"/>
  <c r="T129" i="20"/>
  <c r="AD129" i="20"/>
  <c r="AN129" i="20"/>
  <c r="AZ129" i="20"/>
  <c r="BJ129" i="20"/>
  <c r="BT129" i="20"/>
  <c r="CF129" i="20"/>
  <c r="CP129" i="20"/>
  <c r="CZ129" i="20"/>
  <c r="DL129" i="20"/>
  <c r="U129" i="20"/>
  <c r="AE129" i="20"/>
  <c r="AQ129" i="20"/>
  <c r="BA129" i="20"/>
  <c r="BK129" i="20"/>
  <c r="BW129" i="20"/>
  <c r="CG129" i="20"/>
  <c r="CQ129" i="20"/>
  <c r="DC129" i="20"/>
  <c r="V129" i="20"/>
  <c r="AF129" i="20"/>
  <c r="AR129" i="20"/>
  <c r="BB129" i="20"/>
  <c r="BL129" i="20"/>
  <c r="BX129" i="20"/>
  <c r="CH129" i="20"/>
  <c r="CR129" i="20"/>
  <c r="DD129" i="20"/>
  <c r="W129" i="20"/>
  <c r="AI129" i="20"/>
  <c r="AS129" i="20"/>
  <c r="BC129" i="20"/>
  <c r="BO129" i="20"/>
  <c r="BY129" i="20"/>
  <c r="CI129" i="20"/>
  <c r="CU129" i="20"/>
  <c r="DE129" i="20"/>
  <c r="AJ129" i="20"/>
  <c r="BH129" i="20"/>
  <c r="CM129" i="20"/>
  <c r="AK129" i="20"/>
  <c r="BP129" i="20"/>
  <c r="CN129" i="20"/>
  <c r="AL129" i="20"/>
  <c r="BQ129" i="20"/>
  <c r="CV129" i="20"/>
  <c r="AT129" i="20"/>
  <c r="BR129" i="20"/>
  <c r="CW129" i="20"/>
  <c r="BD129" i="20"/>
  <c r="DG129" i="20"/>
  <c r="BG129" i="20"/>
  <c r="DH129" i="20"/>
  <c r="BZ129" i="20"/>
  <c r="X129" i="20"/>
  <c r="CA129" i="20"/>
  <c r="AA129" i="20"/>
  <c r="AB129" i="20"/>
  <c r="AU129" i="20"/>
  <c r="AV129" i="20"/>
  <c r="CB129" i="20"/>
  <c r="CJ129" i="20"/>
  <c r="DF129" i="20"/>
  <c r="W85" i="20"/>
  <c r="Y85" i="20"/>
  <c r="AG85" i="20"/>
  <c r="AO85" i="20"/>
  <c r="AW85" i="20"/>
  <c r="BE85" i="20"/>
  <c r="BM85" i="20"/>
  <c r="BU85" i="20"/>
  <c r="CC85" i="20"/>
  <c r="CK85" i="20"/>
  <c r="CS85" i="20"/>
  <c r="DA85" i="20"/>
  <c r="DI85" i="20"/>
  <c r="U85" i="20"/>
  <c r="AE85" i="20"/>
  <c r="AN85" i="20"/>
  <c r="AX85" i="20"/>
  <c r="BG85" i="20"/>
  <c r="BP85" i="20"/>
  <c r="BY85" i="20"/>
  <c r="CH85" i="20"/>
  <c r="CQ85" i="20"/>
  <c r="CZ85" i="20"/>
  <c r="DJ85" i="20"/>
  <c r="V85" i="20"/>
  <c r="AF85" i="20"/>
  <c r="AP85" i="20"/>
  <c r="AY85" i="20"/>
  <c r="BH85" i="20"/>
  <c r="BQ85" i="20"/>
  <c r="BZ85" i="20"/>
  <c r="CI85" i="20"/>
  <c r="CR85" i="20"/>
  <c r="DB85" i="20"/>
  <c r="DK85" i="20"/>
  <c r="Q85" i="20"/>
  <c r="AC85" i="20"/>
  <c r="AQ85" i="20"/>
  <c r="BB85" i="20"/>
  <c r="BN85" i="20"/>
  <c r="S85" i="20"/>
  <c r="AH85" i="20"/>
  <c r="AS85" i="20"/>
  <c r="BD85" i="20"/>
  <c r="BR85" i="20"/>
  <c r="CD85" i="20"/>
  <c r="CO85" i="20"/>
  <c r="DC85" i="20"/>
  <c r="Z85" i="20"/>
  <c r="AM85" i="20"/>
  <c r="BF85" i="20"/>
  <c r="BV85" i="20"/>
  <c r="CJ85" i="20"/>
  <c r="CW85" i="20"/>
  <c r="DL85" i="20"/>
  <c r="AB85" i="20"/>
  <c r="AT85" i="20"/>
  <c r="BJ85" i="20"/>
  <c r="BX85" i="20"/>
  <c r="CM85" i="20"/>
  <c r="CY85" i="20"/>
  <c r="AD85" i="20"/>
  <c r="AU85" i="20"/>
  <c r="BK85" i="20"/>
  <c r="CA85" i="20"/>
  <c r="CN85" i="20"/>
  <c r="DD85" i="20"/>
  <c r="AI85" i="20"/>
  <c r="AV85" i="20"/>
  <c r="BL85" i="20"/>
  <c r="CB85" i="20"/>
  <c r="CP85" i="20"/>
  <c r="DE85" i="20"/>
  <c r="AK85" i="20"/>
  <c r="BS85" i="20"/>
  <c r="CU85" i="20"/>
  <c r="AL85" i="20"/>
  <c r="BT85" i="20"/>
  <c r="CV85" i="20"/>
  <c r="AR85" i="20"/>
  <c r="BW85" i="20"/>
  <c r="CX85" i="20"/>
  <c r="AZ85" i="20"/>
  <c r="CL85" i="20"/>
  <c r="BA85" i="20"/>
  <c r="CT85" i="20"/>
  <c r="BC85" i="20"/>
  <c r="DF85" i="20"/>
  <c r="R85" i="20"/>
  <c r="BI85" i="20"/>
  <c r="DG85" i="20"/>
  <c r="T85" i="20"/>
  <c r="BO85" i="20"/>
  <c r="DH85" i="20"/>
  <c r="X85" i="20"/>
  <c r="AA85" i="20"/>
  <c r="AJ85" i="20"/>
  <c r="CE85" i="20"/>
  <c r="CF85" i="20"/>
  <c r="CG85" i="20"/>
  <c r="U381" i="20"/>
  <c r="AC381" i="20"/>
  <c r="AK381" i="20"/>
  <c r="AS381" i="20"/>
  <c r="BA381" i="20"/>
  <c r="BI381" i="20"/>
  <c r="BQ381" i="20"/>
  <c r="BY381" i="20"/>
  <c r="CG381" i="20"/>
  <c r="CO381" i="20"/>
  <c r="CW381" i="20"/>
  <c r="DE381" i="20"/>
  <c r="S381" i="20"/>
  <c r="AB381" i="20"/>
  <c r="AL381" i="20"/>
  <c r="AU381" i="20"/>
  <c r="BD381" i="20"/>
  <c r="BM381" i="20"/>
  <c r="BV381" i="20"/>
  <c r="CE381" i="20"/>
  <c r="CN381" i="20"/>
  <c r="CX381" i="20"/>
  <c r="DG381" i="20"/>
  <c r="V381" i="20"/>
  <c r="AE381" i="20"/>
  <c r="AN381" i="20"/>
  <c r="AW381" i="20"/>
  <c r="BF381" i="20"/>
  <c r="BO381" i="20"/>
  <c r="BX381" i="20"/>
  <c r="CH381" i="20"/>
  <c r="CQ381" i="20"/>
  <c r="CZ381" i="20"/>
  <c r="DI381" i="20"/>
  <c r="S74" i="20"/>
  <c r="AA74" i="20"/>
  <c r="AI74" i="20"/>
  <c r="AQ74" i="20"/>
  <c r="AY74" i="20"/>
  <c r="BG74" i="20"/>
  <c r="BO74" i="20"/>
  <c r="BW74" i="20"/>
  <c r="CE74" i="20"/>
  <c r="CM74" i="20"/>
  <c r="CU74" i="20"/>
  <c r="DC74" i="20"/>
  <c r="DK74" i="20"/>
  <c r="R74" i="20"/>
  <c r="AB74" i="20"/>
  <c r="AK74" i="20"/>
  <c r="AT74" i="20"/>
  <c r="BC74" i="20"/>
  <c r="BL74" i="20"/>
  <c r="BU74" i="20"/>
  <c r="CD74" i="20"/>
  <c r="CN74" i="20"/>
  <c r="CW74" i="20"/>
  <c r="DF74" i="20"/>
  <c r="T74" i="20"/>
  <c r="AC74" i="20"/>
  <c r="AL74" i="20"/>
  <c r="AU74" i="20"/>
  <c r="BD74" i="20"/>
  <c r="BM74" i="20"/>
  <c r="BV74" i="20"/>
  <c r="CF74" i="20"/>
  <c r="CO74" i="20"/>
  <c r="CX74" i="20"/>
  <c r="DG74" i="20"/>
  <c r="Q74" i="20"/>
  <c r="AE74" i="20"/>
  <c r="AP74" i="20"/>
  <c r="BB74" i="20"/>
  <c r="BP74" i="20"/>
  <c r="CA74" i="20"/>
  <c r="CL74" i="20"/>
  <c r="CZ74" i="20"/>
  <c r="DL74" i="20"/>
  <c r="U74" i="20"/>
  <c r="AF74" i="20"/>
  <c r="AR74" i="20"/>
  <c r="BE74" i="20"/>
  <c r="BQ74" i="20"/>
  <c r="CB74" i="20"/>
  <c r="CP74" i="20"/>
  <c r="DA74" i="20"/>
  <c r="AG74" i="20"/>
  <c r="AW74" i="20"/>
  <c r="BK74" i="20"/>
  <c r="CC74" i="20"/>
  <c r="CS74" i="20"/>
  <c r="DI74" i="20"/>
  <c r="AH74" i="20"/>
  <c r="AX74" i="20"/>
  <c r="BN74" i="20"/>
  <c r="CG74" i="20"/>
  <c r="CT74" i="20"/>
  <c r="DJ74" i="20"/>
  <c r="V74" i="20"/>
  <c r="AJ74" i="20"/>
  <c r="AZ74" i="20"/>
  <c r="BR74" i="20"/>
  <c r="CH74" i="20"/>
  <c r="CV74" i="20"/>
  <c r="Y74" i="20"/>
  <c r="AO74" i="20"/>
  <c r="BH74" i="20"/>
  <c r="BX74" i="20"/>
  <c r="CK74" i="20"/>
  <c r="DD74" i="20"/>
  <c r="AN74" i="20"/>
  <c r="BT74" i="20"/>
  <c r="DB74" i="20"/>
  <c r="AV74" i="20"/>
  <c r="BZ74" i="20"/>
  <c r="DH74" i="20"/>
  <c r="W74" i="20"/>
  <c r="BA74" i="20"/>
  <c r="CI74" i="20"/>
  <c r="X74" i="20"/>
  <c r="BF74" i="20"/>
  <c r="CJ74" i="20"/>
  <c r="AD74" i="20"/>
  <c r="CR74" i="20"/>
  <c r="AM74" i="20"/>
  <c r="CY74" i="20"/>
  <c r="AS74" i="20"/>
  <c r="DE74" i="20"/>
  <c r="BJ74" i="20"/>
  <c r="BS74" i="20"/>
  <c r="BY74" i="20"/>
  <c r="CQ74" i="20"/>
  <c r="Z74" i="20"/>
  <c r="BI74" i="20"/>
  <c r="W288" i="20"/>
  <c r="AE288" i="20"/>
  <c r="AM288" i="20"/>
  <c r="AU288" i="20"/>
  <c r="BC288" i="20"/>
  <c r="BK288" i="20"/>
  <c r="BS288" i="20"/>
  <c r="CA288" i="20"/>
  <c r="CI288" i="20"/>
  <c r="CQ288" i="20"/>
  <c r="CY288" i="20"/>
  <c r="DG288" i="20"/>
  <c r="S288" i="20"/>
  <c r="AB288" i="20"/>
  <c r="AK288" i="20"/>
  <c r="AT288" i="20"/>
  <c r="BD288" i="20"/>
  <c r="BM288" i="20"/>
  <c r="BV288" i="20"/>
  <c r="CE288" i="20"/>
  <c r="CN288" i="20"/>
  <c r="CW288" i="20"/>
  <c r="DF288" i="20"/>
  <c r="T288" i="20"/>
  <c r="AC288" i="20"/>
  <c r="AL288" i="20"/>
  <c r="AV288" i="20"/>
  <c r="BE288" i="20"/>
  <c r="BN288" i="20"/>
  <c r="BW288" i="20"/>
  <c r="CF288" i="20"/>
  <c r="CO288" i="20"/>
  <c r="CX288" i="20"/>
  <c r="DH288" i="20"/>
  <c r="V288" i="20"/>
  <c r="AH288" i="20"/>
  <c r="AS288" i="20"/>
  <c r="BG288" i="20"/>
  <c r="BR288" i="20"/>
  <c r="CD288" i="20"/>
  <c r="CR288" i="20"/>
  <c r="DC288" i="20"/>
  <c r="X288" i="20"/>
  <c r="AI288" i="20"/>
  <c r="AW288" i="20"/>
  <c r="BH288" i="20"/>
  <c r="BT288" i="20"/>
  <c r="CG288" i="20"/>
  <c r="CS288" i="20"/>
  <c r="DD288" i="20"/>
  <c r="Z288" i="20"/>
  <c r="AN288" i="20"/>
  <c r="AY288" i="20"/>
  <c r="BJ288" i="20"/>
  <c r="BX288" i="20"/>
  <c r="CJ288" i="20"/>
  <c r="CU288" i="20"/>
  <c r="DI288" i="20"/>
  <c r="AG288" i="20"/>
  <c r="BA288" i="20"/>
  <c r="BU288" i="20"/>
  <c r="CM288" i="20"/>
  <c r="DJ288" i="20"/>
  <c r="Q288" i="20"/>
  <c r="AJ288" i="20"/>
  <c r="BB288" i="20"/>
  <c r="BY288" i="20"/>
  <c r="CP288" i="20"/>
  <c r="DK288" i="20"/>
  <c r="R288" i="20"/>
  <c r="AO288" i="20"/>
  <c r="BF288" i="20"/>
  <c r="BZ288" i="20"/>
  <c r="CT288" i="20"/>
  <c r="DL288" i="20"/>
  <c r="U288" i="20"/>
  <c r="AP288" i="20"/>
  <c r="BI288" i="20"/>
  <c r="CB288" i="20"/>
  <c r="CV288" i="20"/>
  <c r="V214" i="20"/>
  <c r="AD214" i="20"/>
  <c r="AL214" i="20"/>
  <c r="AT214" i="20"/>
  <c r="BB214" i="20"/>
  <c r="BJ214" i="20"/>
  <c r="BR214" i="20"/>
  <c r="BZ214" i="20"/>
  <c r="CH214" i="20"/>
  <c r="CP214" i="20"/>
  <c r="CX214" i="20"/>
  <c r="DF214" i="20"/>
  <c r="X214" i="20"/>
  <c r="AG214" i="20"/>
  <c r="AP214" i="20"/>
  <c r="AY214" i="20"/>
  <c r="BH214" i="20"/>
  <c r="BQ214" i="20"/>
  <c r="CA214" i="20"/>
  <c r="CJ214" i="20"/>
  <c r="CS214" i="20"/>
  <c r="DB214" i="20"/>
  <c r="DK214" i="20"/>
  <c r="Y214" i="20"/>
  <c r="AH214" i="20"/>
  <c r="AQ214" i="20"/>
  <c r="AZ214" i="20"/>
  <c r="BI214" i="20"/>
  <c r="BS214" i="20"/>
  <c r="CB214" i="20"/>
  <c r="CK214" i="20"/>
  <c r="CT214" i="20"/>
  <c r="DC214" i="20"/>
  <c r="DL214" i="20"/>
  <c r="W214" i="20"/>
  <c r="AJ214" i="20"/>
  <c r="AV214" i="20"/>
  <c r="BG214" i="20"/>
  <c r="BU214" i="20"/>
  <c r="CF214" i="20"/>
  <c r="CR214" i="20"/>
  <c r="DE214" i="20"/>
  <c r="Z214" i="20"/>
  <c r="AK214" i="20"/>
  <c r="AW214" i="20"/>
  <c r="BK214" i="20"/>
  <c r="BV214" i="20"/>
  <c r="CG214" i="20"/>
  <c r="CU214" i="20"/>
  <c r="DG214" i="20"/>
  <c r="Q214" i="20"/>
  <c r="AB214" i="20"/>
  <c r="AN214" i="20"/>
  <c r="BA214" i="20"/>
  <c r="BM214" i="20"/>
  <c r="BX214" i="20"/>
  <c r="CL214" i="20"/>
  <c r="CW214" i="20"/>
  <c r="DI214" i="20"/>
  <c r="R214" i="20"/>
  <c r="AI214" i="20"/>
  <c r="BD214" i="20"/>
  <c r="BW214" i="20"/>
  <c r="CO214" i="20"/>
  <c r="DJ214" i="20"/>
  <c r="T214" i="20"/>
  <c r="AO214" i="20"/>
  <c r="BF214" i="20"/>
  <c r="CC214" i="20"/>
  <c r="CV214" i="20"/>
  <c r="U214" i="20"/>
  <c r="AR214" i="20"/>
  <c r="BL214" i="20"/>
  <c r="CD214" i="20"/>
  <c r="CY214" i="20"/>
  <c r="AS214" i="20"/>
  <c r="BT214" i="20"/>
  <c r="DA214" i="20"/>
  <c r="AU214" i="20"/>
  <c r="BY214" i="20"/>
  <c r="DD214" i="20"/>
  <c r="AA214" i="20"/>
  <c r="BC214" i="20"/>
  <c r="CI214" i="20"/>
  <c r="AE214" i="20"/>
  <c r="CE214" i="20"/>
  <c r="AM214" i="20"/>
  <c r="CQ214" i="20"/>
  <c r="AX214" i="20"/>
  <c r="CZ214" i="20"/>
  <c r="BE214" i="20"/>
  <c r="DH214" i="20"/>
  <c r="BN214" i="20"/>
  <c r="BO214" i="20"/>
  <c r="S214" i="20"/>
  <c r="BP214" i="20"/>
  <c r="V218" i="20"/>
  <c r="AD218" i="20"/>
  <c r="AL218" i="20"/>
  <c r="AT218" i="20"/>
  <c r="BB218" i="20"/>
  <c r="BJ218" i="20"/>
  <c r="BR218" i="20"/>
  <c r="BZ218" i="20"/>
  <c r="CH218" i="20"/>
  <c r="CP218" i="20"/>
  <c r="CX218" i="20"/>
  <c r="DF218" i="20"/>
  <c r="Q218" i="20"/>
  <c r="Z218" i="20"/>
  <c r="AI218" i="20"/>
  <c r="AR218" i="20"/>
  <c r="BA218" i="20"/>
  <c r="BK218" i="20"/>
  <c r="BT218" i="20"/>
  <c r="CC218" i="20"/>
  <c r="CL218" i="20"/>
  <c r="CU218" i="20"/>
  <c r="DD218" i="20"/>
  <c r="R218" i="20"/>
  <c r="AA218" i="20"/>
  <c r="AJ218" i="20"/>
  <c r="AS218" i="20"/>
  <c r="BC218" i="20"/>
  <c r="BL218" i="20"/>
  <c r="BU218" i="20"/>
  <c r="CD218" i="20"/>
  <c r="CM218" i="20"/>
  <c r="CV218" i="20"/>
  <c r="DE218" i="20"/>
  <c r="Y218" i="20"/>
  <c r="AM218" i="20"/>
  <c r="AX218" i="20"/>
  <c r="BI218" i="20"/>
  <c r="BW218" i="20"/>
  <c r="CI218" i="20"/>
  <c r="CT218" i="20"/>
  <c r="DH218" i="20"/>
  <c r="AB218" i="20"/>
  <c r="AN218" i="20"/>
  <c r="AY218" i="20"/>
  <c r="BM218" i="20"/>
  <c r="BX218" i="20"/>
  <c r="CJ218" i="20"/>
  <c r="CW218" i="20"/>
  <c r="DI218" i="20"/>
  <c r="S218" i="20"/>
  <c r="AE218" i="20"/>
  <c r="AP218" i="20"/>
  <c r="BD218" i="20"/>
  <c r="BO218" i="20"/>
  <c r="CA218" i="20"/>
  <c r="CN218" i="20"/>
  <c r="CZ218" i="20"/>
  <c r="DK218" i="20"/>
  <c r="X218" i="20"/>
  <c r="AU218" i="20"/>
  <c r="BN218" i="20"/>
  <c r="CF218" i="20"/>
  <c r="DA218" i="20"/>
  <c r="AF218" i="20"/>
  <c r="AW218" i="20"/>
  <c r="BQ218" i="20"/>
  <c r="CK218" i="20"/>
  <c r="DC218" i="20"/>
  <c r="AG218" i="20"/>
  <c r="AZ218" i="20"/>
  <c r="BS218" i="20"/>
  <c r="CO218" i="20"/>
  <c r="DG218" i="20"/>
  <c r="T218" i="20"/>
  <c r="AV218" i="20"/>
  <c r="CB218" i="20"/>
  <c r="DJ218" i="20"/>
  <c r="U218" i="20"/>
  <c r="BE218" i="20"/>
  <c r="CE218" i="20"/>
  <c r="DL218" i="20"/>
  <c r="AC218" i="20"/>
  <c r="BG218" i="20"/>
  <c r="CQ218" i="20"/>
  <c r="AH218" i="20"/>
  <c r="BY218" i="20"/>
  <c r="AO218" i="20"/>
  <c r="CS218" i="20"/>
  <c r="AQ218" i="20"/>
  <c r="CY218" i="20"/>
  <c r="BF218" i="20"/>
  <c r="DB218" i="20"/>
  <c r="BH218" i="20"/>
  <c r="BP218" i="20"/>
  <c r="BV218" i="20"/>
  <c r="S285" i="20"/>
  <c r="AA285" i="20"/>
  <c r="AI285" i="20"/>
  <c r="AQ285" i="20"/>
  <c r="AY285" i="20"/>
  <c r="BG285" i="20"/>
  <c r="BO285" i="20"/>
  <c r="BW285" i="20"/>
  <c r="CE285" i="20"/>
  <c r="CM285" i="20"/>
  <c r="CU285" i="20"/>
  <c r="DC285" i="20"/>
  <c r="DK285" i="20"/>
  <c r="Q285" i="20"/>
  <c r="Z285" i="20"/>
  <c r="AJ285" i="20"/>
  <c r="AS285" i="20"/>
  <c r="BB285" i="20"/>
  <c r="BK285" i="20"/>
  <c r="BT285" i="20"/>
  <c r="CC285" i="20"/>
  <c r="CL285" i="20"/>
  <c r="CV285" i="20"/>
  <c r="DE285" i="20"/>
  <c r="R285" i="20"/>
  <c r="AB285" i="20"/>
  <c r="AK285" i="20"/>
  <c r="AT285" i="20"/>
  <c r="BC285" i="20"/>
  <c r="BL285" i="20"/>
  <c r="BU285" i="20"/>
  <c r="CD285" i="20"/>
  <c r="CN285" i="20"/>
  <c r="CW285" i="20"/>
  <c r="DF285" i="20"/>
  <c r="AD285" i="20"/>
  <c r="AO285" i="20"/>
  <c r="BA285" i="20"/>
  <c r="BN285" i="20"/>
  <c r="BZ285" i="20"/>
  <c r="CK285" i="20"/>
  <c r="CY285" i="20"/>
  <c r="DJ285" i="20"/>
  <c r="T285" i="20"/>
  <c r="AE285" i="20"/>
  <c r="AP285" i="20"/>
  <c r="BD285" i="20"/>
  <c r="BP285" i="20"/>
  <c r="CA285" i="20"/>
  <c r="CO285" i="20"/>
  <c r="CZ285" i="20"/>
  <c r="DL285" i="20"/>
  <c r="V285" i="20"/>
  <c r="AG285" i="20"/>
  <c r="AU285" i="20"/>
  <c r="BF285" i="20"/>
  <c r="BR285" i="20"/>
  <c r="CF285" i="20"/>
  <c r="CQ285" i="20"/>
  <c r="DB285" i="20"/>
  <c r="W285" i="20"/>
  <c r="AN285" i="20"/>
  <c r="BI285" i="20"/>
  <c r="CB285" i="20"/>
  <c r="CT285" i="20"/>
  <c r="X285" i="20"/>
  <c r="AR285" i="20"/>
  <c r="BJ285" i="20"/>
  <c r="CG285" i="20"/>
  <c r="CX285" i="20"/>
  <c r="Y285" i="20"/>
  <c r="AV285" i="20"/>
  <c r="BM285" i="20"/>
  <c r="CH285" i="20"/>
  <c r="DA285" i="20"/>
  <c r="AC285" i="20"/>
  <c r="AW285" i="20"/>
  <c r="BQ285" i="20"/>
  <c r="CI285" i="20"/>
  <c r="DD285" i="20"/>
  <c r="S253" i="20"/>
  <c r="AA253" i="20"/>
  <c r="AI253" i="20"/>
  <c r="AQ253" i="20"/>
  <c r="AY253" i="20"/>
  <c r="BG253" i="20"/>
  <c r="BO253" i="20"/>
  <c r="BW253" i="20"/>
  <c r="CE253" i="20"/>
  <c r="CM253" i="20"/>
  <c r="CU253" i="20"/>
  <c r="DC253" i="20"/>
  <c r="DK253" i="20"/>
  <c r="V253" i="20"/>
  <c r="AD253" i="20"/>
  <c r="AL253" i="20"/>
  <c r="AT253" i="20"/>
  <c r="BB253" i="20"/>
  <c r="BJ253" i="20"/>
  <c r="BR253" i="20"/>
  <c r="BZ253" i="20"/>
  <c r="CH253" i="20"/>
  <c r="CP253" i="20"/>
  <c r="CX253" i="20"/>
  <c r="DF253" i="20"/>
  <c r="X253" i="20"/>
  <c r="AH253" i="20"/>
  <c r="AS253" i="20"/>
  <c r="BD253" i="20"/>
  <c r="BN253" i="20"/>
  <c r="BY253" i="20"/>
  <c r="CJ253" i="20"/>
  <c r="CT253" i="20"/>
  <c r="DE253" i="20"/>
  <c r="Z253" i="20"/>
  <c r="AK253" i="20"/>
  <c r="AV253" i="20"/>
  <c r="BF253" i="20"/>
  <c r="BQ253" i="20"/>
  <c r="CB253" i="20"/>
  <c r="CL253" i="20"/>
  <c r="CW253" i="20"/>
  <c r="DH253" i="20"/>
  <c r="Q253" i="20"/>
  <c r="AB253" i="20"/>
  <c r="AM253" i="20"/>
  <c r="AW253" i="20"/>
  <c r="BH253" i="20"/>
  <c r="BS253" i="20"/>
  <c r="CC253" i="20"/>
  <c r="CN253" i="20"/>
  <c r="CY253" i="20"/>
  <c r="DI253" i="20"/>
  <c r="AE253" i="20"/>
  <c r="AU253" i="20"/>
  <c r="BL253" i="20"/>
  <c r="CD253" i="20"/>
  <c r="CS253" i="20"/>
  <c r="DL253" i="20"/>
  <c r="AF253" i="20"/>
  <c r="AX253" i="20"/>
  <c r="BM253" i="20"/>
  <c r="CF253" i="20"/>
  <c r="CV253" i="20"/>
  <c r="T253" i="20"/>
  <c r="AJ253" i="20"/>
  <c r="BA253" i="20"/>
  <c r="BT253" i="20"/>
  <c r="CI253" i="20"/>
  <c r="DA253" i="20"/>
  <c r="U253" i="20"/>
  <c r="AR253" i="20"/>
  <c r="BV253" i="20"/>
  <c r="CZ253" i="20"/>
  <c r="W253" i="20"/>
  <c r="AZ253" i="20"/>
  <c r="BX253" i="20"/>
  <c r="DB253" i="20"/>
  <c r="Y253" i="20"/>
  <c r="BC253" i="20"/>
  <c r="CA253" i="20"/>
  <c r="DD253" i="20"/>
  <c r="AC253" i="20"/>
  <c r="BE253" i="20"/>
  <c r="CG253" i="20"/>
  <c r="DG253" i="20"/>
  <c r="AN253" i="20"/>
  <c r="BK253" i="20"/>
  <c r="CO253" i="20"/>
  <c r="Q344" i="20"/>
  <c r="Y344" i="20"/>
  <c r="AG344" i="20"/>
  <c r="AO344" i="20"/>
  <c r="AW344" i="20"/>
  <c r="BE344" i="20"/>
  <c r="BM344" i="20"/>
  <c r="BU344" i="20"/>
  <c r="CC344" i="20"/>
  <c r="CK344" i="20"/>
  <c r="CS344" i="20"/>
  <c r="DA344" i="20"/>
  <c r="DI344" i="20"/>
  <c r="S344" i="20"/>
  <c r="AA344" i="20"/>
  <c r="AI344" i="20"/>
  <c r="AQ344" i="20"/>
  <c r="AY344" i="20"/>
  <c r="BG344" i="20"/>
  <c r="BO344" i="20"/>
  <c r="BW344" i="20"/>
  <c r="CE344" i="20"/>
  <c r="CM344" i="20"/>
  <c r="CU344" i="20"/>
  <c r="DC344" i="20"/>
  <c r="DK344" i="20"/>
  <c r="AB344" i="20"/>
  <c r="AL344" i="20"/>
  <c r="AV344" i="20"/>
  <c r="BH344" i="20"/>
  <c r="BR344" i="20"/>
  <c r="CB344" i="20"/>
  <c r="CN344" i="20"/>
  <c r="CX344" i="20"/>
  <c r="DH344" i="20"/>
  <c r="R344" i="20"/>
  <c r="AC344" i="20"/>
  <c r="AM344" i="20"/>
  <c r="AX344" i="20"/>
  <c r="BI344" i="20"/>
  <c r="BS344" i="20"/>
  <c r="CD344" i="20"/>
  <c r="CO344" i="20"/>
  <c r="CY344" i="20"/>
  <c r="DJ344" i="20"/>
  <c r="T344" i="20"/>
  <c r="AD344" i="20"/>
  <c r="AN344" i="20"/>
  <c r="AZ344" i="20"/>
  <c r="BJ344" i="20"/>
  <c r="BT344" i="20"/>
  <c r="CF344" i="20"/>
  <c r="CP344" i="20"/>
  <c r="CZ344" i="20"/>
  <c r="DL344" i="20"/>
  <c r="Q332" i="20"/>
  <c r="Y332" i="20"/>
  <c r="AG332" i="20"/>
  <c r="AO332" i="20"/>
  <c r="AW332" i="20"/>
  <c r="BE332" i="20"/>
  <c r="BM332" i="20"/>
  <c r="BU332" i="20"/>
  <c r="CC332" i="20"/>
  <c r="CK332" i="20"/>
  <c r="CS332" i="20"/>
  <c r="DA332" i="20"/>
  <c r="DI332" i="20"/>
  <c r="S332" i="20"/>
  <c r="AA332" i="20"/>
  <c r="AI332" i="20"/>
  <c r="AQ332" i="20"/>
  <c r="AY332" i="20"/>
  <c r="BG332" i="20"/>
  <c r="BO332" i="20"/>
  <c r="BW332" i="20"/>
  <c r="CE332" i="20"/>
  <c r="CM332" i="20"/>
  <c r="CU332" i="20"/>
  <c r="DC332" i="20"/>
  <c r="DK332" i="20"/>
  <c r="V332" i="20"/>
  <c r="AF332" i="20"/>
  <c r="AR332" i="20"/>
  <c r="BB332" i="20"/>
  <c r="BL332" i="20"/>
  <c r="BX332" i="20"/>
  <c r="CH332" i="20"/>
  <c r="CR332" i="20"/>
  <c r="DD332" i="20"/>
  <c r="W332" i="20"/>
  <c r="AH332" i="20"/>
  <c r="AS332" i="20"/>
  <c r="BC332" i="20"/>
  <c r="BN332" i="20"/>
  <c r="BY332" i="20"/>
  <c r="CI332" i="20"/>
  <c r="CT332" i="20"/>
  <c r="DE332" i="20"/>
  <c r="X332" i="20"/>
  <c r="AJ332" i="20"/>
  <c r="AT332" i="20"/>
  <c r="BD332" i="20"/>
  <c r="BP332" i="20"/>
  <c r="BZ332" i="20"/>
  <c r="CJ332" i="20"/>
  <c r="CV332" i="20"/>
  <c r="DF332" i="20"/>
  <c r="U377" i="20"/>
  <c r="AC377" i="20"/>
  <c r="AK377" i="20"/>
  <c r="AS377" i="20"/>
  <c r="BA377" i="20"/>
  <c r="BI377" i="20"/>
  <c r="BQ377" i="20"/>
  <c r="BY377" i="20"/>
  <c r="CG377" i="20"/>
  <c r="CO377" i="20"/>
  <c r="CW377" i="20"/>
  <c r="DE377" i="20"/>
  <c r="Q377" i="20"/>
  <c r="Z377" i="20"/>
  <c r="AI377" i="20"/>
  <c r="AR377" i="20"/>
  <c r="BB377" i="20"/>
  <c r="BK377" i="20"/>
  <c r="BT377" i="20"/>
  <c r="CC377" i="20"/>
  <c r="CL377" i="20"/>
  <c r="CU377" i="20"/>
  <c r="DD377" i="20"/>
  <c r="S377" i="20"/>
  <c r="AB377" i="20"/>
  <c r="AL377" i="20"/>
  <c r="AU377" i="20"/>
  <c r="BD377" i="20"/>
  <c r="BM377" i="20"/>
  <c r="BV377" i="20"/>
  <c r="CE377" i="20"/>
  <c r="CN377" i="20"/>
  <c r="CX377" i="20"/>
  <c r="DG377" i="20"/>
  <c r="W315" i="20"/>
  <c r="AE315" i="20"/>
  <c r="AM315" i="20"/>
  <c r="AU315" i="20"/>
  <c r="BC315" i="20"/>
  <c r="BK315" i="20"/>
  <c r="BS315" i="20"/>
  <c r="CA315" i="20"/>
  <c r="CI315" i="20"/>
  <c r="CQ315" i="20"/>
  <c r="CY315" i="20"/>
  <c r="DG315" i="20"/>
  <c r="X315" i="20"/>
  <c r="AF315" i="20"/>
  <c r="AN315" i="20"/>
  <c r="AV315" i="20"/>
  <c r="BD315" i="20"/>
  <c r="BL315" i="20"/>
  <c r="BT315" i="20"/>
  <c r="CB315" i="20"/>
  <c r="CJ315" i="20"/>
  <c r="CR315" i="20"/>
  <c r="CZ315" i="20"/>
  <c r="DH315" i="20"/>
  <c r="T315" i="20"/>
  <c r="AD315" i="20"/>
  <c r="AP315" i="20"/>
  <c r="AZ315" i="20"/>
  <c r="BJ315" i="20"/>
  <c r="BV315" i="20"/>
  <c r="CF315" i="20"/>
  <c r="CP315" i="20"/>
  <c r="DB315" i="20"/>
  <c r="DL315" i="20"/>
  <c r="U315" i="20"/>
  <c r="AG315" i="20"/>
  <c r="AQ315" i="20"/>
  <c r="BA315" i="20"/>
  <c r="BM315" i="20"/>
  <c r="BW315" i="20"/>
  <c r="CG315" i="20"/>
  <c r="CS315" i="20"/>
  <c r="DC315" i="20"/>
  <c r="Y315" i="20"/>
  <c r="AI315" i="20"/>
  <c r="AS315" i="20"/>
  <c r="BE315" i="20"/>
  <c r="BO315" i="20"/>
  <c r="BY315" i="20"/>
  <c r="CK315" i="20"/>
  <c r="CU315" i="20"/>
  <c r="DE315" i="20"/>
  <c r="Z315" i="20"/>
  <c r="AO315" i="20"/>
  <c r="BG315" i="20"/>
  <c r="BX315" i="20"/>
  <c r="CN315" i="20"/>
  <c r="DF315" i="20"/>
  <c r="AA315" i="20"/>
  <c r="AR315" i="20"/>
  <c r="BH315" i="20"/>
  <c r="BZ315" i="20"/>
  <c r="CO315" i="20"/>
  <c r="DI315" i="20"/>
  <c r="AB315" i="20"/>
  <c r="AT315" i="20"/>
  <c r="BI315" i="20"/>
  <c r="CC315" i="20"/>
  <c r="CT315" i="20"/>
  <c r="DJ315" i="20"/>
  <c r="W268" i="20"/>
  <c r="AE268" i="20"/>
  <c r="AM268" i="20"/>
  <c r="AU268" i="20"/>
  <c r="BC268" i="20"/>
  <c r="BK268" i="20"/>
  <c r="BS268" i="20"/>
  <c r="CA268" i="20"/>
  <c r="CI268" i="20"/>
  <c r="CQ268" i="20"/>
  <c r="CY268" i="20"/>
  <c r="DG268" i="20"/>
  <c r="Q268" i="20"/>
  <c r="Z268" i="20"/>
  <c r="AI268" i="20"/>
  <c r="AR268" i="20"/>
  <c r="BA268" i="20"/>
  <c r="BJ268" i="20"/>
  <c r="BT268" i="20"/>
  <c r="CC268" i="20"/>
  <c r="CL268" i="20"/>
  <c r="CU268" i="20"/>
  <c r="DD268" i="20"/>
  <c r="R268" i="20"/>
  <c r="AA268" i="20"/>
  <c r="AJ268" i="20"/>
  <c r="AS268" i="20"/>
  <c r="BB268" i="20"/>
  <c r="BL268" i="20"/>
  <c r="BU268" i="20"/>
  <c r="CD268" i="20"/>
  <c r="CM268" i="20"/>
  <c r="CV268" i="20"/>
  <c r="DE268" i="20"/>
  <c r="V268" i="20"/>
  <c r="AH268" i="20"/>
  <c r="AV268" i="20"/>
  <c r="BG268" i="20"/>
  <c r="BR268" i="20"/>
  <c r="CF268" i="20"/>
  <c r="CR268" i="20"/>
  <c r="DC268" i="20"/>
  <c r="X268" i="20"/>
  <c r="AK268" i="20"/>
  <c r="AW268" i="20"/>
  <c r="BH268" i="20"/>
  <c r="BV268" i="20"/>
  <c r="CG268" i="20"/>
  <c r="CS268" i="20"/>
  <c r="DF268" i="20"/>
  <c r="AB268" i="20"/>
  <c r="AN268" i="20"/>
  <c r="AY268" i="20"/>
  <c r="BM268" i="20"/>
  <c r="BX268" i="20"/>
  <c r="CJ268" i="20"/>
  <c r="CW268" i="20"/>
  <c r="DI268" i="20"/>
  <c r="Y268" i="20"/>
  <c r="AQ268" i="20"/>
  <c r="BN268" i="20"/>
  <c r="CE268" i="20"/>
  <c r="CZ268" i="20"/>
  <c r="AC268" i="20"/>
  <c r="AT268" i="20"/>
  <c r="BO268" i="20"/>
  <c r="CH268" i="20"/>
  <c r="DA268" i="20"/>
  <c r="AD268" i="20"/>
  <c r="AX268" i="20"/>
  <c r="BP268" i="20"/>
  <c r="CK268" i="20"/>
  <c r="DB268" i="20"/>
  <c r="AF268" i="20"/>
  <c r="AZ268" i="20"/>
  <c r="BQ268" i="20"/>
  <c r="CN268" i="20"/>
  <c r="DH268" i="20"/>
  <c r="Q380" i="20"/>
  <c r="Y380" i="20"/>
  <c r="AG380" i="20"/>
  <c r="AO380" i="20"/>
  <c r="AW380" i="20"/>
  <c r="BE380" i="20"/>
  <c r="BM380" i="20"/>
  <c r="BU380" i="20"/>
  <c r="CC380" i="20"/>
  <c r="CK380" i="20"/>
  <c r="CS380" i="20"/>
  <c r="DA380" i="20"/>
  <c r="DI380" i="20"/>
  <c r="S380" i="20"/>
  <c r="AB380" i="20"/>
  <c r="AK380" i="20"/>
  <c r="AT380" i="20"/>
  <c r="BC380" i="20"/>
  <c r="BL380" i="20"/>
  <c r="BV380" i="20"/>
  <c r="CE380" i="20"/>
  <c r="CN380" i="20"/>
  <c r="CW380" i="20"/>
  <c r="DF380" i="20"/>
  <c r="U380" i="20"/>
  <c r="AD380" i="20"/>
  <c r="AM380" i="20"/>
  <c r="AV380" i="20"/>
  <c r="BF380" i="20"/>
  <c r="BO380" i="20"/>
  <c r="BX380" i="20"/>
  <c r="CG380" i="20"/>
  <c r="CP380" i="20"/>
  <c r="CY380" i="20"/>
  <c r="DH380" i="20"/>
  <c r="U349" i="20"/>
  <c r="AC349" i="20"/>
  <c r="AK349" i="20"/>
  <c r="AS349" i="20"/>
  <c r="BA349" i="20"/>
  <c r="BI349" i="20"/>
  <c r="BQ349" i="20"/>
  <c r="BY349" i="20"/>
  <c r="CG349" i="20"/>
  <c r="CO349" i="20"/>
  <c r="CW349" i="20"/>
  <c r="DE349" i="20"/>
  <c r="W349" i="20"/>
  <c r="AE349" i="20"/>
  <c r="AM349" i="20"/>
  <c r="AU349" i="20"/>
  <c r="BC349" i="20"/>
  <c r="BK349" i="20"/>
  <c r="BS349" i="20"/>
  <c r="CA349" i="20"/>
  <c r="CI349" i="20"/>
  <c r="CQ349" i="20"/>
  <c r="CY349" i="20"/>
  <c r="DG349" i="20"/>
  <c r="R349" i="20"/>
  <c r="AB349" i="20"/>
  <c r="AN349" i="20"/>
  <c r="AX349" i="20"/>
  <c r="BH349" i="20"/>
  <c r="BT349" i="20"/>
  <c r="CD349" i="20"/>
  <c r="CN349" i="20"/>
  <c r="CZ349" i="20"/>
  <c r="DJ349" i="20"/>
  <c r="S349" i="20"/>
  <c r="AD349" i="20"/>
  <c r="AO349" i="20"/>
  <c r="AY349" i="20"/>
  <c r="BJ349" i="20"/>
  <c r="BU349" i="20"/>
  <c r="CE349" i="20"/>
  <c r="CP349" i="20"/>
  <c r="DA349" i="20"/>
  <c r="DK349" i="20"/>
  <c r="T349" i="20"/>
  <c r="AF349" i="20"/>
  <c r="AP349" i="20"/>
  <c r="AZ349" i="20"/>
  <c r="BL349" i="20"/>
  <c r="BV349" i="20"/>
  <c r="CF349" i="20"/>
  <c r="CR349" i="20"/>
  <c r="DB349" i="20"/>
  <c r="DL349" i="20"/>
  <c r="W270" i="20"/>
  <c r="AE270" i="20"/>
  <c r="AM270" i="20"/>
  <c r="AU270" i="20"/>
  <c r="BC270" i="20"/>
  <c r="BK270" i="20"/>
  <c r="BS270" i="20"/>
  <c r="CA270" i="20"/>
  <c r="CI270" i="20"/>
  <c r="CQ270" i="20"/>
  <c r="CY270" i="20"/>
  <c r="DG270" i="20"/>
  <c r="R270" i="20"/>
  <c r="AA270" i="20"/>
  <c r="AJ270" i="20"/>
  <c r="AS270" i="20"/>
  <c r="BB270" i="20"/>
  <c r="BL270" i="20"/>
  <c r="BU270" i="20"/>
  <c r="CD270" i="20"/>
  <c r="CM270" i="20"/>
  <c r="CV270" i="20"/>
  <c r="DE270" i="20"/>
  <c r="S270" i="20"/>
  <c r="AB270" i="20"/>
  <c r="AK270" i="20"/>
  <c r="AT270" i="20"/>
  <c r="BD270" i="20"/>
  <c r="BM270" i="20"/>
  <c r="BV270" i="20"/>
  <c r="CE270" i="20"/>
  <c r="CN270" i="20"/>
  <c r="CW270" i="20"/>
  <c r="DF270" i="20"/>
  <c r="Q270" i="20"/>
  <c r="AD270" i="20"/>
  <c r="AP270" i="20"/>
  <c r="BA270" i="20"/>
  <c r="BO270" i="20"/>
  <c r="BZ270" i="20"/>
  <c r="CL270" i="20"/>
  <c r="CZ270" i="20"/>
  <c r="DK270" i="20"/>
  <c r="T270" i="20"/>
  <c r="AF270" i="20"/>
  <c r="AQ270" i="20"/>
  <c r="BE270" i="20"/>
  <c r="BP270" i="20"/>
  <c r="CB270" i="20"/>
  <c r="CO270" i="20"/>
  <c r="DA270" i="20"/>
  <c r="DL270" i="20"/>
  <c r="V270" i="20"/>
  <c r="AH270" i="20"/>
  <c r="AV270" i="20"/>
  <c r="BG270" i="20"/>
  <c r="BR270" i="20"/>
  <c r="CF270" i="20"/>
  <c r="CR270" i="20"/>
  <c r="DC270" i="20"/>
  <c r="U270" i="20"/>
  <c r="AN270" i="20"/>
  <c r="BH270" i="20"/>
  <c r="BY270" i="20"/>
  <c r="CT270" i="20"/>
  <c r="X270" i="20"/>
  <c r="AO270" i="20"/>
  <c r="BI270" i="20"/>
  <c r="CC270" i="20"/>
  <c r="CU270" i="20"/>
  <c r="Y270" i="20"/>
  <c r="AR270" i="20"/>
  <c r="BJ270" i="20"/>
  <c r="CG270" i="20"/>
  <c r="CX270" i="20"/>
  <c r="Z270" i="20"/>
  <c r="AW270" i="20"/>
  <c r="BN270" i="20"/>
  <c r="CH270" i="20"/>
  <c r="DB270" i="20"/>
  <c r="U194" i="20"/>
  <c r="AC194" i="20"/>
  <c r="AK194" i="20"/>
  <c r="AS194" i="20"/>
  <c r="BA194" i="20"/>
  <c r="BI194" i="20"/>
  <c r="BQ194" i="20"/>
  <c r="BY194" i="20"/>
  <c r="CG194" i="20"/>
  <c r="CO194" i="20"/>
  <c r="CW194" i="20"/>
  <c r="DE194" i="20"/>
  <c r="V194" i="20"/>
  <c r="AD194" i="20"/>
  <c r="AL194" i="20"/>
  <c r="AT194" i="20"/>
  <c r="BB194" i="20"/>
  <c r="BJ194" i="20"/>
  <c r="BR194" i="20"/>
  <c r="BZ194" i="20"/>
  <c r="CH194" i="20"/>
  <c r="CP194" i="20"/>
  <c r="CX194" i="20"/>
  <c r="DF194" i="20"/>
  <c r="W194" i="20"/>
  <c r="AG194" i="20"/>
  <c r="AQ194" i="20"/>
  <c r="BC194" i="20"/>
  <c r="BM194" i="20"/>
  <c r="BW194" i="20"/>
  <c r="CI194" i="20"/>
  <c r="CS194" i="20"/>
  <c r="DC194" i="20"/>
  <c r="X194" i="20"/>
  <c r="AH194" i="20"/>
  <c r="AR194" i="20"/>
  <c r="BD194" i="20"/>
  <c r="BN194" i="20"/>
  <c r="BX194" i="20"/>
  <c r="CJ194" i="20"/>
  <c r="CT194" i="20"/>
  <c r="DD194" i="20"/>
  <c r="Q194" i="20"/>
  <c r="AE194" i="20"/>
  <c r="AU194" i="20"/>
  <c r="BG194" i="20"/>
  <c r="BU194" i="20"/>
  <c r="CK194" i="20"/>
  <c r="CY194" i="20"/>
  <c r="DK194" i="20"/>
  <c r="R194" i="20"/>
  <c r="AF194" i="20"/>
  <c r="AV194" i="20"/>
  <c r="BH194" i="20"/>
  <c r="BV194" i="20"/>
  <c r="CL194" i="20"/>
  <c r="CZ194" i="20"/>
  <c r="DL194" i="20"/>
  <c r="S194" i="20"/>
  <c r="AI194" i="20"/>
  <c r="AW194" i="20"/>
  <c r="BK194" i="20"/>
  <c r="CA194" i="20"/>
  <c r="CM194" i="20"/>
  <c r="DA194" i="20"/>
  <c r="Y194" i="20"/>
  <c r="AM194" i="20"/>
  <c r="AY194" i="20"/>
  <c r="BO194" i="20"/>
  <c r="CC194" i="20"/>
  <c r="CQ194" i="20"/>
  <c r="DG194" i="20"/>
  <c r="AP194" i="20"/>
  <c r="BT194" i="20"/>
  <c r="CV194" i="20"/>
  <c r="Z194" i="20"/>
  <c r="AZ194" i="20"/>
  <c r="CD194" i="20"/>
  <c r="DH194" i="20"/>
  <c r="AA194" i="20"/>
  <c r="BE194" i="20"/>
  <c r="CE194" i="20"/>
  <c r="DI194" i="20"/>
  <c r="BF194" i="20"/>
  <c r="CU194" i="20"/>
  <c r="BL194" i="20"/>
  <c r="DB194" i="20"/>
  <c r="AB194" i="20"/>
  <c r="BS194" i="20"/>
  <c r="CF194" i="20"/>
  <c r="BP194" i="20"/>
  <c r="AN194" i="20"/>
  <c r="AO194" i="20"/>
  <c r="AX194" i="20"/>
  <c r="CB194" i="20"/>
  <c r="CN194" i="20"/>
  <c r="CR194" i="20"/>
  <c r="H120" i="20"/>
  <c r="H318" i="20"/>
  <c r="H114" i="20"/>
  <c r="K232" i="20"/>
  <c r="K41" i="20"/>
  <c r="K172" i="20"/>
  <c r="K60" i="20"/>
  <c r="K319" i="20"/>
  <c r="H351" i="20"/>
  <c r="H214" i="20"/>
  <c r="H377" i="20"/>
  <c r="H228" i="20"/>
  <c r="DF416" i="20"/>
  <c r="CU416" i="20"/>
  <c r="CK416" i="20"/>
  <c r="BZ416" i="20"/>
  <c r="BO416" i="20"/>
  <c r="BE416" i="20"/>
  <c r="AT416" i="20"/>
  <c r="AI416" i="20"/>
  <c r="Y416" i="20"/>
  <c r="DJ415" i="20"/>
  <c r="CY415" i="20"/>
  <c r="CO415" i="20"/>
  <c r="CD415" i="20"/>
  <c r="BS415" i="20"/>
  <c r="BI415" i="20"/>
  <c r="AX415" i="20"/>
  <c r="AM415" i="20"/>
  <c r="AC415" i="20"/>
  <c r="DC414" i="20"/>
  <c r="CS414" i="20"/>
  <c r="CH414" i="20"/>
  <c r="BW414" i="20"/>
  <c r="BM414" i="20"/>
  <c r="BB414" i="20"/>
  <c r="AQ414" i="20"/>
  <c r="AG414" i="20"/>
  <c r="V414" i="20"/>
  <c r="DG413" i="20"/>
  <c r="CW413" i="20"/>
  <c r="CL413" i="20"/>
  <c r="CA413" i="20"/>
  <c r="BQ413" i="20"/>
  <c r="BF413" i="20"/>
  <c r="AU413" i="20"/>
  <c r="AK413" i="20"/>
  <c r="DK412" i="20"/>
  <c r="DA412" i="20"/>
  <c r="CP412" i="20"/>
  <c r="CE412" i="20"/>
  <c r="BU412" i="20"/>
  <c r="BJ412" i="20"/>
  <c r="AY412" i="20"/>
  <c r="AO412" i="20"/>
  <c r="AD412" i="20"/>
  <c r="S412" i="20"/>
  <c r="DE411" i="20"/>
  <c r="CT411" i="20"/>
  <c r="CI411" i="20"/>
  <c r="BY411" i="20"/>
  <c r="BN411" i="20"/>
  <c r="BC411" i="20"/>
  <c r="AS411" i="20"/>
  <c r="AH411" i="20"/>
  <c r="DI410" i="20"/>
  <c r="CX410" i="20"/>
  <c r="CM410" i="20"/>
  <c r="CC410" i="20"/>
  <c r="BR410" i="20"/>
  <c r="BG410" i="20"/>
  <c r="AW410" i="20"/>
  <c r="AL410" i="20"/>
  <c r="AA410" i="20"/>
  <c r="DF408" i="20"/>
  <c r="CU408" i="20"/>
  <c r="CK408" i="20"/>
  <c r="BZ408" i="20"/>
  <c r="BO408" i="20"/>
  <c r="BE408" i="20"/>
  <c r="AT408" i="20"/>
  <c r="AI408" i="20"/>
  <c r="Y408" i="20"/>
  <c r="DJ407" i="20"/>
  <c r="CY407" i="20"/>
  <c r="CO407" i="20"/>
  <c r="CD407" i="20"/>
  <c r="BS407" i="20"/>
  <c r="BI407" i="20"/>
  <c r="AX407" i="20"/>
  <c r="AM407" i="20"/>
  <c r="AC407" i="20"/>
  <c r="DC406" i="20"/>
  <c r="CS406" i="20"/>
  <c r="CH406" i="20"/>
  <c r="BW406" i="20"/>
  <c r="BM406" i="20"/>
  <c r="BB406" i="20"/>
  <c r="AQ406" i="20"/>
  <c r="AG406" i="20"/>
  <c r="V406" i="20"/>
  <c r="DG405" i="20"/>
  <c r="CW405" i="20"/>
  <c r="CL405" i="20"/>
  <c r="CA405" i="20"/>
  <c r="BQ405" i="20"/>
  <c r="BF405" i="20"/>
  <c r="AU405" i="20"/>
  <c r="AK405" i="20"/>
  <c r="Z405" i="20"/>
  <c r="DE403" i="20"/>
  <c r="CT403" i="20"/>
  <c r="CI403" i="20"/>
  <c r="BY403" i="20"/>
  <c r="BN403" i="20"/>
  <c r="BC403" i="20"/>
  <c r="AS403" i="20"/>
  <c r="AH403" i="20"/>
  <c r="W403" i="20"/>
  <c r="DI402" i="20"/>
  <c r="CX402" i="20"/>
  <c r="CM402" i="20"/>
  <c r="CC402" i="20"/>
  <c r="BR402" i="20"/>
  <c r="BG402" i="20"/>
  <c r="AW402" i="20"/>
  <c r="AL402" i="20"/>
  <c r="AA402" i="20"/>
  <c r="Q402" i="20"/>
  <c r="DB401" i="20"/>
  <c r="CQ401" i="20"/>
  <c r="CG401" i="20"/>
  <c r="BV401" i="20"/>
  <c r="BK401" i="20"/>
  <c r="BA401" i="20"/>
  <c r="AP401" i="20"/>
  <c r="AE401" i="20"/>
  <c r="U401" i="20"/>
  <c r="DF400" i="20"/>
  <c r="CU400" i="20"/>
  <c r="CK400" i="20"/>
  <c r="BZ400" i="20"/>
  <c r="BO400" i="20"/>
  <c r="BE400" i="20"/>
  <c r="AT400" i="20"/>
  <c r="AI400" i="20"/>
  <c r="Y400" i="20"/>
  <c r="DJ399" i="20"/>
  <c r="CY399" i="20"/>
  <c r="CO399" i="20"/>
  <c r="CD399" i="20"/>
  <c r="BS399" i="20"/>
  <c r="BI399" i="20"/>
  <c r="AX399" i="20"/>
  <c r="AM399" i="20"/>
  <c r="AC399" i="20"/>
  <c r="R399" i="20"/>
  <c r="DC398" i="20"/>
  <c r="CS398" i="20"/>
  <c r="CH398" i="20"/>
  <c r="BW398" i="20"/>
  <c r="BM398" i="20"/>
  <c r="BB398" i="20"/>
  <c r="AQ398" i="20"/>
  <c r="AG398" i="20"/>
  <c r="V398" i="20"/>
  <c r="DK396" i="20"/>
  <c r="DA396" i="20"/>
  <c r="CP396" i="20"/>
  <c r="CE396" i="20"/>
  <c r="BU396" i="20"/>
  <c r="BJ396" i="20"/>
  <c r="AY396" i="20"/>
  <c r="AO396" i="20"/>
  <c r="AD396" i="20"/>
  <c r="S396" i="20"/>
  <c r="DI394" i="20"/>
  <c r="CX394" i="20"/>
  <c r="CM394" i="20"/>
  <c r="CC394" i="20"/>
  <c r="BR394" i="20"/>
  <c r="BG394" i="20"/>
  <c r="AW394" i="20"/>
  <c r="AL394" i="20"/>
  <c r="AA394" i="20"/>
  <c r="Q394" i="20"/>
  <c r="DF392" i="20"/>
  <c r="CU392" i="20"/>
  <c r="CK392" i="20"/>
  <c r="BZ392" i="20"/>
  <c r="BO392" i="20"/>
  <c r="BE392" i="20"/>
  <c r="AT392" i="20"/>
  <c r="AI392" i="20"/>
  <c r="Y392" i="20"/>
  <c r="DJ391" i="20"/>
  <c r="CY391" i="20"/>
  <c r="CO391" i="20"/>
  <c r="CD391" i="20"/>
  <c r="BS391" i="20"/>
  <c r="BI391" i="20"/>
  <c r="AX391" i="20"/>
  <c r="AM391" i="20"/>
  <c r="AC391" i="20"/>
  <c r="Q391" i="20"/>
  <c r="DF388" i="20"/>
  <c r="CT388" i="20"/>
  <c r="CG388" i="20"/>
  <c r="BV388" i="20"/>
  <c r="BI388" i="20"/>
  <c r="AV388" i="20"/>
  <c r="AK388" i="20"/>
  <c r="DH387" i="20"/>
  <c r="CV387" i="20"/>
  <c r="CJ387" i="20"/>
  <c r="BW387" i="20"/>
  <c r="BL387" i="20"/>
  <c r="AY387" i="20"/>
  <c r="AM387" i="20"/>
  <c r="AA387" i="20"/>
  <c r="DK386" i="20"/>
  <c r="CX386" i="20"/>
  <c r="CM386" i="20"/>
  <c r="BZ386" i="20"/>
  <c r="BN386" i="20"/>
  <c r="BB386" i="20"/>
  <c r="AP386" i="20"/>
  <c r="AC386" i="20"/>
  <c r="R386" i="20"/>
  <c r="DD384" i="20"/>
  <c r="CQ384" i="20"/>
  <c r="CE384" i="20"/>
  <c r="BS384" i="20"/>
  <c r="BG384" i="20"/>
  <c r="AT384" i="20"/>
  <c r="AI384" i="20"/>
  <c r="V384" i="20"/>
  <c r="DF383" i="20"/>
  <c r="CT383" i="20"/>
  <c r="CH383" i="20"/>
  <c r="BU383" i="20"/>
  <c r="BJ383" i="20"/>
  <c r="AW383" i="20"/>
  <c r="AJ383" i="20"/>
  <c r="Y383" i="20"/>
  <c r="DH382" i="20"/>
  <c r="CV382" i="20"/>
  <c r="CJ382" i="20"/>
  <c r="BX382" i="20"/>
  <c r="BK382" i="20"/>
  <c r="AZ382" i="20"/>
  <c r="AM382" i="20"/>
  <c r="AA382" i="20"/>
  <c r="DK381" i="20"/>
  <c r="CY381" i="20"/>
  <c r="CL381" i="20"/>
  <c r="CA381" i="20"/>
  <c r="BN381" i="20"/>
  <c r="BB381" i="20"/>
  <c r="AP381" i="20"/>
  <c r="AD381" i="20"/>
  <c r="Q381" i="20"/>
  <c r="DB380" i="20"/>
  <c r="CO380" i="20"/>
  <c r="CB380" i="20"/>
  <c r="BQ380" i="20"/>
  <c r="BD380" i="20"/>
  <c r="AR380" i="20"/>
  <c r="AF380" i="20"/>
  <c r="T380" i="20"/>
  <c r="DC379" i="20"/>
  <c r="CR379" i="20"/>
  <c r="CE379" i="20"/>
  <c r="BS379" i="20"/>
  <c r="BG379" i="20"/>
  <c r="AU379" i="20"/>
  <c r="AH379" i="20"/>
  <c r="W379" i="20"/>
  <c r="DI377" i="20"/>
  <c r="CV377" i="20"/>
  <c r="CJ377" i="20"/>
  <c r="BX377" i="20"/>
  <c r="BL377" i="20"/>
  <c r="AY377" i="20"/>
  <c r="AN377" i="20"/>
  <c r="AA377" i="20"/>
  <c r="DK376" i="20"/>
  <c r="CY376" i="20"/>
  <c r="CM376" i="20"/>
  <c r="BZ376" i="20"/>
  <c r="BO376" i="20"/>
  <c r="BB376" i="20"/>
  <c r="AP376" i="20"/>
  <c r="AD376" i="20"/>
  <c r="R376" i="20"/>
  <c r="DD374" i="20"/>
  <c r="CQ374" i="20"/>
  <c r="CF374" i="20"/>
  <c r="BS374" i="20"/>
  <c r="BG374" i="20"/>
  <c r="AU374" i="20"/>
  <c r="AI374" i="20"/>
  <c r="V374" i="20"/>
  <c r="DG373" i="20"/>
  <c r="CT373" i="20"/>
  <c r="CH373" i="20"/>
  <c r="BV373" i="20"/>
  <c r="BJ373" i="20"/>
  <c r="AW373" i="20"/>
  <c r="AL373" i="20"/>
  <c r="DK371" i="20"/>
  <c r="CY371" i="20"/>
  <c r="CM371" i="20"/>
  <c r="CA371" i="20"/>
  <c r="BN371" i="20"/>
  <c r="BC371" i="20"/>
  <c r="AP371" i="20"/>
  <c r="AD371" i="20"/>
  <c r="R371" i="20"/>
  <c r="DF368" i="20"/>
  <c r="CU368" i="20"/>
  <c r="CH368" i="20"/>
  <c r="BV368" i="20"/>
  <c r="BJ368" i="20"/>
  <c r="AX368" i="20"/>
  <c r="AK368" i="20"/>
  <c r="Z368" i="20"/>
  <c r="DL366" i="20"/>
  <c r="CY366" i="20"/>
  <c r="CM366" i="20"/>
  <c r="CA366" i="20"/>
  <c r="BO366" i="20"/>
  <c r="BB366" i="20"/>
  <c r="AQ366" i="20"/>
  <c r="AD366" i="20"/>
  <c r="R366" i="20"/>
  <c r="DG363" i="20"/>
  <c r="CT363" i="20"/>
  <c r="CI363" i="20"/>
  <c r="BV363" i="20"/>
  <c r="BJ363" i="20"/>
  <c r="AX363" i="20"/>
  <c r="AL363" i="20"/>
  <c r="X363" i="20"/>
  <c r="DF362" i="20"/>
  <c r="CQ362" i="20"/>
  <c r="CB362" i="20"/>
  <c r="BP362" i="20"/>
  <c r="BA362" i="20"/>
  <c r="AL362" i="20"/>
  <c r="X362" i="20"/>
  <c r="DF361" i="20"/>
  <c r="CR361" i="20"/>
  <c r="CD361" i="20"/>
  <c r="BO361" i="20"/>
  <c r="AZ361" i="20"/>
  <c r="AN361" i="20"/>
  <c r="Y361" i="20"/>
  <c r="DH359" i="20"/>
  <c r="CN359" i="20"/>
  <c r="BZ359" i="20"/>
  <c r="BG359" i="20"/>
  <c r="AO359" i="20"/>
  <c r="DD358" i="20"/>
  <c r="CO358" i="20"/>
  <c r="BV358" i="20"/>
  <c r="BC358" i="20"/>
  <c r="AN358" i="20"/>
  <c r="V358" i="20"/>
  <c r="DC357" i="20"/>
  <c r="CK357" i="20"/>
  <c r="BR357" i="20"/>
  <c r="BD357" i="20"/>
  <c r="AJ357" i="20"/>
  <c r="V357" i="20"/>
  <c r="CY356" i="20"/>
  <c r="CG356" i="20"/>
  <c r="BR356" i="20"/>
  <c r="AZ356" i="20"/>
  <c r="AK356" i="20"/>
  <c r="R356" i="20"/>
  <c r="CU355" i="20"/>
  <c r="CF355" i="20"/>
  <c r="BN355" i="20"/>
  <c r="AY355" i="20"/>
  <c r="AG355" i="20"/>
  <c r="DJ354" i="20"/>
  <c r="CV354" i="20"/>
  <c r="CB354" i="20"/>
  <c r="BN354" i="20"/>
  <c r="AU354" i="20"/>
  <c r="AC354" i="20"/>
  <c r="DJ351" i="20"/>
  <c r="CU351" i="20"/>
  <c r="CC351" i="20"/>
  <c r="BJ351" i="20"/>
  <c r="AV351" i="20"/>
  <c r="AB351" i="20"/>
  <c r="DJ350" i="20"/>
  <c r="CQ350" i="20"/>
  <c r="BY350" i="20"/>
  <c r="BJ350" i="20"/>
  <c r="AR350" i="20"/>
  <c r="AC350" i="20"/>
  <c r="DF349" i="20"/>
  <c r="CM349" i="20"/>
  <c r="BX349" i="20"/>
  <c r="BF349" i="20"/>
  <c r="AQ349" i="20"/>
  <c r="Y349" i="20"/>
  <c r="DB348" i="20"/>
  <c r="CN348" i="20"/>
  <c r="BT348" i="20"/>
  <c r="BF348" i="20"/>
  <c r="AM348" i="20"/>
  <c r="DB347" i="20"/>
  <c r="CJ347" i="20"/>
  <c r="BU347" i="20"/>
  <c r="BB347" i="20"/>
  <c r="AI347" i="20"/>
  <c r="CX346" i="20"/>
  <c r="CI346" i="20"/>
  <c r="BQ346" i="20"/>
  <c r="AX346" i="20"/>
  <c r="AJ346" i="20"/>
  <c r="DL345" i="20"/>
  <c r="CX345" i="20"/>
  <c r="CE345" i="20"/>
  <c r="BM345" i="20"/>
  <c r="AX345" i="20"/>
  <c r="AF345" i="20"/>
  <c r="Q345" i="20"/>
  <c r="CT344" i="20"/>
  <c r="CA344" i="20"/>
  <c r="BL344" i="20"/>
  <c r="AT344" i="20"/>
  <c r="AE344" i="20"/>
  <c r="DI343" i="20"/>
  <c r="CP343" i="20"/>
  <c r="CB343" i="20"/>
  <c r="BH343" i="20"/>
  <c r="AT343" i="20"/>
  <c r="AA343" i="20"/>
  <c r="DE342" i="20"/>
  <c r="CP342" i="20"/>
  <c r="BX342" i="20"/>
  <c r="BI342" i="20"/>
  <c r="AP342" i="20"/>
  <c r="DD339" i="20"/>
  <c r="CP339" i="20"/>
  <c r="BW339" i="20"/>
  <c r="BE339" i="20"/>
  <c r="AP339" i="20"/>
  <c r="X339" i="20"/>
  <c r="DE338" i="20"/>
  <c r="CL338" i="20"/>
  <c r="BS338" i="20"/>
  <c r="BD338" i="20"/>
  <c r="AL338" i="20"/>
  <c r="W338" i="20"/>
  <c r="DA337" i="20"/>
  <c r="CH337" i="20"/>
  <c r="BT337" i="20"/>
  <c r="AZ337" i="20"/>
  <c r="AL337" i="20"/>
  <c r="S337" i="20"/>
  <c r="CW336" i="20"/>
  <c r="CH336" i="20"/>
  <c r="BP336" i="20"/>
  <c r="BA336" i="20"/>
  <c r="AH336" i="20"/>
  <c r="CT334" i="20"/>
  <c r="CF334" i="20"/>
  <c r="BL334" i="20"/>
  <c r="AX334" i="20"/>
  <c r="AE334" i="20"/>
  <c r="DI333" i="20"/>
  <c r="CT333" i="20"/>
  <c r="CB333" i="20"/>
  <c r="BM333" i="20"/>
  <c r="AT333" i="20"/>
  <c r="DH332" i="20"/>
  <c r="CP332" i="20"/>
  <c r="CA332" i="20"/>
  <c r="BI332" i="20"/>
  <c r="AP332" i="20"/>
  <c r="AB332" i="20"/>
  <c r="DD331" i="20"/>
  <c r="CP331" i="20"/>
  <c r="BW331" i="20"/>
  <c r="BE331" i="20"/>
  <c r="AP331" i="20"/>
  <c r="DA329" i="20"/>
  <c r="CH329" i="20"/>
  <c r="BT329" i="20"/>
  <c r="AZ329" i="20"/>
  <c r="DJ328" i="20"/>
  <c r="CP328" i="20"/>
  <c r="BY328" i="20"/>
  <c r="BD328" i="20"/>
  <c r="AM328" i="20"/>
  <c r="Q328" i="20"/>
  <c r="CR327" i="20"/>
  <c r="BZ327" i="20"/>
  <c r="BF327" i="20"/>
  <c r="AO327" i="20"/>
  <c r="T327" i="20"/>
  <c r="CR326" i="20"/>
  <c r="BZ326" i="20"/>
  <c r="AX326" i="20"/>
  <c r="AF326" i="20"/>
  <c r="CP324" i="20"/>
  <c r="BQ324" i="20"/>
  <c r="AV324" i="20"/>
  <c r="X324" i="20"/>
  <c r="DF322" i="20"/>
  <c r="CL322" i="20"/>
  <c r="BM322" i="20"/>
  <c r="AO322" i="20"/>
  <c r="V322" i="20"/>
  <c r="DB320" i="20"/>
  <c r="CD320" i="20"/>
  <c r="BK320" i="20"/>
  <c r="CN317" i="20"/>
  <c r="BI317" i="20"/>
  <c r="DE316" i="20"/>
  <c r="CH316" i="20"/>
  <c r="BC316" i="20"/>
  <c r="X316" i="20"/>
  <c r="CW315" i="20"/>
  <c r="BR315" i="20"/>
  <c r="AW315" i="20"/>
  <c r="R315" i="20"/>
  <c r="DF313" i="20"/>
  <c r="CC313" i="20"/>
  <c r="AZ313" i="20"/>
  <c r="AA313" i="20"/>
  <c r="DL311" i="20"/>
  <c r="CN311" i="20"/>
  <c r="BJ311" i="20"/>
  <c r="AL311" i="20"/>
  <c r="DF310" i="20"/>
  <c r="CA310" i="20"/>
  <c r="BD310" i="20"/>
  <c r="CH308" i="20"/>
  <c r="AX308" i="20"/>
  <c r="CX306" i="20"/>
  <c r="BM306" i="20"/>
  <c r="AF306" i="20"/>
  <c r="CL304" i="20"/>
  <c r="BD304" i="20"/>
  <c r="U304" i="20"/>
  <c r="CH303" i="20"/>
  <c r="BA303" i="20"/>
  <c r="CH302" i="20"/>
  <c r="AW302" i="20"/>
  <c r="CW300" i="20"/>
  <c r="BN300" i="20"/>
  <c r="AG300" i="20"/>
  <c r="CV299" i="20"/>
  <c r="BN299" i="20"/>
  <c r="AC299" i="20"/>
  <c r="CR298" i="20"/>
  <c r="BK298" i="20"/>
  <c r="CP297" i="20"/>
  <c r="BG297" i="20"/>
  <c r="Z297" i="20"/>
  <c r="CO296" i="20"/>
  <c r="BF296" i="20"/>
  <c r="CP294" i="20"/>
  <c r="BB294" i="20"/>
  <c r="Q294" i="20"/>
  <c r="CN292" i="20"/>
  <c r="DL291" i="20"/>
  <c r="BU291" i="20"/>
  <c r="AJ291" i="20"/>
  <c r="CT290" i="20"/>
  <c r="BH290" i="20"/>
  <c r="S290" i="20"/>
  <c r="CA289" i="20"/>
  <c r="AO289" i="20"/>
  <c r="CZ288" i="20"/>
  <c r="BL288" i="20"/>
  <c r="Y288" i="20"/>
  <c r="CG287" i="20"/>
  <c r="DC286" i="20"/>
  <c r="BQ286" i="20"/>
  <c r="AD286" i="20"/>
  <c r="CJ285" i="20"/>
  <c r="AX285" i="20"/>
  <c r="DI284" i="20"/>
  <c r="BW284" i="20"/>
  <c r="AH284" i="20"/>
  <c r="CP283" i="20"/>
  <c r="BD283" i="20"/>
  <c r="R283" i="20"/>
  <c r="CF281" i="20"/>
  <c r="AT281" i="20"/>
  <c r="DA280" i="20"/>
  <c r="BM280" i="20"/>
  <c r="AA280" i="20"/>
  <c r="CK279" i="20"/>
  <c r="AW279" i="20"/>
  <c r="DF278" i="20"/>
  <c r="BR278" i="20"/>
  <c r="AD278" i="20"/>
  <c r="CO277" i="20"/>
  <c r="BC277" i="20"/>
  <c r="DL276" i="20"/>
  <c r="BV276" i="20"/>
  <c r="AJ276" i="20"/>
  <c r="CT275" i="20"/>
  <c r="BI275" i="20"/>
  <c r="CB274" i="20"/>
  <c r="AP274" i="20"/>
  <c r="CZ273" i="20"/>
  <c r="BL273" i="20"/>
  <c r="Y273" i="20"/>
  <c r="CL271" i="20"/>
  <c r="AX271" i="20"/>
  <c r="DI270" i="20"/>
  <c r="BW270" i="20"/>
  <c r="AI270" i="20"/>
  <c r="CR269" i="20"/>
  <c r="BD269" i="20"/>
  <c r="DL268" i="20"/>
  <c r="BZ268" i="20"/>
  <c r="AO268" i="20"/>
  <c r="CX267" i="20"/>
  <c r="BH267" i="20"/>
  <c r="T267" i="20"/>
  <c r="BO264" i="20"/>
  <c r="CB261" i="20"/>
  <c r="BZ260" i="20"/>
  <c r="DL259" i="20"/>
  <c r="BH259" i="20"/>
  <c r="CR258" i="20"/>
  <c r="Z258" i="20"/>
  <c r="CR256" i="20"/>
  <c r="Q256" i="20"/>
  <c r="AW255" i="20"/>
  <c r="BZ254" i="20"/>
  <c r="CR253" i="20"/>
  <c r="AG253" i="20"/>
  <c r="CU250" i="20"/>
  <c r="AG250" i="20"/>
  <c r="BB249" i="20"/>
  <c r="DC246" i="20"/>
  <c r="BY245" i="20"/>
  <c r="BC244" i="20"/>
  <c r="AE243" i="20"/>
  <c r="CY241" i="20"/>
  <c r="CD240" i="20"/>
  <c r="AF238" i="20"/>
  <c r="CJ236" i="20"/>
  <c r="DG234" i="20"/>
  <c r="AQ233" i="20"/>
  <c r="BS231" i="20"/>
  <c r="AL227" i="20"/>
  <c r="BS225" i="20"/>
  <c r="CY223" i="20"/>
  <c r="BZ221" i="20"/>
  <c r="AC214" i="20"/>
  <c r="BA211" i="20"/>
  <c r="BS207" i="20"/>
  <c r="AW201" i="20"/>
  <c r="BQ199" i="20"/>
  <c r="DJ196" i="20"/>
  <c r="DD192" i="20"/>
  <c r="AT189" i="20"/>
  <c r="DA182" i="20"/>
  <c r="AA175" i="20"/>
  <c r="CI165" i="20"/>
  <c r="W329" i="20"/>
  <c r="AE329" i="20"/>
  <c r="AM329" i="20"/>
  <c r="AU329" i="20"/>
  <c r="Q329" i="20"/>
  <c r="Z329" i="20"/>
  <c r="AI329" i="20"/>
  <c r="AR329" i="20"/>
  <c r="BA329" i="20"/>
  <c r="BI329" i="20"/>
  <c r="BQ329" i="20"/>
  <c r="BY329" i="20"/>
  <c r="CG329" i="20"/>
  <c r="CO329" i="20"/>
  <c r="CW329" i="20"/>
  <c r="DE329" i="20"/>
  <c r="S329" i="20"/>
  <c r="AB329" i="20"/>
  <c r="AK329" i="20"/>
  <c r="AT329" i="20"/>
  <c r="BC329" i="20"/>
  <c r="BK329" i="20"/>
  <c r="BS329" i="20"/>
  <c r="CA329" i="20"/>
  <c r="CI329" i="20"/>
  <c r="CQ329" i="20"/>
  <c r="CY329" i="20"/>
  <c r="DG329" i="20"/>
  <c r="T329" i="20"/>
  <c r="AF329" i="20"/>
  <c r="AQ329" i="20"/>
  <c r="BD329" i="20"/>
  <c r="BN329" i="20"/>
  <c r="BX329" i="20"/>
  <c r="CJ329" i="20"/>
  <c r="CT329" i="20"/>
  <c r="DD329" i="20"/>
  <c r="U329" i="20"/>
  <c r="AG329" i="20"/>
  <c r="AS329" i="20"/>
  <c r="BE329" i="20"/>
  <c r="BO329" i="20"/>
  <c r="BZ329" i="20"/>
  <c r="CK329" i="20"/>
  <c r="CU329" i="20"/>
  <c r="DF329" i="20"/>
  <c r="V329" i="20"/>
  <c r="AH329" i="20"/>
  <c r="AV329" i="20"/>
  <c r="BF329" i="20"/>
  <c r="BP329" i="20"/>
  <c r="CB329" i="20"/>
  <c r="CL329" i="20"/>
  <c r="CV329" i="20"/>
  <c r="DH329" i="20"/>
  <c r="Q93" i="20"/>
  <c r="Y93" i="20"/>
  <c r="AG93" i="20"/>
  <c r="AO93" i="20"/>
  <c r="AW93" i="20"/>
  <c r="BE93" i="20"/>
  <c r="BM93" i="20"/>
  <c r="BU93" i="20"/>
  <c r="CC93" i="20"/>
  <c r="CK93" i="20"/>
  <c r="CS93" i="20"/>
  <c r="DA93" i="20"/>
  <c r="DI93" i="20"/>
  <c r="R93" i="20"/>
  <c r="AA93" i="20"/>
  <c r="AJ93" i="20"/>
  <c r="AS93" i="20"/>
  <c r="BB93" i="20"/>
  <c r="BK93" i="20"/>
  <c r="BT93" i="20"/>
  <c r="CD93" i="20"/>
  <c r="CM93" i="20"/>
  <c r="CV93" i="20"/>
  <c r="DE93" i="20"/>
  <c r="S93" i="20"/>
  <c r="AB93" i="20"/>
  <c r="AK93" i="20"/>
  <c r="AT93" i="20"/>
  <c r="BC93" i="20"/>
  <c r="BL93" i="20"/>
  <c r="BV93" i="20"/>
  <c r="CE93" i="20"/>
  <c r="CN93" i="20"/>
  <c r="CW93" i="20"/>
  <c r="DF93" i="20"/>
  <c r="Z93" i="20"/>
  <c r="AM93" i="20"/>
  <c r="AY93" i="20"/>
  <c r="BJ93" i="20"/>
  <c r="BX93" i="20"/>
  <c r="CI93" i="20"/>
  <c r="CU93" i="20"/>
  <c r="DH93" i="20"/>
  <c r="T93" i="20"/>
  <c r="AE93" i="20"/>
  <c r="AQ93" i="20"/>
  <c r="BD93" i="20"/>
  <c r="BP93" i="20"/>
  <c r="CA93" i="20"/>
  <c r="CO93" i="20"/>
  <c r="CZ93" i="20"/>
  <c r="DL93" i="20"/>
  <c r="U93" i="20"/>
  <c r="AF93" i="20"/>
  <c r="AR93" i="20"/>
  <c r="BF93" i="20"/>
  <c r="BQ93" i="20"/>
  <c r="CB93" i="20"/>
  <c r="CP93" i="20"/>
  <c r="DB93" i="20"/>
  <c r="V93" i="20"/>
  <c r="AN93" i="20"/>
  <c r="BH93" i="20"/>
  <c r="BZ93" i="20"/>
  <c r="CT93" i="20"/>
  <c r="W93" i="20"/>
  <c r="AP93" i="20"/>
  <c r="BI93" i="20"/>
  <c r="CF93" i="20"/>
  <c r="CX93" i="20"/>
  <c r="X93" i="20"/>
  <c r="AU93" i="20"/>
  <c r="BN93" i="20"/>
  <c r="CG93" i="20"/>
  <c r="CY93" i="20"/>
  <c r="AD93" i="20"/>
  <c r="BG93" i="20"/>
  <c r="CL93" i="20"/>
  <c r="AH93" i="20"/>
  <c r="BO93" i="20"/>
  <c r="CQ93" i="20"/>
  <c r="AI93" i="20"/>
  <c r="BR93" i="20"/>
  <c r="CR93" i="20"/>
  <c r="AL93" i="20"/>
  <c r="BS93" i="20"/>
  <c r="DC93" i="20"/>
  <c r="AV93" i="20"/>
  <c r="BW93" i="20"/>
  <c r="DD93" i="20"/>
  <c r="CH93" i="20"/>
  <c r="CJ93" i="20"/>
  <c r="DG93" i="20"/>
  <c r="AC93" i="20"/>
  <c r="DJ93" i="20"/>
  <c r="AX93" i="20"/>
  <c r="AZ93" i="20"/>
  <c r="BA93" i="20"/>
  <c r="BY93" i="20"/>
  <c r="DK93" i="20"/>
  <c r="S298" i="20"/>
  <c r="AA298" i="20"/>
  <c r="AI298" i="20"/>
  <c r="AQ298" i="20"/>
  <c r="AY298" i="20"/>
  <c r="BG298" i="20"/>
  <c r="BO298" i="20"/>
  <c r="BW298" i="20"/>
  <c r="CE298" i="20"/>
  <c r="CM298" i="20"/>
  <c r="CU298" i="20"/>
  <c r="DC298" i="20"/>
  <c r="DK298" i="20"/>
  <c r="T298" i="20"/>
  <c r="AB298" i="20"/>
  <c r="AJ298" i="20"/>
  <c r="AR298" i="20"/>
  <c r="AZ298" i="20"/>
  <c r="BH298" i="20"/>
  <c r="BP298" i="20"/>
  <c r="BX298" i="20"/>
  <c r="CF298" i="20"/>
  <c r="CN298" i="20"/>
  <c r="CV298" i="20"/>
  <c r="DD298" i="20"/>
  <c r="DL298" i="20"/>
  <c r="X298" i="20"/>
  <c r="AH298" i="20"/>
  <c r="AT298" i="20"/>
  <c r="BD298" i="20"/>
  <c r="BN298" i="20"/>
  <c r="BZ298" i="20"/>
  <c r="CJ298" i="20"/>
  <c r="CT298" i="20"/>
  <c r="DF298" i="20"/>
  <c r="Y298" i="20"/>
  <c r="AK298" i="20"/>
  <c r="AU298" i="20"/>
  <c r="BE298" i="20"/>
  <c r="BQ298" i="20"/>
  <c r="CA298" i="20"/>
  <c r="CK298" i="20"/>
  <c r="CW298" i="20"/>
  <c r="DG298" i="20"/>
  <c r="Q298" i="20"/>
  <c r="AC298" i="20"/>
  <c r="AM298" i="20"/>
  <c r="AW298" i="20"/>
  <c r="BI298" i="20"/>
  <c r="BS298" i="20"/>
  <c r="CC298" i="20"/>
  <c r="CO298" i="20"/>
  <c r="CY298" i="20"/>
  <c r="DI298" i="20"/>
  <c r="AF298" i="20"/>
  <c r="AX298" i="20"/>
  <c r="BM298" i="20"/>
  <c r="CG298" i="20"/>
  <c r="CX298" i="20"/>
  <c r="R298" i="20"/>
  <c r="AG298" i="20"/>
  <c r="BA298" i="20"/>
  <c r="BR298" i="20"/>
  <c r="CH298" i="20"/>
  <c r="CZ298" i="20"/>
  <c r="U298" i="20"/>
  <c r="AL298" i="20"/>
  <c r="BB298" i="20"/>
  <c r="BT298" i="20"/>
  <c r="CI298" i="20"/>
  <c r="DA298" i="20"/>
  <c r="V298" i="20"/>
  <c r="AN298" i="20"/>
  <c r="BC298" i="20"/>
  <c r="BU298" i="20"/>
  <c r="CL298" i="20"/>
  <c r="DB298" i="20"/>
  <c r="U359" i="20"/>
  <c r="AC359" i="20"/>
  <c r="AK359" i="20"/>
  <c r="AS359" i="20"/>
  <c r="BA359" i="20"/>
  <c r="BI359" i="20"/>
  <c r="BQ359" i="20"/>
  <c r="BY359" i="20"/>
  <c r="CG359" i="20"/>
  <c r="CO359" i="20"/>
  <c r="CW359" i="20"/>
  <c r="DE359" i="20"/>
  <c r="W359" i="20"/>
  <c r="AE359" i="20"/>
  <c r="AM359" i="20"/>
  <c r="AU359" i="20"/>
  <c r="BC359" i="20"/>
  <c r="BK359" i="20"/>
  <c r="BS359" i="20"/>
  <c r="CA359" i="20"/>
  <c r="CI359" i="20"/>
  <c r="CQ359" i="20"/>
  <c r="CY359" i="20"/>
  <c r="DG359" i="20"/>
  <c r="T359" i="20"/>
  <c r="AF359" i="20"/>
  <c r="AP359" i="20"/>
  <c r="AZ359" i="20"/>
  <c r="BL359" i="20"/>
  <c r="BV359" i="20"/>
  <c r="CF359" i="20"/>
  <c r="CR359" i="20"/>
  <c r="DB359" i="20"/>
  <c r="DL359" i="20"/>
  <c r="V359" i="20"/>
  <c r="AG359" i="20"/>
  <c r="AQ359" i="20"/>
  <c r="BB359" i="20"/>
  <c r="BM359" i="20"/>
  <c r="BW359" i="20"/>
  <c r="CH359" i="20"/>
  <c r="CS359" i="20"/>
  <c r="DC359" i="20"/>
  <c r="X359" i="20"/>
  <c r="AH359" i="20"/>
  <c r="AR359" i="20"/>
  <c r="BD359" i="20"/>
  <c r="BN359" i="20"/>
  <c r="BX359" i="20"/>
  <c r="CJ359" i="20"/>
  <c r="CT359" i="20"/>
  <c r="DD359" i="20"/>
  <c r="U333" i="20"/>
  <c r="AC333" i="20"/>
  <c r="AK333" i="20"/>
  <c r="AS333" i="20"/>
  <c r="BA333" i="20"/>
  <c r="BI333" i="20"/>
  <c r="BQ333" i="20"/>
  <c r="BY333" i="20"/>
  <c r="CG333" i="20"/>
  <c r="CO333" i="20"/>
  <c r="CW333" i="20"/>
  <c r="DE333" i="20"/>
  <c r="W333" i="20"/>
  <c r="AE333" i="20"/>
  <c r="AM333" i="20"/>
  <c r="AU333" i="20"/>
  <c r="BC333" i="20"/>
  <c r="BK333" i="20"/>
  <c r="BS333" i="20"/>
  <c r="CA333" i="20"/>
  <c r="CI333" i="20"/>
  <c r="CQ333" i="20"/>
  <c r="CY333" i="20"/>
  <c r="DG333" i="20"/>
  <c r="R333" i="20"/>
  <c r="AB333" i="20"/>
  <c r="AN333" i="20"/>
  <c r="AX333" i="20"/>
  <c r="BH333" i="20"/>
  <c r="BT333" i="20"/>
  <c r="CD333" i="20"/>
  <c r="CN333" i="20"/>
  <c r="CZ333" i="20"/>
  <c r="DJ333" i="20"/>
  <c r="S333" i="20"/>
  <c r="AD333" i="20"/>
  <c r="AO333" i="20"/>
  <c r="AY333" i="20"/>
  <c r="BJ333" i="20"/>
  <c r="BU333" i="20"/>
  <c r="CE333" i="20"/>
  <c r="CP333" i="20"/>
  <c r="DA333" i="20"/>
  <c r="DK333" i="20"/>
  <c r="T333" i="20"/>
  <c r="AF333" i="20"/>
  <c r="AP333" i="20"/>
  <c r="AZ333" i="20"/>
  <c r="BL333" i="20"/>
  <c r="BV333" i="20"/>
  <c r="CF333" i="20"/>
  <c r="CR333" i="20"/>
  <c r="DB333" i="20"/>
  <c r="DL333" i="20"/>
  <c r="X177" i="20"/>
  <c r="AF177" i="20"/>
  <c r="AN177" i="20"/>
  <c r="AV177" i="20"/>
  <c r="BD177" i="20"/>
  <c r="BL177" i="20"/>
  <c r="BT177" i="20"/>
  <c r="CB177" i="20"/>
  <c r="CJ177" i="20"/>
  <c r="CR177" i="20"/>
  <c r="CZ177" i="20"/>
  <c r="DH177" i="20"/>
  <c r="U177" i="20"/>
  <c r="AD177" i="20"/>
  <c r="AM177" i="20"/>
  <c r="AW177" i="20"/>
  <c r="BF177" i="20"/>
  <c r="BO177" i="20"/>
  <c r="BX177" i="20"/>
  <c r="CG177" i="20"/>
  <c r="CP177" i="20"/>
  <c r="CY177" i="20"/>
  <c r="DI177" i="20"/>
  <c r="V177" i="20"/>
  <c r="AE177" i="20"/>
  <c r="AO177" i="20"/>
  <c r="AX177" i="20"/>
  <c r="BG177" i="20"/>
  <c r="BP177" i="20"/>
  <c r="BY177" i="20"/>
  <c r="CH177" i="20"/>
  <c r="CQ177" i="20"/>
  <c r="DA177" i="20"/>
  <c r="DJ177" i="20"/>
  <c r="Z177" i="20"/>
  <c r="AK177" i="20"/>
  <c r="AY177" i="20"/>
  <c r="BJ177" i="20"/>
  <c r="BV177" i="20"/>
  <c r="CI177" i="20"/>
  <c r="CU177" i="20"/>
  <c r="DF177" i="20"/>
  <c r="AA177" i="20"/>
  <c r="AL177" i="20"/>
  <c r="AZ177" i="20"/>
  <c r="BK177" i="20"/>
  <c r="BW177" i="20"/>
  <c r="CK177" i="20"/>
  <c r="CV177" i="20"/>
  <c r="DG177" i="20"/>
  <c r="AB177" i="20"/>
  <c r="AR177" i="20"/>
  <c r="BH177" i="20"/>
  <c r="BZ177" i="20"/>
  <c r="CN177" i="20"/>
  <c r="DD177" i="20"/>
  <c r="AC177" i="20"/>
  <c r="AS177" i="20"/>
  <c r="BI177" i="20"/>
  <c r="CA177" i="20"/>
  <c r="CO177" i="20"/>
  <c r="DE177" i="20"/>
  <c r="Q177" i="20"/>
  <c r="AG177" i="20"/>
  <c r="AT177" i="20"/>
  <c r="BM177" i="20"/>
  <c r="CC177" i="20"/>
  <c r="CS177" i="20"/>
  <c r="DK177" i="20"/>
  <c r="S177" i="20"/>
  <c r="AI177" i="20"/>
  <c r="BA177" i="20"/>
  <c r="BQ177" i="20"/>
  <c r="CE177" i="20"/>
  <c r="CW177" i="20"/>
  <c r="Y177" i="20"/>
  <c r="BE177" i="20"/>
  <c r="CM177" i="20"/>
  <c r="AH177" i="20"/>
  <c r="BN177" i="20"/>
  <c r="CT177" i="20"/>
  <c r="AJ177" i="20"/>
  <c r="BR177" i="20"/>
  <c r="CX177" i="20"/>
  <c r="AP177" i="20"/>
  <c r="BS177" i="20"/>
  <c r="DB177" i="20"/>
  <c r="AU177" i="20"/>
  <c r="DL177" i="20"/>
  <c r="BB177" i="20"/>
  <c r="BC177" i="20"/>
  <c r="BU177" i="20"/>
  <c r="R177" i="20"/>
  <c r="T177" i="20"/>
  <c r="DC177" i="20"/>
  <c r="CF177" i="20"/>
  <c r="CL177" i="20"/>
  <c r="W177" i="20"/>
  <c r="S296" i="20"/>
  <c r="AA296" i="20"/>
  <c r="AI296" i="20"/>
  <c r="AQ296" i="20"/>
  <c r="AY296" i="20"/>
  <c r="BG296" i="20"/>
  <c r="BO296" i="20"/>
  <c r="BW296" i="20"/>
  <c r="CE296" i="20"/>
  <c r="CM296" i="20"/>
  <c r="CU296" i="20"/>
  <c r="DC296" i="20"/>
  <c r="DK296" i="20"/>
  <c r="T296" i="20"/>
  <c r="AB296" i="20"/>
  <c r="AJ296" i="20"/>
  <c r="AR296" i="20"/>
  <c r="AZ296" i="20"/>
  <c r="BH296" i="20"/>
  <c r="BP296" i="20"/>
  <c r="BX296" i="20"/>
  <c r="CF296" i="20"/>
  <c r="CN296" i="20"/>
  <c r="CV296" i="20"/>
  <c r="DD296" i="20"/>
  <c r="DL296" i="20"/>
  <c r="V296" i="20"/>
  <c r="AF296" i="20"/>
  <c r="AP296" i="20"/>
  <c r="BB296" i="20"/>
  <c r="BL296" i="20"/>
  <c r="BV296" i="20"/>
  <c r="CH296" i="20"/>
  <c r="CR296" i="20"/>
  <c r="DB296" i="20"/>
  <c r="W296" i="20"/>
  <c r="AG296" i="20"/>
  <c r="AS296" i="20"/>
  <c r="BC296" i="20"/>
  <c r="BM296" i="20"/>
  <c r="BY296" i="20"/>
  <c r="CI296" i="20"/>
  <c r="CS296" i="20"/>
  <c r="DE296" i="20"/>
  <c r="Y296" i="20"/>
  <c r="AK296" i="20"/>
  <c r="AU296" i="20"/>
  <c r="BE296" i="20"/>
  <c r="BQ296" i="20"/>
  <c r="CA296" i="20"/>
  <c r="CK296" i="20"/>
  <c r="CW296" i="20"/>
  <c r="DG296" i="20"/>
  <c r="AC296" i="20"/>
  <c r="AT296" i="20"/>
  <c r="BJ296" i="20"/>
  <c r="CB296" i="20"/>
  <c r="CQ296" i="20"/>
  <c r="DI296" i="20"/>
  <c r="AD296" i="20"/>
  <c r="AV296" i="20"/>
  <c r="BK296" i="20"/>
  <c r="CC296" i="20"/>
  <c r="CT296" i="20"/>
  <c r="DJ296" i="20"/>
  <c r="AE296" i="20"/>
  <c r="AW296" i="20"/>
  <c r="BN296" i="20"/>
  <c r="CD296" i="20"/>
  <c r="CX296" i="20"/>
  <c r="Q296" i="20"/>
  <c r="AH296" i="20"/>
  <c r="AX296" i="20"/>
  <c r="BR296" i="20"/>
  <c r="CG296" i="20"/>
  <c r="CY296" i="20"/>
  <c r="U373" i="20"/>
  <c r="AC373" i="20"/>
  <c r="AK373" i="20"/>
  <c r="AS373" i="20"/>
  <c r="BA373" i="20"/>
  <c r="BI373" i="20"/>
  <c r="BQ373" i="20"/>
  <c r="BY373" i="20"/>
  <c r="CG373" i="20"/>
  <c r="CO373" i="20"/>
  <c r="CW373" i="20"/>
  <c r="DE373" i="20"/>
  <c r="X373" i="20"/>
  <c r="AG373" i="20"/>
  <c r="AP373" i="20"/>
  <c r="AY373" i="20"/>
  <c r="BH373" i="20"/>
  <c r="BR373" i="20"/>
  <c r="CA373" i="20"/>
  <c r="CJ373" i="20"/>
  <c r="CS373" i="20"/>
  <c r="DB373" i="20"/>
  <c r="DK373" i="20"/>
  <c r="Q373" i="20"/>
  <c r="Z373" i="20"/>
  <c r="AI373" i="20"/>
  <c r="AR373" i="20"/>
  <c r="BB373" i="20"/>
  <c r="BK373" i="20"/>
  <c r="BT373" i="20"/>
  <c r="CC373" i="20"/>
  <c r="CL373" i="20"/>
  <c r="CU373" i="20"/>
  <c r="DD373" i="20"/>
  <c r="U347" i="20"/>
  <c r="AC347" i="20"/>
  <c r="AK347" i="20"/>
  <c r="AS347" i="20"/>
  <c r="BA347" i="20"/>
  <c r="BI347" i="20"/>
  <c r="BQ347" i="20"/>
  <c r="BY347" i="20"/>
  <c r="CG347" i="20"/>
  <c r="CO347" i="20"/>
  <c r="CW347" i="20"/>
  <c r="DE347" i="20"/>
  <c r="W347" i="20"/>
  <c r="AE347" i="20"/>
  <c r="AM347" i="20"/>
  <c r="AU347" i="20"/>
  <c r="BC347" i="20"/>
  <c r="BK347" i="20"/>
  <c r="BS347" i="20"/>
  <c r="CA347" i="20"/>
  <c r="CI347" i="20"/>
  <c r="CQ347" i="20"/>
  <c r="CY347" i="20"/>
  <c r="DG347" i="20"/>
  <c r="Z347" i="20"/>
  <c r="AJ347" i="20"/>
  <c r="AV347" i="20"/>
  <c r="BF347" i="20"/>
  <c r="BP347" i="20"/>
  <c r="CB347" i="20"/>
  <c r="CL347" i="20"/>
  <c r="CV347" i="20"/>
  <c r="DH347" i="20"/>
  <c r="Q347" i="20"/>
  <c r="AA347" i="20"/>
  <c r="AL347" i="20"/>
  <c r="AW347" i="20"/>
  <c r="BG347" i="20"/>
  <c r="BR347" i="20"/>
  <c r="CC347" i="20"/>
  <c r="CM347" i="20"/>
  <c r="CX347" i="20"/>
  <c r="DI347" i="20"/>
  <c r="R347" i="20"/>
  <c r="AB347" i="20"/>
  <c r="AN347" i="20"/>
  <c r="AX347" i="20"/>
  <c r="BH347" i="20"/>
  <c r="BT347" i="20"/>
  <c r="CD347" i="20"/>
  <c r="CN347" i="20"/>
  <c r="CZ347" i="20"/>
  <c r="DJ347" i="20"/>
  <c r="V220" i="20"/>
  <c r="AD220" i="20"/>
  <c r="AL220" i="20"/>
  <c r="AT220" i="20"/>
  <c r="BB220" i="20"/>
  <c r="BJ220" i="20"/>
  <c r="BR220" i="20"/>
  <c r="BZ220" i="20"/>
  <c r="CH220" i="20"/>
  <c r="CP220" i="20"/>
  <c r="CX220" i="20"/>
  <c r="DF220" i="20"/>
  <c r="R220" i="20"/>
  <c r="AA220" i="20"/>
  <c r="AJ220" i="20"/>
  <c r="AS220" i="20"/>
  <c r="BC220" i="20"/>
  <c r="BL220" i="20"/>
  <c r="BU220" i="20"/>
  <c r="CD220" i="20"/>
  <c r="CM220" i="20"/>
  <c r="CV220" i="20"/>
  <c r="DE220" i="20"/>
  <c r="S220" i="20"/>
  <c r="AC220" i="20"/>
  <c r="AN220" i="20"/>
  <c r="AX220" i="20"/>
  <c r="BH220" i="20"/>
  <c r="BS220" i="20"/>
  <c r="CC220" i="20"/>
  <c r="CN220" i="20"/>
  <c r="CY220" i="20"/>
  <c r="DI220" i="20"/>
  <c r="T220" i="20"/>
  <c r="AE220" i="20"/>
  <c r="AO220" i="20"/>
  <c r="AY220" i="20"/>
  <c r="BI220" i="20"/>
  <c r="BT220" i="20"/>
  <c r="CE220" i="20"/>
  <c r="CO220" i="20"/>
  <c r="CZ220" i="20"/>
  <c r="DJ220" i="20"/>
  <c r="W220" i="20"/>
  <c r="AG220" i="20"/>
  <c r="AQ220" i="20"/>
  <c r="BA220" i="20"/>
  <c r="BM220" i="20"/>
  <c r="BW220" i="20"/>
  <c r="CG220" i="20"/>
  <c r="CR220" i="20"/>
  <c r="DB220" i="20"/>
  <c r="DL220" i="20"/>
  <c r="Y220" i="20"/>
  <c r="AP220" i="20"/>
  <c r="BF220" i="20"/>
  <c r="BX220" i="20"/>
  <c r="CL220" i="20"/>
  <c r="DD220" i="20"/>
  <c r="AB220" i="20"/>
  <c r="AU220" i="20"/>
  <c r="BK220" i="20"/>
  <c r="CA220" i="20"/>
  <c r="CS220" i="20"/>
  <c r="DH220" i="20"/>
  <c r="AF220" i="20"/>
  <c r="AV220" i="20"/>
  <c r="BN220" i="20"/>
  <c r="CB220" i="20"/>
  <c r="CT220" i="20"/>
  <c r="DK220" i="20"/>
  <c r="U220" i="20"/>
  <c r="AW220" i="20"/>
  <c r="BV220" i="20"/>
  <c r="CW220" i="20"/>
  <c r="X220" i="20"/>
  <c r="AZ220" i="20"/>
  <c r="BY220" i="20"/>
  <c r="DA220" i="20"/>
  <c r="AH220" i="20"/>
  <c r="BE220" i="20"/>
  <c r="CI220" i="20"/>
  <c r="DG220" i="20"/>
  <c r="BG220" i="20"/>
  <c r="CU220" i="20"/>
  <c r="AR220" i="20"/>
  <c r="CQ220" i="20"/>
  <c r="BD220" i="20"/>
  <c r="DC220" i="20"/>
  <c r="BO220" i="20"/>
  <c r="Q220" i="20"/>
  <c r="BP220" i="20"/>
  <c r="Z220" i="20"/>
  <c r="BQ220" i="20"/>
  <c r="AI220" i="20"/>
  <c r="CF220" i="20"/>
  <c r="W303" i="20"/>
  <c r="AE303" i="20"/>
  <c r="AM303" i="20"/>
  <c r="AU303" i="20"/>
  <c r="BC303" i="20"/>
  <c r="BK303" i="20"/>
  <c r="BS303" i="20"/>
  <c r="CA303" i="20"/>
  <c r="CI303" i="20"/>
  <c r="CQ303" i="20"/>
  <c r="CY303" i="20"/>
  <c r="DG303" i="20"/>
  <c r="X303" i="20"/>
  <c r="AF303" i="20"/>
  <c r="AN303" i="20"/>
  <c r="AV303" i="20"/>
  <c r="BD303" i="20"/>
  <c r="BL303" i="20"/>
  <c r="BT303" i="20"/>
  <c r="CB303" i="20"/>
  <c r="CJ303" i="20"/>
  <c r="CR303" i="20"/>
  <c r="CZ303" i="20"/>
  <c r="DH303" i="20"/>
  <c r="Z303" i="20"/>
  <c r="AJ303" i="20"/>
  <c r="AT303" i="20"/>
  <c r="BF303" i="20"/>
  <c r="BP303" i="20"/>
  <c r="BZ303" i="20"/>
  <c r="CL303" i="20"/>
  <c r="CV303" i="20"/>
  <c r="DF303" i="20"/>
  <c r="Q303" i="20"/>
  <c r="AA303" i="20"/>
  <c r="AK303" i="20"/>
  <c r="AW303" i="20"/>
  <c r="BG303" i="20"/>
  <c r="BQ303" i="20"/>
  <c r="CC303" i="20"/>
  <c r="CM303" i="20"/>
  <c r="CW303" i="20"/>
  <c r="DI303" i="20"/>
  <c r="S303" i="20"/>
  <c r="AC303" i="20"/>
  <c r="AO303" i="20"/>
  <c r="AY303" i="20"/>
  <c r="BI303" i="20"/>
  <c r="BU303" i="20"/>
  <c r="CE303" i="20"/>
  <c r="CO303" i="20"/>
  <c r="DA303" i="20"/>
  <c r="DK303" i="20"/>
  <c r="AB303" i="20"/>
  <c r="AR303" i="20"/>
  <c r="BJ303" i="20"/>
  <c r="BY303" i="20"/>
  <c r="CS303" i="20"/>
  <c r="DJ303" i="20"/>
  <c r="AD303" i="20"/>
  <c r="AS303" i="20"/>
  <c r="BM303" i="20"/>
  <c r="CD303" i="20"/>
  <c r="CT303" i="20"/>
  <c r="DL303" i="20"/>
  <c r="AG303" i="20"/>
  <c r="AX303" i="20"/>
  <c r="BN303" i="20"/>
  <c r="CF303" i="20"/>
  <c r="CU303" i="20"/>
  <c r="R303" i="20"/>
  <c r="AH303" i="20"/>
  <c r="AZ303" i="20"/>
  <c r="BO303" i="20"/>
  <c r="CG303" i="20"/>
  <c r="CX303" i="20"/>
  <c r="CZ359" i="20"/>
  <c r="CK359" i="20"/>
  <c r="BR359" i="20"/>
  <c r="AY359" i="20"/>
  <c r="AJ359" i="20"/>
  <c r="R359" i="20"/>
  <c r="DL347" i="20"/>
  <c r="CE347" i="20"/>
  <c r="DC303" i="20"/>
  <c r="X10" i="20"/>
  <c r="AF10" i="20"/>
  <c r="AN10" i="20"/>
  <c r="AV10" i="20"/>
  <c r="BD10" i="20"/>
  <c r="BL10" i="20"/>
  <c r="BT10" i="20"/>
  <c r="CB10" i="20"/>
  <c r="CJ10" i="20"/>
  <c r="CR10" i="20"/>
  <c r="CZ10" i="20"/>
  <c r="DH10" i="20"/>
  <c r="Q10" i="20"/>
  <c r="Y10" i="20"/>
  <c r="AG10" i="20"/>
  <c r="AO10" i="20"/>
  <c r="AW10" i="20"/>
  <c r="BE10" i="20"/>
  <c r="BM10" i="20"/>
  <c r="BU10" i="20"/>
  <c r="CC10" i="20"/>
  <c r="CK10" i="20"/>
  <c r="CS10" i="20"/>
  <c r="DA10" i="20"/>
  <c r="R10" i="20"/>
  <c r="Z10" i="20"/>
  <c r="AH10" i="20"/>
  <c r="AP10" i="20"/>
  <c r="AX10" i="20"/>
  <c r="W10" i="20"/>
  <c r="AK10" i="20"/>
  <c r="AY10" i="20"/>
  <c r="BI10" i="20"/>
  <c r="BS10" i="20"/>
  <c r="CE10" i="20"/>
  <c r="CO10" i="20"/>
  <c r="CY10" i="20"/>
  <c r="DJ10" i="20"/>
  <c r="AA10" i="20"/>
  <c r="AL10" i="20"/>
  <c r="AZ10" i="20"/>
  <c r="BJ10" i="20"/>
  <c r="BV10" i="20"/>
  <c r="CF10" i="20"/>
  <c r="CP10" i="20"/>
  <c r="DB10" i="20"/>
  <c r="DK10" i="20"/>
  <c r="AB10" i="20"/>
  <c r="AM10" i="20"/>
  <c r="BA10" i="20"/>
  <c r="BK10" i="20"/>
  <c r="BW10" i="20"/>
  <c r="CG10" i="20"/>
  <c r="CQ10" i="20"/>
  <c r="DC10" i="20"/>
  <c r="DL10" i="20"/>
  <c r="AE10" i="20"/>
  <c r="BB10" i="20"/>
  <c r="BQ10" i="20"/>
  <c r="CI10" i="20"/>
  <c r="CX10" i="20"/>
  <c r="AI10" i="20"/>
  <c r="BC10" i="20"/>
  <c r="BR10" i="20"/>
  <c r="CL10" i="20"/>
  <c r="DD10" i="20"/>
  <c r="S10" i="20"/>
  <c r="AJ10" i="20"/>
  <c r="BF10" i="20"/>
  <c r="BX10" i="20"/>
  <c r="CM10" i="20"/>
  <c r="DE10" i="20"/>
  <c r="T10" i="20"/>
  <c r="AT10" i="20"/>
  <c r="BZ10" i="20"/>
  <c r="CW10" i="20"/>
  <c r="U10" i="20"/>
  <c r="AU10" i="20"/>
  <c r="CA10" i="20"/>
  <c r="DF10" i="20"/>
  <c r="V10" i="20"/>
  <c r="BG10" i="20"/>
  <c r="CD10" i="20"/>
  <c r="DG10" i="20"/>
  <c r="AC10" i="20"/>
  <c r="BH10" i="20"/>
  <c r="CH10" i="20"/>
  <c r="DI10" i="20"/>
  <c r="AQ10" i="20"/>
  <c r="CT10" i="20"/>
  <c r="BN10" i="20"/>
  <c r="BY10" i="20"/>
  <c r="CN10" i="20"/>
  <c r="CU10" i="20"/>
  <c r="AR10" i="20"/>
  <c r="BO10" i="20"/>
  <c r="BP10" i="20"/>
  <c r="CV10" i="20"/>
  <c r="AD10" i="20"/>
  <c r="AS10" i="20"/>
  <c r="Q342" i="20"/>
  <c r="Y342" i="20"/>
  <c r="AG342" i="20"/>
  <c r="AO342" i="20"/>
  <c r="AW342" i="20"/>
  <c r="BE342" i="20"/>
  <c r="BM342" i="20"/>
  <c r="BU342" i="20"/>
  <c r="CC342" i="20"/>
  <c r="CK342" i="20"/>
  <c r="CS342" i="20"/>
  <c r="DA342" i="20"/>
  <c r="DI342" i="20"/>
  <c r="S342" i="20"/>
  <c r="AA342" i="20"/>
  <c r="AI342" i="20"/>
  <c r="AQ342" i="20"/>
  <c r="AY342" i="20"/>
  <c r="BG342" i="20"/>
  <c r="BO342" i="20"/>
  <c r="BW342" i="20"/>
  <c r="CE342" i="20"/>
  <c r="CM342" i="20"/>
  <c r="CU342" i="20"/>
  <c r="DC342" i="20"/>
  <c r="DK342" i="20"/>
  <c r="X342" i="20"/>
  <c r="AJ342" i="20"/>
  <c r="AT342" i="20"/>
  <c r="BD342" i="20"/>
  <c r="BP342" i="20"/>
  <c r="BZ342" i="20"/>
  <c r="CJ342" i="20"/>
  <c r="CV342" i="20"/>
  <c r="DF342" i="20"/>
  <c r="Z342" i="20"/>
  <c r="AK342" i="20"/>
  <c r="AU342" i="20"/>
  <c r="BF342" i="20"/>
  <c r="BQ342" i="20"/>
  <c r="CA342" i="20"/>
  <c r="CL342" i="20"/>
  <c r="CW342" i="20"/>
  <c r="DG342" i="20"/>
  <c r="AB342" i="20"/>
  <c r="AL342" i="20"/>
  <c r="AV342" i="20"/>
  <c r="BH342" i="20"/>
  <c r="BR342" i="20"/>
  <c r="CB342" i="20"/>
  <c r="CN342" i="20"/>
  <c r="CX342" i="20"/>
  <c r="DH342" i="20"/>
  <c r="W266" i="20"/>
  <c r="AE266" i="20"/>
  <c r="AM266" i="20"/>
  <c r="AU266" i="20"/>
  <c r="BC266" i="20"/>
  <c r="BK266" i="20"/>
  <c r="BS266" i="20"/>
  <c r="CA266" i="20"/>
  <c r="CI266" i="20"/>
  <c r="CQ266" i="20"/>
  <c r="CY266" i="20"/>
  <c r="DG266" i="20"/>
  <c r="Y266" i="20"/>
  <c r="AH266" i="20"/>
  <c r="AQ266" i="20"/>
  <c r="AZ266" i="20"/>
  <c r="BI266" i="20"/>
  <c r="BR266" i="20"/>
  <c r="CB266" i="20"/>
  <c r="CK266" i="20"/>
  <c r="CT266" i="20"/>
  <c r="DC266" i="20"/>
  <c r="DL266" i="20"/>
  <c r="Q266" i="20"/>
  <c r="Z266" i="20"/>
  <c r="AI266" i="20"/>
  <c r="AR266" i="20"/>
  <c r="BA266" i="20"/>
  <c r="BJ266" i="20"/>
  <c r="BT266" i="20"/>
  <c r="CC266" i="20"/>
  <c r="CL266" i="20"/>
  <c r="CU266" i="20"/>
  <c r="DD266" i="20"/>
  <c r="AB266" i="20"/>
  <c r="AN266" i="20"/>
  <c r="AY266" i="20"/>
  <c r="BM266" i="20"/>
  <c r="BX266" i="20"/>
  <c r="CJ266" i="20"/>
  <c r="CW266" i="20"/>
  <c r="DI266" i="20"/>
  <c r="R266" i="20"/>
  <c r="AC266" i="20"/>
  <c r="AO266" i="20"/>
  <c r="BB266" i="20"/>
  <c r="BN266" i="20"/>
  <c r="BY266" i="20"/>
  <c r="CM266" i="20"/>
  <c r="CX266" i="20"/>
  <c r="DJ266" i="20"/>
  <c r="T266" i="20"/>
  <c r="AF266" i="20"/>
  <c r="AS266" i="20"/>
  <c r="BE266" i="20"/>
  <c r="BP266" i="20"/>
  <c r="CD266" i="20"/>
  <c r="CO266" i="20"/>
  <c r="DA266" i="20"/>
  <c r="AD266" i="20"/>
  <c r="AW266" i="20"/>
  <c r="BQ266" i="20"/>
  <c r="CH266" i="20"/>
  <c r="DE266" i="20"/>
  <c r="AG266" i="20"/>
  <c r="AX266" i="20"/>
  <c r="BU266" i="20"/>
  <c r="CN266" i="20"/>
  <c r="DF266" i="20"/>
  <c r="AJ266" i="20"/>
  <c r="BD266" i="20"/>
  <c r="BV266" i="20"/>
  <c r="CP266" i="20"/>
  <c r="DH266" i="20"/>
  <c r="S266" i="20"/>
  <c r="AK266" i="20"/>
  <c r="BF266" i="20"/>
  <c r="BW266" i="20"/>
  <c r="CR266" i="20"/>
  <c r="DK266" i="20"/>
  <c r="V266" i="20"/>
  <c r="AP266" i="20"/>
  <c r="BH266" i="20"/>
  <c r="CE266" i="20"/>
  <c r="CV266" i="20"/>
  <c r="U21" i="20"/>
  <c r="AC21" i="20"/>
  <c r="AK21" i="20"/>
  <c r="AS21" i="20"/>
  <c r="BA21" i="20"/>
  <c r="BI21" i="20"/>
  <c r="BQ21" i="20"/>
  <c r="BY21" i="20"/>
  <c r="CG21" i="20"/>
  <c r="CO21" i="20"/>
  <c r="CW21" i="20"/>
  <c r="DE21" i="20"/>
  <c r="V21" i="20"/>
  <c r="AD21" i="20"/>
  <c r="AL21" i="20"/>
  <c r="AT21" i="20"/>
  <c r="BB21" i="20"/>
  <c r="BJ21" i="20"/>
  <c r="BR21" i="20"/>
  <c r="BZ21" i="20"/>
  <c r="CH21" i="20"/>
  <c r="CP21" i="20"/>
  <c r="CX21" i="20"/>
  <c r="DF21" i="20"/>
  <c r="W21" i="20"/>
  <c r="AE21" i="20"/>
  <c r="AM21" i="20"/>
  <c r="AU21" i="20"/>
  <c r="BC21" i="20"/>
  <c r="BK21" i="20"/>
  <c r="BS21" i="20"/>
  <c r="CA21" i="20"/>
  <c r="CI21" i="20"/>
  <c r="CQ21" i="20"/>
  <c r="CY21" i="20"/>
  <c r="DG21" i="20"/>
  <c r="S21" i="20"/>
  <c r="AG21" i="20"/>
  <c r="AR21" i="20"/>
  <c r="BF21" i="20"/>
  <c r="BT21" i="20"/>
  <c r="CE21" i="20"/>
  <c r="CS21" i="20"/>
  <c r="DD21" i="20"/>
  <c r="T21" i="20"/>
  <c r="AH21" i="20"/>
  <c r="AV21" i="20"/>
  <c r="BG21" i="20"/>
  <c r="BU21" i="20"/>
  <c r="CF21" i="20"/>
  <c r="CT21" i="20"/>
  <c r="DH21" i="20"/>
  <c r="X21" i="20"/>
  <c r="AI21" i="20"/>
  <c r="AW21" i="20"/>
  <c r="BH21" i="20"/>
  <c r="BV21" i="20"/>
  <c r="CJ21" i="20"/>
  <c r="CU21" i="20"/>
  <c r="DI21" i="20"/>
  <c r="Q21" i="20"/>
  <c r="AN21" i="20"/>
  <c r="BE21" i="20"/>
  <c r="CB21" i="20"/>
  <c r="CV21" i="20"/>
  <c r="Z21" i="20"/>
  <c r="AQ21" i="20"/>
  <c r="BN21" i="20"/>
  <c r="CK21" i="20"/>
  <c r="DB21" i="20"/>
  <c r="R21" i="20"/>
  <c r="AX21" i="20"/>
  <c r="BW21" i="20"/>
  <c r="CZ21" i="20"/>
  <c r="Y21" i="20"/>
  <c r="AY21" i="20"/>
  <c r="BX21" i="20"/>
  <c r="DA21" i="20"/>
  <c r="AA21" i="20"/>
  <c r="BL21" i="20"/>
  <c r="CN21" i="20"/>
  <c r="AO21" i="20"/>
  <c r="CC21" i="20"/>
  <c r="DK21" i="20"/>
  <c r="AB21" i="20"/>
  <c r="BP21" i="20"/>
  <c r="AF21" i="20"/>
  <c r="CD21" i="20"/>
  <c r="AJ21" i="20"/>
  <c r="CL21" i="20"/>
  <c r="AP21" i="20"/>
  <c r="CM21" i="20"/>
  <c r="AZ21" i="20"/>
  <c r="BD21" i="20"/>
  <c r="DJ21" i="20"/>
  <c r="DC21" i="20"/>
  <c r="DL21" i="20"/>
  <c r="CR21" i="20"/>
  <c r="BM21" i="20"/>
  <c r="BO21" i="20"/>
  <c r="S40" i="20"/>
  <c r="AA40" i="20"/>
  <c r="AI40" i="20"/>
  <c r="AQ40" i="20"/>
  <c r="AY40" i="20"/>
  <c r="BG40" i="20"/>
  <c r="BO40" i="20"/>
  <c r="BW40" i="20"/>
  <c r="CE40" i="20"/>
  <c r="CM40" i="20"/>
  <c r="CU40" i="20"/>
  <c r="DC40" i="20"/>
  <c r="DK40" i="20"/>
  <c r="T40" i="20"/>
  <c r="AC40" i="20"/>
  <c r="AL40" i="20"/>
  <c r="AU40" i="20"/>
  <c r="BD40" i="20"/>
  <c r="BM40" i="20"/>
  <c r="BV40" i="20"/>
  <c r="CF40" i="20"/>
  <c r="CO40" i="20"/>
  <c r="CX40" i="20"/>
  <c r="DG40" i="20"/>
  <c r="U40" i="20"/>
  <c r="AD40" i="20"/>
  <c r="AM40" i="20"/>
  <c r="AV40" i="20"/>
  <c r="BE40" i="20"/>
  <c r="BN40" i="20"/>
  <c r="BX40" i="20"/>
  <c r="CG40" i="20"/>
  <c r="CP40" i="20"/>
  <c r="CY40" i="20"/>
  <c r="DH40" i="20"/>
  <c r="Z40" i="20"/>
  <c r="AN40" i="20"/>
  <c r="AZ40" i="20"/>
  <c r="BK40" i="20"/>
  <c r="BY40" i="20"/>
  <c r="CJ40" i="20"/>
  <c r="CV40" i="20"/>
  <c r="DI40" i="20"/>
  <c r="Q40" i="20"/>
  <c r="AF40" i="20"/>
  <c r="AS40" i="20"/>
  <c r="BH40" i="20"/>
  <c r="BT40" i="20"/>
  <c r="CI40" i="20"/>
  <c r="CW40" i="20"/>
  <c r="DL40" i="20"/>
  <c r="W40" i="20"/>
  <c r="AJ40" i="20"/>
  <c r="AX40" i="20"/>
  <c r="BL40" i="20"/>
  <c r="CA40" i="20"/>
  <c r="CN40" i="20"/>
  <c r="DB40" i="20"/>
  <c r="X40" i="20"/>
  <c r="AP40" i="20"/>
  <c r="BI40" i="20"/>
  <c r="CB40" i="20"/>
  <c r="CS40" i="20"/>
  <c r="AH40" i="20"/>
  <c r="BB40" i="20"/>
  <c r="BS40" i="20"/>
  <c r="AB40" i="20"/>
  <c r="BA40" i="20"/>
  <c r="BZ40" i="20"/>
  <c r="CT40" i="20"/>
  <c r="AE40" i="20"/>
  <c r="BC40" i="20"/>
  <c r="CC40" i="20"/>
  <c r="CZ40" i="20"/>
  <c r="AG40" i="20"/>
  <c r="BF40" i="20"/>
  <c r="CD40" i="20"/>
  <c r="DA40" i="20"/>
  <c r="AK40" i="20"/>
  <c r="BJ40" i="20"/>
  <c r="CH40" i="20"/>
  <c r="DD40" i="20"/>
  <c r="AO40" i="20"/>
  <c r="CK40" i="20"/>
  <c r="AR40" i="20"/>
  <c r="CL40" i="20"/>
  <c r="AT40" i="20"/>
  <c r="CQ40" i="20"/>
  <c r="AW40" i="20"/>
  <c r="CR40" i="20"/>
  <c r="BP40" i="20"/>
  <c r="DE40" i="20"/>
  <c r="DJ40" i="20"/>
  <c r="R40" i="20"/>
  <c r="V40" i="20"/>
  <c r="Y40" i="20"/>
  <c r="BQ40" i="20"/>
  <c r="BR40" i="20"/>
  <c r="BU40" i="20"/>
  <c r="DF40" i="20"/>
  <c r="Q143" i="20"/>
  <c r="Y143" i="20"/>
  <c r="AG143" i="20"/>
  <c r="AO143" i="20"/>
  <c r="AW143" i="20"/>
  <c r="BE143" i="20"/>
  <c r="BM143" i="20"/>
  <c r="BU143" i="20"/>
  <c r="CC143" i="20"/>
  <c r="CK143" i="20"/>
  <c r="CS143" i="20"/>
  <c r="DA143" i="20"/>
  <c r="DI143" i="20"/>
  <c r="R143" i="20"/>
  <c r="Z143" i="20"/>
  <c r="AH143" i="20"/>
  <c r="AP143" i="20"/>
  <c r="AX143" i="20"/>
  <c r="BF143" i="20"/>
  <c r="BN143" i="20"/>
  <c r="BV143" i="20"/>
  <c r="CD143" i="20"/>
  <c r="CL143" i="20"/>
  <c r="CT143" i="20"/>
  <c r="DB143" i="20"/>
  <c r="DJ143" i="20"/>
  <c r="AA143" i="20"/>
  <c r="AK143" i="20"/>
  <c r="AU143" i="20"/>
  <c r="BG143" i="20"/>
  <c r="BQ143" i="20"/>
  <c r="CA143" i="20"/>
  <c r="CM143" i="20"/>
  <c r="CW143" i="20"/>
  <c r="DG143" i="20"/>
  <c r="AB143" i="20"/>
  <c r="AL143" i="20"/>
  <c r="AV143" i="20"/>
  <c r="BH143" i="20"/>
  <c r="BR143" i="20"/>
  <c r="CB143" i="20"/>
  <c r="CN143" i="20"/>
  <c r="CX143" i="20"/>
  <c r="DH143" i="20"/>
  <c r="T143" i="20"/>
  <c r="AD143" i="20"/>
  <c r="AN143" i="20"/>
  <c r="AZ143" i="20"/>
  <c r="BJ143" i="20"/>
  <c r="BT143" i="20"/>
  <c r="CF143" i="20"/>
  <c r="CP143" i="20"/>
  <c r="CZ143" i="20"/>
  <c r="DL143" i="20"/>
  <c r="U143" i="20"/>
  <c r="AE143" i="20"/>
  <c r="AQ143" i="20"/>
  <c r="BA143" i="20"/>
  <c r="BK143" i="20"/>
  <c r="BW143" i="20"/>
  <c r="CG143" i="20"/>
  <c r="CQ143" i="20"/>
  <c r="DC143" i="20"/>
  <c r="AC143" i="20"/>
  <c r="AY143" i="20"/>
  <c r="BS143" i="20"/>
  <c r="CO143" i="20"/>
  <c r="DK143" i="20"/>
  <c r="AF143" i="20"/>
  <c r="BB143" i="20"/>
  <c r="BX143" i="20"/>
  <c r="CR143" i="20"/>
  <c r="AI143" i="20"/>
  <c r="BC143" i="20"/>
  <c r="BY143" i="20"/>
  <c r="CU143" i="20"/>
  <c r="AJ143" i="20"/>
  <c r="BD143" i="20"/>
  <c r="BZ143" i="20"/>
  <c r="CV143" i="20"/>
  <c r="W143" i="20"/>
  <c r="BO143" i="20"/>
  <c r="DE143" i="20"/>
  <c r="X143" i="20"/>
  <c r="BP143" i="20"/>
  <c r="DF143" i="20"/>
  <c r="AR143" i="20"/>
  <c r="CH143" i="20"/>
  <c r="CE143" i="20"/>
  <c r="S143" i="20"/>
  <c r="CI143" i="20"/>
  <c r="V143" i="20"/>
  <c r="CJ143" i="20"/>
  <c r="AM143" i="20"/>
  <c r="CY143" i="20"/>
  <c r="AS143" i="20"/>
  <c r="DD143" i="20"/>
  <c r="BI143" i="20"/>
  <c r="BL143" i="20"/>
  <c r="S76" i="20"/>
  <c r="AA76" i="20"/>
  <c r="AI76" i="20"/>
  <c r="AQ76" i="20"/>
  <c r="AY76" i="20"/>
  <c r="BG76" i="20"/>
  <c r="BO76" i="20"/>
  <c r="BW76" i="20"/>
  <c r="CE76" i="20"/>
  <c r="CM76" i="20"/>
  <c r="CU76" i="20"/>
  <c r="DC76" i="20"/>
  <c r="DK76" i="20"/>
  <c r="T76" i="20"/>
  <c r="AC76" i="20"/>
  <c r="AL76" i="20"/>
  <c r="AU76" i="20"/>
  <c r="BD76" i="20"/>
  <c r="BM76" i="20"/>
  <c r="BV76" i="20"/>
  <c r="CF76" i="20"/>
  <c r="CO76" i="20"/>
  <c r="CX76" i="20"/>
  <c r="DG76" i="20"/>
  <c r="U76" i="20"/>
  <c r="AD76" i="20"/>
  <c r="AM76" i="20"/>
  <c r="AV76" i="20"/>
  <c r="BE76" i="20"/>
  <c r="BN76" i="20"/>
  <c r="BX76" i="20"/>
  <c r="CG76" i="20"/>
  <c r="CP76" i="20"/>
  <c r="CY76" i="20"/>
  <c r="DH76" i="20"/>
  <c r="Y76" i="20"/>
  <c r="AK76" i="20"/>
  <c r="AX76" i="20"/>
  <c r="BJ76" i="20"/>
  <c r="BU76" i="20"/>
  <c r="CI76" i="20"/>
  <c r="CT76" i="20"/>
  <c r="DF76" i="20"/>
  <c r="Z76" i="20"/>
  <c r="AN76" i="20"/>
  <c r="AZ76" i="20"/>
  <c r="BK76" i="20"/>
  <c r="BY76" i="20"/>
  <c r="CJ76" i="20"/>
  <c r="CV76" i="20"/>
  <c r="DI76" i="20"/>
  <c r="AB76" i="20"/>
  <c r="AR76" i="20"/>
  <c r="BH76" i="20"/>
  <c r="BZ76" i="20"/>
  <c r="CN76" i="20"/>
  <c r="DD76" i="20"/>
  <c r="AE76" i="20"/>
  <c r="AS76" i="20"/>
  <c r="BI76" i="20"/>
  <c r="CA76" i="20"/>
  <c r="CQ76" i="20"/>
  <c r="DE76" i="20"/>
  <c r="AF76" i="20"/>
  <c r="AT76" i="20"/>
  <c r="BL76" i="20"/>
  <c r="CB76" i="20"/>
  <c r="CR76" i="20"/>
  <c r="DJ76" i="20"/>
  <c r="V76" i="20"/>
  <c r="AJ76" i="20"/>
  <c r="BB76" i="20"/>
  <c r="BR76" i="20"/>
  <c r="CH76" i="20"/>
  <c r="CZ76" i="20"/>
  <c r="AH76" i="20"/>
  <c r="BQ76" i="20"/>
  <c r="CW76" i="20"/>
  <c r="AP76" i="20"/>
  <c r="BT76" i="20"/>
  <c r="DB76" i="20"/>
  <c r="Q76" i="20"/>
  <c r="AW76" i="20"/>
  <c r="CC76" i="20"/>
  <c r="DL76" i="20"/>
  <c r="R76" i="20"/>
  <c r="BA76" i="20"/>
  <c r="CD76" i="20"/>
  <c r="X76" i="20"/>
  <c r="CL76" i="20"/>
  <c r="AG76" i="20"/>
  <c r="CS76" i="20"/>
  <c r="AO76" i="20"/>
  <c r="DA76" i="20"/>
  <c r="BF76" i="20"/>
  <c r="W76" i="20"/>
  <c r="BC76" i="20"/>
  <c r="BP76" i="20"/>
  <c r="BS76" i="20"/>
  <c r="CK76" i="20"/>
  <c r="S310" i="20"/>
  <c r="AA310" i="20"/>
  <c r="AI310" i="20"/>
  <c r="AQ310" i="20"/>
  <c r="AY310" i="20"/>
  <c r="BG310" i="20"/>
  <c r="BO310" i="20"/>
  <c r="BW310" i="20"/>
  <c r="CE310" i="20"/>
  <c r="CM310" i="20"/>
  <c r="CU310" i="20"/>
  <c r="DC310" i="20"/>
  <c r="DK310" i="20"/>
  <c r="T310" i="20"/>
  <c r="AB310" i="20"/>
  <c r="AJ310" i="20"/>
  <c r="AR310" i="20"/>
  <c r="AZ310" i="20"/>
  <c r="BH310" i="20"/>
  <c r="BP310" i="20"/>
  <c r="BX310" i="20"/>
  <c r="CF310" i="20"/>
  <c r="CN310" i="20"/>
  <c r="CV310" i="20"/>
  <c r="DD310" i="20"/>
  <c r="DL310" i="20"/>
  <c r="R310" i="20"/>
  <c r="AD310" i="20"/>
  <c r="AN310" i="20"/>
  <c r="AX310" i="20"/>
  <c r="BJ310" i="20"/>
  <c r="BT310" i="20"/>
  <c r="CD310" i="20"/>
  <c r="CP310" i="20"/>
  <c r="CZ310" i="20"/>
  <c r="DJ310" i="20"/>
  <c r="U310" i="20"/>
  <c r="AE310" i="20"/>
  <c r="AO310" i="20"/>
  <c r="BA310" i="20"/>
  <c r="BK310" i="20"/>
  <c r="BU310" i="20"/>
  <c r="CG310" i="20"/>
  <c r="CQ310" i="20"/>
  <c r="DA310" i="20"/>
  <c r="W310" i="20"/>
  <c r="AG310" i="20"/>
  <c r="AS310" i="20"/>
  <c r="BC310" i="20"/>
  <c r="BM310" i="20"/>
  <c r="BY310" i="20"/>
  <c r="CI310" i="20"/>
  <c r="CS310" i="20"/>
  <c r="DE310" i="20"/>
  <c r="AC310" i="20"/>
  <c r="AU310" i="20"/>
  <c r="BL310" i="20"/>
  <c r="CB310" i="20"/>
  <c r="CT310" i="20"/>
  <c r="DI310" i="20"/>
  <c r="AF310" i="20"/>
  <c r="AV310" i="20"/>
  <c r="BN310" i="20"/>
  <c r="CC310" i="20"/>
  <c r="CW310" i="20"/>
  <c r="AH310" i="20"/>
  <c r="AW310" i="20"/>
  <c r="BQ310" i="20"/>
  <c r="CH310" i="20"/>
  <c r="CX310" i="20"/>
  <c r="S261" i="20"/>
  <c r="AA261" i="20"/>
  <c r="AI261" i="20"/>
  <c r="AQ261" i="20"/>
  <c r="AY261" i="20"/>
  <c r="BG261" i="20"/>
  <c r="BO261" i="20"/>
  <c r="BW261" i="20"/>
  <c r="CE261" i="20"/>
  <c r="CM261" i="20"/>
  <c r="CU261" i="20"/>
  <c r="DC261" i="20"/>
  <c r="DK261" i="20"/>
  <c r="V261" i="20"/>
  <c r="AE261" i="20"/>
  <c r="AN261" i="20"/>
  <c r="AW261" i="20"/>
  <c r="BF261" i="20"/>
  <c r="BP261" i="20"/>
  <c r="BY261" i="20"/>
  <c r="CH261" i="20"/>
  <c r="CQ261" i="20"/>
  <c r="CZ261" i="20"/>
  <c r="DI261" i="20"/>
  <c r="W261" i="20"/>
  <c r="AF261" i="20"/>
  <c r="AO261" i="20"/>
  <c r="AX261" i="20"/>
  <c r="BH261" i="20"/>
  <c r="BQ261" i="20"/>
  <c r="BZ261" i="20"/>
  <c r="CI261" i="20"/>
  <c r="CR261" i="20"/>
  <c r="DA261" i="20"/>
  <c r="DJ261" i="20"/>
  <c r="AB261" i="20"/>
  <c r="AM261" i="20"/>
  <c r="BA261" i="20"/>
  <c r="BL261" i="20"/>
  <c r="BX261" i="20"/>
  <c r="CK261" i="20"/>
  <c r="CW261" i="20"/>
  <c r="DH261" i="20"/>
  <c r="Q261" i="20"/>
  <c r="AC261" i="20"/>
  <c r="AP261" i="20"/>
  <c r="BB261" i="20"/>
  <c r="BM261" i="20"/>
  <c r="CA261" i="20"/>
  <c r="CL261" i="20"/>
  <c r="CX261" i="20"/>
  <c r="DL261" i="20"/>
  <c r="T261" i="20"/>
  <c r="AG261" i="20"/>
  <c r="AS261" i="20"/>
  <c r="BD261" i="20"/>
  <c r="BR261" i="20"/>
  <c r="CC261" i="20"/>
  <c r="CO261" i="20"/>
  <c r="DB261" i="20"/>
  <c r="X261" i="20"/>
  <c r="AR261" i="20"/>
  <c r="BJ261" i="20"/>
  <c r="CD261" i="20"/>
  <c r="CV261" i="20"/>
  <c r="Y261" i="20"/>
  <c r="AT261" i="20"/>
  <c r="BK261" i="20"/>
  <c r="CF261" i="20"/>
  <c r="CY261" i="20"/>
  <c r="Z261" i="20"/>
  <c r="AU261" i="20"/>
  <c r="BN261" i="20"/>
  <c r="CG261" i="20"/>
  <c r="DD261" i="20"/>
  <c r="AD261" i="20"/>
  <c r="AV261" i="20"/>
  <c r="BS261" i="20"/>
  <c r="CJ261" i="20"/>
  <c r="DE261" i="20"/>
  <c r="AJ261" i="20"/>
  <c r="BC261" i="20"/>
  <c r="BU261" i="20"/>
  <c r="CP261" i="20"/>
  <c r="DG261" i="20"/>
  <c r="Q348" i="20"/>
  <c r="Y348" i="20"/>
  <c r="AG348" i="20"/>
  <c r="AO348" i="20"/>
  <c r="AW348" i="20"/>
  <c r="BE348" i="20"/>
  <c r="BM348" i="20"/>
  <c r="BU348" i="20"/>
  <c r="CC348" i="20"/>
  <c r="CK348" i="20"/>
  <c r="CS348" i="20"/>
  <c r="DA348" i="20"/>
  <c r="DI348" i="20"/>
  <c r="S348" i="20"/>
  <c r="AA348" i="20"/>
  <c r="AI348" i="20"/>
  <c r="AQ348" i="20"/>
  <c r="AY348" i="20"/>
  <c r="BG348" i="20"/>
  <c r="BO348" i="20"/>
  <c r="BW348" i="20"/>
  <c r="CE348" i="20"/>
  <c r="CM348" i="20"/>
  <c r="CU348" i="20"/>
  <c r="DC348" i="20"/>
  <c r="DK348" i="20"/>
  <c r="V348" i="20"/>
  <c r="AF348" i="20"/>
  <c r="AR348" i="20"/>
  <c r="BB348" i="20"/>
  <c r="BL348" i="20"/>
  <c r="BX348" i="20"/>
  <c r="CH348" i="20"/>
  <c r="CR348" i="20"/>
  <c r="DD348" i="20"/>
  <c r="W348" i="20"/>
  <c r="AH348" i="20"/>
  <c r="AS348" i="20"/>
  <c r="BC348" i="20"/>
  <c r="BN348" i="20"/>
  <c r="BY348" i="20"/>
  <c r="CI348" i="20"/>
  <c r="CT348" i="20"/>
  <c r="DE348" i="20"/>
  <c r="X348" i="20"/>
  <c r="AJ348" i="20"/>
  <c r="AT348" i="20"/>
  <c r="BD348" i="20"/>
  <c r="BP348" i="20"/>
  <c r="BZ348" i="20"/>
  <c r="CJ348" i="20"/>
  <c r="CV348" i="20"/>
  <c r="DF348" i="20"/>
  <c r="K18" i="20"/>
  <c r="DA416" i="20"/>
  <c r="CE416" i="20"/>
  <c r="BJ416" i="20"/>
  <c r="AO416" i="20"/>
  <c r="AD416" i="20"/>
  <c r="DC382" i="20"/>
  <c r="CP382" i="20"/>
  <c r="CD382" i="20"/>
  <c r="BR382" i="20"/>
  <c r="BF382" i="20"/>
  <c r="AS382" i="20"/>
  <c r="AH382" i="20"/>
  <c r="DL373" i="20"/>
  <c r="CZ373" i="20"/>
  <c r="CN373" i="20"/>
  <c r="CB373" i="20"/>
  <c r="BO373" i="20"/>
  <c r="AQ373" i="20"/>
  <c r="AE373" i="20"/>
  <c r="S373" i="20"/>
  <c r="CZ350" i="20"/>
  <c r="BK348" i="20"/>
  <c r="DJ329" i="20"/>
  <c r="CR329" i="20"/>
  <c r="CC329" i="20"/>
  <c r="BJ329" i="20"/>
  <c r="AP329" i="20"/>
  <c r="Y329" i="20"/>
  <c r="DF296" i="20"/>
  <c r="BU296" i="20"/>
  <c r="AN296" i="20"/>
  <c r="Q411" i="20"/>
  <c r="Y411" i="20"/>
  <c r="AG411" i="20"/>
  <c r="AO411" i="20"/>
  <c r="AW411" i="20"/>
  <c r="BE411" i="20"/>
  <c r="BM411" i="20"/>
  <c r="BU411" i="20"/>
  <c r="CC411" i="20"/>
  <c r="CK411" i="20"/>
  <c r="CS411" i="20"/>
  <c r="DA411" i="20"/>
  <c r="DI411" i="20"/>
  <c r="S411" i="20"/>
  <c r="AA411" i="20"/>
  <c r="AI411" i="20"/>
  <c r="AQ411" i="20"/>
  <c r="AY411" i="20"/>
  <c r="BG411" i="20"/>
  <c r="BO411" i="20"/>
  <c r="BW411" i="20"/>
  <c r="CE411" i="20"/>
  <c r="CM411" i="20"/>
  <c r="CU411" i="20"/>
  <c r="DC411" i="20"/>
  <c r="DK411" i="20"/>
  <c r="Q388" i="20"/>
  <c r="Y388" i="20"/>
  <c r="AG388" i="20"/>
  <c r="AO388" i="20"/>
  <c r="AW388" i="20"/>
  <c r="BE388" i="20"/>
  <c r="BM388" i="20"/>
  <c r="BU388" i="20"/>
  <c r="CC388" i="20"/>
  <c r="CK388" i="20"/>
  <c r="CS388" i="20"/>
  <c r="DA388" i="20"/>
  <c r="DI388" i="20"/>
  <c r="W388" i="20"/>
  <c r="AF388" i="20"/>
  <c r="AP388" i="20"/>
  <c r="AY388" i="20"/>
  <c r="BH388" i="20"/>
  <c r="BQ388" i="20"/>
  <c r="BZ388" i="20"/>
  <c r="CI388" i="20"/>
  <c r="CR388" i="20"/>
  <c r="DB388" i="20"/>
  <c r="DK388" i="20"/>
  <c r="Z388" i="20"/>
  <c r="AI388" i="20"/>
  <c r="AR388" i="20"/>
  <c r="BA388" i="20"/>
  <c r="BJ388" i="20"/>
  <c r="BS388" i="20"/>
  <c r="CB388" i="20"/>
  <c r="CL388" i="20"/>
  <c r="CU388" i="20"/>
  <c r="DD388" i="20"/>
  <c r="S257" i="20"/>
  <c r="AA257" i="20"/>
  <c r="AI257" i="20"/>
  <c r="AQ257" i="20"/>
  <c r="AY257" i="20"/>
  <c r="BG257" i="20"/>
  <c r="BO257" i="20"/>
  <c r="BW257" i="20"/>
  <c r="CE257" i="20"/>
  <c r="CM257" i="20"/>
  <c r="CU257" i="20"/>
  <c r="DC257" i="20"/>
  <c r="DK257" i="20"/>
  <c r="V257" i="20"/>
  <c r="AD257" i="20"/>
  <c r="AL257" i="20"/>
  <c r="AT257" i="20"/>
  <c r="BB257" i="20"/>
  <c r="BJ257" i="20"/>
  <c r="BR257" i="20"/>
  <c r="R257" i="20"/>
  <c r="AC257" i="20"/>
  <c r="AN257" i="20"/>
  <c r="AX257" i="20"/>
  <c r="BI257" i="20"/>
  <c r="BT257" i="20"/>
  <c r="CC257" i="20"/>
  <c r="CL257" i="20"/>
  <c r="CV257" i="20"/>
  <c r="DE257" i="20"/>
  <c r="U257" i="20"/>
  <c r="AF257" i="20"/>
  <c r="AP257" i="20"/>
  <c r="BA257" i="20"/>
  <c r="BL257" i="20"/>
  <c r="BV257" i="20"/>
  <c r="CF257" i="20"/>
  <c r="CO257" i="20"/>
  <c r="CX257" i="20"/>
  <c r="DG257" i="20"/>
  <c r="W257" i="20"/>
  <c r="AG257" i="20"/>
  <c r="AR257" i="20"/>
  <c r="BC257" i="20"/>
  <c r="BM257" i="20"/>
  <c r="BX257" i="20"/>
  <c r="CG257" i="20"/>
  <c r="CP257" i="20"/>
  <c r="CY257" i="20"/>
  <c r="DH257" i="20"/>
  <c r="X257" i="20"/>
  <c r="AM257" i="20"/>
  <c r="BE257" i="20"/>
  <c r="BU257" i="20"/>
  <c r="CJ257" i="20"/>
  <c r="CZ257" i="20"/>
  <c r="Y257" i="20"/>
  <c r="AO257" i="20"/>
  <c r="BF257" i="20"/>
  <c r="BY257" i="20"/>
  <c r="CK257" i="20"/>
  <c r="DA257" i="20"/>
  <c r="AB257" i="20"/>
  <c r="AU257" i="20"/>
  <c r="BK257" i="20"/>
  <c r="CA257" i="20"/>
  <c r="CQ257" i="20"/>
  <c r="DD257" i="20"/>
  <c r="AE257" i="20"/>
  <c r="BD257" i="20"/>
  <c r="CD257" i="20"/>
  <c r="DB257" i="20"/>
  <c r="AH257" i="20"/>
  <c r="BH257" i="20"/>
  <c r="CH257" i="20"/>
  <c r="DF257" i="20"/>
  <c r="AJ257" i="20"/>
  <c r="BN257" i="20"/>
  <c r="CI257" i="20"/>
  <c r="DI257" i="20"/>
  <c r="AK257" i="20"/>
  <c r="BP257" i="20"/>
  <c r="CN257" i="20"/>
  <c r="DJ257" i="20"/>
  <c r="Q257" i="20"/>
  <c r="AV257" i="20"/>
  <c r="BS257" i="20"/>
  <c r="CS257" i="20"/>
  <c r="Q407" i="20"/>
  <c r="Y407" i="20"/>
  <c r="AG407" i="20"/>
  <c r="AO407" i="20"/>
  <c r="AW407" i="20"/>
  <c r="BE407" i="20"/>
  <c r="BM407" i="20"/>
  <c r="BU407" i="20"/>
  <c r="CC407" i="20"/>
  <c r="CK407" i="20"/>
  <c r="CS407" i="20"/>
  <c r="DA407" i="20"/>
  <c r="DI407" i="20"/>
  <c r="S407" i="20"/>
  <c r="AA407" i="20"/>
  <c r="AI407" i="20"/>
  <c r="AQ407" i="20"/>
  <c r="AY407" i="20"/>
  <c r="BG407" i="20"/>
  <c r="BO407" i="20"/>
  <c r="BW407" i="20"/>
  <c r="CE407" i="20"/>
  <c r="CM407" i="20"/>
  <c r="CU407" i="20"/>
  <c r="DC407" i="20"/>
  <c r="DK407" i="20"/>
  <c r="R239" i="20"/>
  <c r="Z239" i="20"/>
  <c r="AH239" i="20"/>
  <c r="AP239" i="20"/>
  <c r="AX239" i="20"/>
  <c r="BF239" i="20"/>
  <c r="BN239" i="20"/>
  <c r="BV239" i="20"/>
  <c r="CD239" i="20"/>
  <c r="CL239" i="20"/>
  <c r="CT239" i="20"/>
  <c r="DB239" i="20"/>
  <c r="DJ239" i="20"/>
  <c r="V239" i="20"/>
  <c r="AE239" i="20"/>
  <c r="AN239" i="20"/>
  <c r="AW239" i="20"/>
  <c r="BG239" i="20"/>
  <c r="BP239" i="20"/>
  <c r="BY239" i="20"/>
  <c r="CH239" i="20"/>
  <c r="CQ239" i="20"/>
  <c r="CZ239" i="20"/>
  <c r="DI239" i="20"/>
  <c r="Y239" i="20"/>
  <c r="AI239" i="20"/>
  <c r="AR239" i="20"/>
  <c r="BA239" i="20"/>
  <c r="BJ239" i="20"/>
  <c r="BS239" i="20"/>
  <c r="CB239" i="20"/>
  <c r="CK239" i="20"/>
  <c r="CU239" i="20"/>
  <c r="DD239" i="20"/>
  <c r="U239" i="20"/>
  <c r="AG239" i="20"/>
  <c r="AT239" i="20"/>
  <c r="BE239" i="20"/>
  <c r="BR239" i="20"/>
  <c r="CE239" i="20"/>
  <c r="CP239" i="20"/>
  <c r="DC239" i="20"/>
  <c r="X239" i="20"/>
  <c r="AK239" i="20"/>
  <c r="AV239" i="20"/>
  <c r="BI239" i="20"/>
  <c r="BU239" i="20"/>
  <c r="CG239" i="20"/>
  <c r="CS239" i="20"/>
  <c r="DF239" i="20"/>
  <c r="AA239" i="20"/>
  <c r="AL239" i="20"/>
  <c r="AY239" i="20"/>
  <c r="BK239" i="20"/>
  <c r="BW239" i="20"/>
  <c r="CI239" i="20"/>
  <c r="CV239" i="20"/>
  <c r="DG239" i="20"/>
  <c r="Q239" i="20"/>
  <c r="AJ239" i="20"/>
  <c r="BC239" i="20"/>
  <c r="BX239" i="20"/>
  <c r="CO239" i="20"/>
  <c r="DK239" i="20"/>
  <c r="S239" i="20"/>
  <c r="AM239" i="20"/>
  <c r="BD239" i="20"/>
  <c r="BZ239" i="20"/>
  <c r="CR239" i="20"/>
  <c r="DL239" i="20"/>
  <c r="W239" i="20"/>
  <c r="AQ239" i="20"/>
  <c r="BL239" i="20"/>
  <c r="CC239" i="20"/>
  <c r="CX239" i="20"/>
  <c r="AD239" i="20"/>
  <c r="BM239" i="20"/>
  <c r="CN239" i="20"/>
  <c r="AF239" i="20"/>
  <c r="BO239" i="20"/>
  <c r="CW239" i="20"/>
  <c r="AO239" i="20"/>
  <c r="BQ239" i="20"/>
  <c r="CY239" i="20"/>
  <c r="AS239" i="20"/>
  <c r="BT239" i="20"/>
  <c r="DA239" i="20"/>
  <c r="AU239" i="20"/>
  <c r="CA239" i="20"/>
  <c r="DE239" i="20"/>
  <c r="T239" i="20"/>
  <c r="AZ239" i="20"/>
  <c r="CF239" i="20"/>
  <c r="DH239" i="20"/>
  <c r="U90" i="20"/>
  <c r="AC90" i="20"/>
  <c r="AK90" i="20"/>
  <c r="AS90" i="20"/>
  <c r="BA90" i="20"/>
  <c r="BI90" i="20"/>
  <c r="BQ90" i="20"/>
  <c r="BY90" i="20"/>
  <c r="CG90" i="20"/>
  <c r="CO90" i="20"/>
  <c r="CW90" i="20"/>
  <c r="DE90" i="20"/>
  <c r="Y90" i="20"/>
  <c r="AH90" i="20"/>
  <c r="AQ90" i="20"/>
  <c r="AZ90" i="20"/>
  <c r="BJ90" i="20"/>
  <c r="BS90" i="20"/>
  <c r="CB90" i="20"/>
  <c r="CK90" i="20"/>
  <c r="CT90" i="20"/>
  <c r="DC90" i="20"/>
  <c r="DL90" i="20"/>
  <c r="Q90" i="20"/>
  <c r="Z90" i="20"/>
  <c r="AI90" i="20"/>
  <c r="AR90" i="20"/>
  <c r="BB90" i="20"/>
  <c r="BK90" i="20"/>
  <c r="BT90" i="20"/>
  <c r="CC90" i="20"/>
  <c r="CL90" i="20"/>
  <c r="CU90" i="20"/>
  <c r="DD90" i="20"/>
  <c r="V90" i="20"/>
  <c r="AG90" i="20"/>
  <c r="AU90" i="20"/>
  <c r="BF90" i="20"/>
  <c r="BR90" i="20"/>
  <c r="CE90" i="20"/>
  <c r="CQ90" i="20"/>
  <c r="DB90" i="20"/>
  <c r="AA90" i="20"/>
  <c r="AM90" i="20"/>
  <c r="AX90" i="20"/>
  <c r="BL90" i="20"/>
  <c r="BW90" i="20"/>
  <c r="CI90" i="20"/>
  <c r="CV90" i="20"/>
  <c r="DH90" i="20"/>
  <c r="AB90" i="20"/>
  <c r="AN90" i="20"/>
  <c r="AY90" i="20"/>
  <c r="BM90" i="20"/>
  <c r="BX90" i="20"/>
  <c r="CJ90" i="20"/>
  <c r="CX90" i="20"/>
  <c r="DI90" i="20"/>
  <c r="AD90" i="20"/>
  <c r="AV90" i="20"/>
  <c r="BO90" i="20"/>
  <c r="CH90" i="20"/>
  <c r="DA90" i="20"/>
  <c r="AE90" i="20"/>
  <c r="AW90" i="20"/>
  <c r="BP90" i="20"/>
  <c r="CM90" i="20"/>
  <c r="DF90" i="20"/>
  <c r="AF90" i="20"/>
  <c r="BC90" i="20"/>
  <c r="BU90" i="20"/>
  <c r="CN90" i="20"/>
  <c r="DG90" i="20"/>
  <c r="S90" i="20"/>
  <c r="AT90" i="20"/>
  <c r="CA90" i="20"/>
  <c r="DJ90" i="20"/>
  <c r="T90" i="20"/>
  <c r="BD90" i="20"/>
  <c r="CD90" i="20"/>
  <c r="DK90" i="20"/>
  <c r="W90" i="20"/>
  <c r="BE90" i="20"/>
  <c r="CF90" i="20"/>
  <c r="X90" i="20"/>
  <c r="BG90" i="20"/>
  <c r="CP90" i="20"/>
  <c r="AJ90" i="20"/>
  <c r="BH90" i="20"/>
  <c r="CR90" i="20"/>
  <c r="AO90" i="20"/>
  <c r="AP90" i="20"/>
  <c r="BN90" i="20"/>
  <c r="BV90" i="20"/>
  <c r="BZ90" i="20"/>
  <c r="AL90" i="20"/>
  <c r="CS90" i="20"/>
  <c r="CY90" i="20"/>
  <c r="CZ90" i="20"/>
  <c r="R90" i="20"/>
  <c r="X163" i="20"/>
  <c r="AF163" i="20"/>
  <c r="AN163" i="20"/>
  <c r="AV163" i="20"/>
  <c r="BD163" i="20"/>
  <c r="BL163" i="20"/>
  <c r="BT163" i="20"/>
  <c r="CB163" i="20"/>
  <c r="CJ163" i="20"/>
  <c r="CR163" i="20"/>
  <c r="CZ163" i="20"/>
  <c r="DH163" i="20"/>
  <c r="T163" i="20"/>
  <c r="AB163" i="20"/>
  <c r="AJ163" i="20"/>
  <c r="AR163" i="20"/>
  <c r="AZ163" i="20"/>
  <c r="BH163" i="20"/>
  <c r="BP163" i="20"/>
  <c r="BX163" i="20"/>
  <c r="CF163" i="20"/>
  <c r="CN163" i="20"/>
  <c r="CV163" i="20"/>
  <c r="DD163" i="20"/>
  <c r="DL163" i="20"/>
  <c r="R163" i="20"/>
  <c r="AC163" i="20"/>
  <c r="AM163" i="20"/>
  <c r="AX163" i="20"/>
  <c r="BI163" i="20"/>
  <c r="BS163" i="20"/>
  <c r="CD163" i="20"/>
  <c r="CO163" i="20"/>
  <c r="CY163" i="20"/>
  <c r="DJ163" i="20"/>
  <c r="S163" i="20"/>
  <c r="AD163" i="20"/>
  <c r="AO163" i="20"/>
  <c r="AY163" i="20"/>
  <c r="BJ163" i="20"/>
  <c r="BU163" i="20"/>
  <c r="CE163" i="20"/>
  <c r="CP163" i="20"/>
  <c r="DA163" i="20"/>
  <c r="DK163" i="20"/>
  <c r="W163" i="20"/>
  <c r="AK163" i="20"/>
  <c r="BA163" i="20"/>
  <c r="BN163" i="20"/>
  <c r="CA163" i="20"/>
  <c r="CQ163" i="20"/>
  <c r="DE163" i="20"/>
  <c r="Y163" i="20"/>
  <c r="AL163" i="20"/>
  <c r="BB163" i="20"/>
  <c r="BO163" i="20"/>
  <c r="CC163" i="20"/>
  <c r="CS163" i="20"/>
  <c r="DF163" i="20"/>
  <c r="AA163" i="20"/>
  <c r="AQ163" i="20"/>
  <c r="BE163" i="20"/>
  <c r="BR163" i="20"/>
  <c r="CH163" i="20"/>
  <c r="CU163" i="20"/>
  <c r="DI163" i="20"/>
  <c r="Z163" i="20"/>
  <c r="AU163" i="20"/>
  <c r="BV163" i="20"/>
  <c r="CM163" i="20"/>
  <c r="AE163" i="20"/>
  <c r="AW163" i="20"/>
  <c r="BW163" i="20"/>
  <c r="CT163" i="20"/>
  <c r="AG163" i="20"/>
  <c r="BC163" i="20"/>
  <c r="BY163" i="20"/>
  <c r="CW163" i="20"/>
  <c r="AI163" i="20"/>
  <c r="BG163" i="20"/>
  <c r="CG163" i="20"/>
  <c r="DB163" i="20"/>
  <c r="V163" i="20"/>
  <c r="BQ163" i="20"/>
  <c r="AH163" i="20"/>
  <c r="BZ163" i="20"/>
  <c r="AP163" i="20"/>
  <c r="CI163" i="20"/>
  <c r="AS163" i="20"/>
  <c r="CK163" i="20"/>
  <c r="BF163" i="20"/>
  <c r="BK163" i="20"/>
  <c r="BM163" i="20"/>
  <c r="CL163" i="20"/>
  <c r="Q163" i="20"/>
  <c r="U163" i="20"/>
  <c r="AT163" i="20"/>
  <c r="CX163" i="20"/>
  <c r="DC163" i="20"/>
  <c r="DG163" i="20"/>
  <c r="V204" i="20"/>
  <c r="AD204" i="20"/>
  <c r="AL204" i="20"/>
  <c r="AT204" i="20"/>
  <c r="BB204" i="20"/>
  <c r="BJ204" i="20"/>
  <c r="BR204" i="20"/>
  <c r="BZ204" i="20"/>
  <c r="CH204" i="20"/>
  <c r="CP204" i="20"/>
  <c r="CX204" i="20"/>
  <c r="DF204" i="20"/>
  <c r="R204" i="20"/>
  <c r="AA204" i="20"/>
  <c r="AJ204" i="20"/>
  <c r="AS204" i="20"/>
  <c r="BC204" i="20"/>
  <c r="BL204" i="20"/>
  <c r="BU204" i="20"/>
  <c r="CD204" i="20"/>
  <c r="CM204" i="20"/>
  <c r="CV204" i="20"/>
  <c r="DE204" i="20"/>
  <c r="S204" i="20"/>
  <c r="AB204" i="20"/>
  <c r="AK204" i="20"/>
  <c r="AU204" i="20"/>
  <c r="BD204" i="20"/>
  <c r="BM204" i="20"/>
  <c r="BV204" i="20"/>
  <c r="CE204" i="20"/>
  <c r="CN204" i="20"/>
  <c r="CW204" i="20"/>
  <c r="DG204" i="20"/>
  <c r="W204" i="20"/>
  <c r="AH204" i="20"/>
  <c r="AV204" i="20"/>
  <c r="BG204" i="20"/>
  <c r="BS204" i="20"/>
  <c r="CF204" i="20"/>
  <c r="CR204" i="20"/>
  <c r="DC204" i="20"/>
  <c r="X204" i="20"/>
  <c r="AI204" i="20"/>
  <c r="AW204" i="20"/>
  <c r="BH204" i="20"/>
  <c r="BT204" i="20"/>
  <c r="CG204" i="20"/>
  <c r="CS204" i="20"/>
  <c r="DD204" i="20"/>
  <c r="Y204" i="20"/>
  <c r="AM204" i="20"/>
  <c r="AX204" i="20"/>
  <c r="BI204" i="20"/>
  <c r="BW204" i="20"/>
  <c r="CI204" i="20"/>
  <c r="CT204" i="20"/>
  <c r="DH204" i="20"/>
  <c r="AC204" i="20"/>
  <c r="AO204" i="20"/>
  <c r="AZ204" i="20"/>
  <c r="BN204" i="20"/>
  <c r="BY204" i="20"/>
  <c r="CK204" i="20"/>
  <c r="CY204" i="20"/>
  <c r="DJ204" i="20"/>
  <c r="U204" i="20"/>
  <c r="AR204" i="20"/>
  <c r="BQ204" i="20"/>
  <c r="CQ204" i="20"/>
  <c r="AE204" i="20"/>
  <c r="BA204" i="20"/>
  <c r="CA204" i="20"/>
  <c r="CZ204" i="20"/>
  <c r="AF204" i="20"/>
  <c r="BE204" i="20"/>
  <c r="CB204" i="20"/>
  <c r="DA204" i="20"/>
  <c r="AP204" i="20"/>
  <c r="CC204" i="20"/>
  <c r="DL204" i="20"/>
  <c r="AQ204" i="20"/>
  <c r="CJ204" i="20"/>
  <c r="Q204" i="20"/>
  <c r="BF204" i="20"/>
  <c r="CO204" i="20"/>
  <c r="BO204" i="20"/>
  <c r="AY204" i="20"/>
  <c r="DI204" i="20"/>
  <c r="CL204" i="20"/>
  <c r="T204" i="20"/>
  <c r="CU204" i="20"/>
  <c r="Z204" i="20"/>
  <c r="DB204" i="20"/>
  <c r="AG204" i="20"/>
  <c r="DK204" i="20"/>
  <c r="AN204" i="20"/>
  <c r="BK204" i="20"/>
  <c r="S275" i="20"/>
  <c r="AA275" i="20"/>
  <c r="AI275" i="20"/>
  <c r="AQ275" i="20"/>
  <c r="AY275" i="20"/>
  <c r="BG275" i="20"/>
  <c r="BO275" i="20"/>
  <c r="BW275" i="20"/>
  <c r="CE275" i="20"/>
  <c r="CM275" i="20"/>
  <c r="CU275" i="20"/>
  <c r="DC275" i="20"/>
  <c r="DK275" i="20"/>
  <c r="U275" i="20"/>
  <c r="AD275" i="20"/>
  <c r="AM275" i="20"/>
  <c r="AV275" i="20"/>
  <c r="BE275" i="20"/>
  <c r="BN275" i="20"/>
  <c r="BX275" i="20"/>
  <c r="CG275" i="20"/>
  <c r="CP275" i="20"/>
  <c r="CY275" i="20"/>
  <c r="DH275" i="20"/>
  <c r="V275" i="20"/>
  <c r="AE275" i="20"/>
  <c r="AN275" i="20"/>
  <c r="AW275" i="20"/>
  <c r="BF275" i="20"/>
  <c r="BP275" i="20"/>
  <c r="BY275" i="20"/>
  <c r="CH275" i="20"/>
  <c r="CQ275" i="20"/>
  <c r="CZ275" i="20"/>
  <c r="DI275" i="20"/>
  <c r="Q275" i="20"/>
  <c r="AC275" i="20"/>
  <c r="AP275" i="20"/>
  <c r="BB275" i="20"/>
  <c r="BM275" i="20"/>
  <c r="CA275" i="20"/>
  <c r="CL275" i="20"/>
  <c r="CX275" i="20"/>
  <c r="DL275" i="20"/>
  <c r="R275" i="20"/>
  <c r="AF275" i="20"/>
  <c r="AR275" i="20"/>
  <c r="BC275" i="20"/>
  <c r="BQ275" i="20"/>
  <c r="CB275" i="20"/>
  <c r="CN275" i="20"/>
  <c r="DA275" i="20"/>
  <c r="W275" i="20"/>
  <c r="AH275" i="20"/>
  <c r="AT275" i="20"/>
  <c r="BH275" i="20"/>
  <c r="BS275" i="20"/>
  <c r="CD275" i="20"/>
  <c r="CR275" i="20"/>
  <c r="DD275" i="20"/>
  <c r="Z275" i="20"/>
  <c r="AU275" i="20"/>
  <c r="BL275" i="20"/>
  <c r="CI275" i="20"/>
  <c r="DB275" i="20"/>
  <c r="AB275" i="20"/>
  <c r="AX275" i="20"/>
  <c r="BR275" i="20"/>
  <c r="CJ275" i="20"/>
  <c r="DE275" i="20"/>
  <c r="AG275" i="20"/>
  <c r="AZ275" i="20"/>
  <c r="BT275" i="20"/>
  <c r="CK275" i="20"/>
  <c r="DF275" i="20"/>
  <c r="AJ275" i="20"/>
  <c r="BA275" i="20"/>
  <c r="BU275" i="20"/>
  <c r="CO275" i="20"/>
  <c r="DG275" i="20"/>
  <c r="Q147" i="20"/>
  <c r="Y147" i="20"/>
  <c r="AG147" i="20"/>
  <c r="AO147" i="20"/>
  <c r="AW147" i="20"/>
  <c r="BE147" i="20"/>
  <c r="BM147" i="20"/>
  <c r="BU147" i="20"/>
  <c r="CC147" i="20"/>
  <c r="CK147" i="20"/>
  <c r="CS147" i="20"/>
  <c r="DA147" i="20"/>
  <c r="DI147" i="20"/>
  <c r="R147" i="20"/>
  <c r="Z147" i="20"/>
  <c r="AH147" i="20"/>
  <c r="AP147" i="20"/>
  <c r="AX147" i="20"/>
  <c r="BF147" i="20"/>
  <c r="BN147" i="20"/>
  <c r="BV147" i="20"/>
  <c r="CD147" i="20"/>
  <c r="CL147" i="20"/>
  <c r="CT147" i="20"/>
  <c r="DB147" i="20"/>
  <c r="DJ147" i="20"/>
  <c r="U147" i="20"/>
  <c r="AE147" i="20"/>
  <c r="AQ147" i="20"/>
  <c r="BA147" i="20"/>
  <c r="BK147" i="20"/>
  <c r="BW147" i="20"/>
  <c r="CG147" i="20"/>
  <c r="CQ147" i="20"/>
  <c r="DC147" i="20"/>
  <c r="X147" i="20"/>
  <c r="AJ147" i="20"/>
  <c r="AT147" i="20"/>
  <c r="BD147" i="20"/>
  <c r="BP147" i="20"/>
  <c r="BZ147" i="20"/>
  <c r="CJ147" i="20"/>
  <c r="CV147" i="20"/>
  <c r="DF147" i="20"/>
  <c r="AA147" i="20"/>
  <c r="AK147" i="20"/>
  <c r="AU147" i="20"/>
  <c r="BG147" i="20"/>
  <c r="BQ147" i="20"/>
  <c r="CA147" i="20"/>
  <c r="CM147" i="20"/>
  <c r="CW147" i="20"/>
  <c r="DG147" i="20"/>
  <c r="AD147" i="20"/>
  <c r="AV147" i="20"/>
  <c r="BL147" i="20"/>
  <c r="CE147" i="20"/>
  <c r="CU147" i="20"/>
  <c r="DL147" i="20"/>
  <c r="AF147" i="20"/>
  <c r="AY147" i="20"/>
  <c r="BO147" i="20"/>
  <c r="CF147" i="20"/>
  <c r="CX147" i="20"/>
  <c r="S147" i="20"/>
  <c r="AI147" i="20"/>
  <c r="AZ147" i="20"/>
  <c r="BR147" i="20"/>
  <c r="CH147" i="20"/>
  <c r="CY147" i="20"/>
  <c r="T147" i="20"/>
  <c r="AL147" i="20"/>
  <c r="BB147" i="20"/>
  <c r="BS147" i="20"/>
  <c r="CI147" i="20"/>
  <c r="CZ147" i="20"/>
  <c r="AB147" i="20"/>
  <c r="BI147" i="20"/>
  <c r="CP147" i="20"/>
  <c r="AC147" i="20"/>
  <c r="BJ147" i="20"/>
  <c r="CR147" i="20"/>
  <c r="AN147" i="20"/>
  <c r="BX147" i="20"/>
  <c r="DE147" i="20"/>
  <c r="BC147" i="20"/>
  <c r="DH147" i="20"/>
  <c r="BH147" i="20"/>
  <c r="DK147" i="20"/>
  <c r="BT147" i="20"/>
  <c r="V147" i="20"/>
  <c r="BY147" i="20"/>
  <c r="W147" i="20"/>
  <c r="CB147" i="20"/>
  <c r="AM147" i="20"/>
  <c r="AR147" i="20"/>
  <c r="AS147" i="20"/>
  <c r="CO147" i="20"/>
  <c r="DD147" i="20"/>
  <c r="CN147" i="20"/>
  <c r="S320" i="20"/>
  <c r="AA320" i="20"/>
  <c r="AI320" i="20"/>
  <c r="AQ320" i="20"/>
  <c r="AY320" i="20"/>
  <c r="BG320" i="20"/>
  <c r="BO320" i="20"/>
  <c r="BW320" i="20"/>
  <c r="CE320" i="20"/>
  <c r="CM320" i="20"/>
  <c r="CU320" i="20"/>
  <c r="DC320" i="20"/>
  <c r="DK320" i="20"/>
  <c r="T320" i="20"/>
  <c r="AB320" i="20"/>
  <c r="AJ320" i="20"/>
  <c r="AR320" i="20"/>
  <c r="AZ320" i="20"/>
  <c r="BH320" i="20"/>
  <c r="BP320" i="20"/>
  <c r="BX320" i="20"/>
  <c r="CF320" i="20"/>
  <c r="CN320" i="20"/>
  <c r="CV320" i="20"/>
  <c r="DD320" i="20"/>
  <c r="DL320" i="20"/>
  <c r="W320" i="20"/>
  <c r="AG320" i="20"/>
  <c r="AS320" i="20"/>
  <c r="BC320" i="20"/>
  <c r="BM320" i="20"/>
  <c r="BY320" i="20"/>
  <c r="CI320" i="20"/>
  <c r="CS320" i="20"/>
  <c r="DE320" i="20"/>
  <c r="Y320" i="20"/>
  <c r="AK320" i="20"/>
  <c r="AU320" i="20"/>
  <c r="BE320" i="20"/>
  <c r="BQ320" i="20"/>
  <c r="CA320" i="20"/>
  <c r="CK320" i="20"/>
  <c r="CW320" i="20"/>
  <c r="DG320" i="20"/>
  <c r="AD320" i="20"/>
  <c r="AP320" i="20"/>
  <c r="BF320" i="20"/>
  <c r="BT320" i="20"/>
  <c r="CH320" i="20"/>
  <c r="CX320" i="20"/>
  <c r="DJ320" i="20"/>
  <c r="Q320" i="20"/>
  <c r="AE320" i="20"/>
  <c r="AT320" i="20"/>
  <c r="BI320" i="20"/>
  <c r="BU320" i="20"/>
  <c r="CJ320" i="20"/>
  <c r="CY320" i="20"/>
  <c r="R320" i="20"/>
  <c r="AF320" i="20"/>
  <c r="AV320" i="20"/>
  <c r="BJ320" i="20"/>
  <c r="BV320" i="20"/>
  <c r="CL320" i="20"/>
  <c r="CZ320" i="20"/>
  <c r="W317" i="20"/>
  <c r="AE317" i="20"/>
  <c r="AM317" i="20"/>
  <c r="AU317" i="20"/>
  <c r="BC317" i="20"/>
  <c r="BK317" i="20"/>
  <c r="BS317" i="20"/>
  <c r="CA317" i="20"/>
  <c r="CI317" i="20"/>
  <c r="CQ317" i="20"/>
  <c r="CY317" i="20"/>
  <c r="DG317" i="20"/>
  <c r="X317" i="20"/>
  <c r="AF317" i="20"/>
  <c r="AN317" i="20"/>
  <c r="AV317" i="20"/>
  <c r="BD317" i="20"/>
  <c r="BL317" i="20"/>
  <c r="BT317" i="20"/>
  <c r="CB317" i="20"/>
  <c r="CJ317" i="20"/>
  <c r="CR317" i="20"/>
  <c r="CZ317" i="20"/>
  <c r="DH317" i="20"/>
  <c r="V317" i="20"/>
  <c r="AH317" i="20"/>
  <c r="AR317" i="20"/>
  <c r="BB317" i="20"/>
  <c r="BN317" i="20"/>
  <c r="BX317" i="20"/>
  <c r="CH317" i="20"/>
  <c r="CT317" i="20"/>
  <c r="DD317" i="20"/>
  <c r="Y317" i="20"/>
  <c r="AI317" i="20"/>
  <c r="AS317" i="20"/>
  <c r="BE317" i="20"/>
  <c r="BO317" i="20"/>
  <c r="BY317" i="20"/>
  <c r="CK317" i="20"/>
  <c r="CU317" i="20"/>
  <c r="DE317" i="20"/>
  <c r="Q317" i="20"/>
  <c r="AA317" i="20"/>
  <c r="AK317" i="20"/>
  <c r="AW317" i="20"/>
  <c r="BG317" i="20"/>
  <c r="BQ317" i="20"/>
  <c r="CC317" i="20"/>
  <c r="CM317" i="20"/>
  <c r="CW317" i="20"/>
  <c r="DI317" i="20"/>
  <c r="AC317" i="20"/>
  <c r="AT317" i="20"/>
  <c r="BJ317" i="20"/>
  <c r="CD317" i="20"/>
  <c r="CS317" i="20"/>
  <c r="DK317" i="20"/>
  <c r="AD317" i="20"/>
  <c r="AX317" i="20"/>
  <c r="BM317" i="20"/>
  <c r="CE317" i="20"/>
  <c r="CV317" i="20"/>
  <c r="DL317" i="20"/>
  <c r="R317" i="20"/>
  <c r="AG317" i="20"/>
  <c r="AY317" i="20"/>
  <c r="BP317" i="20"/>
  <c r="CF317" i="20"/>
  <c r="CX317" i="20"/>
  <c r="R219" i="20"/>
  <c r="Z219" i="20"/>
  <c r="AH219" i="20"/>
  <c r="AP219" i="20"/>
  <c r="AX219" i="20"/>
  <c r="BF219" i="20"/>
  <c r="BN219" i="20"/>
  <c r="BV219" i="20"/>
  <c r="CD219" i="20"/>
  <c r="CL219" i="20"/>
  <c r="CT219" i="20"/>
  <c r="DB219" i="20"/>
  <c r="DJ219" i="20"/>
  <c r="Q219" i="20"/>
  <c r="AA219" i="20"/>
  <c r="AJ219" i="20"/>
  <c r="AS219" i="20"/>
  <c r="BB219" i="20"/>
  <c r="BK219" i="20"/>
  <c r="BT219" i="20"/>
  <c r="CC219" i="20"/>
  <c r="CM219" i="20"/>
  <c r="CV219" i="20"/>
  <c r="DE219" i="20"/>
  <c r="S219" i="20"/>
  <c r="AB219" i="20"/>
  <c r="W219" i="20"/>
  <c r="AI219" i="20"/>
  <c r="AT219" i="20"/>
  <c r="BD219" i="20"/>
  <c r="BO219" i="20"/>
  <c r="BY219" i="20"/>
  <c r="CI219" i="20"/>
  <c r="CS219" i="20"/>
  <c r="DD219" i="20"/>
  <c r="X219" i="20"/>
  <c r="AK219" i="20"/>
  <c r="AU219" i="20"/>
  <c r="BE219" i="20"/>
  <c r="BP219" i="20"/>
  <c r="BZ219" i="20"/>
  <c r="CJ219" i="20"/>
  <c r="CU219" i="20"/>
  <c r="DF219" i="20"/>
  <c r="AC219" i="20"/>
  <c r="AM219" i="20"/>
  <c r="AW219" i="20"/>
  <c r="BH219" i="20"/>
  <c r="BR219" i="20"/>
  <c r="CB219" i="20"/>
  <c r="CN219" i="20"/>
  <c r="CX219" i="20"/>
  <c r="DH219" i="20"/>
  <c r="V219" i="20"/>
  <c r="AO219" i="20"/>
  <c r="BG219" i="20"/>
  <c r="BW219" i="20"/>
  <c r="CO219" i="20"/>
  <c r="DC219" i="20"/>
  <c r="AD219" i="20"/>
  <c r="AR219" i="20"/>
  <c r="BJ219" i="20"/>
  <c r="CA219" i="20"/>
  <c r="CQ219" i="20"/>
  <c r="DI219" i="20"/>
  <c r="AE219" i="20"/>
  <c r="AV219" i="20"/>
  <c r="BL219" i="20"/>
  <c r="CE219" i="20"/>
  <c r="CR219" i="20"/>
  <c r="DK219" i="20"/>
  <c r="AN219" i="20"/>
  <c r="BQ219" i="20"/>
  <c r="CP219" i="20"/>
  <c r="AQ219" i="20"/>
  <c r="BS219" i="20"/>
  <c r="CW219" i="20"/>
  <c r="U219" i="20"/>
  <c r="AZ219" i="20"/>
  <c r="BX219" i="20"/>
  <c r="CZ219" i="20"/>
  <c r="AF219" i="20"/>
  <c r="BU219" i="20"/>
  <c r="DL219" i="20"/>
  <c r="BA219" i="20"/>
  <c r="CY219" i="20"/>
  <c r="BC219" i="20"/>
  <c r="DA219" i="20"/>
  <c r="BI219" i="20"/>
  <c r="DG219" i="20"/>
  <c r="T219" i="20"/>
  <c r="BM219" i="20"/>
  <c r="Y219" i="20"/>
  <c r="CF219" i="20"/>
  <c r="AG219" i="20"/>
  <c r="CG219" i="20"/>
  <c r="S287" i="20"/>
  <c r="AA287" i="20"/>
  <c r="AI287" i="20"/>
  <c r="AQ287" i="20"/>
  <c r="AY287" i="20"/>
  <c r="BG287" i="20"/>
  <c r="BO287" i="20"/>
  <c r="BW287" i="20"/>
  <c r="CE287" i="20"/>
  <c r="CM287" i="20"/>
  <c r="CU287" i="20"/>
  <c r="DC287" i="20"/>
  <c r="DK287" i="20"/>
  <c r="R287" i="20"/>
  <c r="AB287" i="20"/>
  <c r="AK287" i="20"/>
  <c r="AT287" i="20"/>
  <c r="BC287" i="20"/>
  <c r="BL287" i="20"/>
  <c r="BU287" i="20"/>
  <c r="CD287" i="20"/>
  <c r="CN287" i="20"/>
  <c r="CW287" i="20"/>
  <c r="DF287" i="20"/>
  <c r="T287" i="20"/>
  <c r="AC287" i="20"/>
  <c r="AL287" i="20"/>
  <c r="AU287" i="20"/>
  <c r="BD287" i="20"/>
  <c r="BM287" i="20"/>
  <c r="BV287" i="20"/>
  <c r="CF287" i="20"/>
  <c r="CO287" i="20"/>
  <c r="CX287" i="20"/>
  <c r="DG287" i="20"/>
  <c r="X287" i="20"/>
  <c r="AJ287" i="20"/>
  <c r="AW287" i="20"/>
  <c r="BI287" i="20"/>
  <c r="BT287" i="20"/>
  <c r="CH287" i="20"/>
  <c r="CS287" i="20"/>
  <c r="DE287" i="20"/>
  <c r="Y287" i="20"/>
  <c r="AM287" i="20"/>
  <c r="AX287" i="20"/>
  <c r="BJ287" i="20"/>
  <c r="BX287" i="20"/>
  <c r="CI287" i="20"/>
  <c r="CT287" i="20"/>
  <c r="DH287" i="20"/>
  <c r="AD287" i="20"/>
  <c r="AO287" i="20"/>
  <c r="BA287" i="20"/>
  <c r="BN287" i="20"/>
  <c r="BZ287" i="20"/>
  <c r="CK287" i="20"/>
  <c r="CY287" i="20"/>
  <c r="DJ287" i="20"/>
  <c r="Q287" i="20"/>
  <c r="AH287" i="20"/>
  <c r="BE287" i="20"/>
  <c r="BY287" i="20"/>
  <c r="CQ287" i="20"/>
  <c r="DL287" i="20"/>
  <c r="U287" i="20"/>
  <c r="AN287" i="20"/>
  <c r="BF287" i="20"/>
  <c r="CA287" i="20"/>
  <c r="CR287" i="20"/>
  <c r="V287" i="20"/>
  <c r="AP287" i="20"/>
  <c r="BH287" i="20"/>
  <c r="CB287" i="20"/>
  <c r="CV287" i="20"/>
  <c r="W287" i="20"/>
  <c r="AR287" i="20"/>
  <c r="BK287" i="20"/>
  <c r="CC287" i="20"/>
  <c r="CZ287" i="20"/>
  <c r="U331" i="20"/>
  <c r="AC331" i="20"/>
  <c r="AK331" i="20"/>
  <c r="AS331" i="20"/>
  <c r="BA331" i="20"/>
  <c r="BI331" i="20"/>
  <c r="BQ331" i="20"/>
  <c r="BY331" i="20"/>
  <c r="CG331" i="20"/>
  <c r="CO331" i="20"/>
  <c r="CW331" i="20"/>
  <c r="DE331" i="20"/>
  <c r="W331" i="20"/>
  <c r="AE331" i="20"/>
  <c r="AM331" i="20"/>
  <c r="AU331" i="20"/>
  <c r="BC331" i="20"/>
  <c r="BK331" i="20"/>
  <c r="BS331" i="20"/>
  <c r="CA331" i="20"/>
  <c r="CI331" i="20"/>
  <c r="CQ331" i="20"/>
  <c r="CY331" i="20"/>
  <c r="DG331" i="20"/>
  <c r="Z331" i="20"/>
  <c r="AJ331" i="20"/>
  <c r="AV331" i="20"/>
  <c r="BF331" i="20"/>
  <c r="BP331" i="20"/>
  <c r="CB331" i="20"/>
  <c r="CL331" i="20"/>
  <c r="CV331" i="20"/>
  <c r="DH331" i="20"/>
  <c r="Q331" i="20"/>
  <c r="AA331" i="20"/>
  <c r="AL331" i="20"/>
  <c r="AW331" i="20"/>
  <c r="BG331" i="20"/>
  <c r="BR331" i="20"/>
  <c r="CC331" i="20"/>
  <c r="CM331" i="20"/>
  <c r="CX331" i="20"/>
  <c r="DI331" i="20"/>
  <c r="R331" i="20"/>
  <c r="AB331" i="20"/>
  <c r="AN331" i="20"/>
  <c r="AX331" i="20"/>
  <c r="BH331" i="20"/>
  <c r="BT331" i="20"/>
  <c r="CD331" i="20"/>
  <c r="CN331" i="20"/>
  <c r="CZ331" i="20"/>
  <c r="DJ331" i="20"/>
  <c r="K412" i="20"/>
  <c r="H321" i="20"/>
  <c r="H355" i="20"/>
  <c r="H69" i="20"/>
  <c r="H119" i="20"/>
  <c r="U98" i="20"/>
  <c r="AC98" i="20"/>
  <c r="AK98" i="20"/>
  <c r="AS98" i="20"/>
  <c r="BA98" i="20"/>
  <c r="BI98" i="20"/>
  <c r="BQ98" i="20"/>
  <c r="BY98" i="20"/>
  <c r="CG98" i="20"/>
  <c r="CO98" i="20"/>
  <c r="CW98" i="20"/>
  <c r="DE98" i="20"/>
  <c r="T98" i="20"/>
  <c r="AD98" i="20"/>
  <c r="AM98" i="20"/>
  <c r="AV98" i="20"/>
  <c r="BE98" i="20"/>
  <c r="BN98" i="20"/>
  <c r="BW98" i="20"/>
  <c r="CF98" i="20"/>
  <c r="CP98" i="20"/>
  <c r="CY98" i="20"/>
  <c r="DH98" i="20"/>
  <c r="V98" i="20"/>
  <c r="AE98" i="20"/>
  <c r="AN98" i="20"/>
  <c r="AW98" i="20"/>
  <c r="BF98" i="20"/>
  <c r="BO98" i="20"/>
  <c r="BX98" i="20"/>
  <c r="CH98" i="20"/>
  <c r="CQ98" i="20"/>
  <c r="CZ98" i="20"/>
  <c r="DI98" i="20"/>
  <c r="Z98" i="20"/>
  <c r="AL98" i="20"/>
  <c r="AY98" i="20"/>
  <c r="BK98" i="20"/>
  <c r="BV98" i="20"/>
  <c r="CJ98" i="20"/>
  <c r="CU98" i="20"/>
  <c r="DG98" i="20"/>
  <c r="R98" i="20"/>
  <c r="AF98" i="20"/>
  <c r="AQ98" i="20"/>
  <c r="BC98" i="20"/>
  <c r="BP98" i="20"/>
  <c r="CB98" i="20"/>
  <c r="CM98" i="20"/>
  <c r="DA98" i="20"/>
  <c r="DL98" i="20"/>
  <c r="S98" i="20"/>
  <c r="AG98" i="20"/>
  <c r="AR98" i="20"/>
  <c r="BD98" i="20"/>
  <c r="BR98" i="20"/>
  <c r="CC98" i="20"/>
  <c r="CN98" i="20"/>
  <c r="DB98" i="20"/>
  <c r="AA98" i="20"/>
  <c r="AU98" i="20"/>
  <c r="BM98" i="20"/>
  <c r="CI98" i="20"/>
  <c r="DC98" i="20"/>
  <c r="AB98" i="20"/>
  <c r="AX98" i="20"/>
  <c r="BS98" i="20"/>
  <c r="CK98" i="20"/>
  <c r="DD98" i="20"/>
  <c r="AH98" i="20"/>
  <c r="AZ98" i="20"/>
  <c r="BT98" i="20"/>
  <c r="CL98" i="20"/>
  <c r="DF98" i="20"/>
  <c r="Y98" i="20"/>
  <c r="BH98" i="20"/>
  <c r="CR98" i="20"/>
  <c r="AI98" i="20"/>
  <c r="BJ98" i="20"/>
  <c r="CS98" i="20"/>
  <c r="AJ98" i="20"/>
  <c r="BL98" i="20"/>
  <c r="CT98" i="20"/>
  <c r="AO98" i="20"/>
  <c r="BU98" i="20"/>
  <c r="CV98" i="20"/>
  <c r="AP98" i="20"/>
  <c r="BZ98" i="20"/>
  <c r="CX98" i="20"/>
  <c r="CD98" i="20"/>
  <c r="Q98" i="20"/>
  <c r="CE98" i="20"/>
  <c r="W98" i="20"/>
  <c r="DJ98" i="20"/>
  <c r="X98" i="20"/>
  <c r="DK98" i="20"/>
  <c r="AT98" i="20"/>
  <c r="BB98" i="20"/>
  <c r="BG98" i="20"/>
  <c r="CA98" i="20"/>
  <c r="Q415" i="20"/>
  <c r="Y415" i="20"/>
  <c r="AG415" i="20"/>
  <c r="AO415" i="20"/>
  <c r="AW415" i="20"/>
  <c r="BE415" i="20"/>
  <c r="BM415" i="20"/>
  <c r="BU415" i="20"/>
  <c r="CC415" i="20"/>
  <c r="CK415" i="20"/>
  <c r="CS415" i="20"/>
  <c r="DA415" i="20"/>
  <c r="DI415" i="20"/>
  <c r="S415" i="20"/>
  <c r="AA415" i="20"/>
  <c r="AI415" i="20"/>
  <c r="AQ415" i="20"/>
  <c r="AY415" i="20"/>
  <c r="BG415" i="20"/>
  <c r="BO415" i="20"/>
  <c r="BW415" i="20"/>
  <c r="CE415" i="20"/>
  <c r="CM415" i="20"/>
  <c r="CU415" i="20"/>
  <c r="DC415" i="20"/>
  <c r="DK415" i="20"/>
  <c r="T13" i="20"/>
  <c r="AB13" i="20"/>
  <c r="AJ13" i="20"/>
  <c r="AR13" i="20"/>
  <c r="AZ13" i="20"/>
  <c r="BH13" i="20"/>
  <c r="BP13" i="20"/>
  <c r="BX13" i="20"/>
  <c r="CF13" i="20"/>
  <c r="CN13" i="20"/>
  <c r="CV13" i="20"/>
  <c r="DD13" i="20"/>
  <c r="DL13" i="20"/>
  <c r="W13" i="20"/>
  <c r="AF13" i="20"/>
  <c r="AO13" i="20"/>
  <c r="AX13" i="20"/>
  <c r="BG13" i="20"/>
  <c r="BQ13" i="20"/>
  <c r="BZ13" i="20"/>
  <c r="CI13" i="20"/>
  <c r="CR13" i="20"/>
  <c r="DA13" i="20"/>
  <c r="DJ13" i="20"/>
  <c r="X13" i="20"/>
  <c r="AG13" i="20"/>
  <c r="AP13" i="20"/>
  <c r="AY13" i="20"/>
  <c r="BI13" i="20"/>
  <c r="BR13" i="20"/>
  <c r="CA13" i="20"/>
  <c r="CJ13" i="20"/>
  <c r="CS13" i="20"/>
  <c r="DB13" i="20"/>
  <c r="DK13" i="20"/>
  <c r="Y13" i="20"/>
  <c r="AH13" i="20"/>
  <c r="AQ13" i="20"/>
  <c r="BA13" i="20"/>
  <c r="BJ13" i="20"/>
  <c r="BS13" i="20"/>
  <c r="CB13" i="20"/>
  <c r="CK13" i="20"/>
  <c r="CT13" i="20"/>
  <c r="DC13" i="20"/>
  <c r="Z13" i="20"/>
  <c r="AM13" i="20"/>
  <c r="BC13" i="20"/>
  <c r="BO13" i="20"/>
  <c r="CE13" i="20"/>
  <c r="CU13" i="20"/>
  <c r="DH13" i="20"/>
  <c r="AA13" i="20"/>
  <c r="AN13" i="20"/>
  <c r="BD13" i="20"/>
  <c r="BT13" i="20"/>
  <c r="CG13" i="20"/>
  <c r="CW13" i="20"/>
  <c r="DI13" i="20"/>
  <c r="AC13" i="20"/>
  <c r="AS13" i="20"/>
  <c r="BE13" i="20"/>
  <c r="BU13" i="20"/>
  <c r="CH13" i="20"/>
  <c r="CX13" i="20"/>
  <c r="Q13" i="20"/>
  <c r="AD13" i="20"/>
  <c r="AT13" i="20"/>
  <c r="BF13" i="20"/>
  <c r="BV13" i="20"/>
  <c r="CL13" i="20"/>
  <c r="CY13" i="20"/>
  <c r="S13" i="20"/>
  <c r="AV13" i="20"/>
  <c r="BY13" i="20"/>
  <c r="DE13" i="20"/>
  <c r="AE13" i="20"/>
  <c r="BK13" i="20"/>
  <c r="CM13" i="20"/>
  <c r="AI13" i="20"/>
  <c r="BN13" i="20"/>
  <c r="DF13" i="20"/>
  <c r="AK13" i="20"/>
  <c r="BW13" i="20"/>
  <c r="DG13" i="20"/>
  <c r="AW13" i="20"/>
  <c r="CQ13" i="20"/>
  <c r="U13" i="20"/>
  <c r="CC13" i="20"/>
  <c r="AL13" i="20"/>
  <c r="CZ13" i="20"/>
  <c r="AU13" i="20"/>
  <c r="BB13" i="20"/>
  <c r="BL13" i="20"/>
  <c r="CO13" i="20"/>
  <c r="R13" i="20"/>
  <c r="V13" i="20"/>
  <c r="BM13" i="20"/>
  <c r="CD13" i="20"/>
  <c r="CP13" i="20"/>
  <c r="W292" i="20"/>
  <c r="AE292" i="20"/>
  <c r="AM292" i="20"/>
  <c r="AU292" i="20"/>
  <c r="BC292" i="20"/>
  <c r="BK292" i="20"/>
  <c r="BS292" i="20"/>
  <c r="CA292" i="20"/>
  <c r="CI292" i="20"/>
  <c r="CQ292" i="20"/>
  <c r="CY292" i="20"/>
  <c r="DG292" i="20"/>
  <c r="U292" i="20"/>
  <c r="AD292" i="20"/>
  <c r="AN292" i="20"/>
  <c r="AW292" i="20"/>
  <c r="BF292" i="20"/>
  <c r="BO292" i="20"/>
  <c r="BX292" i="20"/>
  <c r="CG292" i="20"/>
  <c r="CP292" i="20"/>
  <c r="CZ292" i="20"/>
  <c r="DI292" i="20"/>
  <c r="V292" i="20"/>
  <c r="AF292" i="20"/>
  <c r="AO292" i="20"/>
  <c r="AX292" i="20"/>
  <c r="BG292" i="20"/>
  <c r="BP292" i="20"/>
  <c r="BY292" i="20"/>
  <c r="CH292" i="20"/>
  <c r="CR292" i="20"/>
  <c r="DA292" i="20"/>
  <c r="DJ292" i="20"/>
  <c r="Y292" i="20"/>
  <c r="AJ292" i="20"/>
  <c r="AV292" i="20"/>
  <c r="BI292" i="20"/>
  <c r="BU292" i="20"/>
  <c r="CF292" i="20"/>
  <c r="CT292" i="20"/>
  <c r="DE292" i="20"/>
  <c r="Z292" i="20"/>
  <c r="AK292" i="20"/>
  <c r="AY292" i="20"/>
  <c r="BJ292" i="20"/>
  <c r="BV292" i="20"/>
  <c r="CJ292" i="20"/>
  <c r="CU292" i="20"/>
  <c r="DF292" i="20"/>
  <c r="Q292" i="20"/>
  <c r="AB292" i="20"/>
  <c r="AP292" i="20"/>
  <c r="BA292" i="20"/>
  <c r="BM292" i="20"/>
  <c r="BZ292" i="20"/>
  <c r="CL292" i="20"/>
  <c r="CW292" i="20"/>
  <c r="DK292" i="20"/>
  <c r="X292" i="20"/>
  <c r="AR292" i="20"/>
  <c r="BL292" i="20"/>
  <c r="CD292" i="20"/>
  <c r="CX292" i="20"/>
  <c r="AA292" i="20"/>
  <c r="AS292" i="20"/>
  <c r="BN292" i="20"/>
  <c r="CE292" i="20"/>
  <c r="DB292" i="20"/>
  <c r="AC292" i="20"/>
  <c r="AT292" i="20"/>
  <c r="BQ292" i="20"/>
  <c r="CK292" i="20"/>
  <c r="DC292" i="20"/>
  <c r="AG292" i="20"/>
  <c r="AZ292" i="20"/>
  <c r="BR292" i="20"/>
  <c r="CM292" i="20"/>
  <c r="DD292" i="20"/>
  <c r="K372" i="20"/>
  <c r="DD416" i="20"/>
  <c r="CT416" i="20"/>
  <c r="CJ416" i="20"/>
  <c r="BX416" i="20"/>
  <c r="BN416" i="20"/>
  <c r="BD416" i="20"/>
  <c r="AR416" i="20"/>
  <c r="AH416" i="20"/>
  <c r="X416" i="20"/>
  <c r="DH415" i="20"/>
  <c r="CX415" i="20"/>
  <c r="CN415" i="20"/>
  <c r="CB415" i="20"/>
  <c r="BR415" i="20"/>
  <c r="BH415" i="20"/>
  <c r="AV415" i="20"/>
  <c r="AL415" i="20"/>
  <c r="AB415" i="20"/>
  <c r="DL414" i="20"/>
  <c r="DB414" i="20"/>
  <c r="CR414" i="20"/>
  <c r="CF414" i="20"/>
  <c r="BV414" i="20"/>
  <c r="BL414" i="20"/>
  <c r="AZ414" i="20"/>
  <c r="AP414" i="20"/>
  <c r="AF414" i="20"/>
  <c r="T414" i="20"/>
  <c r="DD411" i="20"/>
  <c r="CR411" i="20"/>
  <c r="CH411" i="20"/>
  <c r="BX411" i="20"/>
  <c r="BL411" i="20"/>
  <c r="BB411" i="20"/>
  <c r="AR411" i="20"/>
  <c r="AF411" i="20"/>
  <c r="V411" i="20"/>
  <c r="DD408" i="20"/>
  <c r="CT408" i="20"/>
  <c r="CJ408" i="20"/>
  <c r="BX408" i="20"/>
  <c r="BN408" i="20"/>
  <c r="BD408" i="20"/>
  <c r="AR408" i="20"/>
  <c r="AH408" i="20"/>
  <c r="X408" i="20"/>
  <c r="DH407" i="20"/>
  <c r="CX407" i="20"/>
  <c r="CN407" i="20"/>
  <c r="CB407" i="20"/>
  <c r="BR407" i="20"/>
  <c r="BH407" i="20"/>
  <c r="AV407" i="20"/>
  <c r="AL407" i="20"/>
  <c r="AB407" i="20"/>
  <c r="DD403" i="20"/>
  <c r="CR403" i="20"/>
  <c r="CH403" i="20"/>
  <c r="BX403" i="20"/>
  <c r="BL403" i="20"/>
  <c r="BB403" i="20"/>
  <c r="AR403" i="20"/>
  <c r="AF403" i="20"/>
  <c r="DH402" i="20"/>
  <c r="CV402" i="20"/>
  <c r="CL402" i="20"/>
  <c r="CB402" i="20"/>
  <c r="BP402" i="20"/>
  <c r="BF402" i="20"/>
  <c r="AV402" i="20"/>
  <c r="AJ402" i="20"/>
  <c r="DL401" i="20"/>
  <c r="CZ401" i="20"/>
  <c r="CP401" i="20"/>
  <c r="CF401" i="20"/>
  <c r="BT401" i="20"/>
  <c r="BJ401" i="20"/>
  <c r="AZ401" i="20"/>
  <c r="AN401" i="20"/>
  <c r="AD401" i="20"/>
  <c r="DD400" i="20"/>
  <c r="CT400" i="20"/>
  <c r="CJ400" i="20"/>
  <c r="BX400" i="20"/>
  <c r="BN400" i="20"/>
  <c r="BD400" i="20"/>
  <c r="AR400" i="20"/>
  <c r="AH400" i="20"/>
  <c r="X400" i="20"/>
  <c r="DH399" i="20"/>
  <c r="CX399" i="20"/>
  <c r="CN399" i="20"/>
  <c r="CB399" i="20"/>
  <c r="BR399" i="20"/>
  <c r="BH399" i="20"/>
  <c r="AV399" i="20"/>
  <c r="AL399" i="20"/>
  <c r="AB399" i="20"/>
  <c r="DL398" i="20"/>
  <c r="DB398" i="20"/>
  <c r="CR398" i="20"/>
  <c r="CF398" i="20"/>
  <c r="BV398" i="20"/>
  <c r="BL398" i="20"/>
  <c r="AZ398" i="20"/>
  <c r="AP398" i="20"/>
  <c r="AF398" i="20"/>
  <c r="T398" i="20"/>
  <c r="DJ396" i="20"/>
  <c r="CZ396" i="20"/>
  <c r="CN396" i="20"/>
  <c r="CD396" i="20"/>
  <c r="BT396" i="20"/>
  <c r="BH396" i="20"/>
  <c r="AX396" i="20"/>
  <c r="AN396" i="20"/>
  <c r="AB396" i="20"/>
  <c r="R396" i="20"/>
  <c r="DH394" i="20"/>
  <c r="CV394" i="20"/>
  <c r="CL394" i="20"/>
  <c r="CB394" i="20"/>
  <c r="BP394" i="20"/>
  <c r="BF394" i="20"/>
  <c r="AV394" i="20"/>
  <c r="AJ394" i="20"/>
  <c r="Z394" i="20"/>
  <c r="DD392" i="20"/>
  <c r="CT392" i="20"/>
  <c r="CJ392" i="20"/>
  <c r="BX392" i="20"/>
  <c r="BN392" i="20"/>
  <c r="BD392" i="20"/>
  <c r="AR392" i="20"/>
  <c r="AH392" i="20"/>
  <c r="X392" i="20"/>
  <c r="DH391" i="20"/>
  <c r="CX391" i="20"/>
  <c r="CN391" i="20"/>
  <c r="CB391" i="20"/>
  <c r="BR391" i="20"/>
  <c r="BH391" i="20"/>
  <c r="AV391" i="20"/>
  <c r="AL391" i="20"/>
  <c r="DE388" i="20"/>
  <c r="CQ388" i="20"/>
  <c r="CF388" i="20"/>
  <c r="BT388" i="20"/>
  <c r="BG388" i="20"/>
  <c r="AU388" i="20"/>
  <c r="AJ388" i="20"/>
  <c r="V388" i="20"/>
  <c r="DG387" i="20"/>
  <c r="CU387" i="20"/>
  <c r="CH387" i="20"/>
  <c r="BV387" i="20"/>
  <c r="BK387" i="20"/>
  <c r="AW387" i="20"/>
  <c r="AL387" i="20"/>
  <c r="Z387" i="20"/>
  <c r="DH386" i="20"/>
  <c r="CW386" i="20"/>
  <c r="CL386" i="20"/>
  <c r="BX386" i="20"/>
  <c r="BL386" i="20"/>
  <c r="BA386" i="20"/>
  <c r="AM386" i="20"/>
  <c r="DC384" i="20"/>
  <c r="CO384" i="20"/>
  <c r="CD384" i="20"/>
  <c r="BR384" i="20"/>
  <c r="BD384" i="20"/>
  <c r="AS384" i="20"/>
  <c r="AH384" i="20"/>
  <c r="T384" i="20"/>
  <c r="DD383" i="20"/>
  <c r="CS383" i="20"/>
  <c r="CE383" i="20"/>
  <c r="BT383" i="20"/>
  <c r="BH383" i="20"/>
  <c r="AU383" i="20"/>
  <c r="AI383" i="20"/>
  <c r="X383" i="20"/>
  <c r="DF382" i="20"/>
  <c r="CU382" i="20"/>
  <c r="CI382" i="20"/>
  <c r="BV382" i="20"/>
  <c r="BJ382" i="20"/>
  <c r="AY382" i="20"/>
  <c r="AK382" i="20"/>
  <c r="Z382" i="20"/>
  <c r="DJ381" i="20"/>
  <c r="CV381" i="20"/>
  <c r="CK381" i="20"/>
  <c r="BZ381" i="20"/>
  <c r="BL381" i="20"/>
  <c r="AZ381" i="20"/>
  <c r="AO381" i="20"/>
  <c r="AA381" i="20"/>
  <c r="DL380" i="20"/>
  <c r="CZ380" i="20"/>
  <c r="CM380" i="20"/>
  <c r="CA380" i="20"/>
  <c r="BP380" i="20"/>
  <c r="BB380" i="20"/>
  <c r="AQ380" i="20"/>
  <c r="AE380" i="20"/>
  <c r="R380" i="20"/>
  <c r="DB379" i="20"/>
  <c r="CQ379" i="20"/>
  <c r="CC379" i="20"/>
  <c r="BR379" i="20"/>
  <c r="BF379" i="20"/>
  <c r="AR379" i="20"/>
  <c r="AG379" i="20"/>
  <c r="V379" i="20"/>
  <c r="DH377" i="20"/>
  <c r="CT377" i="20"/>
  <c r="CI377" i="20"/>
  <c r="BW377" i="20"/>
  <c r="BJ377" i="20"/>
  <c r="AX377" i="20"/>
  <c r="AM377" i="20"/>
  <c r="Y377" i="20"/>
  <c r="DJ376" i="20"/>
  <c r="CX376" i="20"/>
  <c r="CJ376" i="20"/>
  <c r="BY376" i="20"/>
  <c r="BN376" i="20"/>
  <c r="AZ376" i="20"/>
  <c r="AN376" i="20"/>
  <c r="AC376" i="20"/>
  <c r="DB374" i="20"/>
  <c r="CP374" i="20"/>
  <c r="CE374" i="20"/>
  <c r="BQ374" i="20"/>
  <c r="BF374" i="20"/>
  <c r="AT374" i="20"/>
  <c r="AF374" i="20"/>
  <c r="U374" i="20"/>
  <c r="DF373" i="20"/>
  <c r="CR373" i="20"/>
  <c r="CF373" i="20"/>
  <c r="BU373" i="20"/>
  <c r="BG373" i="20"/>
  <c r="AV373" i="20"/>
  <c r="AJ373" i="20"/>
  <c r="W373" i="20"/>
  <c r="DI371" i="20"/>
  <c r="CX371" i="20"/>
  <c r="CL371" i="20"/>
  <c r="BX371" i="20"/>
  <c r="BM371" i="20"/>
  <c r="BB371" i="20"/>
  <c r="AN371" i="20"/>
  <c r="AB371" i="20"/>
  <c r="Q371" i="20"/>
  <c r="DE368" i="20"/>
  <c r="CT368" i="20"/>
  <c r="CF368" i="20"/>
  <c r="BT368" i="20"/>
  <c r="BI368" i="20"/>
  <c r="AU368" i="20"/>
  <c r="AJ368" i="20"/>
  <c r="X368" i="20"/>
  <c r="DK366" i="20"/>
  <c r="CW366" i="20"/>
  <c r="CL366" i="20"/>
  <c r="BZ366" i="20"/>
  <c r="BL366" i="20"/>
  <c r="BA366" i="20"/>
  <c r="AP366" i="20"/>
  <c r="DD363" i="20"/>
  <c r="CS363" i="20"/>
  <c r="CH363" i="20"/>
  <c r="BT363" i="20"/>
  <c r="BH363" i="20"/>
  <c r="AW363" i="20"/>
  <c r="AI363" i="20"/>
  <c r="DE362" i="20"/>
  <c r="CO362" i="20"/>
  <c r="CA362" i="20"/>
  <c r="BN362" i="20"/>
  <c r="AX362" i="20"/>
  <c r="AK362" i="20"/>
  <c r="DC361" i="20"/>
  <c r="CP361" i="20"/>
  <c r="CC361" i="20"/>
  <c r="BM361" i="20"/>
  <c r="AY361" i="20"/>
  <c r="AL361" i="20"/>
  <c r="V361" i="20"/>
  <c r="DF359" i="20"/>
  <c r="CM359" i="20"/>
  <c r="BU359" i="20"/>
  <c r="BF359" i="20"/>
  <c r="AN359" i="20"/>
  <c r="Y359" i="20"/>
  <c r="DB358" i="20"/>
  <c r="CI358" i="20"/>
  <c r="BT358" i="20"/>
  <c r="BB358" i="20"/>
  <c r="AM358" i="20"/>
  <c r="CX357" i="20"/>
  <c r="CJ357" i="20"/>
  <c r="BP357" i="20"/>
  <c r="BB357" i="20"/>
  <c r="AI357" i="20"/>
  <c r="CX356" i="20"/>
  <c r="CF356" i="20"/>
  <c r="BQ356" i="20"/>
  <c r="AX356" i="20"/>
  <c r="AE356" i="20"/>
  <c r="DL355" i="20"/>
  <c r="CT355" i="20"/>
  <c r="CE355" i="20"/>
  <c r="BM355" i="20"/>
  <c r="AT355" i="20"/>
  <c r="DH354" i="20"/>
  <c r="CT354" i="20"/>
  <c r="CA354" i="20"/>
  <c r="BI354" i="20"/>
  <c r="AT354" i="20"/>
  <c r="DI351" i="20"/>
  <c r="CP351" i="20"/>
  <c r="CB351" i="20"/>
  <c r="BH351" i="20"/>
  <c r="AT351" i="20"/>
  <c r="DE350" i="20"/>
  <c r="CP350" i="20"/>
  <c r="BX350" i="20"/>
  <c r="BI350" i="20"/>
  <c r="AP350" i="20"/>
  <c r="W350" i="20"/>
  <c r="DD349" i="20"/>
  <c r="CL349" i="20"/>
  <c r="BW349" i="20"/>
  <c r="BE349" i="20"/>
  <c r="AL349" i="20"/>
  <c r="X349" i="20"/>
  <c r="CZ348" i="20"/>
  <c r="CL348" i="20"/>
  <c r="BS348" i="20"/>
  <c r="BA348" i="20"/>
  <c r="AL348" i="20"/>
  <c r="T348" i="20"/>
  <c r="DA347" i="20"/>
  <c r="CH347" i="20"/>
  <c r="BO347" i="20"/>
  <c r="AZ347" i="20"/>
  <c r="AH347" i="20"/>
  <c r="S347" i="20"/>
  <c r="CW346" i="20"/>
  <c r="CD346" i="20"/>
  <c r="BP346" i="20"/>
  <c r="AV346" i="20"/>
  <c r="AH346" i="20"/>
  <c r="DK345" i="20"/>
  <c r="CS345" i="20"/>
  <c r="CD345" i="20"/>
  <c r="BL345" i="20"/>
  <c r="AW345" i="20"/>
  <c r="AD345" i="20"/>
  <c r="DG344" i="20"/>
  <c r="CR344" i="20"/>
  <c r="BZ344" i="20"/>
  <c r="BK344" i="20"/>
  <c r="AS344" i="20"/>
  <c r="Z344" i="20"/>
  <c r="DH343" i="20"/>
  <c r="CN343" i="20"/>
  <c r="BZ343" i="20"/>
  <c r="BG343" i="20"/>
  <c r="AO343" i="20"/>
  <c r="Z343" i="20"/>
  <c r="DD342" i="20"/>
  <c r="CO342" i="20"/>
  <c r="BV342" i="20"/>
  <c r="BC342" i="20"/>
  <c r="AN342" i="20"/>
  <c r="V342" i="20"/>
  <c r="DC339" i="20"/>
  <c r="CK339" i="20"/>
  <c r="BV339" i="20"/>
  <c r="BD339" i="20"/>
  <c r="AO339" i="20"/>
  <c r="V339" i="20"/>
  <c r="CY338" i="20"/>
  <c r="CJ338" i="20"/>
  <c r="BR338" i="20"/>
  <c r="BC338" i="20"/>
  <c r="AK338" i="20"/>
  <c r="R338" i="20"/>
  <c r="CZ337" i="20"/>
  <c r="CF337" i="20"/>
  <c r="BR337" i="20"/>
  <c r="AY337" i="20"/>
  <c r="AG337" i="20"/>
  <c r="R337" i="20"/>
  <c r="CV336" i="20"/>
  <c r="CG336" i="20"/>
  <c r="BN336" i="20"/>
  <c r="AU336" i="20"/>
  <c r="DL334" i="20"/>
  <c r="CR334" i="20"/>
  <c r="CD334" i="20"/>
  <c r="BK334" i="20"/>
  <c r="AS334" i="20"/>
  <c r="AD334" i="20"/>
  <c r="DH333" i="20"/>
  <c r="CS333" i="20"/>
  <c r="BZ333" i="20"/>
  <c r="BG333" i="20"/>
  <c r="AR333" i="20"/>
  <c r="Z333" i="20"/>
  <c r="DG332" i="20"/>
  <c r="CO332" i="20"/>
  <c r="BV332" i="20"/>
  <c r="BH332" i="20"/>
  <c r="AN332" i="20"/>
  <c r="Z332" i="20"/>
  <c r="DC331" i="20"/>
  <c r="CK331" i="20"/>
  <c r="BV331" i="20"/>
  <c r="BD331" i="20"/>
  <c r="AO331" i="20"/>
  <c r="V331" i="20"/>
  <c r="CZ329" i="20"/>
  <c r="CF329" i="20"/>
  <c r="BR329" i="20"/>
  <c r="AY329" i="20"/>
  <c r="AD329" i="20"/>
  <c r="DI328" i="20"/>
  <c r="CO328" i="20"/>
  <c r="BX328" i="20"/>
  <c r="BB328" i="20"/>
  <c r="DK327" i="20"/>
  <c r="CP327" i="20"/>
  <c r="BY327" i="20"/>
  <c r="BE327" i="20"/>
  <c r="AI327" i="20"/>
  <c r="CP326" i="20"/>
  <c r="BV326" i="20"/>
  <c r="AW326" i="20"/>
  <c r="DG324" i="20"/>
  <c r="CL324" i="20"/>
  <c r="BN324" i="20"/>
  <c r="AU324" i="20"/>
  <c r="W324" i="20"/>
  <c r="DE322" i="20"/>
  <c r="CG322" i="20"/>
  <c r="BL322" i="20"/>
  <c r="AN322" i="20"/>
  <c r="U322" i="20"/>
  <c r="DA320" i="20"/>
  <c r="CC320" i="20"/>
  <c r="BD320" i="20"/>
  <c r="AL320" i="20"/>
  <c r="DJ317" i="20"/>
  <c r="CL317" i="20"/>
  <c r="BH317" i="20"/>
  <c r="AJ317" i="20"/>
  <c r="DB316" i="20"/>
  <c r="BY316" i="20"/>
  <c r="BB316" i="20"/>
  <c r="CV315" i="20"/>
  <c r="BQ315" i="20"/>
  <c r="AL315" i="20"/>
  <c r="Q315" i="20"/>
  <c r="CW313" i="20"/>
  <c r="BZ313" i="20"/>
  <c r="AW313" i="20"/>
  <c r="DJ311" i="20"/>
  <c r="CK311" i="20"/>
  <c r="BH311" i="20"/>
  <c r="AD311" i="20"/>
  <c r="DB310" i="20"/>
  <c r="BZ310" i="20"/>
  <c r="BB310" i="20"/>
  <c r="X310" i="20"/>
  <c r="CD308" i="20"/>
  <c r="AU308" i="20"/>
  <c r="CS306" i="20"/>
  <c r="BL306" i="20"/>
  <c r="DI304" i="20"/>
  <c r="CB304" i="20"/>
  <c r="DE303" i="20"/>
  <c r="BX303" i="20"/>
  <c r="AQ303" i="20"/>
  <c r="DF302" i="20"/>
  <c r="BV302" i="20"/>
  <c r="AM302" i="20"/>
  <c r="CT300" i="20"/>
  <c r="BM300" i="20"/>
  <c r="CT299" i="20"/>
  <c r="BI299" i="20"/>
  <c r="CQ298" i="20"/>
  <c r="BJ298" i="20"/>
  <c r="Z298" i="20"/>
  <c r="CM297" i="20"/>
  <c r="BF297" i="20"/>
  <c r="Y297" i="20"/>
  <c r="CL296" i="20"/>
  <c r="BD296" i="20"/>
  <c r="U296" i="20"/>
  <c r="CM294" i="20"/>
  <c r="BA294" i="20"/>
  <c r="CC292" i="20"/>
  <c r="AQ292" i="20"/>
  <c r="CX291" i="20"/>
  <c r="BJ291" i="20"/>
  <c r="CH290" i="20"/>
  <c r="AT290" i="20"/>
  <c r="DD289" i="20"/>
  <c r="BP289" i="20"/>
  <c r="AB289" i="20"/>
  <c r="CL288" i="20"/>
  <c r="AZ288" i="20"/>
  <c r="DI287" i="20"/>
  <c r="BS287" i="20"/>
  <c r="AG287" i="20"/>
  <c r="CR286" i="20"/>
  <c r="BF286" i="20"/>
  <c r="Q286" i="20"/>
  <c r="BY285" i="20"/>
  <c r="AM285" i="20"/>
  <c r="CW284" i="20"/>
  <c r="BI284" i="20"/>
  <c r="CD283" i="20"/>
  <c r="CD281" i="20"/>
  <c r="AO281" i="20"/>
  <c r="CW280" i="20"/>
  <c r="BL280" i="20"/>
  <c r="CH279" i="20"/>
  <c r="AU279" i="20"/>
  <c r="DC278" i="20"/>
  <c r="BO278" i="20"/>
  <c r="AC278" i="20"/>
  <c r="CN277" i="20"/>
  <c r="DF276" i="20"/>
  <c r="BU276" i="20"/>
  <c r="CS275" i="20"/>
  <c r="BD275" i="20"/>
  <c r="DL274" i="20"/>
  <c r="BZ274" i="20"/>
  <c r="AO274" i="20"/>
  <c r="CW273" i="20"/>
  <c r="BJ273" i="20"/>
  <c r="V273" i="20"/>
  <c r="CI271" i="20"/>
  <c r="DH270" i="20"/>
  <c r="BT270" i="20"/>
  <c r="AG270" i="20"/>
  <c r="CO269" i="20"/>
  <c r="BA269" i="20"/>
  <c r="DK268" i="20"/>
  <c r="BY268" i="20"/>
  <c r="AL268" i="20"/>
  <c r="CR267" i="20"/>
  <c r="BF267" i="20"/>
  <c r="DB266" i="20"/>
  <c r="BG266" i="20"/>
  <c r="DH264" i="20"/>
  <c r="BM264" i="20"/>
  <c r="BV261" i="20"/>
  <c r="U261" i="20"/>
  <c r="DG259" i="20"/>
  <c r="CJ258" i="20"/>
  <c r="Y258" i="20"/>
  <c r="AZ257" i="20"/>
  <c r="CG256" i="20"/>
  <c r="DI255" i="20"/>
  <c r="BR254" i="20"/>
  <c r="CQ253" i="20"/>
  <c r="R253" i="20"/>
  <c r="CR250" i="20"/>
  <c r="DL249" i="20"/>
  <c r="DA247" i="20"/>
  <c r="BV246" i="20"/>
  <c r="AC244" i="20"/>
  <c r="CW242" i="20"/>
  <c r="AY240" i="20"/>
  <c r="AC239" i="20"/>
  <c r="DA237" i="20"/>
  <c r="BY234" i="20"/>
  <c r="CY232" i="20"/>
  <c r="AJ231" i="20"/>
  <c r="BI223" i="20"/>
  <c r="AN221" i="20"/>
  <c r="AY219" i="20"/>
  <c r="BK207" i="20"/>
  <c r="BP204" i="20"/>
  <c r="AF188" i="20"/>
  <c r="AC165" i="20"/>
  <c r="U363" i="20"/>
  <c r="AC363" i="20"/>
  <c r="AK363" i="20"/>
  <c r="AS363" i="20"/>
  <c r="BA363" i="20"/>
  <c r="BI363" i="20"/>
  <c r="BQ363" i="20"/>
  <c r="BY363" i="20"/>
  <c r="CG363" i="20"/>
  <c r="CO363" i="20"/>
  <c r="CW363" i="20"/>
  <c r="DE363" i="20"/>
  <c r="W363" i="20"/>
  <c r="AE363" i="20"/>
  <c r="Z363" i="20"/>
  <c r="AJ363" i="20"/>
  <c r="AT363" i="20"/>
  <c r="BC363" i="20"/>
  <c r="BL363" i="20"/>
  <c r="BU363" i="20"/>
  <c r="CD363" i="20"/>
  <c r="CM363" i="20"/>
  <c r="CV363" i="20"/>
  <c r="DF363" i="20"/>
  <c r="R363" i="20"/>
  <c r="AB363" i="20"/>
  <c r="AM363" i="20"/>
  <c r="AV363" i="20"/>
  <c r="BE363" i="20"/>
  <c r="BN363" i="20"/>
  <c r="BW363" i="20"/>
  <c r="CF363" i="20"/>
  <c r="CP363" i="20"/>
  <c r="CY363" i="20"/>
  <c r="DH363" i="20"/>
  <c r="DB350" i="20"/>
  <c r="CI350" i="20"/>
  <c r="BT350" i="20"/>
  <c r="BB350" i="20"/>
  <c r="U350" i="20"/>
  <c r="U4" i="20"/>
  <c r="AC4" i="20"/>
  <c r="AK4" i="20"/>
  <c r="AS4" i="20"/>
  <c r="BA4" i="20"/>
  <c r="BI4" i="20"/>
  <c r="BQ4" i="20"/>
  <c r="BY4" i="20"/>
  <c r="CG4" i="20"/>
  <c r="CO4" i="20"/>
  <c r="CW4" i="20"/>
  <c r="DE4" i="20"/>
  <c r="V4" i="20"/>
  <c r="AD4" i="20"/>
  <c r="AL4" i="20"/>
  <c r="AT4" i="20"/>
  <c r="BB4" i="20"/>
  <c r="BJ4" i="20"/>
  <c r="BR4" i="20"/>
  <c r="BZ4" i="20"/>
  <c r="CH4" i="20"/>
  <c r="CP4" i="20"/>
  <c r="CX4" i="20"/>
  <c r="DF4" i="20"/>
  <c r="W4" i="20"/>
  <c r="AE4" i="20"/>
  <c r="AM4" i="20"/>
  <c r="AU4" i="20"/>
  <c r="BC4" i="20"/>
  <c r="BK4" i="20"/>
  <c r="BS4" i="20"/>
  <c r="CA4" i="20"/>
  <c r="CI4" i="20"/>
  <c r="CQ4" i="20"/>
  <c r="CY4" i="20"/>
  <c r="DG4" i="20"/>
  <c r="T4" i="20"/>
  <c r="AH4" i="20"/>
  <c r="AV4" i="20"/>
  <c r="BG4" i="20"/>
  <c r="BU4" i="20"/>
  <c r="CF4" i="20"/>
  <c r="CT4" i="20"/>
  <c r="DH4" i="20"/>
  <c r="X4" i="20"/>
  <c r="AI4" i="20"/>
  <c r="AW4" i="20"/>
  <c r="BH4" i="20"/>
  <c r="BV4" i="20"/>
  <c r="CJ4" i="20"/>
  <c r="CU4" i="20"/>
  <c r="DI4" i="20"/>
  <c r="Y4" i="20"/>
  <c r="AJ4" i="20"/>
  <c r="AX4" i="20"/>
  <c r="BL4" i="20"/>
  <c r="BW4" i="20"/>
  <c r="CK4" i="20"/>
  <c r="CV4" i="20"/>
  <c r="DJ4" i="20"/>
  <c r="Z4" i="20"/>
  <c r="AQ4" i="20"/>
  <c r="BN4" i="20"/>
  <c r="CE4" i="20"/>
  <c r="DB4" i="20"/>
  <c r="AA4" i="20"/>
  <c r="AR4" i="20"/>
  <c r="BO4" i="20"/>
  <c r="CL4" i="20"/>
  <c r="DC4" i="20"/>
  <c r="AB4" i="20"/>
  <c r="AY4" i="20"/>
  <c r="BP4" i="20"/>
  <c r="CM4" i="20"/>
  <c r="DD4" i="20"/>
  <c r="S4" i="20"/>
  <c r="BE4" i="20"/>
  <c r="CN4" i="20"/>
  <c r="AF4" i="20"/>
  <c r="BF4" i="20"/>
  <c r="CR4" i="20"/>
  <c r="AG4" i="20"/>
  <c r="BM4" i="20"/>
  <c r="CS4" i="20"/>
  <c r="AN4" i="20"/>
  <c r="BT4" i="20"/>
  <c r="CZ4" i="20"/>
  <c r="BX4" i="20"/>
  <c r="CB4" i="20"/>
  <c r="Q4" i="20"/>
  <c r="CC4" i="20"/>
  <c r="R4" i="20"/>
  <c r="CD4" i="20"/>
  <c r="DA4" i="20"/>
  <c r="DK4" i="20"/>
  <c r="DL4" i="20"/>
  <c r="AO4" i="20"/>
  <c r="AP4" i="20"/>
  <c r="AZ4" i="20"/>
  <c r="BD4" i="20"/>
  <c r="Q358" i="20"/>
  <c r="Y358" i="20"/>
  <c r="AG358" i="20"/>
  <c r="AO358" i="20"/>
  <c r="AW358" i="20"/>
  <c r="BE358" i="20"/>
  <c r="BM358" i="20"/>
  <c r="BU358" i="20"/>
  <c r="CC358" i="20"/>
  <c r="CK358" i="20"/>
  <c r="CS358" i="20"/>
  <c r="DA358" i="20"/>
  <c r="DI358" i="20"/>
  <c r="S358" i="20"/>
  <c r="AA358" i="20"/>
  <c r="AI358" i="20"/>
  <c r="AQ358" i="20"/>
  <c r="AY358" i="20"/>
  <c r="BG358" i="20"/>
  <c r="BO358" i="20"/>
  <c r="BW358" i="20"/>
  <c r="CE358" i="20"/>
  <c r="CM358" i="20"/>
  <c r="CU358" i="20"/>
  <c r="DC358" i="20"/>
  <c r="DK358" i="20"/>
  <c r="X358" i="20"/>
  <c r="AJ358" i="20"/>
  <c r="AT358" i="20"/>
  <c r="BD358" i="20"/>
  <c r="BP358" i="20"/>
  <c r="BZ358" i="20"/>
  <c r="CJ358" i="20"/>
  <c r="CV358" i="20"/>
  <c r="DF358" i="20"/>
  <c r="Z358" i="20"/>
  <c r="AK358" i="20"/>
  <c r="AU358" i="20"/>
  <c r="BF358" i="20"/>
  <c r="BQ358" i="20"/>
  <c r="CA358" i="20"/>
  <c r="CL358" i="20"/>
  <c r="CW358" i="20"/>
  <c r="DG358" i="20"/>
  <c r="AB358" i="20"/>
  <c r="AL358" i="20"/>
  <c r="AV358" i="20"/>
  <c r="BH358" i="20"/>
  <c r="BR358" i="20"/>
  <c r="CB358" i="20"/>
  <c r="CN358" i="20"/>
  <c r="CX358" i="20"/>
  <c r="DH358" i="20"/>
  <c r="R215" i="20"/>
  <c r="Z215" i="20"/>
  <c r="AH215" i="20"/>
  <c r="AP215" i="20"/>
  <c r="AX215" i="20"/>
  <c r="BF215" i="20"/>
  <c r="BN215" i="20"/>
  <c r="BV215" i="20"/>
  <c r="CD215" i="20"/>
  <c r="CL215" i="20"/>
  <c r="CT215" i="20"/>
  <c r="DB215" i="20"/>
  <c r="DJ215" i="20"/>
  <c r="X215" i="20"/>
  <c r="AG215" i="20"/>
  <c r="AQ215" i="20"/>
  <c r="AZ215" i="20"/>
  <c r="BI215" i="20"/>
  <c r="BR215" i="20"/>
  <c r="CA215" i="20"/>
  <c r="CJ215" i="20"/>
  <c r="CS215" i="20"/>
  <c r="DC215" i="20"/>
  <c r="DL215" i="20"/>
  <c r="Y215" i="20"/>
  <c r="AI215" i="20"/>
  <c r="AR215" i="20"/>
  <c r="BA215" i="20"/>
  <c r="BJ215" i="20"/>
  <c r="BS215" i="20"/>
  <c r="CB215" i="20"/>
  <c r="CK215" i="20"/>
  <c r="CU215" i="20"/>
  <c r="DD215" i="20"/>
  <c r="U215" i="20"/>
  <c r="AF215" i="20"/>
  <c r="AT215" i="20"/>
  <c r="BE215" i="20"/>
  <c r="BQ215" i="20"/>
  <c r="CE215" i="20"/>
  <c r="CP215" i="20"/>
  <c r="DA215" i="20"/>
  <c r="V215" i="20"/>
  <c r="AJ215" i="20"/>
  <c r="AU215" i="20"/>
  <c r="BG215" i="20"/>
  <c r="BT215" i="20"/>
  <c r="CF215" i="20"/>
  <c r="CQ215" i="20"/>
  <c r="DE215" i="20"/>
  <c r="AA215" i="20"/>
  <c r="AL215" i="20"/>
  <c r="AW215" i="20"/>
  <c r="BK215" i="20"/>
  <c r="BW215" i="20"/>
  <c r="CH215" i="20"/>
  <c r="CV215" i="20"/>
  <c r="DG215" i="20"/>
  <c r="AE215" i="20"/>
  <c r="BB215" i="20"/>
  <c r="BU215" i="20"/>
  <c r="CN215" i="20"/>
  <c r="DH215" i="20"/>
  <c r="S215" i="20"/>
  <c r="AM215" i="20"/>
  <c r="BD215" i="20"/>
  <c r="BY215" i="20"/>
  <c r="CR215" i="20"/>
  <c r="DK215" i="20"/>
  <c r="T215" i="20"/>
  <c r="AN215" i="20"/>
  <c r="BH215" i="20"/>
  <c r="BZ215" i="20"/>
  <c r="CW215" i="20"/>
  <c r="AK215" i="20"/>
  <c r="BO215" i="20"/>
  <c r="CX215" i="20"/>
  <c r="AO215" i="20"/>
  <c r="BP215" i="20"/>
  <c r="CY215" i="20"/>
  <c r="Q215" i="20"/>
  <c r="AV215" i="20"/>
  <c r="CC215" i="20"/>
  <c r="DF215" i="20"/>
  <c r="AC215" i="20"/>
  <c r="CG215" i="20"/>
  <c r="BC215" i="20"/>
  <c r="DI215" i="20"/>
  <c r="BL215" i="20"/>
  <c r="BM215" i="20"/>
  <c r="W215" i="20"/>
  <c r="BX215" i="20"/>
  <c r="AB215" i="20"/>
  <c r="CI215" i="20"/>
  <c r="AD215" i="20"/>
  <c r="CM215" i="20"/>
  <c r="S304" i="20"/>
  <c r="AA304" i="20"/>
  <c r="AI304" i="20"/>
  <c r="AQ304" i="20"/>
  <c r="AY304" i="20"/>
  <c r="BG304" i="20"/>
  <c r="BO304" i="20"/>
  <c r="BW304" i="20"/>
  <c r="CE304" i="20"/>
  <c r="CM304" i="20"/>
  <c r="CU304" i="20"/>
  <c r="DC304" i="20"/>
  <c r="DK304" i="20"/>
  <c r="T304" i="20"/>
  <c r="AB304" i="20"/>
  <c r="AJ304" i="20"/>
  <c r="AR304" i="20"/>
  <c r="AZ304" i="20"/>
  <c r="BH304" i="20"/>
  <c r="BP304" i="20"/>
  <c r="BX304" i="20"/>
  <c r="CF304" i="20"/>
  <c r="CN304" i="20"/>
  <c r="CV304" i="20"/>
  <c r="DD304" i="20"/>
  <c r="DL304" i="20"/>
  <c r="V304" i="20"/>
  <c r="AF304" i="20"/>
  <c r="AP304" i="20"/>
  <c r="BB304" i="20"/>
  <c r="BL304" i="20"/>
  <c r="BV304" i="20"/>
  <c r="CH304" i="20"/>
  <c r="CR304" i="20"/>
  <c r="DB304" i="20"/>
  <c r="W304" i="20"/>
  <c r="AG304" i="20"/>
  <c r="AS304" i="20"/>
  <c r="BC304" i="20"/>
  <c r="BM304" i="20"/>
  <c r="BY304" i="20"/>
  <c r="CI304" i="20"/>
  <c r="CS304" i="20"/>
  <c r="DE304" i="20"/>
  <c r="Y304" i="20"/>
  <c r="AK304" i="20"/>
  <c r="AU304" i="20"/>
  <c r="BE304" i="20"/>
  <c r="BQ304" i="20"/>
  <c r="CA304" i="20"/>
  <c r="CK304" i="20"/>
  <c r="CW304" i="20"/>
  <c r="DG304" i="20"/>
  <c r="AD304" i="20"/>
  <c r="AV304" i="20"/>
  <c r="BK304" i="20"/>
  <c r="CC304" i="20"/>
  <c r="CT304" i="20"/>
  <c r="DJ304" i="20"/>
  <c r="AE304" i="20"/>
  <c r="AW304" i="20"/>
  <c r="BN304" i="20"/>
  <c r="CD304" i="20"/>
  <c r="CX304" i="20"/>
  <c r="Q304" i="20"/>
  <c r="AH304" i="20"/>
  <c r="AX304" i="20"/>
  <c r="BR304" i="20"/>
  <c r="CG304" i="20"/>
  <c r="CY304" i="20"/>
  <c r="R304" i="20"/>
  <c r="AL304" i="20"/>
  <c r="BA304" i="20"/>
  <c r="BS304" i="20"/>
  <c r="CJ304" i="20"/>
  <c r="CZ304" i="20"/>
  <c r="Q401" i="20"/>
  <c r="Y401" i="20"/>
  <c r="AG401" i="20"/>
  <c r="AO401" i="20"/>
  <c r="AW401" i="20"/>
  <c r="BE401" i="20"/>
  <c r="BM401" i="20"/>
  <c r="BU401" i="20"/>
  <c r="CC401" i="20"/>
  <c r="CK401" i="20"/>
  <c r="CS401" i="20"/>
  <c r="DA401" i="20"/>
  <c r="DI401" i="20"/>
  <c r="S401" i="20"/>
  <c r="AA401" i="20"/>
  <c r="AI401" i="20"/>
  <c r="AQ401" i="20"/>
  <c r="AY401" i="20"/>
  <c r="BG401" i="20"/>
  <c r="BO401" i="20"/>
  <c r="BW401" i="20"/>
  <c r="CE401" i="20"/>
  <c r="CM401" i="20"/>
  <c r="CU401" i="20"/>
  <c r="DC401" i="20"/>
  <c r="DK401" i="20"/>
  <c r="T170" i="20"/>
  <c r="AB170" i="20"/>
  <c r="AJ170" i="20"/>
  <c r="AR170" i="20"/>
  <c r="AZ170" i="20"/>
  <c r="BH170" i="20"/>
  <c r="BP170" i="20"/>
  <c r="BX170" i="20"/>
  <c r="CF170" i="20"/>
  <c r="CN170" i="20"/>
  <c r="CV170" i="20"/>
  <c r="DD170" i="20"/>
  <c r="DL170" i="20"/>
  <c r="X170" i="20"/>
  <c r="AF170" i="20"/>
  <c r="AN170" i="20"/>
  <c r="AV170" i="20"/>
  <c r="BD170" i="20"/>
  <c r="BL170" i="20"/>
  <c r="BT170" i="20"/>
  <c r="CB170" i="20"/>
  <c r="CJ170" i="20"/>
  <c r="CR170" i="20"/>
  <c r="CZ170" i="20"/>
  <c r="DH170" i="20"/>
  <c r="V170" i="20"/>
  <c r="AG170" i="20"/>
  <c r="AQ170" i="20"/>
  <c r="BB170" i="20"/>
  <c r="BM170" i="20"/>
  <c r="BW170" i="20"/>
  <c r="CH170" i="20"/>
  <c r="CS170" i="20"/>
  <c r="DC170" i="20"/>
  <c r="W170" i="20"/>
  <c r="AH170" i="20"/>
  <c r="AS170" i="20"/>
  <c r="BC170" i="20"/>
  <c r="BN170" i="20"/>
  <c r="BY170" i="20"/>
  <c r="CI170" i="20"/>
  <c r="CT170" i="20"/>
  <c r="DE170" i="20"/>
  <c r="S170" i="20"/>
  <c r="AI170" i="20"/>
  <c r="AW170" i="20"/>
  <c r="BJ170" i="20"/>
  <c r="BZ170" i="20"/>
  <c r="CM170" i="20"/>
  <c r="DA170" i="20"/>
  <c r="U170" i="20"/>
  <c r="AK170" i="20"/>
  <c r="AX170" i="20"/>
  <c r="BK170" i="20"/>
  <c r="CA170" i="20"/>
  <c r="CO170" i="20"/>
  <c r="DB170" i="20"/>
  <c r="Z170" i="20"/>
  <c r="AM170" i="20"/>
  <c r="BA170" i="20"/>
  <c r="BQ170" i="20"/>
  <c r="CD170" i="20"/>
  <c r="AD170" i="20"/>
  <c r="BE170" i="20"/>
  <c r="BV170" i="20"/>
  <c r="CU170" i="20"/>
  <c r="DK170" i="20"/>
  <c r="AE170" i="20"/>
  <c r="BF170" i="20"/>
  <c r="CC170" i="20"/>
  <c r="CW170" i="20"/>
  <c r="AL170" i="20"/>
  <c r="BG170" i="20"/>
  <c r="CE170" i="20"/>
  <c r="CX170" i="20"/>
  <c r="R170" i="20"/>
  <c r="AP170" i="20"/>
  <c r="BO170" i="20"/>
  <c r="CK170" i="20"/>
  <c r="DF170" i="20"/>
  <c r="AY170" i="20"/>
  <c r="CQ170" i="20"/>
  <c r="Q170" i="20"/>
  <c r="BI170" i="20"/>
  <c r="CY170" i="20"/>
  <c r="Y170" i="20"/>
  <c r="BR170" i="20"/>
  <c r="DG170" i="20"/>
  <c r="AA170" i="20"/>
  <c r="BS170" i="20"/>
  <c r="DI170" i="20"/>
  <c r="CG170" i="20"/>
  <c r="CL170" i="20"/>
  <c r="CP170" i="20"/>
  <c r="AC170" i="20"/>
  <c r="DJ170" i="20"/>
  <c r="AO170" i="20"/>
  <c r="AT170" i="20"/>
  <c r="AU170" i="20"/>
  <c r="BU170" i="20"/>
  <c r="U391" i="20"/>
  <c r="Y391" i="20"/>
  <c r="AG391" i="20"/>
  <c r="AO391" i="20"/>
  <c r="AW391" i="20"/>
  <c r="BE391" i="20"/>
  <c r="BM391" i="20"/>
  <c r="BU391" i="20"/>
  <c r="CC391" i="20"/>
  <c r="CK391" i="20"/>
  <c r="CS391" i="20"/>
  <c r="DA391" i="20"/>
  <c r="DI391" i="20"/>
  <c r="R391" i="20"/>
  <c r="AA391" i="20"/>
  <c r="AI391" i="20"/>
  <c r="AQ391" i="20"/>
  <c r="AY391" i="20"/>
  <c r="BG391" i="20"/>
  <c r="BO391" i="20"/>
  <c r="BW391" i="20"/>
  <c r="CE391" i="20"/>
  <c r="CM391" i="20"/>
  <c r="CU391" i="20"/>
  <c r="DC391" i="20"/>
  <c r="DK391" i="20"/>
  <c r="U102" i="20"/>
  <c r="AC102" i="20"/>
  <c r="AK102" i="20"/>
  <c r="AS102" i="20"/>
  <c r="BA102" i="20"/>
  <c r="BI102" i="20"/>
  <c r="BQ102" i="20"/>
  <c r="BY102" i="20"/>
  <c r="CG102" i="20"/>
  <c r="CO102" i="20"/>
  <c r="CW102" i="20"/>
  <c r="DE102" i="20"/>
  <c r="W102" i="20"/>
  <c r="AF102" i="20"/>
  <c r="AO102" i="20"/>
  <c r="AX102" i="20"/>
  <c r="BG102" i="20"/>
  <c r="BP102" i="20"/>
  <c r="BZ102" i="20"/>
  <c r="CI102" i="20"/>
  <c r="CR102" i="20"/>
  <c r="DA102" i="20"/>
  <c r="DJ102" i="20"/>
  <c r="X102" i="20"/>
  <c r="AG102" i="20"/>
  <c r="AP102" i="20"/>
  <c r="AY102" i="20"/>
  <c r="BH102" i="20"/>
  <c r="BR102" i="20"/>
  <c r="CA102" i="20"/>
  <c r="CJ102" i="20"/>
  <c r="CS102" i="20"/>
  <c r="DB102" i="20"/>
  <c r="DK102" i="20"/>
  <c r="Q102" i="20"/>
  <c r="AB102" i="20"/>
  <c r="AN102" i="20"/>
  <c r="BB102" i="20"/>
  <c r="BM102" i="20"/>
  <c r="BX102" i="20"/>
  <c r="CL102" i="20"/>
  <c r="CX102" i="20"/>
  <c r="DI102" i="20"/>
  <c r="T102" i="20"/>
  <c r="AH102" i="20"/>
  <c r="AT102" i="20"/>
  <c r="BE102" i="20"/>
  <c r="BS102" i="20"/>
  <c r="CD102" i="20"/>
  <c r="CP102" i="20"/>
  <c r="DC102" i="20"/>
  <c r="V102" i="20"/>
  <c r="AI102" i="20"/>
  <c r="AU102" i="20"/>
  <c r="BF102" i="20"/>
  <c r="BT102" i="20"/>
  <c r="CE102" i="20"/>
  <c r="CQ102" i="20"/>
  <c r="DD102" i="20"/>
  <c r="R102" i="20"/>
  <c r="AL102" i="20"/>
  <c r="BD102" i="20"/>
  <c r="BW102" i="20"/>
  <c r="CT102" i="20"/>
  <c r="DL102" i="20"/>
  <c r="S102" i="20"/>
  <c r="AM102" i="20"/>
  <c r="BJ102" i="20"/>
  <c r="CB102" i="20"/>
  <c r="CU102" i="20"/>
  <c r="AE102" i="20"/>
  <c r="BK102" i="20"/>
  <c r="CH102" i="20"/>
  <c r="DG102" i="20"/>
  <c r="AJ102" i="20"/>
  <c r="BL102" i="20"/>
  <c r="CK102" i="20"/>
  <c r="DH102" i="20"/>
  <c r="AQ102" i="20"/>
  <c r="BN102" i="20"/>
  <c r="CM102" i="20"/>
  <c r="AR102" i="20"/>
  <c r="BO102" i="20"/>
  <c r="CN102" i="20"/>
  <c r="Y102" i="20"/>
  <c r="AV102" i="20"/>
  <c r="BU102" i="20"/>
  <c r="CV102" i="20"/>
  <c r="BC102" i="20"/>
  <c r="BV102" i="20"/>
  <c r="CC102" i="20"/>
  <c r="Z102" i="20"/>
  <c r="CF102" i="20"/>
  <c r="AW102" i="20"/>
  <c r="AZ102" i="20"/>
  <c r="CY102" i="20"/>
  <c r="CZ102" i="20"/>
  <c r="AA102" i="20"/>
  <c r="AD102" i="20"/>
  <c r="DF102" i="20"/>
  <c r="U357" i="20"/>
  <c r="AC357" i="20"/>
  <c r="AK357" i="20"/>
  <c r="AS357" i="20"/>
  <c r="BA357" i="20"/>
  <c r="BI357" i="20"/>
  <c r="BQ357" i="20"/>
  <c r="BY357" i="20"/>
  <c r="CG357" i="20"/>
  <c r="CO357" i="20"/>
  <c r="CW357" i="20"/>
  <c r="DE357" i="20"/>
  <c r="W357" i="20"/>
  <c r="AE357" i="20"/>
  <c r="AM357" i="20"/>
  <c r="AU357" i="20"/>
  <c r="BC357" i="20"/>
  <c r="BK357" i="20"/>
  <c r="BS357" i="20"/>
  <c r="CA357" i="20"/>
  <c r="CI357" i="20"/>
  <c r="CQ357" i="20"/>
  <c r="CY357" i="20"/>
  <c r="DG357" i="20"/>
  <c r="R357" i="20"/>
  <c r="AB357" i="20"/>
  <c r="AN357" i="20"/>
  <c r="AX357" i="20"/>
  <c r="BH357" i="20"/>
  <c r="BT357" i="20"/>
  <c r="CD357" i="20"/>
  <c r="CN357" i="20"/>
  <c r="CZ357" i="20"/>
  <c r="DJ357" i="20"/>
  <c r="S357" i="20"/>
  <c r="AD357" i="20"/>
  <c r="AO357" i="20"/>
  <c r="AY357" i="20"/>
  <c r="BJ357" i="20"/>
  <c r="BU357" i="20"/>
  <c r="CE357" i="20"/>
  <c r="CP357" i="20"/>
  <c r="DA357" i="20"/>
  <c r="DK357" i="20"/>
  <c r="T357" i="20"/>
  <c r="AF357" i="20"/>
  <c r="AP357" i="20"/>
  <c r="AZ357" i="20"/>
  <c r="BL357" i="20"/>
  <c r="BV357" i="20"/>
  <c r="CF357" i="20"/>
  <c r="CR357" i="20"/>
  <c r="DB357" i="20"/>
  <c r="DL357" i="20"/>
  <c r="Q179" i="20"/>
  <c r="Y179" i="20"/>
  <c r="AG179" i="20"/>
  <c r="AO179" i="20"/>
  <c r="AW179" i="20"/>
  <c r="BE179" i="20"/>
  <c r="BM179" i="20"/>
  <c r="BU179" i="20"/>
  <c r="CC179" i="20"/>
  <c r="CK179" i="20"/>
  <c r="CS179" i="20"/>
  <c r="DA179" i="20"/>
  <c r="DI179" i="20"/>
  <c r="R179" i="20"/>
  <c r="Z179" i="20"/>
  <c r="AH179" i="20"/>
  <c r="AP179" i="20"/>
  <c r="AX179" i="20"/>
  <c r="BF179" i="20"/>
  <c r="BN179" i="20"/>
  <c r="BV179" i="20"/>
  <c r="CD179" i="20"/>
  <c r="CL179" i="20"/>
  <c r="CT179" i="20"/>
  <c r="DB179" i="20"/>
  <c r="DJ179" i="20"/>
  <c r="S179" i="20"/>
  <c r="AC179" i="20"/>
  <c r="AM179" i="20"/>
  <c r="AY179" i="20"/>
  <c r="BI179" i="20"/>
  <c r="BS179" i="20"/>
  <c r="CE179" i="20"/>
  <c r="CO179" i="20"/>
  <c r="CY179" i="20"/>
  <c r="DK179" i="20"/>
  <c r="T179" i="20"/>
  <c r="AD179" i="20"/>
  <c r="AN179" i="20"/>
  <c r="AZ179" i="20"/>
  <c r="BJ179" i="20"/>
  <c r="BT179" i="20"/>
  <c r="CF179" i="20"/>
  <c r="CP179" i="20"/>
  <c r="CZ179" i="20"/>
  <c r="DL179" i="20"/>
  <c r="W179" i="20"/>
  <c r="AK179" i="20"/>
  <c r="BA179" i="20"/>
  <c r="BO179" i="20"/>
  <c r="CA179" i="20"/>
  <c r="CQ179" i="20"/>
  <c r="DE179" i="20"/>
  <c r="X179" i="20"/>
  <c r="AL179" i="20"/>
  <c r="BB179" i="20"/>
  <c r="BP179" i="20"/>
  <c r="CB179" i="20"/>
  <c r="CR179" i="20"/>
  <c r="DF179" i="20"/>
  <c r="AA179" i="20"/>
  <c r="AQ179" i="20"/>
  <c r="BC179" i="20"/>
  <c r="BQ179" i="20"/>
  <c r="CG179" i="20"/>
  <c r="CU179" i="20"/>
  <c r="DG179" i="20"/>
  <c r="AE179" i="20"/>
  <c r="AS179" i="20"/>
  <c r="BG179" i="20"/>
  <c r="BW179" i="20"/>
  <c r="CI179" i="20"/>
  <c r="CW179" i="20"/>
  <c r="AJ179" i="20"/>
  <c r="BL179" i="20"/>
  <c r="CN179" i="20"/>
  <c r="AR179" i="20"/>
  <c r="BR179" i="20"/>
  <c r="CV179" i="20"/>
  <c r="AT179" i="20"/>
  <c r="BX179" i="20"/>
  <c r="CX179" i="20"/>
  <c r="U179" i="20"/>
  <c r="AU179" i="20"/>
  <c r="BY179" i="20"/>
  <c r="DC179" i="20"/>
  <c r="AB179" i="20"/>
  <c r="CH179" i="20"/>
  <c r="AF179" i="20"/>
  <c r="CJ179" i="20"/>
  <c r="AI179" i="20"/>
  <c r="CM179" i="20"/>
  <c r="AV179" i="20"/>
  <c r="DD179" i="20"/>
  <c r="BD179" i="20"/>
  <c r="BH179" i="20"/>
  <c r="V179" i="20"/>
  <c r="BZ179" i="20"/>
  <c r="DH179" i="20"/>
  <c r="V206" i="20"/>
  <c r="AD206" i="20"/>
  <c r="AL206" i="20"/>
  <c r="AT206" i="20"/>
  <c r="BB206" i="20"/>
  <c r="BJ206" i="20"/>
  <c r="BR206" i="20"/>
  <c r="BZ206" i="20"/>
  <c r="CH206" i="20"/>
  <c r="CP206" i="20"/>
  <c r="CX206" i="20"/>
  <c r="DF206" i="20"/>
  <c r="S206" i="20"/>
  <c r="AB206" i="20"/>
  <c r="AK206" i="20"/>
  <c r="AU206" i="20"/>
  <c r="BD206" i="20"/>
  <c r="BM206" i="20"/>
  <c r="BV206" i="20"/>
  <c r="CE206" i="20"/>
  <c r="CN206" i="20"/>
  <c r="CW206" i="20"/>
  <c r="DG206" i="20"/>
  <c r="T206" i="20"/>
  <c r="AC206" i="20"/>
  <c r="AM206" i="20"/>
  <c r="AV206" i="20"/>
  <c r="BE206" i="20"/>
  <c r="BN206" i="20"/>
  <c r="BW206" i="20"/>
  <c r="CF206" i="20"/>
  <c r="CO206" i="20"/>
  <c r="CY206" i="20"/>
  <c r="DH206" i="20"/>
  <c r="R206" i="20"/>
  <c r="AF206" i="20"/>
  <c r="AQ206" i="20"/>
  <c r="BC206" i="20"/>
  <c r="BP206" i="20"/>
  <c r="CB206" i="20"/>
  <c r="CM206" i="20"/>
  <c r="DA206" i="20"/>
  <c r="DL206" i="20"/>
  <c r="U206" i="20"/>
  <c r="AG206" i="20"/>
  <c r="AR206" i="20"/>
  <c r="BF206" i="20"/>
  <c r="BQ206" i="20"/>
  <c r="CC206" i="20"/>
  <c r="CQ206" i="20"/>
  <c r="DB206" i="20"/>
  <c r="X206" i="20"/>
  <c r="AI206" i="20"/>
  <c r="AW206" i="20"/>
  <c r="BH206" i="20"/>
  <c r="BT206" i="20"/>
  <c r="CG206" i="20"/>
  <c r="CS206" i="20"/>
  <c r="DD206" i="20"/>
  <c r="AJ206" i="20"/>
  <c r="BA206" i="20"/>
  <c r="BX206" i="20"/>
  <c r="CR206" i="20"/>
  <c r="DJ206" i="20"/>
  <c r="W206" i="20"/>
  <c r="AO206" i="20"/>
  <c r="BI206" i="20"/>
  <c r="CA206" i="20"/>
  <c r="CU206" i="20"/>
  <c r="Y206" i="20"/>
  <c r="AP206" i="20"/>
  <c r="BK206" i="20"/>
  <c r="CD206" i="20"/>
  <c r="CV206" i="20"/>
  <c r="AE206" i="20"/>
  <c r="BL206" i="20"/>
  <c r="CL206" i="20"/>
  <c r="AH206" i="20"/>
  <c r="BO206" i="20"/>
  <c r="CT206" i="20"/>
  <c r="AS206" i="20"/>
  <c r="BU206" i="20"/>
  <c r="DC206" i="20"/>
  <c r="AX206" i="20"/>
  <c r="CK206" i="20"/>
  <c r="AA206" i="20"/>
  <c r="CI206" i="20"/>
  <c r="AY206" i="20"/>
  <c r="DI206" i="20"/>
  <c r="AZ206" i="20"/>
  <c r="DK206" i="20"/>
  <c r="BG206" i="20"/>
  <c r="BS206" i="20"/>
  <c r="BY206" i="20"/>
  <c r="Q206" i="20"/>
  <c r="CJ206" i="20"/>
  <c r="Q191" i="20"/>
  <c r="Y191" i="20"/>
  <c r="AG191" i="20"/>
  <c r="AO191" i="20"/>
  <c r="AW191" i="20"/>
  <c r="BE191" i="20"/>
  <c r="BM191" i="20"/>
  <c r="BU191" i="20"/>
  <c r="CC191" i="20"/>
  <c r="CK191" i="20"/>
  <c r="CS191" i="20"/>
  <c r="DA191" i="20"/>
  <c r="DI191" i="20"/>
  <c r="R191" i="20"/>
  <c r="Z191" i="20"/>
  <c r="AH191" i="20"/>
  <c r="AP191" i="20"/>
  <c r="AX191" i="20"/>
  <c r="BF191" i="20"/>
  <c r="BN191" i="20"/>
  <c r="BV191" i="20"/>
  <c r="CD191" i="20"/>
  <c r="CL191" i="20"/>
  <c r="CT191" i="20"/>
  <c r="DB191" i="20"/>
  <c r="DJ191" i="20"/>
  <c r="W191" i="20"/>
  <c r="AI191" i="20"/>
  <c r="AS191" i="20"/>
  <c r="BC191" i="20"/>
  <c r="BO191" i="20"/>
  <c r="BY191" i="20"/>
  <c r="CI191" i="20"/>
  <c r="CU191" i="20"/>
  <c r="DE191" i="20"/>
  <c r="X191" i="20"/>
  <c r="AJ191" i="20"/>
  <c r="AT191" i="20"/>
  <c r="BD191" i="20"/>
  <c r="BP191" i="20"/>
  <c r="BZ191" i="20"/>
  <c r="CJ191" i="20"/>
  <c r="CV191" i="20"/>
  <c r="DF191" i="20"/>
  <c r="S191" i="20"/>
  <c r="AE191" i="20"/>
  <c r="AU191" i="20"/>
  <c r="BI191" i="20"/>
  <c r="BW191" i="20"/>
  <c r="CM191" i="20"/>
  <c r="CY191" i="20"/>
  <c r="T191" i="20"/>
  <c r="AF191" i="20"/>
  <c r="AV191" i="20"/>
  <c r="BJ191" i="20"/>
  <c r="BX191" i="20"/>
  <c r="CN191" i="20"/>
  <c r="CZ191" i="20"/>
  <c r="U191" i="20"/>
  <c r="AK191" i="20"/>
  <c r="AY191" i="20"/>
  <c r="BK191" i="20"/>
  <c r="CA191" i="20"/>
  <c r="CO191" i="20"/>
  <c r="DC191" i="20"/>
  <c r="AA191" i="20"/>
  <c r="AM191" i="20"/>
  <c r="BA191" i="20"/>
  <c r="BQ191" i="20"/>
  <c r="CE191" i="20"/>
  <c r="CQ191" i="20"/>
  <c r="DG191" i="20"/>
  <c r="AD191" i="20"/>
  <c r="BH191" i="20"/>
  <c r="CH191" i="20"/>
  <c r="DL191" i="20"/>
  <c r="AL191" i="20"/>
  <c r="BL191" i="20"/>
  <c r="CP191" i="20"/>
  <c r="AN191" i="20"/>
  <c r="BR191" i="20"/>
  <c r="CR191" i="20"/>
  <c r="AQ191" i="20"/>
  <c r="BS191" i="20"/>
  <c r="CW191" i="20"/>
  <c r="V191" i="20"/>
  <c r="CB191" i="20"/>
  <c r="AB191" i="20"/>
  <c r="CF191" i="20"/>
  <c r="AR191" i="20"/>
  <c r="CX191" i="20"/>
  <c r="CG191" i="20"/>
  <c r="BG191" i="20"/>
  <c r="AC191" i="20"/>
  <c r="AZ191" i="20"/>
  <c r="BB191" i="20"/>
  <c r="BT191" i="20"/>
  <c r="DD191" i="20"/>
  <c r="DH191" i="20"/>
  <c r="T168" i="20"/>
  <c r="AB168" i="20"/>
  <c r="AJ168" i="20"/>
  <c r="AR168" i="20"/>
  <c r="AZ168" i="20"/>
  <c r="BH168" i="20"/>
  <c r="BP168" i="20"/>
  <c r="BX168" i="20"/>
  <c r="CF168" i="20"/>
  <c r="CN168" i="20"/>
  <c r="CV168" i="20"/>
  <c r="DD168" i="20"/>
  <c r="DL168" i="20"/>
  <c r="X168" i="20"/>
  <c r="AF168" i="20"/>
  <c r="AN168" i="20"/>
  <c r="AV168" i="20"/>
  <c r="BD168" i="20"/>
  <c r="BL168" i="20"/>
  <c r="BT168" i="20"/>
  <c r="CB168" i="20"/>
  <c r="CJ168" i="20"/>
  <c r="CR168" i="20"/>
  <c r="CZ168" i="20"/>
  <c r="DH168" i="20"/>
  <c r="S168" i="20"/>
  <c r="AD168" i="20"/>
  <c r="AO168" i="20"/>
  <c r="AY168" i="20"/>
  <c r="BJ168" i="20"/>
  <c r="BU168" i="20"/>
  <c r="CE168" i="20"/>
  <c r="CP168" i="20"/>
  <c r="DA168" i="20"/>
  <c r="DK168" i="20"/>
  <c r="U168" i="20"/>
  <c r="AE168" i="20"/>
  <c r="AP168" i="20"/>
  <c r="BA168" i="20"/>
  <c r="BK168" i="20"/>
  <c r="BV168" i="20"/>
  <c r="CG168" i="20"/>
  <c r="CQ168" i="20"/>
  <c r="DB168" i="20"/>
  <c r="V168" i="20"/>
  <c r="AI168" i="20"/>
  <c r="AW168" i="20"/>
  <c r="BM168" i="20"/>
  <c r="BZ168" i="20"/>
  <c r="CM168" i="20"/>
  <c r="DC168" i="20"/>
  <c r="W168" i="20"/>
  <c r="AK168" i="20"/>
  <c r="AX168" i="20"/>
  <c r="BN168" i="20"/>
  <c r="CA168" i="20"/>
  <c r="CO168" i="20"/>
  <c r="DE168" i="20"/>
  <c r="Z168" i="20"/>
  <c r="AM168" i="20"/>
  <c r="BC168" i="20"/>
  <c r="BQ168" i="20"/>
  <c r="CD168" i="20"/>
  <c r="CT168" i="20"/>
  <c r="DG168" i="20"/>
  <c r="AA168" i="20"/>
  <c r="AU168" i="20"/>
  <c r="BS168" i="20"/>
  <c r="CS168" i="20"/>
  <c r="AC168" i="20"/>
  <c r="BB168" i="20"/>
  <c r="BW168" i="20"/>
  <c r="CU168" i="20"/>
  <c r="AG168" i="20"/>
  <c r="BE168" i="20"/>
  <c r="BY168" i="20"/>
  <c r="CW168" i="20"/>
  <c r="AL168" i="20"/>
  <c r="BG168" i="20"/>
  <c r="CH168" i="20"/>
  <c r="CY168" i="20"/>
  <c r="Y168" i="20"/>
  <c r="BR168" i="20"/>
  <c r="DJ168" i="20"/>
  <c r="AH168" i="20"/>
  <c r="CC168" i="20"/>
  <c r="AQ168" i="20"/>
  <c r="CI168" i="20"/>
  <c r="AS168" i="20"/>
  <c r="CK168" i="20"/>
  <c r="CX168" i="20"/>
  <c r="Q168" i="20"/>
  <c r="DF168" i="20"/>
  <c r="R168" i="20"/>
  <c r="DI168" i="20"/>
  <c r="AT168" i="20"/>
  <c r="BF168" i="20"/>
  <c r="BI168" i="20"/>
  <c r="CL168" i="20"/>
  <c r="W299" i="20"/>
  <c r="AE299" i="20"/>
  <c r="AM299" i="20"/>
  <c r="AU299" i="20"/>
  <c r="BC299" i="20"/>
  <c r="BK299" i="20"/>
  <c r="BS299" i="20"/>
  <c r="CA299" i="20"/>
  <c r="CI299" i="20"/>
  <c r="CQ299" i="20"/>
  <c r="CY299" i="20"/>
  <c r="DG299" i="20"/>
  <c r="X299" i="20"/>
  <c r="AF299" i="20"/>
  <c r="AN299" i="20"/>
  <c r="AV299" i="20"/>
  <c r="BD299" i="20"/>
  <c r="BL299" i="20"/>
  <c r="BT299" i="20"/>
  <c r="CB299" i="20"/>
  <c r="CJ299" i="20"/>
  <c r="CR299" i="20"/>
  <c r="CZ299" i="20"/>
  <c r="DH299" i="20"/>
  <c r="T299" i="20"/>
  <c r="AD299" i="20"/>
  <c r="AP299" i="20"/>
  <c r="AZ299" i="20"/>
  <c r="BJ299" i="20"/>
  <c r="BV299" i="20"/>
  <c r="CF299" i="20"/>
  <c r="CP299" i="20"/>
  <c r="DB299" i="20"/>
  <c r="DL299" i="20"/>
  <c r="U299" i="20"/>
  <c r="AG299" i="20"/>
  <c r="AQ299" i="20"/>
  <c r="BA299" i="20"/>
  <c r="BM299" i="20"/>
  <c r="BW299" i="20"/>
  <c r="CG299" i="20"/>
  <c r="CS299" i="20"/>
  <c r="DC299" i="20"/>
  <c r="Y299" i="20"/>
  <c r="AI299" i="20"/>
  <c r="AS299" i="20"/>
  <c r="BE299" i="20"/>
  <c r="BO299" i="20"/>
  <c r="BY299" i="20"/>
  <c r="CK299" i="20"/>
  <c r="CU299" i="20"/>
  <c r="DE299" i="20"/>
  <c r="R299" i="20"/>
  <c r="AJ299" i="20"/>
  <c r="AY299" i="20"/>
  <c r="BQ299" i="20"/>
  <c r="CH299" i="20"/>
  <c r="CX299" i="20"/>
  <c r="S299" i="20"/>
  <c r="AK299" i="20"/>
  <c r="BB299" i="20"/>
  <c r="BR299" i="20"/>
  <c r="CL299" i="20"/>
  <c r="DA299" i="20"/>
  <c r="V299" i="20"/>
  <c r="AL299" i="20"/>
  <c r="BF299" i="20"/>
  <c r="BU299" i="20"/>
  <c r="CM299" i="20"/>
  <c r="DD299" i="20"/>
  <c r="Z299" i="20"/>
  <c r="AO299" i="20"/>
  <c r="BG299" i="20"/>
  <c r="BX299" i="20"/>
  <c r="CN299" i="20"/>
  <c r="DF299" i="20"/>
  <c r="Q101" i="20"/>
  <c r="Y101" i="20"/>
  <c r="AG101" i="20"/>
  <c r="AO101" i="20"/>
  <c r="AW101" i="20"/>
  <c r="BE101" i="20"/>
  <c r="BM101" i="20"/>
  <c r="BU101" i="20"/>
  <c r="CC101" i="20"/>
  <c r="CK101" i="20"/>
  <c r="CS101" i="20"/>
  <c r="DA101" i="20"/>
  <c r="DI101" i="20"/>
  <c r="V101" i="20"/>
  <c r="AE101" i="20"/>
  <c r="AN101" i="20"/>
  <c r="AX101" i="20"/>
  <c r="BG101" i="20"/>
  <c r="BP101" i="20"/>
  <c r="BY101" i="20"/>
  <c r="CH101" i="20"/>
  <c r="CQ101" i="20"/>
  <c r="CZ101" i="20"/>
  <c r="DJ101" i="20"/>
  <c r="W101" i="20"/>
  <c r="AF101" i="20"/>
  <c r="AP101" i="20"/>
  <c r="AY101" i="20"/>
  <c r="BH101" i="20"/>
  <c r="BQ101" i="20"/>
  <c r="BZ101" i="20"/>
  <c r="CI101" i="20"/>
  <c r="CR101" i="20"/>
  <c r="DB101" i="20"/>
  <c r="DK101" i="20"/>
  <c r="S101" i="20"/>
  <c r="AD101" i="20"/>
  <c r="AR101" i="20"/>
  <c r="BC101" i="20"/>
  <c r="BO101" i="20"/>
  <c r="CB101" i="20"/>
  <c r="CN101" i="20"/>
  <c r="CY101" i="20"/>
  <c r="X101" i="20"/>
  <c r="AJ101" i="20"/>
  <c r="AU101" i="20"/>
  <c r="BI101" i="20"/>
  <c r="BT101" i="20"/>
  <c r="CF101" i="20"/>
  <c r="CT101" i="20"/>
  <c r="DE101" i="20"/>
  <c r="Z101" i="20"/>
  <c r="AK101" i="20"/>
  <c r="AV101" i="20"/>
  <c r="BJ101" i="20"/>
  <c r="BV101" i="20"/>
  <c r="CG101" i="20"/>
  <c r="CU101" i="20"/>
  <c r="DF101" i="20"/>
  <c r="T101" i="20"/>
  <c r="AM101" i="20"/>
  <c r="BF101" i="20"/>
  <c r="CA101" i="20"/>
  <c r="CV101" i="20"/>
  <c r="U101" i="20"/>
  <c r="AQ101" i="20"/>
  <c r="BK101" i="20"/>
  <c r="CD101" i="20"/>
  <c r="CW101" i="20"/>
  <c r="AC101" i="20"/>
  <c r="BB101" i="20"/>
  <c r="CE101" i="20"/>
  <c r="DD101" i="20"/>
  <c r="AH101" i="20"/>
  <c r="BD101" i="20"/>
  <c r="CJ101" i="20"/>
  <c r="DG101" i="20"/>
  <c r="AI101" i="20"/>
  <c r="BL101" i="20"/>
  <c r="CL101" i="20"/>
  <c r="DH101" i="20"/>
  <c r="AL101" i="20"/>
  <c r="BN101" i="20"/>
  <c r="CM101" i="20"/>
  <c r="DL101" i="20"/>
  <c r="AS101" i="20"/>
  <c r="BR101" i="20"/>
  <c r="CO101" i="20"/>
  <c r="AA101" i="20"/>
  <c r="CP101" i="20"/>
  <c r="AB101" i="20"/>
  <c r="CX101" i="20"/>
  <c r="AT101" i="20"/>
  <c r="DC101" i="20"/>
  <c r="AZ101" i="20"/>
  <c r="R101" i="20"/>
  <c r="BA101" i="20"/>
  <c r="BS101" i="20"/>
  <c r="BW101" i="20"/>
  <c r="BX101" i="20"/>
  <c r="S291" i="20"/>
  <c r="AA291" i="20"/>
  <c r="AI291" i="20"/>
  <c r="AQ291" i="20"/>
  <c r="AY291" i="20"/>
  <c r="BG291" i="20"/>
  <c r="BO291" i="20"/>
  <c r="BW291" i="20"/>
  <c r="CE291" i="20"/>
  <c r="CM291" i="20"/>
  <c r="CU291" i="20"/>
  <c r="DC291" i="20"/>
  <c r="DK291" i="20"/>
  <c r="U291" i="20"/>
  <c r="AD291" i="20"/>
  <c r="AM291" i="20"/>
  <c r="AV291" i="20"/>
  <c r="BE291" i="20"/>
  <c r="BN291" i="20"/>
  <c r="BX291" i="20"/>
  <c r="CG291" i="20"/>
  <c r="CP291" i="20"/>
  <c r="CY291" i="20"/>
  <c r="DH291" i="20"/>
  <c r="V291" i="20"/>
  <c r="AE291" i="20"/>
  <c r="AN291" i="20"/>
  <c r="AW291" i="20"/>
  <c r="BF291" i="20"/>
  <c r="BP291" i="20"/>
  <c r="BY291" i="20"/>
  <c r="CH291" i="20"/>
  <c r="CQ291" i="20"/>
  <c r="CZ291" i="20"/>
  <c r="DI291" i="20"/>
  <c r="Z291" i="20"/>
  <c r="AL291" i="20"/>
  <c r="AZ291" i="20"/>
  <c r="BK291" i="20"/>
  <c r="BV291" i="20"/>
  <c r="CJ291" i="20"/>
  <c r="CV291" i="20"/>
  <c r="DG291" i="20"/>
  <c r="AB291" i="20"/>
  <c r="AO291" i="20"/>
  <c r="BA291" i="20"/>
  <c r="BL291" i="20"/>
  <c r="BZ291" i="20"/>
  <c r="CK291" i="20"/>
  <c r="CW291" i="20"/>
  <c r="DJ291" i="20"/>
  <c r="R291" i="20"/>
  <c r="AF291" i="20"/>
  <c r="AR291" i="20"/>
  <c r="BC291" i="20"/>
  <c r="BQ291" i="20"/>
  <c r="CB291" i="20"/>
  <c r="CN291" i="20"/>
  <c r="DA291" i="20"/>
  <c r="Y291" i="20"/>
  <c r="AT291" i="20"/>
  <c r="BM291" i="20"/>
  <c r="CF291" i="20"/>
  <c r="DB291" i="20"/>
  <c r="AC291" i="20"/>
  <c r="AU291" i="20"/>
  <c r="BR291" i="20"/>
  <c r="CI291" i="20"/>
  <c r="DD291" i="20"/>
  <c r="AG291" i="20"/>
  <c r="AX291" i="20"/>
  <c r="BS291" i="20"/>
  <c r="CL291" i="20"/>
  <c r="DE291" i="20"/>
  <c r="AH291" i="20"/>
  <c r="BB291" i="20"/>
  <c r="BT291" i="20"/>
  <c r="CO291" i="20"/>
  <c r="DF291" i="20"/>
  <c r="Q22" i="20"/>
  <c r="Y22" i="20"/>
  <c r="AG22" i="20"/>
  <c r="AO22" i="20"/>
  <c r="AW22" i="20"/>
  <c r="BE22" i="20"/>
  <c r="BM22" i="20"/>
  <c r="BU22" i="20"/>
  <c r="CC22" i="20"/>
  <c r="CK22" i="20"/>
  <c r="CS22" i="20"/>
  <c r="DA22" i="20"/>
  <c r="DI22" i="20"/>
  <c r="R22" i="20"/>
  <c r="Z22" i="20"/>
  <c r="AH22" i="20"/>
  <c r="AP22" i="20"/>
  <c r="AX22" i="20"/>
  <c r="BF22" i="20"/>
  <c r="BN22" i="20"/>
  <c r="BV22" i="20"/>
  <c r="CD22" i="20"/>
  <c r="CL22" i="20"/>
  <c r="CT22" i="20"/>
  <c r="DB22" i="20"/>
  <c r="DJ22" i="20"/>
  <c r="S22" i="20"/>
  <c r="AA22" i="20"/>
  <c r="AI22" i="20"/>
  <c r="AQ22" i="20"/>
  <c r="AY22" i="20"/>
  <c r="BG22" i="20"/>
  <c r="BO22" i="20"/>
  <c r="BW22" i="20"/>
  <c r="CE22" i="20"/>
  <c r="CM22" i="20"/>
  <c r="CU22" i="20"/>
  <c r="DC22" i="20"/>
  <c r="DK22" i="20"/>
  <c r="V22" i="20"/>
  <c r="AJ22" i="20"/>
  <c r="AU22" i="20"/>
  <c r="BI22" i="20"/>
  <c r="BT22" i="20"/>
  <c r="CH22" i="20"/>
  <c r="CV22" i="20"/>
  <c r="DG22" i="20"/>
  <c r="W22" i="20"/>
  <c r="AK22" i="20"/>
  <c r="AV22" i="20"/>
  <c r="BJ22" i="20"/>
  <c r="BX22" i="20"/>
  <c r="CI22" i="20"/>
  <c r="CW22" i="20"/>
  <c r="DH22" i="20"/>
  <c r="X22" i="20"/>
  <c r="AL22" i="20"/>
  <c r="T22" i="20"/>
  <c r="AN22" i="20"/>
  <c r="BD22" i="20"/>
  <c r="BY22" i="20"/>
  <c r="CO22" i="20"/>
  <c r="DE22" i="20"/>
  <c r="AC22" i="20"/>
  <c r="AT22" i="20"/>
  <c r="BL22" i="20"/>
  <c r="CB22" i="20"/>
  <c r="CR22" i="20"/>
  <c r="AD22" i="20"/>
  <c r="BB22" i="20"/>
  <c r="BZ22" i="20"/>
  <c r="CX22" i="20"/>
  <c r="AE22" i="20"/>
  <c r="BC22" i="20"/>
  <c r="CA22" i="20"/>
  <c r="CY22" i="20"/>
  <c r="AF22" i="20"/>
  <c r="BP22" i="20"/>
  <c r="CP22" i="20"/>
  <c r="AZ22" i="20"/>
  <c r="CF22" i="20"/>
  <c r="DF22" i="20"/>
  <c r="U22" i="20"/>
  <c r="BQ22" i="20"/>
  <c r="DD22" i="20"/>
  <c r="AB22" i="20"/>
  <c r="BR22" i="20"/>
  <c r="DL22" i="20"/>
  <c r="AR22" i="20"/>
  <c r="CG22" i="20"/>
  <c r="AM22" i="20"/>
  <c r="CQ22" i="20"/>
  <c r="AS22" i="20"/>
  <c r="CZ22" i="20"/>
  <c r="CJ22" i="20"/>
  <c r="BA22" i="20"/>
  <c r="BH22" i="20"/>
  <c r="BK22" i="20"/>
  <c r="BS22" i="20"/>
  <c r="CN22" i="20"/>
  <c r="Q354" i="20"/>
  <c r="Y354" i="20"/>
  <c r="AG354" i="20"/>
  <c r="AO354" i="20"/>
  <c r="AW354" i="20"/>
  <c r="BE354" i="20"/>
  <c r="BM354" i="20"/>
  <c r="BU354" i="20"/>
  <c r="CC354" i="20"/>
  <c r="CK354" i="20"/>
  <c r="CS354" i="20"/>
  <c r="DA354" i="20"/>
  <c r="DI354" i="20"/>
  <c r="S354" i="20"/>
  <c r="AA354" i="20"/>
  <c r="AI354" i="20"/>
  <c r="AQ354" i="20"/>
  <c r="AY354" i="20"/>
  <c r="BG354" i="20"/>
  <c r="BO354" i="20"/>
  <c r="BW354" i="20"/>
  <c r="CE354" i="20"/>
  <c r="CM354" i="20"/>
  <c r="CU354" i="20"/>
  <c r="DC354" i="20"/>
  <c r="DK354" i="20"/>
  <c r="T354" i="20"/>
  <c r="AD354" i="20"/>
  <c r="AN354" i="20"/>
  <c r="AZ354" i="20"/>
  <c r="BJ354" i="20"/>
  <c r="BT354" i="20"/>
  <c r="CF354" i="20"/>
  <c r="CP354" i="20"/>
  <c r="CZ354" i="20"/>
  <c r="DL354" i="20"/>
  <c r="U354" i="20"/>
  <c r="AE354" i="20"/>
  <c r="AP354" i="20"/>
  <c r="BA354" i="20"/>
  <c r="BK354" i="20"/>
  <c r="BV354" i="20"/>
  <c r="CG354" i="20"/>
  <c r="CQ354" i="20"/>
  <c r="DB354" i="20"/>
  <c r="V354" i="20"/>
  <c r="AF354" i="20"/>
  <c r="AR354" i="20"/>
  <c r="BB354" i="20"/>
  <c r="BL354" i="20"/>
  <c r="BX354" i="20"/>
  <c r="CH354" i="20"/>
  <c r="CR354" i="20"/>
  <c r="DD354" i="20"/>
  <c r="W284" i="20"/>
  <c r="AE284" i="20"/>
  <c r="AM284" i="20"/>
  <c r="AU284" i="20"/>
  <c r="BC284" i="20"/>
  <c r="BK284" i="20"/>
  <c r="BS284" i="20"/>
  <c r="CA284" i="20"/>
  <c r="CI284" i="20"/>
  <c r="CQ284" i="20"/>
  <c r="CY284" i="20"/>
  <c r="DG284" i="20"/>
  <c r="Q284" i="20"/>
  <c r="Z284" i="20"/>
  <c r="AI284" i="20"/>
  <c r="AR284" i="20"/>
  <c r="BA284" i="20"/>
  <c r="BJ284" i="20"/>
  <c r="BT284" i="20"/>
  <c r="CC284" i="20"/>
  <c r="CL284" i="20"/>
  <c r="CU284" i="20"/>
  <c r="DD284" i="20"/>
  <c r="R284" i="20"/>
  <c r="AA284" i="20"/>
  <c r="AJ284" i="20"/>
  <c r="AS284" i="20"/>
  <c r="BB284" i="20"/>
  <c r="BL284" i="20"/>
  <c r="BU284" i="20"/>
  <c r="CD284" i="20"/>
  <c r="CM284" i="20"/>
  <c r="CV284" i="20"/>
  <c r="DE284" i="20"/>
  <c r="T284" i="20"/>
  <c r="AF284" i="20"/>
  <c r="AQ284" i="20"/>
  <c r="BE284" i="20"/>
  <c r="BP284" i="20"/>
  <c r="CB284" i="20"/>
  <c r="CO284" i="20"/>
  <c r="DA284" i="20"/>
  <c r="DL284" i="20"/>
  <c r="U284" i="20"/>
  <c r="AG284" i="20"/>
  <c r="AT284" i="20"/>
  <c r="BF284" i="20"/>
  <c r="BQ284" i="20"/>
  <c r="CE284" i="20"/>
  <c r="CP284" i="20"/>
  <c r="DB284" i="20"/>
  <c r="X284" i="20"/>
  <c r="AK284" i="20"/>
  <c r="AW284" i="20"/>
  <c r="BH284" i="20"/>
  <c r="BV284" i="20"/>
  <c r="CG284" i="20"/>
  <c r="CS284" i="20"/>
  <c r="DF284" i="20"/>
  <c r="Y284" i="20"/>
  <c r="AP284" i="20"/>
  <c r="BM284" i="20"/>
  <c r="CF284" i="20"/>
  <c r="CX284" i="20"/>
  <c r="AB284" i="20"/>
  <c r="AV284" i="20"/>
  <c r="BN284" i="20"/>
  <c r="CH284" i="20"/>
  <c r="CZ284" i="20"/>
  <c r="AC284" i="20"/>
  <c r="AX284" i="20"/>
  <c r="BO284" i="20"/>
  <c r="CJ284" i="20"/>
  <c r="DC284" i="20"/>
  <c r="AD284" i="20"/>
  <c r="AY284" i="20"/>
  <c r="BR284" i="20"/>
  <c r="CK284" i="20"/>
  <c r="DH284" i="20"/>
  <c r="Q362" i="20"/>
  <c r="Y362" i="20"/>
  <c r="AG362" i="20"/>
  <c r="AO362" i="20"/>
  <c r="AW362" i="20"/>
  <c r="BE362" i="20"/>
  <c r="BM362" i="20"/>
  <c r="BU362" i="20"/>
  <c r="CC362" i="20"/>
  <c r="CK362" i="20"/>
  <c r="CS362" i="20"/>
  <c r="DA362" i="20"/>
  <c r="DI362" i="20"/>
  <c r="S362" i="20"/>
  <c r="AA362" i="20"/>
  <c r="AI362" i="20"/>
  <c r="AQ362" i="20"/>
  <c r="AY362" i="20"/>
  <c r="BG362" i="20"/>
  <c r="BO362" i="20"/>
  <c r="BW362" i="20"/>
  <c r="CE362" i="20"/>
  <c r="CM362" i="20"/>
  <c r="CU362" i="20"/>
  <c r="DC362" i="20"/>
  <c r="DK362" i="20"/>
  <c r="T362" i="20"/>
  <c r="AD362" i="20"/>
  <c r="AN362" i="20"/>
  <c r="AZ362" i="20"/>
  <c r="BJ362" i="20"/>
  <c r="BT362" i="20"/>
  <c r="CF362" i="20"/>
  <c r="CP362" i="20"/>
  <c r="CZ362" i="20"/>
  <c r="DL362" i="20"/>
  <c r="V362" i="20"/>
  <c r="AF362" i="20"/>
  <c r="AR362" i="20"/>
  <c r="BB362" i="20"/>
  <c r="BL362" i="20"/>
  <c r="BX362" i="20"/>
  <c r="CH362" i="20"/>
  <c r="CR362" i="20"/>
  <c r="DD362" i="20"/>
  <c r="R249" i="20"/>
  <c r="Z249" i="20"/>
  <c r="AH249" i="20"/>
  <c r="AP249" i="20"/>
  <c r="AX249" i="20"/>
  <c r="BF249" i="20"/>
  <c r="BN249" i="20"/>
  <c r="BV249" i="20"/>
  <c r="CD249" i="20"/>
  <c r="S249" i="20"/>
  <c r="AB249" i="20"/>
  <c r="AK249" i="20"/>
  <c r="AT249" i="20"/>
  <c r="BC249" i="20"/>
  <c r="BL249" i="20"/>
  <c r="BU249" i="20"/>
  <c r="CE249" i="20"/>
  <c r="CM249" i="20"/>
  <c r="CU249" i="20"/>
  <c r="DC249" i="20"/>
  <c r="DK249" i="20"/>
  <c r="V249" i="20"/>
  <c r="AE249" i="20"/>
  <c r="AN249" i="20"/>
  <c r="AW249" i="20"/>
  <c r="BG249" i="20"/>
  <c r="BP249" i="20"/>
  <c r="BY249" i="20"/>
  <c r="CH249" i="20"/>
  <c r="CP249" i="20"/>
  <c r="CX249" i="20"/>
  <c r="DF249" i="20"/>
  <c r="U249" i="20"/>
  <c r="AG249" i="20"/>
  <c r="AS249" i="20"/>
  <c r="BE249" i="20"/>
  <c r="BR249" i="20"/>
  <c r="CC249" i="20"/>
  <c r="CO249" i="20"/>
  <c r="CZ249" i="20"/>
  <c r="DJ249" i="20"/>
  <c r="X249" i="20"/>
  <c r="AJ249" i="20"/>
  <c r="AV249" i="20"/>
  <c r="BI249" i="20"/>
  <c r="BT249" i="20"/>
  <c r="CG249" i="20"/>
  <c r="CR249" i="20"/>
  <c r="DB249" i="20"/>
  <c r="Y249" i="20"/>
  <c r="AL249" i="20"/>
  <c r="AY249" i="20"/>
  <c r="BJ249" i="20"/>
  <c r="BW249" i="20"/>
  <c r="CI249" i="20"/>
  <c r="CS249" i="20"/>
  <c r="DD249" i="20"/>
  <c r="AD249" i="20"/>
  <c r="AZ249" i="20"/>
  <c r="BQ249" i="20"/>
  <c r="CK249" i="20"/>
  <c r="DA249" i="20"/>
  <c r="AF249" i="20"/>
  <c r="BA249" i="20"/>
  <c r="BS249" i="20"/>
  <c r="CL249" i="20"/>
  <c r="DE249" i="20"/>
  <c r="Q249" i="20"/>
  <c r="AM249" i="20"/>
  <c r="BD249" i="20"/>
  <c r="BZ249" i="20"/>
  <c r="CQ249" i="20"/>
  <c r="DH249" i="20"/>
  <c r="AC249" i="20"/>
  <c r="BK249" i="20"/>
  <c r="CN249" i="20"/>
  <c r="AI249" i="20"/>
  <c r="BM249" i="20"/>
  <c r="CT249" i="20"/>
  <c r="AO249" i="20"/>
  <c r="BO249" i="20"/>
  <c r="CV249" i="20"/>
  <c r="AQ249" i="20"/>
  <c r="BX249" i="20"/>
  <c r="CW249" i="20"/>
  <c r="T249" i="20"/>
  <c r="AU249" i="20"/>
  <c r="CB249" i="20"/>
  <c r="DG249" i="20"/>
  <c r="V216" i="20"/>
  <c r="AD216" i="20"/>
  <c r="AL216" i="20"/>
  <c r="AT216" i="20"/>
  <c r="BB216" i="20"/>
  <c r="BJ216" i="20"/>
  <c r="BR216" i="20"/>
  <c r="BZ216" i="20"/>
  <c r="CH216" i="20"/>
  <c r="CP216" i="20"/>
  <c r="CX216" i="20"/>
  <c r="DF216" i="20"/>
  <c r="Y216" i="20"/>
  <c r="AH216" i="20"/>
  <c r="AQ216" i="20"/>
  <c r="AZ216" i="20"/>
  <c r="BI216" i="20"/>
  <c r="BS216" i="20"/>
  <c r="CB216" i="20"/>
  <c r="CK216" i="20"/>
  <c r="CT216" i="20"/>
  <c r="DC216" i="20"/>
  <c r="DL216" i="20"/>
  <c r="Q216" i="20"/>
  <c r="Z216" i="20"/>
  <c r="AI216" i="20"/>
  <c r="AR216" i="20"/>
  <c r="BA216" i="20"/>
  <c r="BK216" i="20"/>
  <c r="BT216" i="20"/>
  <c r="CC216" i="20"/>
  <c r="CL216" i="20"/>
  <c r="CU216" i="20"/>
  <c r="DD216" i="20"/>
  <c r="S216" i="20"/>
  <c r="AE216" i="20"/>
  <c r="AP216" i="20"/>
  <c r="BD216" i="20"/>
  <c r="BO216" i="20"/>
  <c r="CA216" i="20"/>
  <c r="CN216" i="20"/>
  <c r="CZ216" i="20"/>
  <c r="DK216" i="20"/>
  <c r="T216" i="20"/>
  <c r="AF216" i="20"/>
  <c r="AS216" i="20"/>
  <c r="BE216" i="20"/>
  <c r="BP216" i="20"/>
  <c r="CD216" i="20"/>
  <c r="CO216" i="20"/>
  <c r="DA216" i="20"/>
  <c r="W216" i="20"/>
  <c r="AJ216" i="20"/>
  <c r="AV216" i="20"/>
  <c r="BG216" i="20"/>
  <c r="BU216" i="20"/>
  <c r="CF216" i="20"/>
  <c r="CR216" i="20"/>
  <c r="DE216" i="20"/>
  <c r="AC216" i="20"/>
  <c r="AX216" i="20"/>
  <c r="BQ216" i="20"/>
  <c r="CJ216" i="20"/>
  <c r="DG216" i="20"/>
  <c r="AK216" i="20"/>
  <c r="BC216" i="20"/>
  <c r="BW216" i="20"/>
  <c r="CQ216" i="20"/>
  <c r="DI216" i="20"/>
  <c r="R216" i="20"/>
  <c r="AM216" i="20"/>
  <c r="BF216" i="20"/>
  <c r="BX216" i="20"/>
  <c r="CS216" i="20"/>
  <c r="DJ216" i="20"/>
  <c r="AB216" i="20"/>
  <c r="BL216" i="20"/>
  <c r="CM216" i="20"/>
  <c r="AG216" i="20"/>
  <c r="BM216" i="20"/>
  <c r="CV216" i="20"/>
  <c r="AO216" i="20"/>
  <c r="BV216" i="20"/>
  <c r="CY216" i="20"/>
  <c r="AA216" i="20"/>
  <c r="CE216" i="20"/>
  <c r="BN216" i="20"/>
  <c r="U216" i="20"/>
  <c r="BY216" i="20"/>
  <c r="X216" i="20"/>
  <c r="CG216" i="20"/>
  <c r="AN216" i="20"/>
  <c r="CI216" i="20"/>
  <c r="AU216" i="20"/>
  <c r="CW216" i="20"/>
  <c r="AW216" i="20"/>
  <c r="DB216" i="20"/>
  <c r="R225" i="20"/>
  <c r="Z225" i="20"/>
  <c r="AH225" i="20"/>
  <c r="AP225" i="20"/>
  <c r="AX225" i="20"/>
  <c r="BF225" i="20"/>
  <c r="BN225" i="20"/>
  <c r="BV225" i="20"/>
  <c r="CD225" i="20"/>
  <c r="CL225" i="20"/>
  <c r="CT225" i="20"/>
  <c r="DB225" i="20"/>
  <c r="DJ225" i="20"/>
  <c r="U225" i="20"/>
  <c r="AD225" i="20"/>
  <c r="AM225" i="20"/>
  <c r="AV225" i="20"/>
  <c r="BE225" i="20"/>
  <c r="BO225" i="20"/>
  <c r="BX225" i="20"/>
  <c r="CG225" i="20"/>
  <c r="CP225" i="20"/>
  <c r="CY225" i="20"/>
  <c r="DH225" i="20"/>
  <c r="T225" i="20"/>
  <c r="AE225" i="20"/>
  <c r="AO225" i="20"/>
  <c r="AZ225" i="20"/>
  <c r="BJ225" i="20"/>
  <c r="BT225" i="20"/>
  <c r="CE225" i="20"/>
  <c r="CO225" i="20"/>
  <c r="CZ225" i="20"/>
  <c r="DK225" i="20"/>
  <c r="V225" i="20"/>
  <c r="AF225" i="20"/>
  <c r="AQ225" i="20"/>
  <c r="BA225" i="20"/>
  <c r="BK225" i="20"/>
  <c r="BU225" i="20"/>
  <c r="CF225" i="20"/>
  <c r="CQ225" i="20"/>
  <c r="DA225" i="20"/>
  <c r="DL225" i="20"/>
  <c r="X225" i="20"/>
  <c r="AI225" i="20"/>
  <c r="AS225" i="20"/>
  <c r="BC225" i="20"/>
  <c r="BM225" i="20"/>
  <c r="BY225" i="20"/>
  <c r="CI225" i="20"/>
  <c r="CS225" i="20"/>
  <c r="DD225" i="20"/>
  <c r="AA225" i="20"/>
  <c r="AR225" i="20"/>
  <c r="BH225" i="20"/>
  <c r="BZ225" i="20"/>
  <c r="CN225" i="20"/>
  <c r="DF225" i="20"/>
  <c r="AC225" i="20"/>
  <c r="AU225" i="20"/>
  <c r="BL225" i="20"/>
  <c r="CB225" i="20"/>
  <c r="CU225" i="20"/>
  <c r="DI225" i="20"/>
  <c r="AG225" i="20"/>
  <c r="AW225" i="20"/>
  <c r="BP225" i="20"/>
  <c r="CC225" i="20"/>
  <c r="CV225" i="20"/>
  <c r="AB225" i="20"/>
  <c r="BD225" i="20"/>
  <c r="CH225" i="20"/>
  <c r="DE225" i="20"/>
  <c r="AJ225" i="20"/>
  <c r="BG225" i="20"/>
  <c r="CJ225" i="20"/>
  <c r="DG225" i="20"/>
  <c r="AL225" i="20"/>
  <c r="BQ225" i="20"/>
  <c r="CM225" i="20"/>
  <c r="AN225" i="20"/>
  <c r="CA225" i="20"/>
  <c r="AT225" i="20"/>
  <c r="CK225" i="20"/>
  <c r="AY225" i="20"/>
  <c r="CR225" i="20"/>
  <c r="Q225" i="20"/>
  <c r="BB225" i="20"/>
  <c r="CW225" i="20"/>
  <c r="S225" i="20"/>
  <c r="BI225" i="20"/>
  <c r="CX225" i="20"/>
  <c r="W225" i="20"/>
  <c r="BR225" i="20"/>
  <c r="DC225" i="20"/>
  <c r="S277" i="20"/>
  <c r="AA277" i="20"/>
  <c r="AI277" i="20"/>
  <c r="AQ277" i="20"/>
  <c r="AY277" i="20"/>
  <c r="BG277" i="20"/>
  <c r="BO277" i="20"/>
  <c r="BW277" i="20"/>
  <c r="CE277" i="20"/>
  <c r="CM277" i="20"/>
  <c r="CU277" i="20"/>
  <c r="DC277" i="20"/>
  <c r="DK277" i="20"/>
  <c r="V277" i="20"/>
  <c r="AE277" i="20"/>
  <c r="AN277" i="20"/>
  <c r="AW277" i="20"/>
  <c r="BF277" i="20"/>
  <c r="BP277" i="20"/>
  <c r="BY277" i="20"/>
  <c r="CH277" i="20"/>
  <c r="CQ277" i="20"/>
  <c r="CZ277" i="20"/>
  <c r="DI277" i="20"/>
  <c r="W277" i="20"/>
  <c r="AF277" i="20"/>
  <c r="AO277" i="20"/>
  <c r="AX277" i="20"/>
  <c r="BH277" i="20"/>
  <c r="BQ277" i="20"/>
  <c r="BZ277" i="20"/>
  <c r="CI277" i="20"/>
  <c r="CR277" i="20"/>
  <c r="DA277" i="20"/>
  <c r="DJ277" i="20"/>
  <c r="Y277" i="20"/>
  <c r="AK277" i="20"/>
  <c r="AV277" i="20"/>
  <c r="BJ277" i="20"/>
  <c r="BU277" i="20"/>
  <c r="CG277" i="20"/>
  <c r="CT277" i="20"/>
  <c r="DF277" i="20"/>
  <c r="Z277" i="20"/>
  <c r="AL277" i="20"/>
  <c r="AZ277" i="20"/>
  <c r="BK277" i="20"/>
  <c r="BV277" i="20"/>
  <c r="CJ277" i="20"/>
  <c r="CV277" i="20"/>
  <c r="DG277" i="20"/>
  <c r="Q277" i="20"/>
  <c r="AC277" i="20"/>
  <c r="AP277" i="20"/>
  <c r="BB277" i="20"/>
  <c r="BM277" i="20"/>
  <c r="CA277" i="20"/>
  <c r="CL277" i="20"/>
  <c r="CX277" i="20"/>
  <c r="DL277" i="20"/>
  <c r="U277" i="20"/>
  <c r="AR277" i="20"/>
  <c r="BI277" i="20"/>
  <c r="CC277" i="20"/>
  <c r="CW277" i="20"/>
  <c r="X277" i="20"/>
  <c r="AS277" i="20"/>
  <c r="BL277" i="20"/>
  <c r="CD277" i="20"/>
  <c r="CY277" i="20"/>
  <c r="AB277" i="20"/>
  <c r="AT277" i="20"/>
  <c r="BN277" i="20"/>
  <c r="CF277" i="20"/>
  <c r="DB277" i="20"/>
  <c r="AD277" i="20"/>
  <c r="AU277" i="20"/>
  <c r="BR277" i="20"/>
  <c r="CK277" i="20"/>
  <c r="DD277" i="20"/>
  <c r="Q336" i="20"/>
  <c r="Y336" i="20"/>
  <c r="AG336" i="20"/>
  <c r="AO336" i="20"/>
  <c r="AW336" i="20"/>
  <c r="BE336" i="20"/>
  <c r="BM336" i="20"/>
  <c r="BU336" i="20"/>
  <c r="CC336" i="20"/>
  <c r="CK336" i="20"/>
  <c r="CS336" i="20"/>
  <c r="DA336" i="20"/>
  <c r="DI336" i="20"/>
  <c r="S336" i="20"/>
  <c r="AA336" i="20"/>
  <c r="AI336" i="20"/>
  <c r="AQ336" i="20"/>
  <c r="AY336" i="20"/>
  <c r="BG336" i="20"/>
  <c r="BO336" i="20"/>
  <c r="BW336" i="20"/>
  <c r="CE336" i="20"/>
  <c r="CM336" i="20"/>
  <c r="CU336" i="20"/>
  <c r="DC336" i="20"/>
  <c r="DK336" i="20"/>
  <c r="AB336" i="20"/>
  <c r="AL336" i="20"/>
  <c r="AV336" i="20"/>
  <c r="BH336" i="20"/>
  <c r="BR336" i="20"/>
  <c r="CB336" i="20"/>
  <c r="CN336" i="20"/>
  <c r="CX336" i="20"/>
  <c r="DH336" i="20"/>
  <c r="R336" i="20"/>
  <c r="AC336" i="20"/>
  <c r="AM336" i="20"/>
  <c r="AX336" i="20"/>
  <c r="BI336" i="20"/>
  <c r="BS336" i="20"/>
  <c r="CD336" i="20"/>
  <c r="CO336" i="20"/>
  <c r="CY336" i="20"/>
  <c r="DJ336" i="20"/>
  <c r="T336" i="20"/>
  <c r="AD336" i="20"/>
  <c r="AN336" i="20"/>
  <c r="AZ336" i="20"/>
  <c r="BJ336" i="20"/>
  <c r="BT336" i="20"/>
  <c r="CF336" i="20"/>
  <c r="CP336" i="20"/>
  <c r="CZ336" i="20"/>
  <c r="DL336" i="20"/>
  <c r="W313" i="20"/>
  <c r="AE313" i="20"/>
  <c r="AM313" i="20"/>
  <c r="AU313" i="20"/>
  <c r="BC313" i="20"/>
  <c r="BK313" i="20"/>
  <c r="BS313" i="20"/>
  <c r="CA313" i="20"/>
  <c r="CI313" i="20"/>
  <c r="CQ313" i="20"/>
  <c r="CY313" i="20"/>
  <c r="DG313" i="20"/>
  <c r="X313" i="20"/>
  <c r="AF313" i="20"/>
  <c r="AN313" i="20"/>
  <c r="AV313" i="20"/>
  <c r="BD313" i="20"/>
  <c r="BL313" i="20"/>
  <c r="BT313" i="20"/>
  <c r="CB313" i="20"/>
  <c r="CJ313" i="20"/>
  <c r="CR313" i="20"/>
  <c r="CZ313" i="20"/>
  <c r="DH313" i="20"/>
  <c r="R313" i="20"/>
  <c r="AB313" i="20"/>
  <c r="AL313" i="20"/>
  <c r="AX313" i="20"/>
  <c r="BH313" i="20"/>
  <c r="BR313" i="20"/>
  <c r="CD313" i="20"/>
  <c r="CN313" i="20"/>
  <c r="CX313" i="20"/>
  <c r="DJ313" i="20"/>
  <c r="S313" i="20"/>
  <c r="AC313" i="20"/>
  <c r="AO313" i="20"/>
  <c r="AY313" i="20"/>
  <c r="BI313" i="20"/>
  <c r="BU313" i="20"/>
  <c r="CE313" i="20"/>
  <c r="CO313" i="20"/>
  <c r="DA313" i="20"/>
  <c r="DK313" i="20"/>
  <c r="U313" i="20"/>
  <c r="AG313" i="20"/>
  <c r="AQ313" i="20"/>
  <c r="BA313" i="20"/>
  <c r="BM313" i="20"/>
  <c r="BW313" i="20"/>
  <c r="CG313" i="20"/>
  <c r="CS313" i="20"/>
  <c r="DC313" i="20"/>
  <c r="T313" i="20"/>
  <c r="AJ313" i="20"/>
  <c r="BB313" i="20"/>
  <c r="BQ313" i="20"/>
  <c r="CK313" i="20"/>
  <c r="DB313" i="20"/>
  <c r="V313" i="20"/>
  <c r="AK313" i="20"/>
  <c r="BE313" i="20"/>
  <c r="BV313" i="20"/>
  <c r="CL313" i="20"/>
  <c r="DD313" i="20"/>
  <c r="Y313" i="20"/>
  <c r="AP313" i="20"/>
  <c r="BF313" i="20"/>
  <c r="BX313" i="20"/>
  <c r="CM313" i="20"/>
  <c r="DE313" i="20"/>
  <c r="T11" i="20"/>
  <c r="AB11" i="20"/>
  <c r="AJ11" i="20"/>
  <c r="AR11" i="20"/>
  <c r="AZ11" i="20"/>
  <c r="BH11" i="20"/>
  <c r="BP11" i="20"/>
  <c r="BX11" i="20"/>
  <c r="CF11" i="20"/>
  <c r="CN11" i="20"/>
  <c r="CV11" i="20"/>
  <c r="DD11" i="20"/>
  <c r="W11" i="20"/>
  <c r="AF11" i="20"/>
  <c r="AO11" i="20"/>
  <c r="AX11" i="20"/>
  <c r="BG11" i="20"/>
  <c r="BQ11" i="20"/>
  <c r="BZ11" i="20"/>
  <c r="CI11" i="20"/>
  <c r="CR11" i="20"/>
  <c r="DA11" i="20"/>
  <c r="DJ11" i="20"/>
  <c r="X11" i="20"/>
  <c r="AG11" i="20"/>
  <c r="AP11" i="20"/>
  <c r="AY11" i="20"/>
  <c r="BI11" i="20"/>
  <c r="BR11" i="20"/>
  <c r="CA11" i="20"/>
  <c r="CJ11" i="20"/>
  <c r="CS11" i="20"/>
  <c r="DB11" i="20"/>
  <c r="DK11" i="20"/>
  <c r="Y11" i="20"/>
  <c r="AH11" i="20"/>
  <c r="AQ11" i="20"/>
  <c r="BA11" i="20"/>
  <c r="BJ11" i="20"/>
  <c r="BS11" i="20"/>
  <c r="CB11" i="20"/>
  <c r="CK11" i="20"/>
  <c r="CT11" i="20"/>
  <c r="DC11" i="20"/>
  <c r="DL11" i="20"/>
  <c r="S11" i="20"/>
  <c r="AI11" i="20"/>
  <c r="AV11" i="20"/>
  <c r="BL11" i="20"/>
  <c r="BY11" i="20"/>
  <c r="CO11" i="20"/>
  <c r="DE11" i="20"/>
  <c r="U11" i="20"/>
  <c r="AK11" i="20"/>
  <c r="AW11" i="20"/>
  <c r="BM11" i="20"/>
  <c r="CC11" i="20"/>
  <c r="CP11" i="20"/>
  <c r="DF11" i="20"/>
  <c r="V11" i="20"/>
  <c r="AL11" i="20"/>
  <c r="BB11" i="20"/>
  <c r="BN11" i="20"/>
  <c r="CD11" i="20"/>
  <c r="CQ11" i="20"/>
  <c r="DG11" i="20"/>
  <c r="AC11" i="20"/>
  <c r="BC11" i="20"/>
  <c r="BV11" i="20"/>
  <c r="CW11" i="20"/>
  <c r="AD11" i="20"/>
  <c r="BD11" i="20"/>
  <c r="BW11" i="20"/>
  <c r="CX11" i="20"/>
  <c r="AE11" i="20"/>
  <c r="BE11" i="20"/>
  <c r="CE11" i="20"/>
  <c r="CY11" i="20"/>
  <c r="AM11" i="20"/>
  <c r="BF11" i="20"/>
  <c r="CG11" i="20"/>
  <c r="CZ11" i="20"/>
  <c r="AS11" i="20"/>
  <c r="CL11" i="20"/>
  <c r="Q11" i="20"/>
  <c r="BK11" i="20"/>
  <c r="DH11" i="20"/>
  <c r="AT11" i="20"/>
  <c r="DI11" i="20"/>
  <c r="AU11" i="20"/>
  <c r="BU11" i="20"/>
  <c r="AA11" i="20"/>
  <c r="CH11" i="20"/>
  <c r="CM11" i="20"/>
  <c r="CU11" i="20"/>
  <c r="R11" i="20"/>
  <c r="Z11" i="20"/>
  <c r="AN11" i="20"/>
  <c r="BO11" i="20"/>
  <c r="BT11" i="20"/>
  <c r="K165" i="20"/>
  <c r="CW401" i="20"/>
  <c r="CA401" i="20"/>
  <c r="AU401" i="20"/>
  <c r="Z401" i="20"/>
  <c r="CP400" i="20"/>
  <c r="CE400" i="20"/>
  <c r="AY400" i="20"/>
  <c r="AD400" i="20"/>
  <c r="S400" i="20"/>
  <c r="U382" i="20"/>
  <c r="BD373" i="20"/>
  <c r="DL363" i="20"/>
  <c r="DA363" i="20"/>
  <c r="CN363" i="20"/>
  <c r="CB363" i="20"/>
  <c r="BP363" i="20"/>
  <c r="BD363" i="20"/>
  <c r="AQ363" i="20"/>
  <c r="Q363" i="20"/>
  <c r="CX362" i="20"/>
  <c r="CJ362" i="20"/>
  <c r="BV362" i="20"/>
  <c r="BH362" i="20"/>
  <c r="AT362" i="20"/>
  <c r="AE362" i="20"/>
  <c r="DL361" i="20"/>
  <c r="CZ361" i="20"/>
  <c r="CK361" i="20"/>
  <c r="BV361" i="20"/>
  <c r="BH361" i="20"/>
  <c r="AT361" i="20"/>
  <c r="AF361" i="20"/>
  <c r="R361" i="20"/>
  <c r="CW348" i="20"/>
  <c r="AV348" i="20"/>
  <c r="AD348" i="20"/>
  <c r="CS347" i="20"/>
  <c r="BZ347" i="20"/>
  <c r="BL347" i="20"/>
  <c r="AR347" i="20"/>
  <c r="AD347" i="20"/>
  <c r="CO310" i="20"/>
  <c r="BR310" i="20"/>
  <c r="DF261" i="20"/>
  <c r="BE261" i="20"/>
  <c r="CJ249" i="20"/>
  <c r="CJ220" i="20"/>
  <c r="AA171" i="20"/>
  <c r="H408" i="20"/>
  <c r="H65" i="20"/>
  <c r="S24" i="20"/>
  <c r="AA24" i="20"/>
  <c r="AI24" i="20"/>
  <c r="AQ24" i="20"/>
  <c r="AY24" i="20"/>
  <c r="BG24" i="20"/>
  <c r="BO24" i="20"/>
  <c r="BW24" i="20"/>
  <c r="CE24" i="20"/>
  <c r="CM24" i="20"/>
  <c r="CU24" i="20"/>
  <c r="DC24" i="20"/>
  <c r="DK24" i="20"/>
  <c r="Y24" i="20"/>
  <c r="AH24" i="20"/>
  <c r="AR24" i="20"/>
  <c r="BA24" i="20"/>
  <c r="BJ24" i="20"/>
  <c r="BS24" i="20"/>
  <c r="CB24" i="20"/>
  <c r="CK24" i="20"/>
  <c r="CT24" i="20"/>
  <c r="DD24" i="20"/>
  <c r="T24" i="20"/>
  <c r="AC24" i="20"/>
  <c r="AL24" i="20"/>
  <c r="AU24" i="20"/>
  <c r="BD24" i="20"/>
  <c r="BM24" i="20"/>
  <c r="BV24" i="20"/>
  <c r="CF24" i="20"/>
  <c r="CO24" i="20"/>
  <c r="CX24" i="20"/>
  <c r="DG24" i="20"/>
  <c r="Q24" i="20"/>
  <c r="AD24" i="20"/>
  <c r="AO24" i="20"/>
  <c r="BB24" i="20"/>
  <c r="BN24" i="20"/>
  <c r="BZ24" i="20"/>
  <c r="CL24" i="20"/>
  <c r="CY24" i="20"/>
  <c r="DJ24" i="20"/>
  <c r="R24" i="20"/>
  <c r="AE24" i="20"/>
  <c r="AP24" i="20"/>
  <c r="BC24" i="20"/>
  <c r="BP24" i="20"/>
  <c r="CA24" i="20"/>
  <c r="CN24" i="20"/>
  <c r="CZ24" i="20"/>
  <c r="DL24" i="20"/>
  <c r="AF24" i="20"/>
  <c r="AV24" i="20"/>
  <c r="BK24" i="20"/>
  <c r="W24" i="20"/>
  <c r="AM24" i="20"/>
  <c r="BE24" i="20"/>
  <c r="BT24" i="20"/>
  <c r="CI24" i="20"/>
  <c r="DA24" i="20"/>
  <c r="AG24" i="20"/>
  <c r="AZ24" i="20"/>
  <c r="BX24" i="20"/>
  <c r="CQ24" i="20"/>
  <c r="DH24" i="20"/>
  <c r="AJ24" i="20"/>
  <c r="BF24" i="20"/>
  <c r="BY24" i="20"/>
  <c r="CR24" i="20"/>
  <c r="DI24" i="20"/>
  <c r="U24" i="20"/>
  <c r="AN24" i="20"/>
  <c r="BI24" i="20"/>
  <c r="CD24" i="20"/>
  <c r="CV24" i="20"/>
  <c r="X24" i="20"/>
  <c r="BH24" i="20"/>
  <c r="CJ24" i="20"/>
  <c r="Z24" i="20"/>
  <c r="BL24" i="20"/>
  <c r="CP24" i="20"/>
  <c r="AW24" i="20"/>
  <c r="CG24" i="20"/>
  <c r="DF24" i="20"/>
  <c r="AS24" i="20"/>
  <c r="CS24" i="20"/>
  <c r="AT24" i="20"/>
  <c r="CW24" i="20"/>
  <c r="AX24" i="20"/>
  <c r="DB24" i="20"/>
  <c r="BQ24" i="20"/>
  <c r="DE24" i="20"/>
  <c r="V24" i="20"/>
  <c r="AB24" i="20"/>
  <c r="AK24" i="20"/>
  <c r="BR24" i="20"/>
  <c r="BU24" i="20"/>
  <c r="CC24" i="20"/>
  <c r="CH24" i="20"/>
  <c r="Q181" i="20"/>
  <c r="Y181" i="20"/>
  <c r="AG181" i="20"/>
  <c r="AO181" i="20"/>
  <c r="AW181" i="20"/>
  <c r="BE181" i="20"/>
  <c r="BM181" i="20"/>
  <c r="BU181" i="20"/>
  <c r="CC181" i="20"/>
  <c r="CK181" i="20"/>
  <c r="CS181" i="20"/>
  <c r="DA181" i="20"/>
  <c r="DI181" i="20"/>
  <c r="R181" i="20"/>
  <c r="Z181" i="20"/>
  <c r="AH181" i="20"/>
  <c r="AP181" i="20"/>
  <c r="AX181" i="20"/>
  <c r="BF181" i="20"/>
  <c r="BN181" i="20"/>
  <c r="BV181" i="20"/>
  <c r="CD181" i="20"/>
  <c r="CL181" i="20"/>
  <c r="CT181" i="20"/>
  <c r="DB181" i="20"/>
  <c r="DJ181" i="20"/>
  <c r="U181" i="20"/>
  <c r="AE181" i="20"/>
  <c r="AQ181" i="20"/>
  <c r="BA181" i="20"/>
  <c r="BK181" i="20"/>
  <c r="BW181" i="20"/>
  <c r="CG181" i="20"/>
  <c r="CQ181" i="20"/>
  <c r="DC181" i="20"/>
  <c r="V181" i="20"/>
  <c r="AF181" i="20"/>
  <c r="AR181" i="20"/>
  <c r="BB181" i="20"/>
  <c r="BL181" i="20"/>
  <c r="BX181" i="20"/>
  <c r="CH181" i="20"/>
  <c r="CR181" i="20"/>
  <c r="DD181" i="20"/>
  <c r="W181" i="20"/>
  <c r="AK181" i="20"/>
  <c r="AY181" i="20"/>
  <c r="BO181" i="20"/>
  <c r="CA181" i="20"/>
  <c r="CO181" i="20"/>
  <c r="DE181" i="20"/>
  <c r="X181" i="20"/>
  <c r="AL181" i="20"/>
  <c r="AZ181" i="20"/>
  <c r="BP181" i="20"/>
  <c r="CB181" i="20"/>
  <c r="CP181" i="20"/>
  <c r="DF181" i="20"/>
  <c r="AA181" i="20"/>
  <c r="AM181" i="20"/>
  <c r="BC181" i="20"/>
  <c r="BQ181" i="20"/>
  <c r="CE181" i="20"/>
  <c r="CU181" i="20"/>
  <c r="DG181" i="20"/>
  <c r="AC181" i="20"/>
  <c r="AS181" i="20"/>
  <c r="BG181" i="20"/>
  <c r="BS181" i="20"/>
  <c r="CI181" i="20"/>
  <c r="CW181" i="20"/>
  <c r="DK181" i="20"/>
  <c r="AJ181" i="20"/>
  <c r="BJ181" i="20"/>
  <c r="CN181" i="20"/>
  <c r="AN181" i="20"/>
  <c r="BR181" i="20"/>
  <c r="CV181" i="20"/>
  <c r="AT181" i="20"/>
  <c r="BT181" i="20"/>
  <c r="CX181" i="20"/>
  <c r="S181" i="20"/>
  <c r="AU181" i="20"/>
  <c r="BY181" i="20"/>
  <c r="CY181" i="20"/>
  <c r="BD181" i="20"/>
  <c r="DH181" i="20"/>
  <c r="BH181" i="20"/>
  <c r="DL181" i="20"/>
  <c r="BI181" i="20"/>
  <c r="T181" i="20"/>
  <c r="BZ181" i="20"/>
  <c r="CF181" i="20"/>
  <c r="CJ181" i="20"/>
  <c r="AV181" i="20"/>
  <c r="AI181" i="20"/>
  <c r="CM181" i="20"/>
  <c r="CZ181" i="20"/>
  <c r="S32" i="20"/>
  <c r="AA32" i="20"/>
  <c r="AI32" i="20"/>
  <c r="AQ32" i="20"/>
  <c r="AY32" i="20"/>
  <c r="BG32" i="20"/>
  <c r="BO32" i="20"/>
  <c r="BW32" i="20"/>
  <c r="CE32" i="20"/>
  <c r="CM32" i="20"/>
  <c r="CU32" i="20"/>
  <c r="DC32" i="20"/>
  <c r="DK32" i="20"/>
  <c r="X32" i="20"/>
  <c r="AG32" i="20"/>
  <c r="AP32" i="20"/>
  <c r="AZ32" i="20"/>
  <c r="BI32" i="20"/>
  <c r="BR32" i="20"/>
  <c r="CA32" i="20"/>
  <c r="CJ32" i="20"/>
  <c r="CS32" i="20"/>
  <c r="DB32" i="20"/>
  <c r="DL32" i="20"/>
  <c r="Y32" i="20"/>
  <c r="AH32" i="20"/>
  <c r="AR32" i="20"/>
  <c r="BA32" i="20"/>
  <c r="BJ32" i="20"/>
  <c r="BS32" i="20"/>
  <c r="CB32" i="20"/>
  <c r="CK32" i="20"/>
  <c r="CT32" i="20"/>
  <c r="DD32" i="20"/>
  <c r="V32" i="20"/>
  <c r="AJ32" i="20"/>
  <c r="AU32" i="20"/>
  <c r="BF32" i="20"/>
  <c r="BT32" i="20"/>
  <c r="CF32" i="20"/>
  <c r="CQ32" i="20"/>
  <c r="DE32" i="20"/>
  <c r="W32" i="20"/>
  <c r="AL32" i="20"/>
  <c r="AX32" i="20"/>
  <c r="BM32" i="20"/>
  <c r="BZ32" i="20"/>
  <c r="CO32" i="20"/>
  <c r="DA32" i="20"/>
  <c r="Z32" i="20"/>
  <c r="AM32" i="20"/>
  <c r="BB32" i="20"/>
  <c r="BN32" i="20"/>
  <c r="CC32" i="20"/>
  <c r="CP32" i="20"/>
  <c r="DF32" i="20"/>
  <c r="AC32" i="20"/>
  <c r="AO32" i="20"/>
  <c r="BD32" i="20"/>
  <c r="BQ32" i="20"/>
  <c r="CG32" i="20"/>
  <c r="CV32" i="20"/>
  <c r="DH32" i="20"/>
  <c r="Q32" i="20"/>
  <c r="AK32" i="20"/>
  <c r="BH32" i="20"/>
  <c r="CD32" i="20"/>
  <c r="CY32" i="20"/>
  <c r="AD32" i="20"/>
  <c r="AW32" i="20"/>
  <c r="BV32" i="20"/>
  <c r="CR32" i="20"/>
  <c r="AS32" i="20"/>
  <c r="BU32" i="20"/>
  <c r="CX32" i="20"/>
  <c r="R32" i="20"/>
  <c r="AT32" i="20"/>
  <c r="BX32" i="20"/>
  <c r="CZ32" i="20"/>
  <c r="T32" i="20"/>
  <c r="AV32" i="20"/>
  <c r="BY32" i="20"/>
  <c r="DG32" i="20"/>
  <c r="U32" i="20"/>
  <c r="BC32" i="20"/>
  <c r="CH32" i="20"/>
  <c r="DI32" i="20"/>
  <c r="AB32" i="20"/>
  <c r="CI32" i="20"/>
  <c r="AE32" i="20"/>
  <c r="CL32" i="20"/>
  <c r="AF32" i="20"/>
  <c r="CN32" i="20"/>
  <c r="AN32" i="20"/>
  <c r="CW32" i="20"/>
  <c r="BE32" i="20"/>
  <c r="DJ32" i="20"/>
  <c r="BK32" i="20"/>
  <c r="BL32" i="20"/>
  <c r="BP32" i="20"/>
  <c r="V230" i="20"/>
  <c r="AD230" i="20"/>
  <c r="AL230" i="20"/>
  <c r="AT230" i="20"/>
  <c r="BB230" i="20"/>
  <c r="BJ230" i="20"/>
  <c r="BR230" i="20"/>
  <c r="BZ230" i="20"/>
  <c r="CH230" i="20"/>
  <c r="CP230" i="20"/>
  <c r="CX230" i="20"/>
  <c r="DF230" i="20"/>
  <c r="X230" i="20"/>
  <c r="AG230" i="20"/>
  <c r="AP230" i="20"/>
  <c r="AY230" i="20"/>
  <c r="BH230" i="20"/>
  <c r="BQ230" i="20"/>
  <c r="CA230" i="20"/>
  <c r="CJ230" i="20"/>
  <c r="CS230" i="20"/>
  <c r="DB230" i="20"/>
  <c r="DK230" i="20"/>
  <c r="U230" i="20"/>
  <c r="AF230" i="20"/>
  <c r="AQ230" i="20"/>
  <c r="BA230" i="20"/>
  <c r="BL230" i="20"/>
  <c r="BV230" i="20"/>
  <c r="CF230" i="20"/>
  <c r="CQ230" i="20"/>
  <c r="DA230" i="20"/>
  <c r="DL230" i="20"/>
  <c r="W230" i="20"/>
  <c r="AH230" i="20"/>
  <c r="AR230" i="20"/>
  <c r="BC230" i="20"/>
  <c r="BM230" i="20"/>
  <c r="BW230" i="20"/>
  <c r="CG230" i="20"/>
  <c r="CR230" i="20"/>
  <c r="DC230" i="20"/>
  <c r="Z230" i="20"/>
  <c r="AJ230" i="20"/>
  <c r="AU230" i="20"/>
  <c r="BE230" i="20"/>
  <c r="BO230" i="20"/>
  <c r="BY230" i="20"/>
  <c r="CK230" i="20"/>
  <c r="CU230" i="20"/>
  <c r="DE230" i="20"/>
  <c r="AB230" i="20"/>
  <c r="AS230" i="20"/>
  <c r="BI230" i="20"/>
  <c r="CB230" i="20"/>
  <c r="CO230" i="20"/>
  <c r="DH230" i="20"/>
  <c r="Q230" i="20"/>
  <c r="AE230" i="20"/>
  <c r="AW230" i="20"/>
  <c r="BN230" i="20"/>
  <c r="CD230" i="20"/>
  <c r="CV230" i="20"/>
  <c r="DJ230" i="20"/>
  <c r="R230" i="20"/>
  <c r="AI230" i="20"/>
  <c r="AX230" i="20"/>
  <c r="BP230" i="20"/>
  <c r="CE230" i="20"/>
  <c r="CW230" i="20"/>
  <c r="AM230" i="20"/>
  <c r="BK230" i="20"/>
  <c r="CM230" i="20"/>
  <c r="AN230" i="20"/>
  <c r="BS230" i="20"/>
  <c r="CN230" i="20"/>
  <c r="T230" i="20"/>
  <c r="AV230" i="20"/>
  <c r="BU230" i="20"/>
  <c r="CY230" i="20"/>
  <c r="BD230" i="20"/>
  <c r="CT230" i="20"/>
  <c r="S230" i="20"/>
  <c r="BF230" i="20"/>
  <c r="CZ230" i="20"/>
  <c r="Y230" i="20"/>
  <c r="BG230" i="20"/>
  <c r="DD230" i="20"/>
  <c r="AA230" i="20"/>
  <c r="BT230" i="20"/>
  <c r="DG230" i="20"/>
  <c r="AC230" i="20"/>
  <c r="BX230" i="20"/>
  <c r="DI230" i="20"/>
  <c r="AK230" i="20"/>
  <c r="CC230" i="20"/>
  <c r="U351" i="20"/>
  <c r="AC351" i="20"/>
  <c r="AK351" i="20"/>
  <c r="AS351" i="20"/>
  <c r="BA351" i="20"/>
  <c r="BI351" i="20"/>
  <c r="BQ351" i="20"/>
  <c r="BY351" i="20"/>
  <c r="CG351" i="20"/>
  <c r="CO351" i="20"/>
  <c r="CW351" i="20"/>
  <c r="DE351" i="20"/>
  <c r="W351" i="20"/>
  <c r="AE351" i="20"/>
  <c r="AM351" i="20"/>
  <c r="AU351" i="20"/>
  <c r="BC351" i="20"/>
  <c r="BK351" i="20"/>
  <c r="BS351" i="20"/>
  <c r="CA351" i="20"/>
  <c r="CI351" i="20"/>
  <c r="CQ351" i="20"/>
  <c r="CY351" i="20"/>
  <c r="DG351" i="20"/>
  <c r="T351" i="20"/>
  <c r="AF351" i="20"/>
  <c r="AP351" i="20"/>
  <c r="AZ351" i="20"/>
  <c r="BL351" i="20"/>
  <c r="BV351" i="20"/>
  <c r="CF351" i="20"/>
  <c r="CR351" i="20"/>
  <c r="DB351" i="20"/>
  <c r="DL351" i="20"/>
  <c r="V351" i="20"/>
  <c r="AG351" i="20"/>
  <c r="AQ351" i="20"/>
  <c r="BB351" i="20"/>
  <c r="BM351" i="20"/>
  <c r="BW351" i="20"/>
  <c r="CH351" i="20"/>
  <c r="CS351" i="20"/>
  <c r="DC351" i="20"/>
  <c r="X351" i="20"/>
  <c r="AH351" i="20"/>
  <c r="AR351" i="20"/>
  <c r="BD351" i="20"/>
  <c r="BN351" i="20"/>
  <c r="BX351" i="20"/>
  <c r="CJ351" i="20"/>
  <c r="CT351" i="20"/>
  <c r="DD351" i="20"/>
  <c r="Q91" i="20"/>
  <c r="Y91" i="20"/>
  <c r="AG91" i="20"/>
  <c r="AO91" i="20"/>
  <c r="AW91" i="20"/>
  <c r="BE91" i="20"/>
  <c r="BM91" i="20"/>
  <c r="BU91" i="20"/>
  <c r="CC91" i="20"/>
  <c r="CK91" i="20"/>
  <c r="CS91" i="20"/>
  <c r="DA91" i="20"/>
  <c r="DI91" i="20"/>
  <c r="Z91" i="20"/>
  <c r="AI91" i="20"/>
  <c r="AR91" i="20"/>
  <c r="BA91" i="20"/>
  <c r="BJ91" i="20"/>
  <c r="BS91" i="20"/>
  <c r="CB91" i="20"/>
  <c r="CL91" i="20"/>
  <c r="CU91" i="20"/>
  <c r="DD91" i="20"/>
  <c r="R91" i="20"/>
  <c r="AA91" i="20"/>
  <c r="AJ91" i="20"/>
  <c r="AS91" i="20"/>
  <c r="BB91" i="20"/>
  <c r="BK91" i="20"/>
  <c r="BT91" i="20"/>
  <c r="CD91" i="20"/>
  <c r="CM91" i="20"/>
  <c r="CV91" i="20"/>
  <c r="DE91" i="20"/>
  <c r="T91" i="20"/>
  <c r="AE91" i="20"/>
  <c r="AQ91" i="20"/>
  <c r="BD91" i="20"/>
  <c r="BP91" i="20"/>
  <c r="CA91" i="20"/>
  <c r="CO91" i="20"/>
  <c r="CZ91" i="20"/>
  <c r="DL91" i="20"/>
  <c r="W91" i="20"/>
  <c r="AK91" i="20"/>
  <c r="AV91" i="20"/>
  <c r="BH91" i="20"/>
  <c r="BV91" i="20"/>
  <c r="CG91" i="20"/>
  <c r="CR91" i="20"/>
  <c r="DF91" i="20"/>
  <c r="X91" i="20"/>
  <c r="AL91" i="20"/>
  <c r="AX91" i="20"/>
  <c r="BI91" i="20"/>
  <c r="BW91" i="20"/>
  <c r="CH91" i="20"/>
  <c r="CT91" i="20"/>
  <c r="DG91" i="20"/>
  <c r="AB91" i="20"/>
  <c r="AT91" i="20"/>
  <c r="BN91" i="20"/>
  <c r="CF91" i="20"/>
  <c r="CY91" i="20"/>
  <c r="AC91" i="20"/>
  <c r="AU91" i="20"/>
  <c r="BO91" i="20"/>
  <c r="CI91" i="20"/>
  <c r="DB91" i="20"/>
  <c r="AD91" i="20"/>
  <c r="AY91" i="20"/>
  <c r="BQ91" i="20"/>
  <c r="CJ91" i="20"/>
  <c r="DC91" i="20"/>
  <c r="AN91" i="20"/>
  <c r="BX91" i="20"/>
  <c r="CX91" i="20"/>
  <c r="AP91" i="20"/>
  <c r="BY91" i="20"/>
  <c r="DH91" i="20"/>
  <c r="S91" i="20"/>
  <c r="AZ91" i="20"/>
  <c r="BZ91" i="20"/>
  <c r="DJ91" i="20"/>
  <c r="U91" i="20"/>
  <c r="BC91" i="20"/>
  <c r="CE91" i="20"/>
  <c r="DK91" i="20"/>
  <c r="V91" i="20"/>
  <c r="BF91" i="20"/>
  <c r="CN91" i="20"/>
  <c r="AF91" i="20"/>
  <c r="CW91" i="20"/>
  <c r="AH91" i="20"/>
  <c r="AM91" i="20"/>
  <c r="BG91" i="20"/>
  <c r="BL91" i="20"/>
  <c r="BR91" i="20"/>
  <c r="CP91" i="20"/>
  <c r="CQ91" i="20"/>
  <c r="Q20" i="20"/>
  <c r="Y20" i="20"/>
  <c r="AG20" i="20"/>
  <c r="AO20" i="20"/>
  <c r="AW20" i="20"/>
  <c r="BE20" i="20"/>
  <c r="BM20" i="20"/>
  <c r="BU20" i="20"/>
  <c r="CC20" i="20"/>
  <c r="CK20" i="20"/>
  <c r="CS20" i="20"/>
  <c r="DA20" i="20"/>
  <c r="DI20" i="20"/>
  <c r="R20" i="20"/>
  <c r="Z20" i="20"/>
  <c r="AH20" i="20"/>
  <c r="AP20" i="20"/>
  <c r="AX20" i="20"/>
  <c r="BF20" i="20"/>
  <c r="BN20" i="20"/>
  <c r="BV20" i="20"/>
  <c r="CD20" i="20"/>
  <c r="CL20" i="20"/>
  <c r="CT20" i="20"/>
  <c r="DB20" i="20"/>
  <c r="DJ20" i="20"/>
  <c r="S20" i="20"/>
  <c r="AA20" i="20"/>
  <c r="AI20" i="20"/>
  <c r="AQ20" i="20"/>
  <c r="AY20" i="20"/>
  <c r="BG20" i="20"/>
  <c r="BO20" i="20"/>
  <c r="BW20" i="20"/>
  <c r="CE20" i="20"/>
  <c r="CM20" i="20"/>
  <c r="CU20" i="20"/>
  <c r="DC20" i="20"/>
  <c r="DK20" i="20"/>
  <c r="AD20" i="20"/>
  <c r="AR20" i="20"/>
  <c r="BC20" i="20"/>
  <c r="BQ20" i="20"/>
  <c r="CB20" i="20"/>
  <c r="CP20" i="20"/>
  <c r="DD20" i="20"/>
  <c r="T20" i="20"/>
  <c r="AE20" i="20"/>
  <c r="AS20" i="20"/>
  <c r="BD20" i="20"/>
  <c r="BR20" i="20"/>
  <c r="CF20" i="20"/>
  <c r="CQ20" i="20"/>
  <c r="DE20" i="20"/>
  <c r="U20" i="20"/>
  <c r="AF20" i="20"/>
  <c r="AT20" i="20"/>
  <c r="BH20" i="20"/>
  <c r="BS20" i="20"/>
  <c r="CG20" i="20"/>
  <c r="CR20" i="20"/>
  <c r="DF20" i="20"/>
  <c r="V20" i="20"/>
  <c r="AJ20" i="20"/>
  <c r="AU20" i="20"/>
  <c r="BI20" i="20"/>
  <c r="BT20" i="20"/>
  <c r="X20" i="20"/>
  <c r="AZ20" i="20"/>
  <c r="BY20" i="20"/>
  <c r="CV20" i="20"/>
  <c r="AK20" i="20"/>
  <c r="BJ20" i="20"/>
  <c r="CH20" i="20"/>
  <c r="CY20" i="20"/>
  <c r="AB20" i="20"/>
  <c r="BK20" i="20"/>
  <c r="CN20" i="20"/>
  <c r="AC20" i="20"/>
  <c r="BL20" i="20"/>
  <c r="CO20" i="20"/>
  <c r="AN20" i="20"/>
  <c r="CI20" i="20"/>
  <c r="BP20" i="20"/>
  <c r="CZ20" i="20"/>
  <c r="BZ20" i="20"/>
  <c r="W20" i="20"/>
  <c r="CA20" i="20"/>
  <c r="AL20" i="20"/>
  <c r="CJ20" i="20"/>
  <c r="AM20" i="20"/>
  <c r="CW20" i="20"/>
  <c r="AV20" i="20"/>
  <c r="BA20" i="20"/>
  <c r="DH20" i="20"/>
  <c r="BB20" i="20"/>
  <c r="BX20" i="20"/>
  <c r="CX20" i="20"/>
  <c r="DG20" i="20"/>
  <c r="DL20" i="20"/>
  <c r="R211" i="20"/>
  <c r="Z211" i="20"/>
  <c r="AH211" i="20"/>
  <c r="AP211" i="20"/>
  <c r="AX211" i="20"/>
  <c r="BF211" i="20"/>
  <c r="BN211" i="20"/>
  <c r="BV211" i="20"/>
  <c r="CD211" i="20"/>
  <c r="CL211" i="20"/>
  <c r="CT211" i="20"/>
  <c r="DB211" i="20"/>
  <c r="DJ211" i="20"/>
  <c r="V211" i="20"/>
  <c r="AE211" i="20"/>
  <c r="AN211" i="20"/>
  <c r="AW211" i="20"/>
  <c r="BG211" i="20"/>
  <c r="BP211" i="20"/>
  <c r="BY211" i="20"/>
  <c r="CH211" i="20"/>
  <c r="CQ211" i="20"/>
  <c r="CZ211" i="20"/>
  <c r="DI211" i="20"/>
  <c r="W211" i="20"/>
  <c r="AF211" i="20"/>
  <c r="AO211" i="20"/>
  <c r="AY211" i="20"/>
  <c r="BH211" i="20"/>
  <c r="BQ211" i="20"/>
  <c r="BZ211" i="20"/>
  <c r="CI211" i="20"/>
  <c r="CR211" i="20"/>
  <c r="DA211" i="20"/>
  <c r="DK211" i="20"/>
  <c r="S211" i="20"/>
  <c r="AD211" i="20"/>
  <c r="AR211" i="20"/>
  <c r="BC211" i="20"/>
  <c r="BO211" i="20"/>
  <c r="CB211" i="20"/>
  <c r="CN211" i="20"/>
  <c r="CY211" i="20"/>
  <c r="T211" i="20"/>
  <c r="AG211" i="20"/>
  <c r="AS211" i="20"/>
  <c r="BD211" i="20"/>
  <c r="BR211" i="20"/>
  <c r="CC211" i="20"/>
  <c r="CO211" i="20"/>
  <c r="DC211" i="20"/>
  <c r="X211" i="20"/>
  <c r="AJ211" i="20"/>
  <c r="AU211" i="20"/>
  <c r="BI211" i="20"/>
  <c r="BT211" i="20"/>
  <c r="CF211" i="20"/>
  <c r="CS211" i="20"/>
  <c r="DE211" i="20"/>
  <c r="Y211" i="20"/>
  <c r="AQ211" i="20"/>
  <c r="BK211" i="20"/>
  <c r="CE211" i="20"/>
  <c r="CW211" i="20"/>
  <c r="AB211" i="20"/>
  <c r="AV211" i="20"/>
  <c r="BM211" i="20"/>
  <c r="CJ211" i="20"/>
  <c r="DD211" i="20"/>
  <c r="AC211" i="20"/>
  <c r="AZ211" i="20"/>
  <c r="BS211" i="20"/>
  <c r="CK211" i="20"/>
  <c r="DF211" i="20"/>
  <c r="AI211" i="20"/>
  <c r="BJ211" i="20"/>
  <c r="CP211" i="20"/>
  <c r="AK211" i="20"/>
  <c r="BL211" i="20"/>
  <c r="CU211" i="20"/>
  <c r="AM211" i="20"/>
  <c r="BW211" i="20"/>
  <c r="CX211" i="20"/>
  <c r="AA211" i="20"/>
  <c r="CA211" i="20"/>
  <c r="BB211" i="20"/>
  <c r="DH211" i="20"/>
  <c r="BE211" i="20"/>
  <c r="DL211" i="20"/>
  <c r="BU211" i="20"/>
  <c r="Q211" i="20"/>
  <c r="BX211" i="20"/>
  <c r="U211" i="20"/>
  <c r="CG211" i="20"/>
  <c r="AL211" i="20"/>
  <c r="CM211" i="20"/>
  <c r="S306" i="20"/>
  <c r="AA306" i="20"/>
  <c r="AI306" i="20"/>
  <c r="AQ306" i="20"/>
  <c r="AY306" i="20"/>
  <c r="BG306" i="20"/>
  <c r="BO306" i="20"/>
  <c r="BW306" i="20"/>
  <c r="CE306" i="20"/>
  <c r="CM306" i="20"/>
  <c r="CU306" i="20"/>
  <c r="DC306" i="20"/>
  <c r="DK306" i="20"/>
  <c r="T306" i="20"/>
  <c r="AB306" i="20"/>
  <c r="AJ306" i="20"/>
  <c r="AR306" i="20"/>
  <c r="AZ306" i="20"/>
  <c r="BH306" i="20"/>
  <c r="BP306" i="20"/>
  <c r="BX306" i="20"/>
  <c r="CF306" i="20"/>
  <c r="CN306" i="20"/>
  <c r="CV306" i="20"/>
  <c r="DD306" i="20"/>
  <c r="DL306" i="20"/>
  <c r="X306" i="20"/>
  <c r="AH306" i="20"/>
  <c r="AT306" i="20"/>
  <c r="BD306" i="20"/>
  <c r="BN306" i="20"/>
  <c r="BZ306" i="20"/>
  <c r="CJ306" i="20"/>
  <c r="CT306" i="20"/>
  <c r="DF306" i="20"/>
  <c r="Y306" i="20"/>
  <c r="AK306" i="20"/>
  <c r="AU306" i="20"/>
  <c r="BE306" i="20"/>
  <c r="BQ306" i="20"/>
  <c r="CA306" i="20"/>
  <c r="CK306" i="20"/>
  <c r="CW306" i="20"/>
  <c r="DG306" i="20"/>
  <c r="Q306" i="20"/>
  <c r="AC306" i="20"/>
  <c r="AM306" i="20"/>
  <c r="AW306" i="20"/>
  <c r="BI306" i="20"/>
  <c r="BS306" i="20"/>
  <c r="CC306" i="20"/>
  <c r="CO306" i="20"/>
  <c r="CY306" i="20"/>
  <c r="DI306" i="20"/>
  <c r="R306" i="20"/>
  <c r="AG306" i="20"/>
  <c r="BA306" i="20"/>
  <c r="BR306" i="20"/>
  <c r="CH306" i="20"/>
  <c r="CZ306" i="20"/>
  <c r="U306" i="20"/>
  <c r="AL306" i="20"/>
  <c r="BB306" i="20"/>
  <c r="BT306" i="20"/>
  <c r="CI306" i="20"/>
  <c r="DA306" i="20"/>
  <c r="V306" i="20"/>
  <c r="AN306" i="20"/>
  <c r="BC306" i="20"/>
  <c r="BU306" i="20"/>
  <c r="CL306" i="20"/>
  <c r="DB306" i="20"/>
  <c r="W306" i="20"/>
  <c r="AO306" i="20"/>
  <c r="BF306" i="20"/>
  <c r="BV306" i="20"/>
  <c r="CP306" i="20"/>
  <c r="DE306" i="20"/>
  <c r="DD407" i="20"/>
  <c r="CR407" i="20"/>
  <c r="CH407" i="20"/>
  <c r="BX407" i="20"/>
  <c r="BL407" i="20"/>
  <c r="BB407" i="20"/>
  <c r="AR407" i="20"/>
  <c r="AF407" i="20"/>
  <c r="V407" i="20"/>
  <c r="DG384" i="20"/>
  <c r="CJ384" i="20"/>
  <c r="BK384" i="20"/>
  <c r="AZ384" i="20"/>
  <c r="AA384" i="20"/>
  <c r="BZ373" i="20"/>
  <c r="BC373" i="20"/>
  <c r="AD373" i="20"/>
  <c r="AK354" i="20"/>
  <c r="Q157" i="20"/>
  <c r="Y157" i="20"/>
  <c r="AG157" i="20"/>
  <c r="AO157" i="20"/>
  <c r="AW157" i="20"/>
  <c r="BE157" i="20"/>
  <c r="BM157" i="20"/>
  <c r="BU157" i="20"/>
  <c r="CC157" i="20"/>
  <c r="CK157" i="20"/>
  <c r="W157" i="20"/>
  <c r="AF157" i="20"/>
  <c r="AP157" i="20"/>
  <c r="AY157" i="20"/>
  <c r="BH157" i="20"/>
  <c r="BQ157" i="20"/>
  <c r="BZ157" i="20"/>
  <c r="CI157" i="20"/>
  <c r="CR157" i="20"/>
  <c r="CZ157" i="20"/>
  <c r="DH157" i="20"/>
  <c r="S157" i="20"/>
  <c r="AB157" i="20"/>
  <c r="AK157" i="20"/>
  <c r="AT157" i="20"/>
  <c r="BC157" i="20"/>
  <c r="BL157" i="20"/>
  <c r="BV157" i="20"/>
  <c r="CE157" i="20"/>
  <c r="CN157" i="20"/>
  <c r="CV157" i="20"/>
  <c r="DD157" i="20"/>
  <c r="DL157" i="20"/>
  <c r="U157" i="20"/>
  <c r="AH157" i="20"/>
  <c r="AS157" i="20"/>
  <c r="BF157" i="20"/>
  <c r="BR157" i="20"/>
  <c r="CD157" i="20"/>
  <c r="CP157" i="20"/>
  <c r="DA157" i="20"/>
  <c r="DK157" i="20"/>
  <c r="V157" i="20"/>
  <c r="AI157" i="20"/>
  <c r="AU157" i="20"/>
  <c r="BG157" i="20"/>
  <c r="BS157" i="20"/>
  <c r="CF157" i="20"/>
  <c r="CQ157" i="20"/>
  <c r="DB157" i="20"/>
  <c r="X157" i="20"/>
  <c r="AJ157" i="20"/>
  <c r="AV157" i="20"/>
  <c r="BI157" i="20"/>
  <c r="BT157" i="20"/>
  <c r="CG157" i="20"/>
  <c r="CS157" i="20"/>
  <c r="DC157" i="20"/>
  <c r="AL157" i="20"/>
  <c r="BB157" i="20"/>
  <c r="BX157" i="20"/>
  <c r="CO157" i="20"/>
  <c r="DG157" i="20"/>
  <c r="R157" i="20"/>
  <c r="AM157" i="20"/>
  <c r="BD157" i="20"/>
  <c r="BY157" i="20"/>
  <c r="CT157" i="20"/>
  <c r="DI157" i="20"/>
  <c r="Z157" i="20"/>
  <c r="AQ157" i="20"/>
  <c r="BK157" i="20"/>
  <c r="CB157" i="20"/>
  <c r="CW157" i="20"/>
  <c r="AE157" i="20"/>
  <c r="BO157" i="20"/>
  <c r="CU157" i="20"/>
  <c r="AN157" i="20"/>
  <c r="BP157" i="20"/>
  <c r="CX157" i="20"/>
  <c r="AR157" i="20"/>
  <c r="BW157" i="20"/>
  <c r="CY157" i="20"/>
  <c r="AX157" i="20"/>
  <c r="CA157" i="20"/>
  <c r="DE157" i="20"/>
  <c r="T157" i="20"/>
  <c r="AZ157" i="20"/>
  <c r="CH157" i="20"/>
  <c r="DF157" i="20"/>
  <c r="BN157" i="20"/>
  <c r="CJ157" i="20"/>
  <c r="CL157" i="20"/>
  <c r="AA157" i="20"/>
  <c r="CM157" i="20"/>
  <c r="AD157" i="20"/>
  <c r="BA157" i="20"/>
  <c r="BJ157" i="20"/>
  <c r="DJ157" i="20"/>
  <c r="AC157" i="20"/>
  <c r="Q386" i="20"/>
  <c r="Y386" i="20"/>
  <c r="AG386" i="20"/>
  <c r="AO386" i="20"/>
  <c r="AW386" i="20"/>
  <c r="BE386" i="20"/>
  <c r="BM386" i="20"/>
  <c r="BU386" i="20"/>
  <c r="CC386" i="20"/>
  <c r="CK386" i="20"/>
  <c r="CS386" i="20"/>
  <c r="DA386" i="20"/>
  <c r="DI386" i="20"/>
  <c r="V386" i="20"/>
  <c r="AE386" i="20"/>
  <c r="AN386" i="20"/>
  <c r="AX386" i="20"/>
  <c r="BG386" i="20"/>
  <c r="BP386" i="20"/>
  <c r="BY386" i="20"/>
  <c r="CH386" i="20"/>
  <c r="CQ386" i="20"/>
  <c r="CZ386" i="20"/>
  <c r="DJ386" i="20"/>
  <c r="X386" i="20"/>
  <c r="AH386" i="20"/>
  <c r="AQ386" i="20"/>
  <c r="AZ386" i="20"/>
  <c r="BI386" i="20"/>
  <c r="BR386" i="20"/>
  <c r="CA386" i="20"/>
  <c r="CJ386" i="20"/>
  <c r="CT386" i="20"/>
  <c r="DC386" i="20"/>
  <c r="DL386" i="20"/>
  <c r="S326" i="20"/>
  <c r="AA326" i="20"/>
  <c r="AI326" i="20"/>
  <c r="AQ326" i="20"/>
  <c r="AY326" i="20"/>
  <c r="BG326" i="20"/>
  <c r="BO326" i="20"/>
  <c r="BW326" i="20"/>
  <c r="CE326" i="20"/>
  <c r="CM326" i="20"/>
  <c r="CU326" i="20"/>
  <c r="DC326" i="20"/>
  <c r="DK326" i="20"/>
  <c r="T326" i="20"/>
  <c r="AB326" i="20"/>
  <c r="AJ326" i="20"/>
  <c r="AR326" i="20"/>
  <c r="AZ326" i="20"/>
  <c r="BH326" i="20"/>
  <c r="BP326" i="20"/>
  <c r="BX326" i="20"/>
  <c r="CF326" i="20"/>
  <c r="CN326" i="20"/>
  <c r="CV326" i="20"/>
  <c r="DD326" i="20"/>
  <c r="U326" i="20"/>
  <c r="AE326" i="20"/>
  <c r="AO326" i="20"/>
  <c r="BA326" i="20"/>
  <c r="BK326" i="20"/>
  <c r="BU326" i="20"/>
  <c r="CG326" i="20"/>
  <c r="CQ326" i="20"/>
  <c r="DA326" i="20"/>
  <c r="DL326" i="20"/>
  <c r="W326" i="20"/>
  <c r="AG326" i="20"/>
  <c r="AS326" i="20"/>
  <c r="BC326" i="20"/>
  <c r="BM326" i="20"/>
  <c r="BY326" i="20"/>
  <c r="CI326" i="20"/>
  <c r="CS326" i="20"/>
  <c r="DE326" i="20"/>
  <c r="Z326" i="20"/>
  <c r="AN326" i="20"/>
  <c r="BD326" i="20"/>
  <c r="BR326" i="20"/>
  <c r="CD326" i="20"/>
  <c r="CT326" i="20"/>
  <c r="DH326" i="20"/>
  <c r="AC326" i="20"/>
  <c r="AP326" i="20"/>
  <c r="BE326" i="20"/>
  <c r="BS326" i="20"/>
  <c r="CH326" i="20"/>
  <c r="CW326" i="20"/>
  <c r="DI326" i="20"/>
  <c r="AD326" i="20"/>
  <c r="AT326" i="20"/>
  <c r="BF326" i="20"/>
  <c r="BT326" i="20"/>
  <c r="CJ326" i="20"/>
  <c r="CX326" i="20"/>
  <c r="DJ326" i="20"/>
  <c r="X49" i="20"/>
  <c r="AF49" i="20"/>
  <c r="AN49" i="20"/>
  <c r="AV49" i="20"/>
  <c r="BD49" i="20"/>
  <c r="BL49" i="20"/>
  <c r="BT49" i="20"/>
  <c r="CB49" i="20"/>
  <c r="CJ49" i="20"/>
  <c r="CR49" i="20"/>
  <c r="CZ49" i="20"/>
  <c r="DH49" i="20"/>
  <c r="T49" i="20"/>
  <c r="AC49" i="20"/>
  <c r="AL49" i="20"/>
  <c r="AU49" i="20"/>
  <c r="BE49" i="20"/>
  <c r="BN49" i="20"/>
  <c r="BW49" i="20"/>
  <c r="CF49" i="20"/>
  <c r="CO49" i="20"/>
  <c r="CX49" i="20"/>
  <c r="DG49" i="20"/>
  <c r="W49" i="20"/>
  <c r="AH49" i="20"/>
  <c r="AR49" i="20"/>
  <c r="BB49" i="20"/>
  <c r="BM49" i="20"/>
  <c r="BX49" i="20"/>
  <c r="CH49" i="20"/>
  <c r="CS49" i="20"/>
  <c r="DC49" i="20"/>
  <c r="Y49" i="20"/>
  <c r="AI49" i="20"/>
  <c r="AS49" i="20"/>
  <c r="BC49" i="20"/>
  <c r="BO49" i="20"/>
  <c r="BY49" i="20"/>
  <c r="CI49" i="20"/>
  <c r="CT49" i="20"/>
  <c r="DD49" i="20"/>
  <c r="Z49" i="20"/>
  <c r="AJ49" i="20"/>
  <c r="AT49" i="20"/>
  <c r="BF49" i="20"/>
  <c r="BP49" i="20"/>
  <c r="BZ49" i="20"/>
  <c r="CK49" i="20"/>
  <c r="CU49" i="20"/>
  <c r="DE49" i="20"/>
  <c r="Q49" i="20"/>
  <c r="AA49" i="20"/>
  <c r="AK49" i="20"/>
  <c r="AW49" i="20"/>
  <c r="BG49" i="20"/>
  <c r="BQ49" i="20"/>
  <c r="CA49" i="20"/>
  <c r="CL49" i="20"/>
  <c r="CV49" i="20"/>
  <c r="DF49" i="20"/>
  <c r="R49" i="20"/>
  <c r="AM49" i="20"/>
  <c r="BH49" i="20"/>
  <c r="CC49" i="20"/>
  <c r="CW49" i="20"/>
  <c r="S49" i="20"/>
  <c r="AO49" i="20"/>
  <c r="BI49" i="20"/>
  <c r="CD49" i="20"/>
  <c r="CY49" i="20"/>
  <c r="U49" i="20"/>
  <c r="AP49" i="20"/>
  <c r="BJ49" i="20"/>
  <c r="CE49" i="20"/>
  <c r="DA49" i="20"/>
  <c r="V49" i="20"/>
  <c r="AQ49" i="20"/>
  <c r="BK49" i="20"/>
  <c r="CG49" i="20"/>
  <c r="DB49" i="20"/>
  <c r="AB49" i="20"/>
  <c r="AX49" i="20"/>
  <c r="BR49" i="20"/>
  <c r="CM49" i="20"/>
  <c r="DI49" i="20"/>
  <c r="AD49" i="20"/>
  <c r="BV49" i="20"/>
  <c r="AE49" i="20"/>
  <c r="CN49" i="20"/>
  <c r="AG49" i="20"/>
  <c r="CP49" i="20"/>
  <c r="AY49" i="20"/>
  <c r="CQ49" i="20"/>
  <c r="AZ49" i="20"/>
  <c r="BA49" i="20"/>
  <c r="BS49" i="20"/>
  <c r="BU49" i="20"/>
  <c r="DJ49" i="20"/>
  <c r="DK49" i="20"/>
  <c r="DL49" i="20"/>
  <c r="S300" i="20"/>
  <c r="AA300" i="20"/>
  <c r="AI300" i="20"/>
  <c r="AQ300" i="20"/>
  <c r="AY300" i="20"/>
  <c r="BG300" i="20"/>
  <c r="BO300" i="20"/>
  <c r="BW300" i="20"/>
  <c r="CE300" i="20"/>
  <c r="CM300" i="20"/>
  <c r="CU300" i="20"/>
  <c r="DC300" i="20"/>
  <c r="DK300" i="20"/>
  <c r="T300" i="20"/>
  <c r="AB300" i="20"/>
  <c r="AJ300" i="20"/>
  <c r="AR300" i="20"/>
  <c r="AZ300" i="20"/>
  <c r="BH300" i="20"/>
  <c r="BP300" i="20"/>
  <c r="BX300" i="20"/>
  <c r="CF300" i="20"/>
  <c r="CN300" i="20"/>
  <c r="CV300" i="20"/>
  <c r="DD300" i="20"/>
  <c r="DL300" i="20"/>
  <c r="Z300" i="20"/>
  <c r="AL300" i="20"/>
  <c r="AV300" i="20"/>
  <c r="BF300" i="20"/>
  <c r="BR300" i="20"/>
  <c r="CB300" i="20"/>
  <c r="CL300" i="20"/>
  <c r="CX300" i="20"/>
  <c r="DH300" i="20"/>
  <c r="Q300" i="20"/>
  <c r="AC300" i="20"/>
  <c r="AM300" i="20"/>
  <c r="AW300" i="20"/>
  <c r="BI300" i="20"/>
  <c r="BS300" i="20"/>
  <c r="CC300" i="20"/>
  <c r="CO300" i="20"/>
  <c r="CY300" i="20"/>
  <c r="DI300" i="20"/>
  <c r="U300" i="20"/>
  <c r="AE300" i="20"/>
  <c r="AO300" i="20"/>
  <c r="BA300" i="20"/>
  <c r="BK300" i="20"/>
  <c r="BU300" i="20"/>
  <c r="CG300" i="20"/>
  <c r="CQ300" i="20"/>
  <c r="DA300" i="20"/>
  <c r="V300" i="20"/>
  <c r="AK300" i="20"/>
  <c r="BC300" i="20"/>
  <c r="BT300" i="20"/>
  <c r="CJ300" i="20"/>
  <c r="DB300" i="20"/>
  <c r="W300" i="20"/>
  <c r="AN300" i="20"/>
  <c r="BD300" i="20"/>
  <c r="BV300" i="20"/>
  <c r="CK300" i="20"/>
  <c r="DE300" i="20"/>
  <c r="X300" i="20"/>
  <c r="AP300" i="20"/>
  <c r="BE300" i="20"/>
  <c r="BY300" i="20"/>
  <c r="CP300" i="20"/>
  <c r="DF300" i="20"/>
  <c r="Y300" i="20"/>
  <c r="AS300" i="20"/>
  <c r="BJ300" i="20"/>
  <c r="BZ300" i="20"/>
  <c r="CR300" i="20"/>
  <c r="DG300" i="20"/>
  <c r="W37" i="20"/>
  <c r="AE37" i="20"/>
  <c r="AM37" i="20"/>
  <c r="AU37" i="20"/>
  <c r="BC37" i="20"/>
  <c r="BK37" i="20"/>
  <c r="BS37" i="20"/>
  <c r="CA37" i="20"/>
  <c r="CI37" i="20"/>
  <c r="CQ37" i="20"/>
  <c r="CY37" i="20"/>
  <c r="DG37" i="20"/>
  <c r="R37" i="20"/>
  <c r="AA37" i="20"/>
  <c r="AJ37" i="20"/>
  <c r="AS37" i="20"/>
  <c r="BB37" i="20"/>
  <c r="BL37" i="20"/>
  <c r="BU37" i="20"/>
  <c r="CD37" i="20"/>
  <c r="CM37" i="20"/>
  <c r="CV37" i="20"/>
  <c r="DE37" i="20"/>
  <c r="S37" i="20"/>
  <c r="AB37" i="20"/>
  <c r="AK37" i="20"/>
  <c r="AT37" i="20"/>
  <c r="BD37" i="20"/>
  <c r="BM37" i="20"/>
  <c r="BV37" i="20"/>
  <c r="CE37" i="20"/>
  <c r="CN37" i="20"/>
  <c r="CW37" i="20"/>
  <c r="DF37" i="20"/>
  <c r="V37" i="20"/>
  <c r="AH37" i="20"/>
  <c r="AV37" i="20"/>
  <c r="BG37" i="20"/>
  <c r="BR37" i="20"/>
  <c r="CF37" i="20"/>
  <c r="CR37" i="20"/>
  <c r="DC37" i="20"/>
  <c r="Y37" i="20"/>
  <c r="AN37" i="20"/>
  <c r="AZ37" i="20"/>
  <c r="BO37" i="20"/>
  <c r="CB37" i="20"/>
  <c r="CP37" i="20"/>
  <c r="DD37" i="20"/>
  <c r="Z37" i="20"/>
  <c r="AO37" i="20"/>
  <c r="BA37" i="20"/>
  <c r="BP37" i="20"/>
  <c r="CC37" i="20"/>
  <c r="CS37" i="20"/>
  <c r="DH37" i="20"/>
  <c r="AD37" i="20"/>
  <c r="AQ37" i="20"/>
  <c r="BF37" i="20"/>
  <c r="BT37" i="20"/>
  <c r="CH37" i="20"/>
  <c r="CU37" i="20"/>
  <c r="DJ37" i="20"/>
  <c r="AC37" i="20"/>
  <c r="AX37" i="20"/>
  <c r="BW37" i="20"/>
  <c r="CO37" i="20"/>
  <c r="DL37" i="20"/>
  <c r="T37" i="20"/>
  <c r="AP37" i="20"/>
  <c r="BJ37" i="20"/>
  <c r="CJ37" i="20"/>
  <c r="DB37" i="20"/>
  <c r="Q37" i="20"/>
  <c r="AW37" i="20"/>
  <c r="BY37" i="20"/>
  <c r="DA37" i="20"/>
  <c r="U37" i="20"/>
  <c r="AY37" i="20"/>
  <c r="BZ37" i="20"/>
  <c r="DI37" i="20"/>
  <c r="X37" i="20"/>
  <c r="BE37" i="20"/>
  <c r="CG37" i="20"/>
  <c r="DK37" i="20"/>
  <c r="AF37" i="20"/>
  <c r="BH37" i="20"/>
  <c r="CK37" i="20"/>
  <c r="BI37" i="20"/>
  <c r="BN37" i="20"/>
  <c r="BQ37" i="20"/>
  <c r="BX37" i="20"/>
  <c r="AG37" i="20"/>
  <c r="CL37" i="20"/>
  <c r="AI37" i="20"/>
  <c r="AL37" i="20"/>
  <c r="AR37" i="20"/>
  <c r="CT37" i="20"/>
  <c r="CX37" i="20"/>
  <c r="CZ37" i="20"/>
  <c r="Q137" i="20"/>
  <c r="Y137" i="20"/>
  <c r="AG137" i="20"/>
  <c r="AO137" i="20"/>
  <c r="AW137" i="20"/>
  <c r="BE137" i="20"/>
  <c r="BM137" i="20"/>
  <c r="BU137" i="20"/>
  <c r="CC137" i="20"/>
  <c r="CK137" i="20"/>
  <c r="CS137" i="20"/>
  <c r="DA137" i="20"/>
  <c r="DI137" i="20"/>
  <c r="R137" i="20"/>
  <c r="Z137" i="20"/>
  <c r="AH137" i="20"/>
  <c r="AP137" i="20"/>
  <c r="AX137" i="20"/>
  <c r="BF137" i="20"/>
  <c r="BN137" i="20"/>
  <c r="BV137" i="20"/>
  <c r="CD137" i="20"/>
  <c r="CL137" i="20"/>
  <c r="CT137" i="20"/>
  <c r="DB137" i="20"/>
  <c r="DJ137" i="20"/>
  <c r="S137" i="20"/>
  <c r="AC137" i="20"/>
  <c r="AM137" i="20"/>
  <c r="AY137" i="20"/>
  <c r="BI137" i="20"/>
  <c r="BS137" i="20"/>
  <c r="CE137" i="20"/>
  <c r="CO137" i="20"/>
  <c r="CY137" i="20"/>
  <c r="DK137" i="20"/>
  <c r="T137" i="20"/>
  <c r="AD137" i="20"/>
  <c r="AN137" i="20"/>
  <c r="AZ137" i="20"/>
  <c r="BJ137" i="20"/>
  <c r="BT137" i="20"/>
  <c r="CF137" i="20"/>
  <c r="CP137" i="20"/>
  <c r="CZ137" i="20"/>
  <c r="DL137" i="20"/>
  <c r="V137" i="20"/>
  <c r="AF137" i="20"/>
  <c r="AR137" i="20"/>
  <c r="BB137" i="20"/>
  <c r="BL137" i="20"/>
  <c r="BX137" i="20"/>
  <c r="CH137" i="20"/>
  <c r="CR137" i="20"/>
  <c r="DD137" i="20"/>
  <c r="W137" i="20"/>
  <c r="AI137" i="20"/>
  <c r="AS137" i="20"/>
  <c r="BC137" i="20"/>
  <c r="BO137" i="20"/>
  <c r="BY137" i="20"/>
  <c r="CI137" i="20"/>
  <c r="CU137" i="20"/>
  <c r="DE137" i="20"/>
  <c r="AE137" i="20"/>
  <c r="BA137" i="20"/>
  <c r="BW137" i="20"/>
  <c r="CQ137" i="20"/>
  <c r="AJ137" i="20"/>
  <c r="BD137" i="20"/>
  <c r="BZ137" i="20"/>
  <c r="CV137" i="20"/>
  <c r="AK137" i="20"/>
  <c r="BG137" i="20"/>
  <c r="CA137" i="20"/>
  <c r="CW137" i="20"/>
  <c r="AL137" i="20"/>
  <c r="BH137" i="20"/>
  <c r="CB137" i="20"/>
  <c r="CX137" i="20"/>
  <c r="AA137" i="20"/>
  <c r="BQ137" i="20"/>
  <c r="DG137" i="20"/>
  <c r="AB137" i="20"/>
  <c r="BR137" i="20"/>
  <c r="DH137" i="20"/>
  <c r="AT137" i="20"/>
  <c r="CJ137" i="20"/>
  <c r="BK137" i="20"/>
  <c r="BP137" i="20"/>
  <c r="CG137" i="20"/>
  <c r="U137" i="20"/>
  <c r="CM137" i="20"/>
  <c r="X137" i="20"/>
  <c r="CN137" i="20"/>
  <c r="DF137" i="20"/>
  <c r="AU137" i="20"/>
  <c r="AV137" i="20"/>
  <c r="DC137" i="20"/>
  <c r="AQ137" i="20"/>
  <c r="U144" i="20"/>
  <c r="AC144" i="20"/>
  <c r="AK144" i="20"/>
  <c r="AS144" i="20"/>
  <c r="BA144" i="20"/>
  <c r="BI144" i="20"/>
  <c r="BQ144" i="20"/>
  <c r="BY144" i="20"/>
  <c r="CG144" i="20"/>
  <c r="CO144" i="20"/>
  <c r="CW144" i="20"/>
  <c r="DE144" i="20"/>
  <c r="V144" i="20"/>
  <c r="AD144" i="20"/>
  <c r="AL144" i="20"/>
  <c r="AT144" i="20"/>
  <c r="BB144" i="20"/>
  <c r="BJ144" i="20"/>
  <c r="BR144" i="20"/>
  <c r="BZ144" i="20"/>
  <c r="CH144" i="20"/>
  <c r="CP144" i="20"/>
  <c r="CX144" i="20"/>
  <c r="DF144" i="20"/>
  <c r="W144" i="20"/>
  <c r="AG144" i="20"/>
  <c r="AQ144" i="20"/>
  <c r="BC144" i="20"/>
  <c r="BM144" i="20"/>
  <c r="BW144" i="20"/>
  <c r="CI144" i="20"/>
  <c r="CS144" i="20"/>
  <c r="DC144" i="20"/>
  <c r="X144" i="20"/>
  <c r="AH144" i="20"/>
  <c r="AR144" i="20"/>
  <c r="BD144" i="20"/>
  <c r="BN144" i="20"/>
  <c r="BX144" i="20"/>
  <c r="CJ144" i="20"/>
  <c r="CT144" i="20"/>
  <c r="DD144" i="20"/>
  <c r="Z144" i="20"/>
  <c r="AJ144" i="20"/>
  <c r="AV144" i="20"/>
  <c r="BF144" i="20"/>
  <c r="BP144" i="20"/>
  <c r="CB144" i="20"/>
  <c r="CL144" i="20"/>
  <c r="CV144" i="20"/>
  <c r="DH144" i="20"/>
  <c r="Q144" i="20"/>
  <c r="AA144" i="20"/>
  <c r="AM144" i="20"/>
  <c r="AW144" i="20"/>
  <c r="BG144" i="20"/>
  <c r="BS144" i="20"/>
  <c r="CC144" i="20"/>
  <c r="CM144" i="20"/>
  <c r="CY144" i="20"/>
  <c r="DI144" i="20"/>
  <c r="AI144" i="20"/>
  <c r="BE144" i="20"/>
  <c r="CA144" i="20"/>
  <c r="CU144" i="20"/>
  <c r="R144" i="20"/>
  <c r="AN144" i="20"/>
  <c r="BH144" i="20"/>
  <c r="CD144" i="20"/>
  <c r="CZ144" i="20"/>
  <c r="S144" i="20"/>
  <c r="AO144" i="20"/>
  <c r="BK144" i="20"/>
  <c r="CE144" i="20"/>
  <c r="DA144" i="20"/>
  <c r="T144" i="20"/>
  <c r="AP144" i="20"/>
  <c r="BL144" i="20"/>
  <c r="CF144" i="20"/>
  <c r="DB144" i="20"/>
  <c r="AY144" i="20"/>
  <c r="CQ144" i="20"/>
  <c r="AZ144" i="20"/>
  <c r="CR144" i="20"/>
  <c r="AB144" i="20"/>
  <c r="BT144" i="20"/>
  <c r="DJ144" i="20"/>
  <c r="AU144" i="20"/>
  <c r="DK144" i="20"/>
  <c r="AX144" i="20"/>
  <c r="DL144" i="20"/>
  <c r="BO144" i="20"/>
  <c r="BU144" i="20"/>
  <c r="BV144" i="20"/>
  <c r="Y144" i="20"/>
  <c r="AE144" i="20"/>
  <c r="CK144" i="20"/>
  <c r="CN144" i="20"/>
  <c r="DG144" i="20"/>
  <c r="AF144" i="20"/>
  <c r="U142" i="20"/>
  <c r="AC142" i="20"/>
  <c r="AK142" i="20"/>
  <c r="AS142" i="20"/>
  <c r="BA142" i="20"/>
  <c r="BI142" i="20"/>
  <c r="BQ142" i="20"/>
  <c r="BY142" i="20"/>
  <c r="CG142" i="20"/>
  <c r="CO142" i="20"/>
  <c r="CW142" i="20"/>
  <c r="DE142" i="20"/>
  <c r="V142" i="20"/>
  <c r="AD142" i="20"/>
  <c r="AL142" i="20"/>
  <c r="AT142" i="20"/>
  <c r="BB142" i="20"/>
  <c r="BJ142" i="20"/>
  <c r="BR142" i="20"/>
  <c r="BZ142" i="20"/>
  <c r="CH142" i="20"/>
  <c r="CP142" i="20"/>
  <c r="CX142" i="20"/>
  <c r="DF142" i="20"/>
  <c r="S142" i="20"/>
  <c r="AE142" i="20"/>
  <c r="AO142" i="20"/>
  <c r="AY142" i="20"/>
  <c r="BK142" i="20"/>
  <c r="BU142" i="20"/>
  <c r="CE142" i="20"/>
  <c r="CQ142" i="20"/>
  <c r="DA142" i="20"/>
  <c r="DK142" i="20"/>
  <c r="T142" i="20"/>
  <c r="AF142" i="20"/>
  <c r="AP142" i="20"/>
  <c r="AZ142" i="20"/>
  <c r="BL142" i="20"/>
  <c r="BV142" i="20"/>
  <c r="CF142" i="20"/>
  <c r="CR142" i="20"/>
  <c r="DB142" i="20"/>
  <c r="DL142" i="20"/>
  <c r="X142" i="20"/>
  <c r="AH142" i="20"/>
  <c r="AR142" i="20"/>
  <c r="BD142" i="20"/>
  <c r="BN142" i="20"/>
  <c r="BX142" i="20"/>
  <c r="CJ142" i="20"/>
  <c r="CT142" i="20"/>
  <c r="DD142" i="20"/>
  <c r="Y142" i="20"/>
  <c r="AI142" i="20"/>
  <c r="AU142" i="20"/>
  <c r="BE142" i="20"/>
  <c r="BO142" i="20"/>
  <c r="CA142" i="20"/>
  <c r="CK142" i="20"/>
  <c r="CU142" i="20"/>
  <c r="DG142" i="20"/>
  <c r="W142" i="20"/>
  <c r="AQ142" i="20"/>
  <c r="BM142" i="20"/>
  <c r="CI142" i="20"/>
  <c r="DC142" i="20"/>
  <c r="Z142" i="20"/>
  <c r="AV142" i="20"/>
  <c r="BP142" i="20"/>
  <c r="CL142" i="20"/>
  <c r="DH142" i="20"/>
  <c r="AA142" i="20"/>
  <c r="AW142" i="20"/>
  <c r="BS142" i="20"/>
  <c r="CM142" i="20"/>
  <c r="DI142" i="20"/>
  <c r="AB142" i="20"/>
  <c r="AX142" i="20"/>
  <c r="BT142" i="20"/>
  <c r="CN142" i="20"/>
  <c r="DJ142" i="20"/>
  <c r="AM142" i="20"/>
  <c r="CC142" i="20"/>
  <c r="AN142" i="20"/>
  <c r="CD142" i="20"/>
  <c r="BF142" i="20"/>
  <c r="CV142" i="20"/>
  <c r="AJ142" i="20"/>
  <c r="CZ142" i="20"/>
  <c r="BC142" i="20"/>
  <c r="BG142" i="20"/>
  <c r="BH142" i="20"/>
  <c r="BW142" i="20"/>
  <c r="Q142" i="20"/>
  <c r="R142" i="20"/>
  <c r="AG142" i="20"/>
  <c r="CB142" i="20"/>
  <c r="CS142" i="20"/>
  <c r="CY142" i="20"/>
  <c r="X161" i="20"/>
  <c r="AF161" i="20"/>
  <c r="AN161" i="20"/>
  <c r="AV161" i="20"/>
  <c r="BD161" i="20"/>
  <c r="BL161" i="20"/>
  <c r="BT161" i="20"/>
  <c r="CB161" i="20"/>
  <c r="CJ161" i="20"/>
  <c r="CR161" i="20"/>
  <c r="CZ161" i="20"/>
  <c r="DH161" i="20"/>
  <c r="T161" i="20"/>
  <c r="AB161" i="20"/>
  <c r="AJ161" i="20"/>
  <c r="AR161" i="20"/>
  <c r="AZ161" i="20"/>
  <c r="BH161" i="20"/>
  <c r="BP161" i="20"/>
  <c r="BX161" i="20"/>
  <c r="CF161" i="20"/>
  <c r="CN161" i="20"/>
  <c r="CV161" i="20"/>
  <c r="DD161" i="20"/>
  <c r="DL161" i="20"/>
  <c r="Y161" i="20"/>
  <c r="AI161" i="20"/>
  <c r="AT161" i="20"/>
  <c r="BE161" i="20"/>
  <c r="BO161" i="20"/>
  <c r="BZ161" i="20"/>
  <c r="CK161" i="20"/>
  <c r="CU161" i="20"/>
  <c r="DF161" i="20"/>
  <c r="Z161" i="20"/>
  <c r="AK161" i="20"/>
  <c r="AU161" i="20"/>
  <c r="BF161" i="20"/>
  <c r="BQ161" i="20"/>
  <c r="CA161" i="20"/>
  <c r="CL161" i="20"/>
  <c r="CW161" i="20"/>
  <c r="DG161" i="20"/>
  <c r="Q161" i="20"/>
  <c r="AA161" i="20"/>
  <c r="AL161" i="20"/>
  <c r="AW161" i="20"/>
  <c r="BG161" i="20"/>
  <c r="BR161" i="20"/>
  <c r="CC161" i="20"/>
  <c r="CM161" i="20"/>
  <c r="CX161" i="20"/>
  <c r="DI161" i="20"/>
  <c r="S161" i="20"/>
  <c r="AH161" i="20"/>
  <c r="BA161" i="20"/>
  <c r="BS161" i="20"/>
  <c r="CH161" i="20"/>
  <c r="DA161" i="20"/>
  <c r="U161" i="20"/>
  <c r="AM161" i="20"/>
  <c r="BB161" i="20"/>
  <c r="BU161" i="20"/>
  <c r="CI161" i="20"/>
  <c r="DB161" i="20"/>
  <c r="W161" i="20"/>
  <c r="AP161" i="20"/>
  <c r="BI161" i="20"/>
  <c r="BW161" i="20"/>
  <c r="CP161" i="20"/>
  <c r="DE161" i="20"/>
  <c r="AC161" i="20"/>
  <c r="AY161" i="20"/>
  <c r="CD161" i="20"/>
  <c r="DC161" i="20"/>
  <c r="AD161" i="20"/>
  <c r="BC161" i="20"/>
  <c r="CE161" i="20"/>
  <c r="DJ161" i="20"/>
  <c r="AE161" i="20"/>
  <c r="BJ161" i="20"/>
  <c r="CG161" i="20"/>
  <c r="DK161" i="20"/>
  <c r="AO161" i="20"/>
  <c r="BM161" i="20"/>
  <c r="CQ161" i="20"/>
  <c r="V161" i="20"/>
  <c r="BY161" i="20"/>
  <c r="AG161" i="20"/>
  <c r="CO161" i="20"/>
  <c r="AQ161" i="20"/>
  <c r="CS161" i="20"/>
  <c r="AS161" i="20"/>
  <c r="CT161" i="20"/>
  <c r="BK161" i="20"/>
  <c r="BN161" i="20"/>
  <c r="BV161" i="20"/>
  <c r="CY161" i="20"/>
  <c r="R161" i="20"/>
  <c r="AX161" i="20"/>
  <c r="K325" i="20"/>
  <c r="H325" i="20"/>
  <c r="DH408" i="20"/>
  <c r="CV408" i="20"/>
  <c r="CL408" i="20"/>
  <c r="CB408" i="20"/>
  <c r="BP408" i="20"/>
  <c r="BF408" i="20"/>
  <c r="AV408" i="20"/>
  <c r="AJ408" i="20"/>
  <c r="Z408" i="20"/>
  <c r="DL407" i="20"/>
  <c r="CZ407" i="20"/>
  <c r="CP407" i="20"/>
  <c r="CF407" i="20"/>
  <c r="BT407" i="20"/>
  <c r="BJ407" i="20"/>
  <c r="AZ407" i="20"/>
  <c r="H266" i="20"/>
  <c r="H62" i="20"/>
  <c r="H103" i="20"/>
  <c r="H162" i="20"/>
  <c r="Q413" i="20"/>
  <c r="Y413" i="20"/>
  <c r="AG413" i="20"/>
  <c r="AO413" i="20"/>
  <c r="AW413" i="20"/>
  <c r="BE413" i="20"/>
  <c r="BM413" i="20"/>
  <c r="BU413" i="20"/>
  <c r="CC413" i="20"/>
  <c r="CK413" i="20"/>
  <c r="CS413" i="20"/>
  <c r="DA413" i="20"/>
  <c r="DI413" i="20"/>
  <c r="S413" i="20"/>
  <c r="AA413" i="20"/>
  <c r="AI413" i="20"/>
  <c r="AQ413" i="20"/>
  <c r="AY413" i="20"/>
  <c r="BG413" i="20"/>
  <c r="BO413" i="20"/>
  <c r="BW413" i="20"/>
  <c r="CE413" i="20"/>
  <c r="CM413" i="20"/>
  <c r="CU413" i="20"/>
  <c r="DC413" i="20"/>
  <c r="DK413" i="20"/>
  <c r="Q87" i="20"/>
  <c r="Y87" i="20"/>
  <c r="AG87" i="20"/>
  <c r="AO87" i="20"/>
  <c r="AW87" i="20"/>
  <c r="BE87" i="20"/>
  <c r="BM87" i="20"/>
  <c r="BU87" i="20"/>
  <c r="CC87" i="20"/>
  <c r="CK87" i="20"/>
  <c r="CS87" i="20"/>
  <c r="DA87" i="20"/>
  <c r="DI87" i="20"/>
  <c r="W87" i="20"/>
  <c r="AF87" i="20"/>
  <c r="AP87" i="20"/>
  <c r="AY87" i="20"/>
  <c r="BH87" i="20"/>
  <c r="BQ87" i="20"/>
  <c r="BZ87" i="20"/>
  <c r="CI87" i="20"/>
  <c r="CR87" i="20"/>
  <c r="DB87" i="20"/>
  <c r="DK87" i="20"/>
  <c r="X87" i="20"/>
  <c r="AH87" i="20"/>
  <c r="AQ87" i="20"/>
  <c r="AZ87" i="20"/>
  <c r="BI87" i="20"/>
  <c r="BR87" i="20"/>
  <c r="CA87" i="20"/>
  <c r="CJ87" i="20"/>
  <c r="CT87" i="20"/>
  <c r="DC87" i="20"/>
  <c r="DL87" i="20"/>
  <c r="AB87" i="20"/>
  <c r="AM87" i="20"/>
  <c r="BA87" i="20"/>
  <c r="BL87" i="20"/>
  <c r="BX87" i="20"/>
  <c r="CL87" i="20"/>
  <c r="CW87" i="20"/>
  <c r="DH87" i="20"/>
  <c r="AA87" i="20"/>
  <c r="AN87" i="20"/>
  <c r="BC87" i="20"/>
  <c r="BP87" i="20"/>
  <c r="CE87" i="20"/>
  <c r="CQ87" i="20"/>
  <c r="DF87" i="20"/>
  <c r="R87" i="20"/>
  <c r="AD87" i="20"/>
  <c r="AS87" i="20"/>
  <c r="BF87" i="20"/>
  <c r="BT87" i="20"/>
  <c r="CG87" i="20"/>
  <c r="CV87" i="20"/>
  <c r="DJ87" i="20"/>
  <c r="S87" i="20"/>
  <c r="AE87" i="20"/>
  <c r="AT87" i="20"/>
  <c r="BG87" i="20"/>
  <c r="BV87" i="20"/>
  <c r="CH87" i="20"/>
  <c r="CX87" i="20"/>
  <c r="T87" i="20"/>
  <c r="AI87" i="20"/>
  <c r="AU87" i="20"/>
  <c r="BJ87" i="20"/>
  <c r="BW87" i="20"/>
  <c r="CM87" i="20"/>
  <c r="CY87" i="20"/>
  <c r="AK87" i="20"/>
  <c r="BN87" i="20"/>
  <c r="CO87" i="20"/>
  <c r="AL87" i="20"/>
  <c r="BO87" i="20"/>
  <c r="CP87" i="20"/>
  <c r="AR87" i="20"/>
  <c r="BS87" i="20"/>
  <c r="CU87" i="20"/>
  <c r="Z87" i="20"/>
  <c r="BY87" i="20"/>
  <c r="DG87" i="20"/>
  <c r="AC87" i="20"/>
  <c r="CB87" i="20"/>
  <c r="AJ87" i="20"/>
  <c r="CD87" i="20"/>
  <c r="AV87" i="20"/>
  <c r="CF87" i="20"/>
  <c r="AX87" i="20"/>
  <c r="CN87" i="20"/>
  <c r="BD87" i="20"/>
  <c r="BK87" i="20"/>
  <c r="CZ87" i="20"/>
  <c r="DD87" i="20"/>
  <c r="DE87" i="20"/>
  <c r="U87" i="20"/>
  <c r="V87" i="20"/>
  <c r="BB87" i="20"/>
  <c r="U410" i="20"/>
  <c r="AC410" i="20"/>
  <c r="AK410" i="20"/>
  <c r="AS410" i="20"/>
  <c r="BA410" i="20"/>
  <c r="BI410" i="20"/>
  <c r="BQ410" i="20"/>
  <c r="BY410" i="20"/>
  <c r="CG410" i="20"/>
  <c r="CO410" i="20"/>
  <c r="CW410" i="20"/>
  <c r="DE410" i="20"/>
  <c r="W410" i="20"/>
  <c r="AE410" i="20"/>
  <c r="AM410" i="20"/>
  <c r="AU410" i="20"/>
  <c r="BC410" i="20"/>
  <c r="BK410" i="20"/>
  <c r="BS410" i="20"/>
  <c r="CA410" i="20"/>
  <c r="CI410" i="20"/>
  <c r="CQ410" i="20"/>
  <c r="CY410" i="20"/>
  <c r="DG410" i="20"/>
  <c r="U402" i="20"/>
  <c r="AC402" i="20"/>
  <c r="AK402" i="20"/>
  <c r="AS402" i="20"/>
  <c r="BA402" i="20"/>
  <c r="BI402" i="20"/>
  <c r="BQ402" i="20"/>
  <c r="BY402" i="20"/>
  <c r="CG402" i="20"/>
  <c r="CO402" i="20"/>
  <c r="CW402" i="20"/>
  <c r="DE402" i="20"/>
  <c r="W402" i="20"/>
  <c r="AE402" i="20"/>
  <c r="AM402" i="20"/>
  <c r="AU402" i="20"/>
  <c r="BC402" i="20"/>
  <c r="BK402" i="20"/>
  <c r="BS402" i="20"/>
  <c r="CA402" i="20"/>
  <c r="CI402" i="20"/>
  <c r="CQ402" i="20"/>
  <c r="CY402" i="20"/>
  <c r="DG402" i="20"/>
  <c r="U146" i="20"/>
  <c r="AC146" i="20"/>
  <c r="AK146" i="20"/>
  <c r="AS146" i="20"/>
  <c r="BA146" i="20"/>
  <c r="BI146" i="20"/>
  <c r="BQ146" i="20"/>
  <c r="BY146" i="20"/>
  <c r="CG146" i="20"/>
  <c r="CO146" i="20"/>
  <c r="CW146" i="20"/>
  <c r="DE146" i="20"/>
  <c r="V146" i="20"/>
  <c r="AD146" i="20"/>
  <c r="AL146" i="20"/>
  <c r="AT146" i="20"/>
  <c r="BB146" i="20"/>
  <c r="BJ146" i="20"/>
  <c r="BR146" i="20"/>
  <c r="BZ146" i="20"/>
  <c r="CH146" i="20"/>
  <c r="CP146" i="20"/>
  <c r="CX146" i="20"/>
  <c r="DF146" i="20"/>
  <c r="Y146" i="20"/>
  <c r="AI146" i="20"/>
  <c r="AU146" i="20"/>
  <c r="BE146" i="20"/>
  <c r="BO146" i="20"/>
  <c r="CA146" i="20"/>
  <c r="CK146" i="20"/>
  <c r="CU146" i="20"/>
  <c r="DG146" i="20"/>
  <c r="Z146" i="20"/>
  <c r="R146" i="20"/>
  <c r="AB146" i="20"/>
  <c r="AN146" i="20"/>
  <c r="AX146" i="20"/>
  <c r="BH146" i="20"/>
  <c r="BT146" i="20"/>
  <c r="CD146" i="20"/>
  <c r="CN146" i="20"/>
  <c r="CZ146" i="20"/>
  <c r="DJ146" i="20"/>
  <c r="S146" i="20"/>
  <c r="AE146" i="20"/>
  <c r="AO146" i="20"/>
  <c r="AY146" i="20"/>
  <c r="BK146" i="20"/>
  <c r="BU146" i="20"/>
  <c r="CE146" i="20"/>
  <c r="CQ146" i="20"/>
  <c r="DA146" i="20"/>
  <c r="DK146" i="20"/>
  <c r="AA146" i="20"/>
  <c r="AR146" i="20"/>
  <c r="BL146" i="20"/>
  <c r="CB146" i="20"/>
  <c r="CS146" i="20"/>
  <c r="DI146" i="20"/>
  <c r="AF146" i="20"/>
  <c r="AV146" i="20"/>
  <c r="BM146" i="20"/>
  <c r="CC146" i="20"/>
  <c r="CT146" i="20"/>
  <c r="DL146" i="20"/>
  <c r="AG146" i="20"/>
  <c r="AW146" i="20"/>
  <c r="BN146" i="20"/>
  <c r="CF146" i="20"/>
  <c r="CV146" i="20"/>
  <c r="AH146" i="20"/>
  <c r="AZ146" i="20"/>
  <c r="BP146" i="20"/>
  <c r="CI146" i="20"/>
  <c r="CY146" i="20"/>
  <c r="W146" i="20"/>
  <c r="BF146" i="20"/>
  <c r="CM146" i="20"/>
  <c r="X146" i="20"/>
  <c r="BG146" i="20"/>
  <c r="CR146" i="20"/>
  <c r="AM146" i="20"/>
  <c r="BV146" i="20"/>
  <c r="DC146" i="20"/>
  <c r="AQ146" i="20"/>
  <c r="DB146" i="20"/>
  <c r="BC146" i="20"/>
  <c r="DD146" i="20"/>
  <c r="BD146" i="20"/>
  <c r="DH146" i="20"/>
  <c r="BS146" i="20"/>
  <c r="Q146" i="20"/>
  <c r="BW146" i="20"/>
  <c r="CL146" i="20"/>
  <c r="T146" i="20"/>
  <c r="AJ146" i="20"/>
  <c r="AP146" i="20"/>
  <c r="BX146" i="20"/>
  <c r="CJ146" i="20"/>
  <c r="Q366" i="20"/>
  <c r="Y366" i="20"/>
  <c r="AG366" i="20"/>
  <c r="AO366" i="20"/>
  <c r="AW366" i="20"/>
  <c r="BE366" i="20"/>
  <c r="BM366" i="20"/>
  <c r="BU366" i="20"/>
  <c r="CC366" i="20"/>
  <c r="CK366" i="20"/>
  <c r="CS366" i="20"/>
  <c r="DA366" i="20"/>
  <c r="DI366" i="20"/>
  <c r="T366" i="20"/>
  <c r="AC366" i="20"/>
  <c r="AL366" i="20"/>
  <c r="AU366" i="20"/>
  <c r="BD366" i="20"/>
  <c r="BN366" i="20"/>
  <c r="BW366" i="20"/>
  <c r="CF366" i="20"/>
  <c r="CO366" i="20"/>
  <c r="CX366" i="20"/>
  <c r="DG366" i="20"/>
  <c r="V366" i="20"/>
  <c r="AE366" i="20"/>
  <c r="AN366" i="20"/>
  <c r="AX366" i="20"/>
  <c r="BG366" i="20"/>
  <c r="BP366" i="20"/>
  <c r="BY366" i="20"/>
  <c r="CH366" i="20"/>
  <c r="CQ366" i="20"/>
  <c r="CZ366" i="20"/>
  <c r="DJ366" i="20"/>
  <c r="R245" i="20"/>
  <c r="Z245" i="20"/>
  <c r="AH245" i="20"/>
  <c r="AP245" i="20"/>
  <c r="AX245" i="20"/>
  <c r="BF245" i="20"/>
  <c r="BN245" i="20"/>
  <c r="BV245" i="20"/>
  <c r="CD245" i="20"/>
  <c r="CL245" i="20"/>
  <c r="CT245" i="20"/>
  <c r="DB245" i="20"/>
  <c r="DJ245" i="20"/>
  <c r="Y245" i="20"/>
  <c r="AI245" i="20"/>
  <c r="AR245" i="20"/>
  <c r="BA245" i="20"/>
  <c r="BJ245" i="20"/>
  <c r="BS245" i="20"/>
  <c r="CB245" i="20"/>
  <c r="CK245" i="20"/>
  <c r="CU245" i="20"/>
  <c r="DD245" i="20"/>
  <c r="T245" i="20"/>
  <c r="AC245" i="20"/>
  <c r="AL245" i="20"/>
  <c r="AU245" i="20"/>
  <c r="BD245" i="20"/>
  <c r="BM245" i="20"/>
  <c r="BW245" i="20"/>
  <c r="CF245" i="20"/>
  <c r="CO245" i="20"/>
  <c r="CX245" i="20"/>
  <c r="DG245" i="20"/>
  <c r="S245" i="20"/>
  <c r="AE245" i="20"/>
  <c r="AQ245" i="20"/>
  <c r="BC245" i="20"/>
  <c r="BP245" i="20"/>
  <c r="CA245" i="20"/>
  <c r="CN245" i="20"/>
  <c r="CZ245" i="20"/>
  <c r="DL245" i="20"/>
  <c r="V245" i="20"/>
  <c r="AG245" i="20"/>
  <c r="AT245" i="20"/>
  <c r="BG245" i="20"/>
  <c r="BR245" i="20"/>
  <c r="CE245" i="20"/>
  <c r="CQ245" i="20"/>
  <c r="DC245" i="20"/>
  <c r="W245" i="20"/>
  <c r="AJ245" i="20"/>
  <c r="AV245" i="20"/>
  <c r="BH245" i="20"/>
  <c r="BT245" i="20"/>
  <c r="CG245" i="20"/>
  <c r="CR245" i="20"/>
  <c r="DE245" i="20"/>
  <c r="U245" i="20"/>
  <c r="AN245" i="20"/>
  <c r="BI245" i="20"/>
  <c r="BZ245" i="20"/>
  <c r="CV245" i="20"/>
  <c r="X245" i="20"/>
  <c r="AO245" i="20"/>
  <c r="BK245" i="20"/>
  <c r="CC245" i="20"/>
  <c r="CW245" i="20"/>
  <c r="AB245" i="20"/>
  <c r="AW245" i="20"/>
  <c r="BO245" i="20"/>
  <c r="CI245" i="20"/>
  <c r="DA245" i="20"/>
  <c r="AA245" i="20"/>
  <c r="BB245" i="20"/>
  <c r="CJ245" i="20"/>
  <c r="DK245" i="20"/>
  <c r="AD245" i="20"/>
  <c r="BE245" i="20"/>
  <c r="CM245" i="20"/>
  <c r="AF245" i="20"/>
  <c r="BL245" i="20"/>
  <c r="CP245" i="20"/>
  <c r="AK245" i="20"/>
  <c r="BQ245" i="20"/>
  <c r="CS245" i="20"/>
  <c r="AM245" i="20"/>
  <c r="BU245" i="20"/>
  <c r="CY245" i="20"/>
  <c r="AS245" i="20"/>
  <c r="BX245" i="20"/>
  <c r="DF245" i="20"/>
  <c r="W51" i="20"/>
  <c r="AE51" i="20"/>
  <c r="AM51" i="20"/>
  <c r="AU51" i="20"/>
  <c r="BC51" i="20"/>
  <c r="BK51" i="20"/>
  <c r="BS51" i="20"/>
  <c r="CA51" i="20"/>
  <c r="CI51" i="20"/>
  <c r="CQ51" i="20"/>
  <c r="CY51" i="20"/>
  <c r="DG51" i="20"/>
  <c r="Y51" i="20"/>
  <c r="AH51" i="20"/>
  <c r="AQ51" i="20"/>
  <c r="AZ51" i="20"/>
  <c r="BI51" i="20"/>
  <c r="BR51" i="20"/>
  <c r="CB51" i="20"/>
  <c r="CK51" i="20"/>
  <c r="CT51" i="20"/>
  <c r="DC51" i="20"/>
  <c r="DL51" i="20"/>
  <c r="Q51" i="20"/>
  <c r="Z51" i="20"/>
  <c r="AI51" i="20"/>
  <c r="AR51" i="20"/>
  <c r="BA51" i="20"/>
  <c r="BJ51" i="20"/>
  <c r="BT51" i="20"/>
  <c r="CC51" i="20"/>
  <c r="CL51" i="20"/>
  <c r="CU51" i="20"/>
  <c r="DD51" i="20"/>
  <c r="R51" i="20"/>
  <c r="AA51" i="20"/>
  <c r="AJ51" i="20"/>
  <c r="AS51" i="20"/>
  <c r="BB51" i="20"/>
  <c r="BL51" i="20"/>
  <c r="BU51" i="20"/>
  <c r="CD51" i="20"/>
  <c r="CM51" i="20"/>
  <c r="CV51" i="20"/>
  <c r="DE51" i="20"/>
  <c r="S51" i="20"/>
  <c r="AB51" i="20"/>
  <c r="AK51" i="20"/>
  <c r="AT51" i="20"/>
  <c r="BD51" i="20"/>
  <c r="BM51" i="20"/>
  <c r="BV51" i="20"/>
  <c r="CE51" i="20"/>
  <c r="CN51" i="20"/>
  <c r="CW51" i="20"/>
  <c r="DF51" i="20"/>
  <c r="T51" i="20"/>
  <c r="AL51" i="20"/>
  <c r="BE51" i="20"/>
  <c r="BW51" i="20"/>
  <c r="CO51" i="20"/>
  <c r="DH51" i="20"/>
  <c r="U51" i="20"/>
  <c r="AN51" i="20"/>
  <c r="BF51" i="20"/>
  <c r="BX51" i="20"/>
  <c r="CP51" i="20"/>
  <c r="DI51" i="20"/>
  <c r="V51" i="20"/>
  <c r="AO51" i="20"/>
  <c r="BG51" i="20"/>
  <c r="BY51" i="20"/>
  <c r="CR51" i="20"/>
  <c r="DJ51" i="20"/>
  <c r="X51" i="20"/>
  <c r="AP51" i="20"/>
  <c r="BH51" i="20"/>
  <c r="BZ51" i="20"/>
  <c r="CS51" i="20"/>
  <c r="DK51" i="20"/>
  <c r="AC51" i="20"/>
  <c r="AV51" i="20"/>
  <c r="BN51" i="20"/>
  <c r="CF51" i="20"/>
  <c r="CX51" i="20"/>
  <c r="AG51" i="20"/>
  <c r="CH51" i="20"/>
  <c r="AW51" i="20"/>
  <c r="CJ51" i="20"/>
  <c r="AX51" i="20"/>
  <c r="CZ51" i="20"/>
  <c r="AY51" i="20"/>
  <c r="DA51" i="20"/>
  <c r="BO51" i="20"/>
  <c r="BP51" i="20"/>
  <c r="BQ51" i="20"/>
  <c r="CG51" i="20"/>
  <c r="DB51" i="20"/>
  <c r="AD51" i="20"/>
  <c r="AF51" i="20"/>
  <c r="U196" i="20"/>
  <c r="AC196" i="20"/>
  <c r="AK196" i="20"/>
  <c r="AS196" i="20"/>
  <c r="BA196" i="20"/>
  <c r="BI196" i="20"/>
  <c r="BQ196" i="20"/>
  <c r="BY196" i="20"/>
  <c r="CG196" i="20"/>
  <c r="CO196" i="20"/>
  <c r="CW196" i="20"/>
  <c r="DE196" i="20"/>
  <c r="V196" i="20"/>
  <c r="AD196" i="20"/>
  <c r="AL196" i="20"/>
  <c r="AT196" i="20"/>
  <c r="BB196" i="20"/>
  <c r="BJ196" i="20"/>
  <c r="BR196" i="20"/>
  <c r="BZ196" i="20"/>
  <c r="CH196" i="20"/>
  <c r="CP196" i="20"/>
  <c r="CX196" i="20"/>
  <c r="DF196" i="20"/>
  <c r="Y196" i="20"/>
  <c r="AI196" i="20"/>
  <c r="AU196" i="20"/>
  <c r="BE196" i="20"/>
  <c r="BO196" i="20"/>
  <c r="CA196" i="20"/>
  <c r="CK196" i="20"/>
  <c r="CU196" i="20"/>
  <c r="DG196" i="20"/>
  <c r="Z196" i="20"/>
  <c r="AJ196" i="20"/>
  <c r="AV196" i="20"/>
  <c r="BF196" i="20"/>
  <c r="BP196" i="20"/>
  <c r="CB196" i="20"/>
  <c r="CL196" i="20"/>
  <c r="CV196" i="20"/>
  <c r="DH196" i="20"/>
  <c r="Q196" i="20"/>
  <c r="AE196" i="20"/>
  <c r="AQ196" i="20"/>
  <c r="BG196" i="20"/>
  <c r="BU196" i="20"/>
  <c r="CI196" i="20"/>
  <c r="CY196" i="20"/>
  <c r="DK196" i="20"/>
  <c r="R196" i="20"/>
  <c r="AF196" i="20"/>
  <c r="AR196" i="20"/>
  <c r="BH196" i="20"/>
  <c r="BV196" i="20"/>
  <c r="CJ196" i="20"/>
  <c r="CZ196" i="20"/>
  <c r="DL196" i="20"/>
  <c r="S196" i="20"/>
  <c r="AG196" i="20"/>
  <c r="AW196" i="20"/>
  <c r="BK196" i="20"/>
  <c r="BW196" i="20"/>
  <c r="CM196" i="20"/>
  <c r="DA196" i="20"/>
  <c r="W196" i="20"/>
  <c r="AM196" i="20"/>
  <c r="AY196" i="20"/>
  <c r="BM196" i="20"/>
  <c r="CC196" i="20"/>
  <c r="CQ196" i="20"/>
  <c r="DC196" i="20"/>
  <c r="AP196" i="20"/>
  <c r="BT196" i="20"/>
  <c r="CT196" i="20"/>
  <c r="X196" i="20"/>
  <c r="AZ196" i="20"/>
  <c r="CD196" i="20"/>
  <c r="DD196" i="20"/>
  <c r="AA196" i="20"/>
  <c r="BC196" i="20"/>
  <c r="CE196" i="20"/>
  <c r="DI196" i="20"/>
  <c r="AN196" i="20"/>
  <c r="CF196" i="20"/>
  <c r="AO196" i="20"/>
  <c r="CN196" i="20"/>
  <c r="BD196" i="20"/>
  <c r="CS196" i="20"/>
  <c r="AB196" i="20"/>
  <c r="DB196" i="20"/>
  <c r="BX196" i="20"/>
  <c r="AH196" i="20"/>
  <c r="AX196" i="20"/>
  <c r="BL196" i="20"/>
  <c r="BN196" i="20"/>
  <c r="BS196" i="20"/>
  <c r="CR196" i="20"/>
  <c r="S328" i="20"/>
  <c r="AA328" i="20"/>
  <c r="AI328" i="20"/>
  <c r="AQ328" i="20"/>
  <c r="AY328" i="20"/>
  <c r="BG328" i="20"/>
  <c r="BO328" i="20"/>
  <c r="BW328" i="20"/>
  <c r="CE328" i="20"/>
  <c r="CM328" i="20"/>
  <c r="CU328" i="20"/>
  <c r="DC328" i="20"/>
  <c r="DK328" i="20"/>
  <c r="Y328" i="20"/>
  <c r="AH328" i="20"/>
  <c r="AR328" i="20"/>
  <c r="BA328" i="20"/>
  <c r="BJ328" i="20"/>
  <c r="BS328" i="20"/>
  <c r="CB328" i="20"/>
  <c r="CK328" i="20"/>
  <c r="CT328" i="20"/>
  <c r="DD328" i="20"/>
  <c r="R328" i="20"/>
  <c r="AB328" i="20"/>
  <c r="AK328" i="20"/>
  <c r="AT328" i="20"/>
  <c r="BC328" i="20"/>
  <c r="BL328" i="20"/>
  <c r="BU328" i="20"/>
  <c r="CD328" i="20"/>
  <c r="CN328" i="20"/>
  <c r="CW328" i="20"/>
  <c r="DF328" i="20"/>
  <c r="V328" i="20"/>
  <c r="AG328" i="20"/>
  <c r="AU328" i="20"/>
  <c r="BF328" i="20"/>
  <c r="BR328" i="20"/>
  <c r="CF328" i="20"/>
  <c r="CQ328" i="20"/>
  <c r="DB328" i="20"/>
  <c r="W328" i="20"/>
  <c r="AJ328" i="20"/>
  <c r="AV328" i="20"/>
  <c r="BH328" i="20"/>
  <c r="BT328" i="20"/>
  <c r="CG328" i="20"/>
  <c r="CR328" i="20"/>
  <c r="DE328" i="20"/>
  <c r="X328" i="20"/>
  <c r="AL328" i="20"/>
  <c r="AW328" i="20"/>
  <c r="BI328" i="20"/>
  <c r="BV328" i="20"/>
  <c r="CH328" i="20"/>
  <c r="CS328" i="20"/>
  <c r="DG328" i="20"/>
  <c r="Q403" i="20"/>
  <c r="Y403" i="20"/>
  <c r="AG403" i="20"/>
  <c r="AO403" i="20"/>
  <c r="AW403" i="20"/>
  <c r="BE403" i="20"/>
  <c r="BM403" i="20"/>
  <c r="BU403" i="20"/>
  <c r="CC403" i="20"/>
  <c r="CK403" i="20"/>
  <c r="CS403" i="20"/>
  <c r="DA403" i="20"/>
  <c r="DI403" i="20"/>
  <c r="S403" i="20"/>
  <c r="AA403" i="20"/>
  <c r="AI403" i="20"/>
  <c r="AQ403" i="20"/>
  <c r="AY403" i="20"/>
  <c r="BG403" i="20"/>
  <c r="BO403" i="20"/>
  <c r="BW403" i="20"/>
  <c r="CE403" i="20"/>
  <c r="CM403" i="20"/>
  <c r="CU403" i="20"/>
  <c r="DC403" i="20"/>
  <c r="DK403" i="20"/>
  <c r="V202" i="20"/>
  <c r="AD202" i="20"/>
  <c r="AL202" i="20"/>
  <c r="AT202" i="20"/>
  <c r="BB202" i="20"/>
  <c r="BJ202" i="20"/>
  <c r="BR202" i="20"/>
  <c r="BZ202" i="20"/>
  <c r="CH202" i="20"/>
  <c r="CP202" i="20"/>
  <c r="CX202" i="20"/>
  <c r="DF202" i="20"/>
  <c r="Q202" i="20"/>
  <c r="Z202" i="20"/>
  <c r="AI202" i="20"/>
  <c r="AR202" i="20"/>
  <c r="BA202" i="20"/>
  <c r="BK202" i="20"/>
  <c r="BT202" i="20"/>
  <c r="CC202" i="20"/>
  <c r="CL202" i="20"/>
  <c r="CU202" i="20"/>
  <c r="DD202" i="20"/>
  <c r="R202" i="20"/>
  <c r="AA202" i="20"/>
  <c r="AJ202" i="20"/>
  <c r="AS202" i="20"/>
  <c r="BC202" i="20"/>
  <c r="BL202" i="20"/>
  <c r="BU202" i="20"/>
  <c r="CD202" i="20"/>
  <c r="CM202" i="20"/>
  <c r="CV202" i="20"/>
  <c r="DE202" i="20"/>
  <c r="AB202" i="20"/>
  <c r="AN202" i="20"/>
  <c r="AY202" i="20"/>
  <c r="BM202" i="20"/>
  <c r="BX202" i="20"/>
  <c r="CJ202" i="20"/>
  <c r="CW202" i="20"/>
  <c r="DI202" i="20"/>
  <c r="AC202" i="20"/>
  <c r="AO202" i="20"/>
  <c r="AZ202" i="20"/>
  <c r="BN202" i="20"/>
  <c r="BY202" i="20"/>
  <c r="CK202" i="20"/>
  <c r="CY202" i="20"/>
  <c r="DJ202" i="20"/>
  <c r="S202" i="20"/>
  <c r="AE202" i="20"/>
  <c r="AP202" i="20"/>
  <c r="BD202" i="20"/>
  <c r="BO202" i="20"/>
  <c r="CA202" i="20"/>
  <c r="CN202" i="20"/>
  <c r="CZ202" i="20"/>
  <c r="DK202" i="20"/>
  <c r="U202" i="20"/>
  <c r="AG202" i="20"/>
  <c r="AU202" i="20"/>
  <c r="BF202" i="20"/>
  <c r="BQ202" i="20"/>
  <c r="CE202" i="20"/>
  <c r="CQ202" i="20"/>
  <c r="DB202" i="20"/>
  <c r="Y202" i="20"/>
  <c r="AX202" i="20"/>
  <c r="BW202" i="20"/>
  <c r="CT202" i="20"/>
  <c r="AH202" i="20"/>
  <c r="BG202" i="20"/>
  <c r="CF202" i="20"/>
  <c r="DC202" i="20"/>
  <c r="AK202" i="20"/>
  <c r="BH202" i="20"/>
  <c r="CG202" i="20"/>
  <c r="DG202" i="20"/>
  <c r="AV202" i="20"/>
  <c r="CI202" i="20"/>
  <c r="AW202" i="20"/>
  <c r="CO202" i="20"/>
  <c r="W202" i="20"/>
  <c r="BI202" i="20"/>
  <c r="CS202" i="20"/>
  <c r="T202" i="20"/>
  <c r="BV202" i="20"/>
  <c r="BP202" i="20"/>
  <c r="AM202" i="20"/>
  <c r="DL202" i="20"/>
  <c r="AQ202" i="20"/>
  <c r="BE202" i="20"/>
  <c r="BS202" i="20"/>
  <c r="CB202" i="20"/>
  <c r="CR202" i="20"/>
  <c r="U140" i="20"/>
  <c r="AC140" i="20"/>
  <c r="AK140" i="20"/>
  <c r="AS140" i="20"/>
  <c r="BA140" i="20"/>
  <c r="BI140" i="20"/>
  <c r="BQ140" i="20"/>
  <c r="BY140" i="20"/>
  <c r="CG140" i="20"/>
  <c r="CO140" i="20"/>
  <c r="CW140" i="20"/>
  <c r="DE140" i="20"/>
  <c r="V140" i="20"/>
  <c r="AD140" i="20"/>
  <c r="AL140" i="20"/>
  <c r="AT140" i="20"/>
  <c r="BB140" i="20"/>
  <c r="BJ140" i="20"/>
  <c r="BR140" i="20"/>
  <c r="BZ140" i="20"/>
  <c r="CH140" i="20"/>
  <c r="CP140" i="20"/>
  <c r="CX140" i="20"/>
  <c r="DF140" i="20"/>
  <c r="Q140" i="20"/>
  <c r="AA140" i="20"/>
  <c r="AM140" i="20"/>
  <c r="AW140" i="20"/>
  <c r="BG140" i="20"/>
  <c r="BS140" i="20"/>
  <c r="CC140" i="20"/>
  <c r="CM140" i="20"/>
  <c r="CY140" i="20"/>
  <c r="DI140" i="20"/>
  <c r="R140" i="20"/>
  <c r="AB140" i="20"/>
  <c r="AN140" i="20"/>
  <c r="AX140" i="20"/>
  <c r="BH140" i="20"/>
  <c r="BT140" i="20"/>
  <c r="CD140" i="20"/>
  <c r="CN140" i="20"/>
  <c r="CZ140" i="20"/>
  <c r="DJ140" i="20"/>
  <c r="T140" i="20"/>
  <c r="AF140" i="20"/>
  <c r="AP140" i="20"/>
  <c r="AZ140" i="20"/>
  <c r="BL140" i="20"/>
  <c r="BV140" i="20"/>
  <c r="CF140" i="20"/>
  <c r="CR140" i="20"/>
  <c r="DB140" i="20"/>
  <c r="DL140" i="20"/>
  <c r="W140" i="20"/>
  <c r="AG140" i="20"/>
  <c r="AQ140" i="20"/>
  <c r="BC140" i="20"/>
  <c r="BM140" i="20"/>
  <c r="BW140" i="20"/>
  <c r="CI140" i="20"/>
  <c r="CS140" i="20"/>
  <c r="DC140" i="20"/>
  <c r="AE140" i="20"/>
  <c r="AY140" i="20"/>
  <c r="BU140" i="20"/>
  <c r="CQ140" i="20"/>
  <c r="DK140" i="20"/>
  <c r="AH140" i="20"/>
  <c r="BD140" i="20"/>
  <c r="BX140" i="20"/>
  <c r="CT140" i="20"/>
  <c r="AI140" i="20"/>
  <c r="BE140" i="20"/>
  <c r="CA140" i="20"/>
  <c r="CU140" i="20"/>
  <c r="AJ140" i="20"/>
  <c r="BF140" i="20"/>
  <c r="CB140" i="20"/>
  <c r="CV140" i="20"/>
  <c r="Y140" i="20"/>
  <c r="BO140" i="20"/>
  <c r="DG140" i="20"/>
  <c r="Z140" i="20"/>
  <c r="BP140" i="20"/>
  <c r="DH140" i="20"/>
  <c r="AR140" i="20"/>
  <c r="CJ140" i="20"/>
  <c r="AO140" i="20"/>
  <c r="DA140" i="20"/>
  <c r="AU140" i="20"/>
  <c r="DD140" i="20"/>
  <c r="AV140" i="20"/>
  <c r="BK140" i="20"/>
  <c r="BN140" i="20"/>
  <c r="S140" i="20"/>
  <c r="X140" i="20"/>
  <c r="CE140" i="20"/>
  <c r="CL140" i="20"/>
  <c r="CK140" i="20"/>
  <c r="W280" i="20"/>
  <c r="AE280" i="20"/>
  <c r="AM280" i="20"/>
  <c r="AU280" i="20"/>
  <c r="BC280" i="20"/>
  <c r="BK280" i="20"/>
  <c r="BS280" i="20"/>
  <c r="CA280" i="20"/>
  <c r="CI280" i="20"/>
  <c r="CQ280" i="20"/>
  <c r="CY280" i="20"/>
  <c r="DG280" i="20"/>
  <c r="X280" i="20"/>
  <c r="AG280" i="20"/>
  <c r="AP280" i="20"/>
  <c r="AY280" i="20"/>
  <c r="BH280" i="20"/>
  <c r="BQ280" i="20"/>
  <c r="BZ280" i="20"/>
  <c r="CJ280" i="20"/>
  <c r="CS280" i="20"/>
  <c r="DB280" i="20"/>
  <c r="DK280" i="20"/>
  <c r="Y280" i="20"/>
  <c r="AH280" i="20"/>
  <c r="AQ280" i="20"/>
  <c r="AZ280" i="20"/>
  <c r="BI280" i="20"/>
  <c r="BR280" i="20"/>
  <c r="CB280" i="20"/>
  <c r="CK280" i="20"/>
  <c r="CT280" i="20"/>
  <c r="DC280" i="20"/>
  <c r="DL280" i="20"/>
  <c r="R280" i="20"/>
  <c r="AC280" i="20"/>
  <c r="AO280" i="20"/>
  <c r="BB280" i="20"/>
  <c r="BN280" i="20"/>
  <c r="BY280" i="20"/>
  <c r="CM280" i="20"/>
  <c r="CX280" i="20"/>
  <c r="DJ280" i="20"/>
  <c r="S280" i="20"/>
  <c r="AD280" i="20"/>
  <c r="AR280" i="20"/>
  <c r="BD280" i="20"/>
  <c r="BO280" i="20"/>
  <c r="CC280" i="20"/>
  <c r="CN280" i="20"/>
  <c r="CZ280" i="20"/>
  <c r="U280" i="20"/>
  <c r="AI280" i="20"/>
  <c r="AT280" i="20"/>
  <c r="BF280" i="20"/>
  <c r="BT280" i="20"/>
  <c r="CE280" i="20"/>
  <c r="CP280" i="20"/>
  <c r="DD280" i="20"/>
  <c r="AJ280" i="20"/>
  <c r="BA280" i="20"/>
  <c r="BV280" i="20"/>
  <c r="CO280" i="20"/>
  <c r="DH280" i="20"/>
  <c r="Q280" i="20"/>
  <c r="AK280" i="20"/>
  <c r="BE280" i="20"/>
  <c r="BW280" i="20"/>
  <c r="CR280" i="20"/>
  <c r="DI280" i="20"/>
  <c r="T280" i="20"/>
  <c r="AL280" i="20"/>
  <c r="BG280" i="20"/>
  <c r="BX280" i="20"/>
  <c r="CU280" i="20"/>
  <c r="V280" i="20"/>
  <c r="AN280" i="20"/>
  <c r="BJ280" i="20"/>
  <c r="CD280" i="20"/>
  <c r="CV280" i="20"/>
  <c r="V198" i="20"/>
  <c r="AD198" i="20"/>
  <c r="AL198" i="20"/>
  <c r="AT198" i="20"/>
  <c r="BB198" i="20"/>
  <c r="BJ198" i="20"/>
  <c r="BR198" i="20"/>
  <c r="BZ198" i="20"/>
  <c r="CH198" i="20"/>
  <c r="CP198" i="20"/>
  <c r="CX198" i="20"/>
  <c r="DF198" i="20"/>
  <c r="X198" i="20"/>
  <c r="AG198" i="20"/>
  <c r="AP198" i="20"/>
  <c r="AY198" i="20"/>
  <c r="BH198" i="20"/>
  <c r="BQ198" i="20"/>
  <c r="CA198" i="20"/>
  <c r="CJ198" i="20"/>
  <c r="CS198" i="20"/>
  <c r="DB198" i="20"/>
  <c r="DK198" i="20"/>
  <c r="Y198" i="20"/>
  <c r="AH198" i="20"/>
  <c r="AQ198" i="20"/>
  <c r="AZ198" i="20"/>
  <c r="BI198" i="20"/>
  <c r="BS198" i="20"/>
  <c r="CB198" i="20"/>
  <c r="CK198" i="20"/>
  <c r="CT198" i="20"/>
  <c r="DC198" i="20"/>
  <c r="DL198" i="20"/>
  <c r="Z198" i="20"/>
  <c r="AK198" i="20"/>
  <c r="AW198" i="20"/>
  <c r="BK198" i="20"/>
  <c r="BV198" i="20"/>
  <c r="CG198" i="20"/>
  <c r="CU198" i="20"/>
  <c r="DG198" i="20"/>
  <c r="AA198" i="20"/>
  <c r="AM198" i="20"/>
  <c r="AX198" i="20"/>
  <c r="BL198" i="20"/>
  <c r="BW198" i="20"/>
  <c r="CI198" i="20"/>
  <c r="CV198" i="20"/>
  <c r="DH198" i="20"/>
  <c r="Q198" i="20"/>
  <c r="AB198" i="20"/>
  <c r="AN198" i="20"/>
  <c r="BA198" i="20"/>
  <c r="BM198" i="20"/>
  <c r="BX198" i="20"/>
  <c r="CL198" i="20"/>
  <c r="CW198" i="20"/>
  <c r="DI198" i="20"/>
  <c r="S198" i="20"/>
  <c r="AE198" i="20"/>
  <c r="AR198" i="20"/>
  <c r="BD198" i="20"/>
  <c r="BO198" i="20"/>
  <c r="CC198" i="20"/>
  <c r="CN198" i="20"/>
  <c r="CZ198" i="20"/>
  <c r="AJ198" i="20"/>
  <c r="BG198" i="20"/>
  <c r="CF198" i="20"/>
  <c r="DE198" i="20"/>
  <c r="T198" i="20"/>
  <c r="AS198" i="20"/>
  <c r="BP198" i="20"/>
  <c r="CO198" i="20"/>
  <c r="U198" i="20"/>
  <c r="AU198" i="20"/>
  <c r="BT198" i="20"/>
  <c r="CQ198" i="20"/>
  <c r="R198" i="20"/>
  <c r="BE198" i="20"/>
  <c r="CR198" i="20"/>
  <c r="W198" i="20"/>
  <c r="BF198" i="20"/>
  <c r="CY198" i="20"/>
  <c r="AF198" i="20"/>
  <c r="BU198" i="20"/>
  <c r="DD198" i="20"/>
  <c r="AO198" i="20"/>
  <c r="DA198" i="20"/>
  <c r="AC198" i="20"/>
  <c r="CE198" i="20"/>
  <c r="DJ198" i="20"/>
  <c r="AI198" i="20"/>
  <c r="AV198" i="20"/>
  <c r="BC198" i="20"/>
  <c r="BN198" i="20"/>
  <c r="BY198" i="20"/>
  <c r="U88" i="20"/>
  <c r="AC88" i="20"/>
  <c r="AK88" i="20"/>
  <c r="AS88" i="20"/>
  <c r="BA88" i="20"/>
  <c r="BI88" i="20"/>
  <c r="BQ88" i="20"/>
  <c r="BY88" i="20"/>
  <c r="CG88" i="20"/>
  <c r="CO88" i="20"/>
  <c r="CW88" i="20"/>
  <c r="DE88" i="20"/>
  <c r="X88" i="20"/>
  <c r="AG88" i="20"/>
  <c r="AP88" i="20"/>
  <c r="AY88" i="20"/>
  <c r="BH88" i="20"/>
  <c r="BR88" i="20"/>
  <c r="CA88" i="20"/>
  <c r="CJ88" i="20"/>
  <c r="CS88" i="20"/>
  <c r="DB88" i="20"/>
  <c r="DK88" i="20"/>
  <c r="Y88" i="20"/>
  <c r="AH88" i="20"/>
  <c r="AQ88" i="20"/>
  <c r="AZ88" i="20"/>
  <c r="BJ88" i="20"/>
  <c r="BS88" i="20"/>
  <c r="CB88" i="20"/>
  <c r="CK88" i="20"/>
  <c r="CT88" i="20"/>
  <c r="DC88" i="20"/>
  <c r="DL88" i="20"/>
  <c r="Z88" i="20"/>
  <c r="AL88" i="20"/>
  <c r="W88" i="20"/>
  <c r="AM88" i="20"/>
  <c r="AX88" i="20"/>
  <c r="BL88" i="20"/>
  <c r="BW88" i="20"/>
  <c r="CI88" i="20"/>
  <c r="CV88" i="20"/>
  <c r="DH88" i="20"/>
  <c r="AB88" i="20"/>
  <c r="AO88" i="20"/>
  <c r="BC88" i="20"/>
  <c r="BN88" i="20"/>
  <c r="Q88" i="20"/>
  <c r="AD88" i="20"/>
  <c r="AR88" i="20"/>
  <c r="BD88" i="20"/>
  <c r="BO88" i="20"/>
  <c r="CC88" i="20"/>
  <c r="CN88" i="20"/>
  <c r="CZ88" i="20"/>
  <c r="R88" i="20"/>
  <c r="AE88" i="20"/>
  <c r="AT88" i="20"/>
  <c r="BE88" i="20"/>
  <c r="BP88" i="20"/>
  <c r="CD88" i="20"/>
  <c r="CP88" i="20"/>
  <c r="DA88" i="20"/>
  <c r="T88" i="20"/>
  <c r="AV88" i="20"/>
  <c r="BU88" i="20"/>
  <c r="CM88" i="20"/>
  <c r="DG88" i="20"/>
  <c r="V88" i="20"/>
  <c r="AW88" i="20"/>
  <c r="BV88" i="20"/>
  <c r="CQ88" i="20"/>
  <c r="DI88" i="20"/>
  <c r="AA88" i="20"/>
  <c r="BB88" i="20"/>
  <c r="BX88" i="20"/>
  <c r="CR88" i="20"/>
  <c r="DJ88" i="20"/>
  <c r="BG88" i="20"/>
  <c r="CL88" i="20"/>
  <c r="S88" i="20"/>
  <c r="BK88" i="20"/>
  <c r="CU88" i="20"/>
  <c r="AF88" i="20"/>
  <c r="BM88" i="20"/>
  <c r="CX88" i="20"/>
  <c r="AI88" i="20"/>
  <c r="BT88" i="20"/>
  <c r="CY88" i="20"/>
  <c r="AJ88" i="20"/>
  <c r="BZ88" i="20"/>
  <c r="DD88" i="20"/>
  <c r="CE88" i="20"/>
  <c r="CF88" i="20"/>
  <c r="CH88" i="20"/>
  <c r="DF88" i="20"/>
  <c r="AN88" i="20"/>
  <c r="AU88" i="20"/>
  <c r="BF88" i="20"/>
  <c r="U184" i="20"/>
  <c r="AC184" i="20"/>
  <c r="AK184" i="20"/>
  <c r="AS184" i="20"/>
  <c r="BA184" i="20"/>
  <c r="BI184" i="20"/>
  <c r="BQ184" i="20"/>
  <c r="BY184" i="20"/>
  <c r="CG184" i="20"/>
  <c r="CO184" i="20"/>
  <c r="CW184" i="20"/>
  <c r="DE184" i="20"/>
  <c r="V184" i="20"/>
  <c r="AD184" i="20"/>
  <c r="AL184" i="20"/>
  <c r="AT184" i="20"/>
  <c r="BB184" i="20"/>
  <c r="BJ184" i="20"/>
  <c r="BR184" i="20"/>
  <c r="BZ184" i="20"/>
  <c r="CH184" i="20"/>
  <c r="CP184" i="20"/>
  <c r="CX184" i="20"/>
  <c r="DF184" i="20"/>
  <c r="S184" i="20"/>
  <c r="AE184" i="20"/>
  <c r="AO184" i="20"/>
  <c r="AY184" i="20"/>
  <c r="BK184" i="20"/>
  <c r="BU184" i="20"/>
  <c r="CE184" i="20"/>
  <c r="CQ184" i="20"/>
  <c r="DA184" i="20"/>
  <c r="DK184" i="20"/>
  <c r="T184" i="20"/>
  <c r="AF184" i="20"/>
  <c r="AP184" i="20"/>
  <c r="AZ184" i="20"/>
  <c r="BL184" i="20"/>
  <c r="BV184" i="20"/>
  <c r="CF184" i="20"/>
  <c r="CR184" i="20"/>
  <c r="DB184" i="20"/>
  <c r="DL184" i="20"/>
  <c r="W184" i="20"/>
  <c r="AI184" i="20"/>
  <c r="AW184" i="20"/>
  <c r="BM184" i="20"/>
  <c r="CA184" i="20"/>
  <c r="CM184" i="20"/>
  <c r="DC184" i="20"/>
  <c r="X184" i="20"/>
  <c r="AJ184" i="20"/>
  <c r="AX184" i="20"/>
  <c r="BN184" i="20"/>
  <c r="CB184" i="20"/>
  <c r="CN184" i="20"/>
  <c r="DD184" i="20"/>
  <c r="Y184" i="20"/>
  <c r="AM184" i="20"/>
  <c r="BC184" i="20"/>
  <c r="BO184" i="20"/>
  <c r="CC184" i="20"/>
  <c r="CS184" i="20"/>
  <c r="DG184" i="20"/>
  <c r="AA184" i="20"/>
  <c r="AQ184" i="20"/>
  <c r="BE184" i="20"/>
  <c r="BS184" i="20"/>
  <c r="CI184" i="20"/>
  <c r="CU184" i="20"/>
  <c r="DI184" i="20"/>
  <c r="R184" i="20"/>
  <c r="AV184" i="20"/>
  <c r="BX184" i="20"/>
  <c r="CZ184" i="20"/>
  <c r="Z184" i="20"/>
  <c r="BD184" i="20"/>
  <c r="CD184" i="20"/>
  <c r="DH184" i="20"/>
  <c r="AB184" i="20"/>
  <c r="BF184" i="20"/>
  <c r="CJ184" i="20"/>
  <c r="DJ184" i="20"/>
  <c r="AG184" i="20"/>
  <c r="BG184" i="20"/>
  <c r="CK184" i="20"/>
  <c r="AN184" i="20"/>
  <c r="CT184" i="20"/>
  <c r="AR184" i="20"/>
  <c r="CV184" i="20"/>
  <c r="AU184" i="20"/>
  <c r="CY184" i="20"/>
  <c r="BH184" i="20"/>
  <c r="CL184" i="20"/>
  <c r="Q184" i="20"/>
  <c r="AH184" i="20"/>
  <c r="BP184" i="20"/>
  <c r="X167" i="20"/>
  <c r="AF167" i="20"/>
  <c r="AN167" i="20"/>
  <c r="AV167" i="20"/>
  <c r="BD167" i="20"/>
  <c r="BL167" i="20"/>
  <c r="BT167" i="20"/>
  <c r="CB167" i="20"/>
  <c r="CJ167" i="20"/>
  <c r="CR167" i="20"/>
  <c r="CZ167" i="20"/>
  <c r="DH167" i="20"/>
  <c r="T167" i="20"/>
  <c r="AB167" i="20"/>
  <c r="AJ167" i="20"/>
  <c r="AR167" i="20"/>
  <c r="AZ167" i="20"/>
  <c r="BH167" i="20"/>
  <c r="BP167" i="20"/>
  <c r="BX167" i="20"/>
  <c r="CF167" i="20"/>
  <c r="CN167" i="20"/>
  <c r="CV167" i="20"/>
  <c r="DD167" i="20"/>
  <c r="DL167" i="20"/>
  <c r="W167" i="20"/>
  <c r="AH167" i="20"/>
  <c r="AS167" i="20"/>
  <c r="BC167" i="20"/>
  <c r="BN167" i="20"/>
  <c r="BY167" i="20"/>
  <c r="CI167" i="20"/>
  <c r="CT167" i="20"/>
  <c r="DE167" i="20"/>
  <c r="Y167" i="20"/>
  <c r="AI167" i="20"/>
  <c r="AT167" i="20"/>
  <c r="BE167" i="20"/>
  <c r="BO167" i="20"/>
  <c r="BZ167" i="20"/>
  <c r="CK167" i="20"/>
  <c r="CU167" i="20"/>
  <c r="DF167" i="20"/>
  <c r="U167" i="20"/>
  <c r="AK167" i="20"/>
  <c r="AX167" i="20"/>
  <c r="BK167" i="20"/>
  <c r="CA167" i="20"/>
  <c r="CO167" i="20"/>
  <c r="DB167" i="20"/>
  <c r="V167" i="20"/>
  <c r="AL167" i="20"/>
  <c r="AY167" i="20"/>
  <c r="BM167" i="20"/>
  <c r="CC167" i="20"/>
  <c r="CP167" i="20"/>
  <c r="DC167" i="20"/>
  <c r="AA167" i="20"/>
  <c r="AO167" i="20"/>
  <c r="BB167" i="20"/>
  <c r="BR167" i="20"/>
  <c r="CE167" i="20"/>
  <c r="CS167" i="20"/>
  <c r="DI167" i="20"/>
  <c r="AG167" i="20"/>
  <c r="BG167" i="20"/>
  <c r="CD167" i="20"/>
  <c r="CY167" i="20"/>
  <c r="Q167" i="20"/>
  <c r="AM167" i="20"/>
  <c r="BI167" i="20"/>
  <c r="CG167" i="20"/>
  <c r="DA167" i="20"/>
  <c r="R167" i="20"/>
  <c r="AP167" i="20"/>
  <c r="BJ167" i="20"/>
  <c r="CH167" i="20"/>
  <c r="DG167" i="20"/>
  <c r="Z167" i="20"/>
  <c r="AU167" i="20"/>
  <c r="BS167" i="20"/>
  <c r="CM167" i="20"/>
  <c r="DK167" i="20"/>
  <c r="AE167" i="20"/>
  <c r="BW167" i="20"/>
  <c r="AQ167" i="20"/>
  <c r="CL167" i="20"/>
  <c r="AW167" i="20"/>
  <c r="CQ167" i="20"/>
  <c r="BA167" i="20"/>
  <c r="CW167" i="20"/>
  <c r="S167" i="20"/>
  <c r="DJ167" i="20"/>
  <c r="AC167" i="20"/>
  <c r="AD167" i="20"/>
  <c r="BF167" i="20"/>
  <c r="CX167" i="20"/>
  <c r="BQ167" i="20"/>
  <c r="BU167" i="20"/>
  <c r="T172" i="20"/>
  <c r="AB172" i="20"/>
  <c r="AJ172" i="20"/>
  <c r="AR172" i="20"/>
  <c r="AZ172" i="20"/>
  <c r="BH172" i="20"/>
  <c r="BP172" i="20"/>
  <c r="BX172" i="20"/>
  <c r="CF172" i="20"/>
  <c r="CN172" i="20"/>
  <c r="CV172" i="20"/>
  <c r="DD172" i="20"/>
  <c r="DL172" i="20"/>
  <c r="R172" i="20"/>
  <c r="AA172" i="20"/>
  <c r="AK172" i="20"/>
  <c r="AT172" i="20"/>
  <c r="BC172" i="20"/>
  <c r="BL172" i="20"/>
  <c r="BU172" i="20"/>
  <c r="CD172" i="20"/>
  <c r="CM172" i="20"/>
  <c r="CW172" i="20"/>
  <c r="DF172" i="20"/>
  <c r="S172" i="20"/>
  <c r="AC172" i="20"/>
  <c r="AL172" i="20"/>
  <c r="AU172" i="20"/>
  <c r="BD172" i="20"/>
  <c r="BM172" i="20"/>
  <c r="BV172" i="20"/>
  <c r="CE172" i="20"/>
  <c r="CO172" i="20"/>
  <c r="CX172" i="20"/>
  <c r="DG172" i="20"/>
  <c r="Y172" i="20"/>
  <c r="AM172" i="20"/>
  <c r="AX172" i="20"/>
  <c r="BJ172" i="20"/>
  <c r="BW172" i="20"/>
  <c r="CI172" i="20"/>
  <c r="CT172" i="20"/>
  <c r="DH172" i="20"/>
  <c r="Z172" i="20"/>
  <c r="AN172" i="20"/>
  <c r="AY172" i="20"/>
  <c r="BK172" i="20"/>
  <c r="BY172" i="20"/>
  <c r="CJ172" i="20"/>
  <c r="CU172" i="20"/>
  <c r="DI172" i="20"/>
  <c r="W172" i="20"/>
  <c r="AO172" i="20"/>
  <c r="BE172" i="20"/>
  <c r="BS172" i="20"/>
  <c r="CK172" i="20"/>
  <c r="DA172" i="20"/>
  <c r="X172" i="20"/>
  <c r="AP172" i="20"/>
  <c r="BF172" i="20"/>
  <c r="BT172" i="20"/>
  <c r="CL172" i="20"/>
  <c r="DB172" i="20"/>
  <c r="AD172" i="20"/>
  <c r="AQ172" i="20"/>
  <c r="BG172" i="20"/>
  <c r="BZ172" i="20"/>
  <c r="CP172" i="20"/>
  <c r="DC172" i="20"/>
  <c r="AF172" i="20"/>
  <c r="AV172" i="20"/>
  <c r="BN172" i="20"/>
  <c r="CB172" i="20"/>
  <c r="CR172" i="20"/>
  <c r="DJ172" i="20"/>
  <c r="AI172" i="20"/>
  <c r="BR172" i="20"/>
  <c r="CZ172" i="20"/>
  <c r="AS172" i="20"/>
  <c r="CA172" i="20"/>
  <c r="DE172" i="20"/>
  <c r="Q172" i="20"/>
  <c r="AW172" i="20"/>
  <c r="CC172" i="20"/>
  <c r="DK172" i="20"/>
  <c r="U172" i="20"/>
  <c r="BA172" i="20"/>
  <c r="CG172" i="20"/>
  <c r="AE172" i="20"/>
  <c r="CQ172" i="20"/>
  <c r="AG172" i="20"/>
  <c r="CS172" i="20"/>
  <c r="AH172" i="20"/>
  <c r="CY172" i="20"/>
  <c r="BB172" i="20"/>
  <c r="CH172" i="20"/>
  <c r="V172" i="20"/>
  <c r="BI172" i="20"/>
  <c r="BO172" i="20"/>
  <c r="BQ172" i="20"/>
  <c r="T126" i="20"/>
  <c r="AB126" i="20"/>
  <c r="AJ126" i="20"/>
  <c r="AR126" i="20"/>
  <c r="AZ126" i="20"/>
  <c r="BH126" i="20"/>
  <c r="BP126" i="20"/>
  <c r="BX126" i="20"/>
  <c r="CF126" i="20"/>
  <c r="CN126" i="20"/>
  <c r="CV126" i="20"/>
  <c r="DD126" i="20"/>
  <c r="DL126" i="20"/>
  <c r="Y126" i="20"/>
  <c r="AH126" i="20"/>
  <c r="AQ126" i="20"/>
  <c r="BA126" i="20"/>
  <c r="BJ126" i="20"/>
  <c r="BS126" i="20"/>
  <c r="CB126" i="20"/>
  <c r="CK126" i="20"/>
  <c r="CT126" i="20"/>
  <c r="DC126" i="20"/>
  <c r="Q126" i="20"/>
  <c r="Z126" i="20"/>
  <c r="AI126" i="20"/>
  <c r="AS126" i="20"/>
  <c r="BB126" i="20"/>
  <c r="BK126" i="20"/>
  <c r="BT126" i="20"/>
  <c r="CC126" i="20"/>
  <c r="CL126" i="20"/>
  <c r="CU126" i="20"/>
  <c r="DE126" i="20"/>
  <c r="U126" i="20"/>
  <c r="AF126" i="20"/>
  <c r="AT126" i="20"/>
  <c r="BE126" i="20"/>
  <c r="BQ126" i="20"/>
  <c r="CD126" i="20"/>
  <c r="CP126" i="20"/>
  <c r="DA126" i="20"/>
  <c r="V126" i="20"/>
  <c r="AG126" i="20"/>
  <c r="AU126" i="20"/>
  <c r="BF126" i="20"/>
  <c r="BR126" i="20"/>
  <c r="CE126" i="20"/>
  <c r="CQ126" i="20"/>
  <c r="DB126" i="20"/>
  <c r="W126" i="20"/>
  <c r="AK126" i="20"/>
  <c r="AV126" i="20"/>
  <c r="BG126" i="20"/>
  <c r="BU126" i="20"/>
  <c r="CG126" i="20"/>
  <c r="CR126" i="20"/>
  <c r="DF126" i="20"/>
  <c r="X126" i="20"/>
  <c r="AL126" i="20"/>
  <c r="AW126" i="20"/>
  <c r="BI126" i="20"/>
  <c r="BV126" i="20"/>
  <c r="CH126" i="20"/>
  <c r="CS126" i="20"/>
  <c r="DG126" i="20"/>
  <c r="AA126" i="20"/>
  <c r="AM126" i="20"/>
  <c r="AX126" i="20"/>
  <c r="BL126" i="20"/>
  <c r="BW126" i="20"/>
  <c r="CI126" i="20"/>
  <c r="CW126" i="20"/>
  <c r="DH126" i="20"/>
  <c r="AD126" i="20"/>
  <c r="BM126" i="20"/>
  <c r="CO126" i="20"/>
  <c r="AE126" i="20"/>
  <c r="BN126" i="20"/>
  <c r="CX126" i="20"/>
  <c r="AN126" i="20"/>
  <c r="BO126" i="20"/>
  <c r="CY126" i="20"/>
  <c r="AO126" i="20"/>
  <c r="BY126" i="20"/>
  <c r="CZ126" i="20"/>
  <c r="BC126" i="20"/>
  <c r="DK126" i="20"/>
  <c r="BD126" i="20"/>
  <c r="BZ126" i="20"/>
  <c r="R126" i="20"/>
  <c r="CA126" i="20"/>
  <c r="CJ126" i="20"/>
  <c r="CM126" i="20"/>
  <c r="DI126" i="20"/>
  <c r="DJ126" i="20"/>
  <c r="S126" i="20"/>
  <c r="AC126" i="20"/>
  <c r="AY126" i="20"/>
  <c r="S316" i="20"/>
  <c r="AA316" i="20"/>
  <c r="AI316" i="20"/>
  <c r="AQ316" i="20"/>
  <c r="AY316" i="20"/>
  <c r="BG316" i="20"/>
  <c r="BO316" i="20"/>
  <c r="BW316" i="20"/>
  <c r="CE316" i="20"/>
  <c r="CM316" i="20"/>
  <c r="CU316" i="20"/>
  <c r="DC316" i="20"/>
  <c r="DK316" i="20"/>
  <c r="T316" i="20"/>
  <c r="AB316" i="20"/>
  <c r="AJ316" i="20"/>
  <c r="AR316" i="20"/>
  <c r="AZ316" i="20"/>
  <c r="BH316" i="20"/>
  <c r="BP316" i="20"/>
  <c r="BX316" i="20"/>
  <c r="CF316" i="20"/>
  <c r="CN316" i="20"/>
  <c r="CV316" i="20"/>
  <c r="DD316" i="20"/>
  <c r="DL316" i="20"/>
  <c r="Z316" i="20"/>
  <c r="AL316" i="20"/>
  <c r="AV316" i="20"/>
  <c r="BF316" i="20"/>
  <c r="BR316" i="20"/>
  <c r="CB316" i="20"/>
  <c r="CL316" i="20"/>
  <c r="CX316" i="20"/>
  <c r="DH316" i="20"/>
  <c r="Q316" i="20"/>
  <c r="AC316" i="20"/>
  <c r="AM316" i="20"/>
  <c r="AW316" i="20"/>
  <c r="BI316" i="20"/>
  <c r="BS316" i="20"/>
  <c r="CC316" i="20"/>
  <c r="CO316" i="20"/>
  <c r="CY316" i="20"/>
  <c r="DI316" i="20"/>
  <c r="U316" i="20"/>
  <c r="AE316" i="20"/>
  <c r="AO316" i="20"/>
  <c r="BA316" i="20"/>
  <c r="BK316" i="20"/>
  <c r="BU316" i="20"/>
  <c r="CG316" i="20"/>
  <c r="CQ316" i="20"/>
  <c r="DA316" i="20"/>
  <c r="Y316" i="20"/>
  <c r="AS316" i="20"/>
  <c r="BJ316" i="20"/>
  <c r="BZ316" i="20"/>
  <c r="CR316" i="20"/>
  <c r="DG316" i="20"/>
  <c r="AD316" i="20"/>
  <c r="AT316" i="20"/>
  <c r="BL316" i="20"/>
  <c r="CA316" i="20"/>
  <c r="CS316" i="20"/>
  <c r="DJ316" i="20"/>
  <c r="AF316" i="20"/>
  <c r="AU316" i="20"/>
  <c r="BM316" i="20"/>
  <c r="CD316" i="20"/>
  <c r="CT316" i="20"/>
  <c r="V208" i="20"/>
  <c r="AD208" i="20"/>
  <c r="AL208" i="20"/>
  <c r="AT208" i="20"/>
  <c r="BB208" i="20"/>
  <c r="BJ208" i="20"/>
  <c r="BR208" i="20"/>
  <c r="BZ208" i="20"/>
  <c r="CH208" i="20"/>
  <c r="CP208" i="20"/>
  <c r="CX208" i="20"/>
  <c r="DF208" i="20"/>
  <c r="T208" i="20"/>
  <c r="AC208" i="20"/>
  <c r="AM208" i="20"/>
  <c r="AV208" i="20"/>
  <c r="BE208" i="20"/>
  <c r="BN208" i="20"/>
  <c r="BW208" i="20"/>
  <c r="CF208" i="20"/>
  <c r="CO208" i="20"/>
  <c r="CY208" i="20"/>
  <c r="DH208" i="20"/>
  <c r="U208" i="20"/>
  <c r="AE208" i="20"/>
  <c r="AN208" i="20"/>
  <c r="AW208" i="20"/>
  <c r="BF208" i="20"/>
  <c r="BO208" i="20"/>
  <c r="BX208" i="20"/>
  <c r="CG208" i="20"/>
  <c r="CQ208" i="20"/>
  <c r="CZ208" i="20"/>
  <c r="DI208" i="20"/>
  <c r="Z208" i="20"/>
  <c r="AK208" i="20"/>
  <c r="AY208" i="20"/>
  <c r="BK208" i="20"/>
  <c r="BV208" i="20"/>
  <c r="CJ208" i="20"/>
  <c r="CU208" i="20"/>
  <c r="DG208" i="20"/>
  <c r="AA208" i="20"/>
  <c r="AO208" i="20"/>
  <c r="AZ208" i="20"/>
  <c r="BL208" i="20"/>
  <c r="BY208" i="20"/>
  <c r="CK208" i="20"/>
  <c r="CV208" i="20"/>
  <c r="DJ208" i="20"/>
  <c r="R208" i="20"/>
  <c r="AF208" i="20"/>
  <c r="AQ208" i="20"/>
  <c r="BC208" i="20"/>
  <c r="BP208" i="20"/>
  <c r="CB208" i="20"/>
  <c r="CM208" i="20"/>
  <c r="DA208" i="20"/>
  <c r="DL208" i="20"/>
  <c r="AG208" i="20"/>
  <c r="AX208" i="20"/>
  <c r="BS208" i="20"/>
  <c r="CL208" i="20"/>
  <c r="DD208" i="20"/>
  <c r="Q208" i="20"/>
  <c r="AI208" i="20"/>
  <c r="BD208" i="20"/>
  <c r="BU208" i="20"/>
  <c r="CR208" i="20"/>
  <c r="DK208" i="20"/>
  <c r="S208" i="20"/>
  <c r="AJ208" i="20"/>
  <c r="BG208" i="20"/>
  <c r="CA208" i="20"/>
  <c r="CS208" i="20"/>
  <c r="W208" i="20"/>
  <c r="AU208" i="20"/>
  <c r="CD208" i="20"/>
  <c r="DE208" i="20"/>
  <c r="X208" i="20"/>
  <c r="BA208" i="20"/>
  <c r="CE208" i="20"/>
  <c r="AB208" i="20"/>
  <c r="BI208" i="20"/>
  <c r="CN208" i="20"/>
  <c r="AR208" i="20"/>
  <c r="CT208" i="20"/>
  <c r="AH208" i="20"/>
  <c r="CC208" i="20"/>
  <c r="AS208" i="20"/>
  <c r="DC208" i="20"/>
  <c r="BH208" i="20"/>
  <c r="BM208" i="20"/>
  <c r="BQ208" i="20"/>
  <c r="BT208" i="20"/>
  <c r="CI208" i="20"/>
  <c r="S56" i="20"/>
  <c r="AA56" i="20"/>
  <c r="AI56" i="20"/>
  <c r="AQ56" i="20"/>
  <c r="AY56" i="20"/>
  <c r="BG56" i="20"/>
  <c r="BO56" i="20"/>
  <c r="BW56" i="20"/>
  <c r="CE56" i="20"/>
  <c r="CM56" i="20"/>
  <c r="CU56" i="20"/>
  <c r="DC56" i="20"/>
  <c r="DK56" i="20"/>
  <c r="R56" i="20"/>
  <c r="AB56" i="20"/>
  <c r="AK56" i="20"/>
  <c r="AT56" i="20"/>
  <c r="BC56" i="20"/>
  <c r="BL56" i="20"/>
  <c r="BU56" i="20"/>
  <c r="CD56" i="20"/>
  <c r="CN56" i="20"/>
  <c r="CW56" i="20"/>
  <c r="DF56" i="20"/>
  <c r="T56" i="20"/>
  <c r="AC56" i="20"/>
  <c r="AL56" i="20"/>
  <c r="AU56" i="20"/>
  <c r="BD56" i="20"/>
  <c r="BM56" i="20"/>
  <c r="BV56" i="20"/>
  <c r="CF56" i="20"/>
  <c r="CO56" i="20"/>
  <c r="CX56" i="20"/>
  <c r="DG56" i="20"/>
  <c r="U56" i="20"/>
  <c r="AD56" i="20"/>
  <c r="AM56" i="20"/>
  <c r="AV56" i="20"/>
  <c r="BE56" i="20"/>
  <c r="BN56" i="20"/>
  <c r="BX56" i="20"/>
  <c r="CG56" i="20"/>
  <c r="CP56" i="20"/>
  <c r="CY56" i="20"/>
  <c r="DH56" i="20"/>
  <c r="V56" i="20"/>
  <c r="AE56" i="20"/>
  <c r="AN56" i="20"/>
  <c r="AW56" i="20"/>
  <c r="BF56" i="20"/>
  <c r="BP56" i="20"/>
  <c r="BY56" i="20"/>
  <c r="CH56" i="20"/>
  <c r="CQ56" i="20"/>
  <c r="CZ56" i="20"/>
  <c r="DI56" i="20"/>
  <c r="AF56" i="20"/>
  <c r="AX56" i="20"/>
  <c r="BQ56" i="20"/>
  <c r="CI56" i="20"/>
  <c r="DA56" i="20"/>
  <c r="AG56" i="20"/>
  <c r="AZ56" i="20"/>
  <c r="BR56" i="20"/>
  <c r="CJ56" i="20"/>
  <c r="DB56" i="20"/>
  <c r="AH56" i="20"/>
  <c r="BA56" i="20"/>
  <c r="BS56" i="20"/>
  <c r="CK56" i="20"/>
  <c r="DD56" i="20"/>
  <c r="Q56" i="20"/>
  <c r="AJ56" i="20"/>
  <c r="BB56" i="20"/>
  <c r="BT56" i="20"/>
  <c r="CL56" i="20"/>
  <c r="DE56" i="20"/>
  <c r="W56" i="20"/>
  <c r="AO56" i="20"/>
  <c r="BH56" i="20"/>
  <c r="BZ56" i="20"/>
  <c r="CR56" i="20"/>
  <c r="DJ56" i="20"/>
  <c r="Y56" i="20"/>
  <c r="CA56" i="20"/>
  <c r="Z56" i="20"/>
  <c r="CB56" i="20"/>
  <c r="AP56" i="20"/>
  <c r="CC56" i="20"/>
  <c r="AR56" i="20"/>
  <c r="CS56" i="20"/>
  <c r="AS56" i="20"/>
  <c r="BI56" i="20"/>
  <c r="BJ56" i="20"/>
  <c r="CT56" i="20"/>
  <c r="CV56" i="20"/>
  <c r="X56" i="20"/>
  <c r="BK56" i="20"/>
  <c r="DL56" i="20"/>
  <c r="U148" i="20"/>
  <c r="AC148" i="20"/>
  <c r="AK148" i="20"/>
  <c r="AS148" i="20"/>
  <c r="BA148" i="20"/>
  <c r="BI148" i="20"/>
  <c r="BQ148" i="20"/>
  <c r="BY148" i="20"/>
  <c r="CG148" i="20"/>
  <c r="CO148" i="20"/>
  <c r="CW148" i="20"/>
  <c r="DE148" i="20"/>
  <c r="V148" i="20"/>
  <c r="AD148" i="20"/>
  <c r="AL148" i="20"/>
  <c r="AT148" i="20"/>
  <c r="BB148" i="20"/>
  <c r="BJ148" i="20"/>
  <c r="BR148" i="20"/>
  <c r="BZ148" i="20"/>
  <c r="CH148" i="20"/>
  <c r="CP148" i="20"/>
  <c r="CX148" i="20"/>
  <c r="DF148" i="20"/>
  <c r="Q148" i="20"/>
  <c r="AA148" i="20"/>
  <c r="AM148" i="20"/>
  <c r="AW148" i="20"/>
  <c r="BG148" i="20"/>
  <c r="BS148" i="20"/>
  <c r="CC148" i="20"/>
  <c r="CM148" i="20"/>
  <c r="CY148" i="20"/>
  <c r="DI148" i="20"/>
  <c r="T148" i="20"/>
  <c r="AF148" i="20"/>
  <c r="AP148" i="20"/>
  <c r="AZ148" i="20"/>
  <c r="BL148" i="20"/>
  <c r="BV148" i="20"/>
  <c r="CF148" i="20"/>
  <c r="CR148" i="20"/>
  <c r="DB148" i="20"/>
  <c r="DL148" i="20"/>
  <c r="W148" i="20"/>
  <c r="AG148" i="20"/>
  <c r="AQ148" i="20"/>
  <c r="BC148" i="20"/>
  <c r="BM148" i="20"/>
  <c r="BW148" i="20"/>
  <c r="CI148" i="20"/>
  <c r="CS148" i="20"/>
  <c r="DC148" i="20"/>
  <c r="AH148" i="20"/>
  <c r="AX148" i="20"/>
  <c r="BO148" i="20"/>
  <c r="CE148" i="20"/>
  <c r="CV148" i="20"/>
  <c r="R148" i="20"/>
  <c r="AI148" i="20"/>
  <c r="AY148" i="20"/>
  <c r="BP148" i="20"/>
  <c r="CJ148" i="20"/>
  <c r="CZ148" i="20"/>
  <c r="S148" i="20"/>
  <c r="AJ148" i="20"/>
  <c r="BD148" i="20"/>
  <c r="BT148" i="20"/>
  <c r="CK148" i="20"/>
  <c r="DA148" i="20"/>
  <c r="X148" i="20"/>
  <c r="AN148" i="20"/>
  <c r="BE148" i="20"/>
  <c r="BU148" i="20"/>
  <c r="CL148" i="20"/>
  <c r="DD148" i="20"/>
  <c r="AB148" i="20"/>
  <c r="BK148" i="20"/>
  <c r="CT148" i="20"/>
  <c r="AE148" i="20"/>
  <c r="BN148" i="20"/>
  <c r="CU148" i="20"/>
  <c r="AR148" i="20"/>
  <c r="CA148" i="20"/>
  <c r="DH148" i="20"/>
  <c r="BH148" i="20"/>
  <c r="DK148" i="20"/>
  <c r="BX148" i="20"/>
  <c r="Y148" i="20"/>
  <c r="CB148" i="20"/>
  <c r="Z148" i="20"/>
  <c r="CD148" i="20"/>
  <c r="AO148" i="20"/>
  <c r="CN148" i="20"/>
  <c r="AV148" i="20"/>
  <c r="BF148" i="20"/>
  <c r="CQ148" i="20"/>
  <c r="DG148" i="20"/>
  <c r="AU148" i="20"/>
  <c r="DJ148" i="20"/>
  <c r="R201" i="20"/>
  <c r="Z201" i="20"/>
  <c r="AH201" i="20"/>
  <c r="AP201" i="20"/>
  <c r="AX201" i="20"/>
  <c r="BF201" i="20"/>
  <c r="BN201" i="20"/>
  <c r="BV201" i="20"/>
  <c r="CD201" i="20"/>
  <c r="CL201" i="20"/>
  <c r="CT201" i="20"/>
  <c r="DB201" i="20"/>
  <c r="DJ201" i="20"/>
  <c r="Y201" i="20"/>
  <c r="AI201" i="20"/>
  <c r="AR201" i="20"/>
  <c r="BA201" i="20"/>
  <c r="BJ201" i="20"/>
  <c r="BS201" i="20"/>
  <c r="CB201" i="20"/>
  <c r="CK201" i="20"/>
  <c r="CU201" i="20"/>
  <c r="DD201" i="20"/>
  <c r="Q201" i="20"/>
  <c r="AA201" i="20"/>
  <c r="AJ201" i="20"/>
  <c r="AS201" i="20"/>
  <c r="BB201" i="20"/>
  <c r="BK201" i="20"/>
  <c r="BT201" i="20"/>
  <c r="CC201" i="20"/>
  <c r="CM201" i="20"/>
  <c r="CV201" i="20"/>
  <c r="DE201" i="20"/>
  <c r="S201" i="20"/>
  <c r="AD201" i="20"/>
  <c r="AO201" i="20"/>
  <c r="BC201" i="20"/>
  <c r="BO201" i="20"/>
  <c r="BZ201" i="20"/>
  <c r="CN201" i="20"/>
  <c r="CY201" i="20"/>
  <c r="DK201" i="20"/>
  <c r="T201" i="20"/>
  <c r="AE201" i="20"/>
  <c r="AQ201" i="20"/>
  <c r="BD201" i="20"/>
  <c r="BP201" i="20"/>
  <c r="CA201" i="20"/>
  <c r="CO201" i="20"/>
  <c r="CZ201" i="20"/>
  <c r="DL201" i="20"/>
  <c r="U201" i="20"/>
  <c r="AF201" i="20"/>
  <c r="AT201" i="20"/>
  <c r="BE201" i="20"/>
  <c r="BQ201" i="20"/>
  <c r="CE201" i="20"/>
  <c r="CP201" i="20"/>
  <c r="DA201" i="20"/>
  <c r="W201" i="20"/>
  <c r="AK201" i="20"/>
  <c r="AV201" i="20"/>
  <c r="BH201" i="20"/>
  <c r="BU201" i="20"/>
  <c r="CG201" i="20"/>
  <c r="CR201" i="20"/>
  <c r="DF201" i="20"/>
  <c r="AC201" i="20"/>
  <c r="AZ201" i="20"/>
  <c r="BY201" i="20"/>
  <c r="CX201" i="20"/>
  <c r="AL201" i="20"/>
  <c r="BI201" i="20"/>
  <c r="CH201" i="20"/>
  <c r="DG201" i="20"/>
  <c r="AM201" i="20"/>
  <c r="BL201" i="20"/>
  <c r="CI201" i="20"/>
  <c r="DH201" i="20"/>
  <c r="AB201" i="20"/>
  <c r="BR201" i="20"/>
  <c r="DC201" i="20"/>
  <c r="AG201" i="20"/>
  <c r="BW201" i="20"/>
  <c r="DI201" i="20"/>
  <c r="AU201" i="20"/>
  <c r="CF201" i="20"/>
  <c r="AY201" i="20"/>
  <c r="AN201" i="20"/>
  <c r="CS201" i="20"/>
  <c r="BG201" i="20"/>
  <c r="BM201" i="20"/>
  <c r="BX201" i="20"/>
  <c r="CJ201" i="20"/>
  <c r="CQ201" i="20"/>
  <c r="V201" i="20"/>
  <c r="CW201" i="20"/>
  <c r="W260" i="20"/>
  <c r="AE260" i="20"/>
  <c r="AM260" i="20"/>
  <c r="AU260" i="20"/>
  <c r="BC260" i="20"/>
  <c r="BK260" i="20"/>
  <c r="BS260" i="20"/>
  <c r="CA260" i="20"/>
  <c r="CI260" i="20"/>
  <c r="CQ260" i="20"/>
  <c r="CY260" i="20"/>
  <c r="DG260" i="20"/>
  <c r="S260" i="20"/>
  <c r="AB260" i="20"/>
  <c r="AK260" i="20"/>
  <c r="AT260" i="20"/>
  <c r="BD260" i="20"/>
  <c r="BM260" i="20"/>
  <c r="U260" i="20"/>
  <c r="AD260" i="20"/>
  <c r="AN260" i="20"/>
  <c r="AW260" i="20"/>
  <c r="BF260" i="20"/>
  <c r="BO260" i="20"/>
  <c r="BX260" i="20"/>
  <c r="CG260" i="20"/>
  <c r="CP260" i="20"/>
  <c r="CZ260" i="20"/>
  <c r="DI260" i="20"/>
  <c r="V260" i="20"/>
  <c r="AF260" i="20"/>
  <c r="AO260" i="20"/>
  <c r="AX260" i="20"/>
  <c r="BG260" i="20"/>
  <c r="BP260" i="20"/>
  <c r="BY260" i="20"/>
  <c r="CH260" i="20"/>
  <c r="CR260" i="20"/>
  <c r="DA260" i="20"/>
  <c r="DJ260" i="20"/>
  <c r="X260" i="20"/>
  <c r="AJ260" i="20"/>
  <c r="AZ260" i="20"/>
  <c r="BN260" i="20"/>
  <c r="CB260" i="20"/>
  <c r="CM260" i="20"/>
  <c r="CX260" i="20"/>
  <c r="DL260" i="20"/>
  <c r="Y260" i="20"/>
  <c r="AL260" i="20"/>
  <c r="BA260" i="20"/>
  <c r="BQ260" i="20"/>
  <c r="CC260" i="20"/>
  <c r="CN260" i="20"/>
  <c r="DB260" i="20"/>
  <c r="AA260" i="20"/>
  <c r="AQ260" i="20"/>
  <c r="BE260" i="20"/>
  <c r="BT260" i="20"/>
  <c r="CE260" i="20"/>
  <c r="CS260" i="20"/>
  <c r="DD260" i="20"/>
  <c r="Q260" i="20"/>
  <c r="AP260" i="20"/>
  <c r="BJ260" i="20"/>
  <c r="CF260" i="20"/>
  <c r="CW260" i="20"/>
  <c r="R260" i="20"/>
  <c r="AR260" i="20"/>
  <c r="BL260" i="20"/>
  <c r="CJ260" i="20"/>
  <c r="DC260" i="20"/>
  <c r="T260" i="20"/>
  <c r="AS260" i="20"/>
  <c r="BR260" i="20"/>
  <c r="CK260" i="20"/>
  <c r="DE260" i="20"/>
  <c r="Z260" i="20"/>
  <c r="AV260" i="20"/>
  <c r="BU260" i="20"/>
  <c r="CL260" i="20"/>
  <c r="DF260" i="20"/>
  <c r="AG260" i="20"/>
  <c r="BB260" i="20"/>
  <c r="BW260" i="20"/>
  <c r="CT260" i="20"/>
  <c r="DK260" i="20"/>
  <c r="X175" i="20"/>
  <c r="AF175" i="20"/>
  <c r="AN175" i="20"/>
  <c r="AV175" i="20"/>
  <c r="BD175" i="20"/>
  <c r="BL175" i="20"/>
  <c r="BT175" i="20"/>
  <c r="CB175" i="20"/>
  <c r="CJ175" i="20"/>
  <c r="CR175" i="20"/>
  <c r="CZ175" i="20"/>
  <c r="DH175" i="20"/>
  <c r="T175" i="20"/>
  <c r="AC175" i="20"/>
  <c r="AL175" i="20"/>
  <c r="AU175" i="20"/>
  <c r="BE175" i="20"/>
  <c r="BN175" i="20"/>
  <c r="BW175" i="20"/>
  <c r="CF175" i="20"/>
  <c r="CO175" i="20"/>
  <c r="CX175" i="20"/>
  <c r="DG175" i="20"/>
  <c r="U175" i="20"/>
  <c r="AD175" i="20"/>
  <c r="AM175" i="20"/>
  <c r="AW175" i="20"/>
  <c r="BF175" i="20"/>
  <c r="BO175" i="20"/>
  <c r="BX175" i="20"/>
  <c r="CG175" i="20"/>
  <c r="CP175" i="20"/>
  <c r="CY175" i="20"/>
  <c r="DI175" i="20"/>
  <c r="R175" i="20"/>
  <c r="AE175" i="20"/>
  <c r="AQ175" i="20"/>
  <c r="BB175" i="20"/>
  <c r="BP175" i="20"/>
  <c r="CA175" i="20"/>
  <c r="CM175" i="20"/>
  <c r="DA175" i="20"/>
  <c r="DL175" i="20"/>
  <c r="S175" i="20"/>
  <c r="AG175" i="20"/>
  <c r="AR175" i="20"/>
  <c r="BC175" i="20"/>
  <c r="BQ175" i="20"/>
  <c r="CC175" i="20"/>
  <c r="CN175" i="20"/>
  <c r="DB175" i="20"/>
  <c r="AH175" i="20"/>
  <c r="AX175" i="20"/>
  <c r="BK175" i="20"/>
  <c r="CD175" i="20"/>
  <c r="CT175" i="20"/>
  <c r="DJ175" i="20"/>
  <c r="Q175" i="20"/>
  <c r="AI175" i="20"/>
  <c r="AY175" i="20"/>
  <c r="BM175" i="20"/>
  <c r="CE175" i="20"/>
  <c r="CU175" i="20"/>
  <c r="DK175" i="20"/>
  <c r="V175" i="20"/>
  <c r="AJ175" i="20"/>
  <c r="AZ175" i="20"/>
  <c r="BR175" i="20"/>
  <c r="CH175" i="20"/>
  <c r="CV175" i="20"/>
  <c r="Y175" i="20"/>
  <c r="AO175" i="20"/>
  <c r="BG175" i="20"/>
  <c r="BU175" i="20"/>
  <c r="CK175" i="20"/>
  <c r="DC175" i="20"/>
  <c r="AB175" i="20"/>
  <c r="BJ175" i="20"/>
  <c r="CS175" i="20"/>
  <c r="AK175" i="20"/>
  <c r="BS175" i="20"/>
  <c r="CW175" i="20"/>
  <c r="AP175" i="20"/>
  <c r="BV175" i="20"/>
  <c r="DD175" i="20"/>
  <c r="AS175" i="20"/>
  <c r="BY175" i="20"/>
  <c r="DE175" i="20"/>
  <c r="BA175" i="20"/>
  <c r="BH175" i="20"/>
  <c r="BI175" i="20"/>
  <c r="BZ175" i="20"/>
  <c r="CI175" i="20"/>
  <c r="CL175" i="20"/>
  <c r="AT175" i="20"/>
  <c r="CQ175" i="20"/>
  <c r="DF175" i="20"/>
  <c r="W175" i="20"/>
  <c r="U150" i="20"/>
  <c r="AC150" i="20"/>
  <c r="AK150" i="20"/>
  <c r="AS150" i="20"/>
  <c r="BA150" i="20"/>
  <c r="BI150" i="20"/>
  <c r="BQ150" i="20"/>
  <c r="BY150" i="20"/>
  <c r="CG150" i="20"/>
  <c r="CO150" i="20"/>
  <c r="CW150" i="20"/>
  <c r="DE150" i="20"/>
  <c r="S150" i="20"/>
  <c r="AB150" i="20"/>
  <c r="AL150" i="20"/>
  <c r="AU150" i="20"/>
  <c r="BD150" i="20"/>
  <c r="BM150" i="20"/>
  <c r="BV150" i="20"/>
  <c r="CE150" i="20"/>
  <c r="CN150" i="20"/>
  <c r="CX150" i="20"/>
  <c r="DG150" i="20"/>
  <c r="W150" i="20"/>
  <c r="AF150" i="20"/>
  <c r="AO150" i="20"/>
  <c r="AX150" i="20"/>
  <c r="BG150" i="20"/>
  <c r="BP150" i="20"/>
  <c r="BZ150" i="20"/>
  <c r="CI150" i="20"/>
  <c r="CR150" i="20"/>
  <c r="DA150" i="20"/>
  <c r="DJ150" i="20"/>
  <c r="X150" i="20"/>
  <c r="AG150" i="20"/>
  <c r="AP150" i="20"/>
  <c r="AY150" i="20"/>
  <c r="BH150" i="20"/>
  <c r="BR150" i="20"/>
  <c r="CA150" i="20"/>
  <c r="CJ150" i="20"/>
  <c r="CS150" i="20"/>
  <c r="DB150" i="20"/>
  <c r="DK150" i="20"/>
  <c r="Z150" i="20"/>
  <c r="AN150" i="20"/>
  <c r="BC150" i="20"/>
  <c r="BS150" i="20"/>
  <c r="CF150" i="20"/>
  <c r="CU150" i="20"/>
  <c r="DI150" i="20"/>
  <c r="AA150" i="20"/>
  <c r="AQ150" i="20"/>
  <c r="BE150" i="20"/>
  <c r="BT150" i="20"/>
  <c r="CH150" i="20"/>
  <c r="CV150" i="20"/>
  <c r="DL150" i="20"/>
  <c r="AD150" i="20"/>
  <c r="AR150" i="20"/>
  <c r="BF150" i="20"/>
  <c r="BU150" i="20"/>
  <c r="CK150" i="20"/>
  <c r="CY150" i="20"/>
  <c r="Q150" i="20"/>
  <c r="AE150" i="20"/>
  <c r="AT150" i="20"/>
  <c r="BJ150" i="20"/>
  <c r="BW150" i="20"/>
  <c r="CL150" i="20"/>
  <c r="CZ150" i="20"/>
  <c r="V150" i="20"/>
  <c r="AZ150" i="20"/>
  <c r="CC150" i="20"/>
  <c r="DF150" i="20"/>
  <c r="Y150" i="20"/>
  <c r="BB150" i="20"/>
  <c r="CD150" i="20"/>
  <c r="DH150" i="20"/>
  <c r="AI150" i="20"/>
  <c r="BL150" i="20"/>
  <c r="CP150" i="20"/>
  <c r="R150" i="20"/>
  <c r="BN150" i="20"/>
  <c r="DD150" i="20"/>
  <c r="T150" i="20"/>
  <c r="BO150" i="20"/>
  <c r="AH150" i="20"/>
  <c r="BX150" i="20"/>
  <c r="AJ150" i="20"/>
  <c r="CB150" i="20"/>
  <c r="AM150" i="20"/>
  <c r="CM150" i="20"/>
  <c r="DC150" i="20"/>
  <c r="AV150" i="20"/>
  <c r="BK150" i="20"/>
  <c r="CQ150" i="20"/>
  <c r="CT150" i="20"/>
  <c r="AW150" i="20"/>
  <c r="Q155" i="20"/>
  <c r="Y155" i="20"/>
  <c r="AG155" i="20"/>
  <c r="AO155" i="20"/>
  <c r="AW155" i="20"/>
  <c r="BE155" i="20"/>
  <c r="BM155" i="20"/>
  <c r="BU155" i="20"/>
  <c r="CC155" i="20"/>
  <c r="CK155" i="20"/>
  <c r="CS155" i="20"/>
  <c r="DA155" i="20"/>
  <c r="DI155" i="20"/>
  <c r="V155" i="20"/>
  <c r="AE155" i="20"/>
  <c r="AN155" i="20"/>
  <c r="AX155" i="20"/>
  <c r="BG155" i="20"/>
  <c r="BP155" i="20"/>
  <c r="BY155" i="20"/>
  <c r="CH155" i="20"/>
  <c r="CQ155" i="20"/>
  <c r="CZ155" i="20"/>
  <c r="DJ155" i="20"/>
  <c r="Z155" i="20"/>
  <c r="AI155" i="20"/>
  <c r="AR155" i="20"/>
  <c r="BA155" i="20"/>
  <c r="BJ155" i="20"/>
  <c r="BS155" i="20"/>
  <c r="CB155" i="20"/>
  <c r="CL155" i="20"/>
  <c r="CU155" i="20"/>
  <c r="DD155" i="20"/>
  <c r="R155" i="20"/>
  <c r="AA155" i="20"/>
  <c r="AJ155" i="20"/>
  <c r="AS155" i="20"/>
  <c r="BB155" i="20"/>
  <c r="BK155" i="20"/>
  <c r="BT155" i="20"/>
  <c r="CD155" i="20"/>
  <c r="CM155" i="20"/>
  <c r="CV155" i="20"/>
  <c r="DE155" i="20"/>
  <c r="X155" i="20"/>
  <c r="AM155" i="20"/>
  <c r="BC155" i="20"/>
  <c r="BQ155" i="20"/>
  <c r="CF155" i="20"/>
  <c r="CT155" i="20"/>
  <c r="DH155" i="20"/>
  <c r="AB155" i="20"/>
  <c r="AP155" i="20"/>
  <c r="BD155" i="20"/>
  <c r="BR155" i="20"/>
  <c r="CG155" i="20"/>
  <c r="CW155" i="20"/>
  <c r="DK155" i="20"/>
  <c r="AC155" i="20"/>
  <c r="AQ155" i="20"/>
  <c r="BF155" i="20"/>
  <c r="BV155" i="20"/>
  <c r="CI155" i="20"/>
  <c r="CX155" i="20"/>
  <c r="DL155" i="20"/>
  <c r="AK155" i="20"/>
  <c r="BI155" i="20"/>
  <c r="CE155" i="20"/>
  <c r="DC155" i="20"/>
  <c r="S155" i="20"/>
  <c r="AL155" i="20"/>
  <c r="BL155" i="20"/>
  <c r="CJ155" i="20"/>
  <c r="DF155" i="20"/>
  <c r="U155" i="20"/>
  <c r="AU155" i="20"/>
  <c r="BO155" i="20"/>
  <c r="CO155" i="20"/>
  <c r="W155" i="20"/>
  <c r="BH155" i="20"/>
  <c r="CR155" i="20"/>
  <c r="AD155" i="20"/>
  <c r="BN155" i="20"/>
  <c r="CY155" i="20"/>
  <c r="AF155" i="20"/>
  <c r="BW155" i="20"/>
  <c r="DB155" i="20"/>
  <c r="AH155" i="20"/>
  <c r="BX155" i="20"/>
  <c r="DG155" i="20"/>
  <c r="AT155" i="20"/>
  <c r="BZ155" i="20"/>
  <c r="CN155" i="20"/>
  <c r="CP155" i="20"/>
  <c r="T155" i="20"/>
  <c r="AY155" i="20"/>
  <c r="AZ155" i="20"/>
  <c r="CA155" i="20"/>
  <c r="AV155" i="20"/>
  <c r="W276" i="20"/>
  <c r="AE276" i="20"/>
  <c r="AM276" i="20"/>
  <c r="AU276" i="20"/>
  <c r="BC276" i="20"/>
  <c r="BK276" i="20"/>
  <c r="BS276" i="20"/>
  <c r="CA276" i="20"/>
  <c r="CI276" i="20"/>
  <c r="CQ276" i="20"/>
  <c r="CY276" i="20"/>
  <c r="DG276" i="20"/>
  <c r="U276" i="20"/>
  <c r="AD276" i="20"/>
  <c r="AN276" i="20"/>
  <c r="AW276" i="20"/>
  <c r="BF276" i="20"/>
  <c r="BO276" i="20"/>
  <c r="BX276" i="20"/>
  <c r="CG276" i="20"/>
  <c r="CP276" i="20"/>
  <c r="CZ276" i="20"/>
  <c r="DI276" i="20"/>
  <c r="V276" i="20"/>
  <c r="AF276" i="20"/>
  <c r="AO276" i="20"/>
  <c r="AX276" i="20"/>
  <c r="BG276" i="20"/>
  <c r="BP276" i="20"/>
  <c r="BY276" i="20"/>
  <c r="CH276" i="20"/>
  <c r="CR276" i="20"/>
  <c r="DA276" i="20"/>
  <c r="DJ276" i="20"/>
  <c r="AA276" i="20"/>
  <c r="AL276" i="20"/>
  <c r="AZ276" i="20"/>
  <c r="BL276" i="20"/>
  <c r="BW276" i="20"/>
  <c r="CK276" i="20"/>
  <c r="CV276" i="20"/>
  <c r="DH276" i="20"/>
  <c r="Q276" i="20"/>
  <c r="AB276" i="20"/>
  <c r="AP276" i="20"/>
  <c r="BA276" i="20"/>
  <c r="BM276" i="20"/>
  <c r="BZ276" i="20"/>
  <c r="CL276" i="20"/>
  <c r="CW276" i="20"/>
  <c r="DK276" i="20"/>
  <c r="S276" i="20"/>
  <c r="AG276" i="20"/>
  <c r="AR276" i="20"/>
  <c r="BD276" i="20"/>
  <c r="BQ276" i="20"/>
  <c r="CC276" i="20"/>
  <c r="CN276" i="20"/>
  <c r="DB276" i="20"/>
  <c r="Y276" i="20"/>
  <c r="AS276" i="20"/>
  <c r="BJ276" i="20"/>
  <c r="CE276" i="20"/>
  <c r="CX276" i="20"/>
  <c r="Z276" i="20"/>
  <c r="AT276" i="20"/>
  <c r="BN276" i="20"/>
  <c r="CF276" i="20"/>
  <c r="DC276" i="20"/>
  <c r="AC276" i="20"/>
  <c r="AV276" i="20"/>
  <c r="BR276" i="20"/>
  <c r="CJ276" i="20"/>
  <c r="DD276" i="20"/>
  <c r="AH276" i="20"/>
  <c r="AY276" i="20"/>
  <c r="BT276" i="20"/>
  <c r="CM276" i="20"/>
  <c r="DE276" i="20"/>
  <c r="Q103" i="20"/>
  <c r="Y103" i="20"/>
  <c r="AG103" i="20"/>
  <c r="AO103" i="20"/>
  <c r="AW103" i="20"/>
  <c r="BE103" i="20"/>
  <c r="BM103" i="20"/>
  <c r="BU103" i="20"/>
  <c r="CC103" i="20"/>
  <c r="CK103" i="20"/>
  <c r="CS103" i="20"/>
  <c r="DA103" i="20"/>
  <c r="DI103" i="20"/>
  <c r="W103" i="20"/>
  <c r="AF103" i="20"/>
  <c r="AP103" i="20"/>
  <c r="AY103" i="20"/>
  <c r="BH103" i="20"/>
  <c r="BQ103" i="20"/>
  <c r="BZ103" i="20"/>
  <c r="CI103" i="20"/>
  <c r="CR103" i="20"/>
  <c r="DB103" i="20"/>
  <c r="DK103" i="20"/>
  <c r="X103" i="20"/>
  <c r="AH103" i="20"/>
  <c r="AQ103" i="20"/>
  <c r="AZ103" i="20"/>
  <c r="BI103" i="20"/>
  <c r="BR103" i="20"/>
  <c r="CA103" i="20"/>
  <c r="CJ103" i="20"/>
  <c r="CT103" i="20"/>
  <c r="DC103" i="20"/>
  <c r="DL103" i="20"/>
  <c r="AA103" i="20"/>
  <c r="AL103" i="20"/>
  <c r="AX103" i="20"/>
  <c r="BK103" i="20"/>
  <c r="BW103" i="20"/>
  <c r="CH103" i="20"/>
  <c r="CV103" i="20"/>
  <c r="DG103" i="20"/>
  <c r="S103" i="20"/>
  <c r="AD103" i="20"/>
  <c r="AR103" i="20"/>
  <c r="BC103" i="20"/>
  <c r="BO103" i="20"/>
  <c r="CB103" i="20"/>
  <c r="CN103" i="20"/>
  <c r="CY103" i="20"/>
  <c r="T103" i="20"/>
  <c r="AE103" i="20"/>
  <c r="AS103" i="20"/>
  <c r="BD103" i="20"/>
  <c r="BP103" i="20"/>
  <c r="CD103" i="20"/>
  <c r="CO103" i="20"/>
  <c r="CZ103" i="20"/>
  <c r="AJ103" i="20"/>
  <c r="BB103" i="20"/>
  <c r="BV103" i="20"/>
  <c r="CP103" i="20"/>
  <c r="DH103" i="20"/>
  <c r="R103" i="20"/>
  <c r="AK103" i="20"/>
  <c r="BF103" i="20"/>
  <c r="BX103" i="20"/>
  <c r="CQ103" i="20"/>
  <c r="DJ103" i="20"/>
  <c r="AM103" i="20"/>
  <c r="BL103" i="20"/>
  <c r="CL103" i="20"/>
  <c r="AN103" i="20"/>
  <c r="BN103" i="20"/>
  <c r="CM103" i="20"/>
  <c r="U103" i="20"/>
  <c r="AT103" i="20"/>
  <c r="BS103" i="20"/>
  <c r="CU103" i="20"/>
  <c r="V103" i="20"/>
  <c r="AU103" i="20"/>
  <c r="BT103" i="20"/>
  <c r="CW103" i="20"/>
  <c r="Z103" i="20"/>
  <c r="AV103" i="20"/>
  <c r="BY103" i="20"/>
  <c r="CX103" i="20"/>
  <c r="AC103" i="20"/>
  <c r="DD103" i="20"/>
  <c r="AI103" i="20"/>
  <c r="DE103" i="20"/>
  <c r="BA103" i="20"/>
  <c r="DF103" i="20"/>
  <c r="BG103" i="20"/>
  <c r="CF103" i="20"/>
  <c r="CG103" i="20"/>
  <c r="BJ103" i="20"/>
  <c r="CE103" i="20"/>
  <c r="AB103" i="20"/>
  <c r="U19" i="20"/>
  <c r="AC19" i="20"/>
  <c r="AK19" i="20"/>
  <c r="AS19" i="20"/>
  <c r="BA19" i="20"/>
  <c r="BI19" i="20"/>
  <c r="BQ19" i="20"/>
  <c r="BY19" i="20"/>
  <c r="CG19" i="20"/>
  <c r="CO19" i="20"/>
  <c r="CW19" i="20"/>
  <c r="DE19" i="20"/>
  <c r="V19" i="20"/>
  <c r="AD19" i="20"/>
  <c r="AL19" i="20"/>
  <c r="AT19" i="20"/>
  <c r="BB19" i="20"/>
  <c r="BJ19" i="20"/>
  <c r="BR19" i="20"/>
  <c r="BZ19" i="20"/>
  <c r="CH19" i="20"/>
  <c r="CP19" i="20"/>
  <c r="CX19" i="20"/>
  <c r="DF19" i="20"/>
  <c r="W19" i="20"/>
  <c r="AE19" i="20"/>
  <c r="AM19" i="20"/>
  <c r="AU19" i="20"/>
  <c r="BC19" i="20"/>
  <c r="BK19" i="20"/>
  <c r="BS19" i="20"/>
  <c r="CA19" i="20"/>
  <c r="CI19" i="20"/>
  <c r="CQ19" i="20"/>
  <c r="CY19" i="20"/>
  <c r="DG19" i="20"/>
  <c r="AA19" i="20"/>
  <c r="AO19" i="20"/>
  <c r="AZ19" i="20"/>
  <c r="BN19" i="20"/>
  <c r="CB19" i="20"/>
  <c r="CM19" i="20"/>
  <c r="DA19" i="20"/>
  <c r="DL19" i="20"/>
  <c r="Q19" i="20"/>
  <c r="AB19" i="20"/>
  <c r="AP19" i="20"/>
  <c r="BD19" i="20"/>
  <c r="BO19" i="20"/>
  <c r="CC19" i="20"/>
  <c r="CN19" i="20"/>
  <c r="DB19" i="20"/>
  <c r="R19" i="20"/>
  <c r="AF19" i="20"/>
  <c r="AQ19" i="20"/>
  <c r="BE19" i="20"/>
  <c r="BP19" i="20"/>
  <c r="CD19" i="20"/>
  <c r="CR19" i="20"/>
  <c r="DC19" i="20"/>
  <c r="S19" i="20"/>
  <c r="AG19" i="20"/>
  <c r="AR19" i="20"/>
  <c r="BF19" i="20"/>
  <c r="BT19" i="20"/>
  <c r="CE19" i="20"/>
  <c r="CS19" i="20"/>
  <c r="DD19" i="20"/>
  <c r="X19" i="20"/>
  <c r="AW19" i="20"/>
  <c r="BV19" i="20"/>
  <c r="CU19" i="20"/>
  <c r="AH19" i="20"/>
  <c r="BG19" i="20"/>
  <c r="CF19" i="20"/>
  <c r="DH19" i="20"/>
  <c r="Y19" i="20"/>
  <c r="BH19" i="20"/>
  <c r="CL19" i="20"/>
  <c r="Z19" i="20"/>
  <c r="BL19" i="20"/>
  <c r="CT19" i="20"/>
  <c r="AX19" i="20"/>
  <c r="CV19" i="20"/>
  <c r="AI19" i="20"/>
  <c r="BW19" i="20"/>
  <c r="DK19" i="20"/>
  <c r="AY19" i="20"/>
  <c r="DJ19" i="20"/>
  <c r="BM19" i="20"/>
  <c r="BU19" i="20"/>
  <c r="BX19" i="20"/>
  <c r="T19" i="20"/>
  <c r="AJ19" i="20"/>
  <c r="CZ19" i="20"/>
  <c r="AN19" i="20"/>
  <c r="AV19" i="20"/>
  <c r="CJ19" i="20"/>
  <c r="CK19" i="20"/>
  <c r="DI19" i="20"/>
  <c r="S283" i="20"/>
  <c r="AA283" i="20"/>
  <c r="AI283" i="20"/>
  <c r="AQ283" i="20"/>
  <c r="AY283" i="20"/>
  <c r="BG283" i="20"/>
  <c r="BO283" i="20"/>
  <c r="BW283" i="20"/>
  <c r="CE283" i="20"/>
  <c r="CM283" i="20"/>
  <c r="CU283" i="20"/>
  <c r="DC283" i="20"/>
  <c r="DK283" i="20"/>
  <c r="Y283" i="20"/>
  <c r="AH283" i="20"/>
  <c r="AR283" i="20"/>
  <c r="BA283" i="20"/>
  <c r="BJ283" i="20"/>
  <c r="BS283" i="20"/>
  <c r="CB283" i="20"/>
  <c r="CK283" i="20"/>
  <c r="CT283" i="20"/>
  <c r="DD283" i="20"/>
  <c r="Q283" i="20"/>
  <c r="Z283" i="20"/>
  <c r="AJ283" i="20"/>
  <c r="AS283" i="20"/>
  <c r="BB283" i="20"/>
  <c r="BK283" i="20"/>
  <c r="BT283" i="20"/>
  <c r="CC283" i="20"/>
  <c r="CL283" i="20"/>
  <c r="CV283" i="20"/>
  <c r="DE283" i="20"/>
  <c r="V283" i="20"/>
  <c r="AG283" i="20"/>
  <c r="AU283" i="20"/>
  <c r="BF283" i="20"/>
  <c r="BR283" i="20"/>
  <c r="CF283" i="20"/>
  <c r="CQ283" i="20"/>
  <c r="DB283" i="20"/>
  <c r="W283" i="20"/>
  <c r="AK283" i="20"/>
  <c r="AV283" i="20"/>
  <c r="BH283" i="20"/>
  <c r="BU283" i="20"/>
  <c r="CG283" i="20"/>
  <c r="CR283" i="20"/>
  <c r="DF283" i="20"/>
  <c r="AB283" i="20"/>
  <c r="AM283" i="20"/>
  <c r="AX283" i="20"/>
  <c r="BL283" i="20"/>
  <c r="BX283" i="20"/>
  <c r="CI283" i="20"/>
  <c r="CW283" i="20"/>
  <c r="DH283" i="20"/>
  <c r="AC283" i="20"/>
  <c r="AT283" i="20"/>
  <c r="BN283" i="20"/>
  <c r="CH283" i="20"/>
  <c r="CZ283" i="20"/>
  <c r="AD283" i="20"/>
  <c r="AW283" i="20"/>
  <c r="BP283" i="20"/>
  <c r="CJ283" i="20"/>
  <c r="DA283" i="20"/>
  <c r="AE283" i="20"/>
  <c r="AZ283" i="20"/>
  <c r="BQ283" i="20"/>
  <c r="CN283" i="20"/>
  <c r="DG283" i="20"/>
  <c r="AF283" i="20"/>
  <c r="BC283" i="20"/>
  <c r="BV283" i="20"/>
  <c r="CO283" i="20"/>
  <c r="DI283" i="20"/>
  <c r="S68" i="20"/>
  <c r="AA68" i="20"/>
  <c r="AI68" i="20"/>
  <c r="AQ68" i="20"/>
  <c r="AY68" i="20"/>
  <c r="BG68" i="20"/>
  <c r="BO68" i="20"/>
  <c r="BW68" i="20"/>
  <c r="CE68" i="20"/>
  <c r="CM68" i="20"/>
  <c r="CU68" i="20"/>
  <c r="DC68" i="20"/>
  <c r="DK68" i="20"/>
  <c r="Y68" i="20"/>
  <c r="AH68" i="20"/>
  <c r="AR68" i="20"/>
  <c r="BA68" i="20"/>
  <c r="BJ68" i="20"/>
  <c r="BS68" i="20"/>
  <c r="CB68" i="20"/>
  <c r="CK68" i="20"/>
  <c r="CT68" i="20"/>
  <c r="DD68" i="20"/>
  <c r="Q68" i="20"/>
  <c r="Z68" i="20"/>
  <c r="AJ68" i="20"/>
  <c r="AS68" i="20"/>
  <c r="BB68" i="20"/>
  <c r="BK68" i="20"/>
  <c r="BT68" i="20"/>
  <c r="CC68" i="20"/>
  <c r="CL68" i="20"/>
  <c r="CV68" i="20"/>
  <c r="DE68" i="20"/>
  <c r="T68" i="20"/>
  <c r="AC68" i="20"/>
  <c r="AL68" i="20"/>
  <c r="AU68" i="20"/>
  <c r="BD68" i="20"/>
  <c r="BM68" i="20"/>
  <c r="BV68" i="20"/>
  <c r="AE68" i="20"/>
  <c r="AT68" i="20"/>
  <c r="BH68" i="20"/>
  <c r="BX68" i="20"/>
  <c r="CI68" i="20"/>
  <c r="CW68" i="20"/>
  <c r="DH68" i="20"/>
  <c r="R68" i="20"/>
  <c r="AF68" i="20"/>
  <c r="AV68" i="20"/>
  <c r="BI68" i="20"/>
  <c r="BY68" i="20"/>
  <c r="CJ68" i="20"/>
  <c r="CX68" i="20"/>
  <c r="DI68" i="20"/>
  <c r="U68" i="20"/>
  <c r="AG68" i="20"/>
  <c r="AW68" i="20"/>
  <c r="BL68" i="20"/>
  <c r="BZ68" i="20"/>
  <c r="CN68" i="20"/>
  <c r="CY68" i="20"/>
  <c r="DJ68" i="20"/>
  <c r="V68" i="20"/>
  <c r="AK68" i="20"/>
  <c r="AX68" i="20"/>
  <c r="BN68" i="20"/>
  <c r="CA68" i="20"/>
  <c r="CO68" i="20"/>
  <c r="CZ68" i="20"/>
  <c r="DL68" i="20"/>
  <c r="AN68" i="20"/>
  <c r="BQ68" i="20"/>
  <c r="CQ68" i="20"/>
  <c r="AO68" i="20"/>
  <c r="BR68" i="20"/>
  <c r="CR68" i="20"/>
  <c r="AP68" i="20"/>
  <c r="BU68" i="20"/>
  <c r="CS68" i="20"/>
  <c r="X68" i="20"/>
  <c r="BP68" i="20"/>
  <c r="DF68" i="20"/>
  <c r="AB68" i="20"/>
  <c r="CD68" i="20"/>
  <c r="DG68" i="20"/>
  <c r="AD68" i="20"/>
  <c r="CF68" i="20"/>
  <c r="BC68" i="20"/>
  <c r="CP68" i="20"/>
  <c r="AZ68" i="20"/>
  <c r="BE68" i="20"/>
  <c r="BF68" i="20"/>
  <c r="CG68" i="20"/>
  <c r="CH68" i="20"/>
  <c r="DB68" i="20"/>
  <c r="W68" i="20"/>
  <c r="AM68" i="20"/>
  <c r="DA68" i="20"/>
  <c r="R241" i="20"/>
  <c r="Z241" i="20"/>
  <c r="AH241" i="20"/>
  <c r="AP241" i="20"/>
  <c r="AX241" i="20"/>
  <c r="BF241" i="20"/>
  <c r="BN241" i="20"/>
  <c r="BV241" i="20"/>
  <c r="CD241" i="20"/>
  <c r="CL241" i="20"/>
  <c r="CT241" i="20"/>
  <c r="DB241" i="20"/>
  <c r="DJ241" i="20"/>
  <c r="W241" i="20"/>
  <c r="AF241" i="20"/>
  <c r="AO241" i="20"/>
  <c r="AY241" i="20"/>
  <c r="BH241" i="20"/>
  <c r="BQ241" i="20"/>
  <c r="BZ241" i="20"/>
  <c r="CI241" i="20"/>
  <c r="CR241" i="20"/>
  <c r="DA241" i="20"/>
  <c r="DK241" i="20"/>
  <c r="Q241" i="20"/>
  <c r="AA241" i="20"/>
  <c r="AJ241" i="20"/>
  <c r="AS241" i="20"/>
  <c r="BB241" i="20"/>
  <c r="BK241" i="20"/>
  <c r="BT241" i="20"/>
  <c r="CC241" i="20"/>
  <c r="CM241" i="20"/>
  <c r="CV241" i="20"/>
  <c r="DE241" i="20"/>
  <c r="AC241" i="20"/>
  <c r="AN241" i="20"/>
  <c r="BA241" i="20"/>
  <c r="BM241" i="20"/>
  <c r="BY241" i="20"/>
  <c r="CK241" i="20"/>
  <c r="CX241" i="20"/>
  <c r="DI241" i="20"/>
  <c r="T241" i="20"/>
  <c r="AE241" i="20"/>
  <c r="AR241" i="20"/>
  <c r="BD241" i="20"/>
  <c r="BP241" i="20"/>
  <c r="CB241" i="20"/>
  <c r="CO241" i="20"/>
  <c r="CZ241" i="20"/>
  <c r="U241" i="20"/>
  <c r="AG241" i="20"/>
  <c r="AT241" i="20"/>
  <c r="BE241" i="20"/>
  <c r="BR241" i="20"/>
  <c r="CE241" i="20"/>
  <c r="CP241" i="20"/>
  <c r="DC241" i="20"/>
  <c r="AD241" i="20"/>
  <c r="AW241" i="20"/>
  <c r="BS241" i="20"/>
  <c r="CJ241" i="20"/>
  <c r="DF241" i="20"/>
  <c r="AI241" i="20"/>
  <c r="AZ241" i="20"/>
  <c r="BU241" i="20"/>
  <c r="CN241" i="20"/>
  <c r="DG241" i="20"/>
  <c r="S241" i="20"/>
  <c r="AL241" i="20"/>
  <c r="BG241" i="20"/>
  <c r="BX241" i="20"/>
  <c r="CS241" i="20"/>
  <c r="DL241" i="20"/>
  <c r="V241" i="20"/>
  <c r="AV241" i="20"/>
  <c r="CF241" i="20"/>
  <c r="DH241" i="20"/>
  <c r="X241" i="20"/>
  <c r="BC241" i="20"/>
  <c r="CG241" i="20"/>
  <c r="Y241" i="20"/>
  <c r="BI241" i="20"/>
  <c r="CH241" i="20"/>
  <c r="AB241" i="20"/>
  <c r="BJ241" i="20"/>
  <c r="CQ241" i="20"/>
  <c r="AK241" i="20"/>
  <c r="BL241" i="20"/>
  <c r="CU241" i="20"/>
  <c r="AM241" i="20"/>
  <c r="BO241" i="20"/>
  <c r="CW241" i="20"/>
  <c r="S271" i="20"/>
  <c r="AA271" i="20"/>
  <c r="AI271" i="20"/>
  <c r="AQ271" i="20"/>
  <c r="AY271" i="20"/>
  <c r="BG271" i="20"/>
  <c r="BO271" i="20"/>
  <c r="BW271" i="20"/>
  <c r="CE271" i="20"/>
  <c r="CM271" i="20"/>
  <c r="CU271" i="20"/>
  <c r="DC271" i="20"/>
  <c r="DK271" i="20"/>
  <c r="R271" i="20"/>
  <c r="AB271" i="20"/>
  <c r="AK271" i="20"/>
  <c r="AT271" i="20"/>
  <c r="BC271" i="20"/>
  <c r="BL271" i="20"/>
  <c r="BU271" i="20"/>
  <c r="CD271" i="20"/>
  <c r="CN271" i="20"/>
  <c r="CW271" i="20"/>
  <c r="DF271" i="20"/>
  <c r="T271" i="20"/>
  <c r="AC271" i="20"/>
  <c r="AL271" i="20"/>
  <c r="AU271" i="20"/>
  <c r="BD271" i="20"/>
  <c r="BM271" i="20"/>
  <c r="BV271" i="20"/>
  <c r="CF271" i="20"/>
  <c r="CO271" i="20"/>
  <c r="CX271" i="20"/>
  <c r="DG271" i="20"/>
  <c r="Z271" i="20"/>
  <c r="AN271" i="20"/>
  <c r="AZ271" i="20"/>
  <c r="BK271" i="20"/>
  <c r="BY271" i="20"/>
  <c r="CJ271" i="20"/>
  <c r="CV271" i="20"/>
  <c r="DI271" i="20"/>
  <c r="AD271" i="20"/>
  <c r="AO271" i="20"/>
  <c r="BA271" i="20"/>
  <c r="BN271" i="20"/>
  <c r="BZ271" i="20"/>
  <c r="CK271" i="20"/>
  <c r="CY271" i="20"/>
  <c r="DJ271" i="20"/>
  <c r="U271" i="20"/>
  <c r="AF271" i="20"/>
  <c r="AR271" i="20"/>
  <c r="BE271" i="20"/>
  <c r="BQ271" i="20"/>
  <c r="CB271" i="20"/>
  <c r="CP271" i="20"/>
  <c r="DA271" i="20"/>
  <c r="Q271" i="20"/>
  <c r="AJ271" i="20"/>
  <c r="BF271" i="20"/>
  <c r="BX271" i="20"/>
  <c r="CR271" i="20"/>
  <c r="DL271" i="20"/>
  <c r="V271" i="20"/>
  <c r="AM271" i="20"/>
  <c r="BH271" i="20"/>
  <c r="CA271" i="20"/>
  <c r="CS271" i="20"/>
  <c r="W271" i="20"/>
  <c r="AP271" i="20"/>
  <c r="BI271" i="20"/>
  <c r="CC271" i="20"/>
  <c r="CT271" i="20"/>
  <c r="X271" i="20"/>
  <c r="AS271" i="20"/>
  <c r="BJ271" i="20"/>
  <c r="CG271" i="20"/>
  <c r="CZ271" i="20"/>
  <c r="W77" i="20"/>
  <c r="AE77" i="20"/>
  <c r="AM77" i="20"/>
  <c r="AU77" i="20"/>
  <c r="BC77" i="20"/>
  <c r="BK77" i="20"/>
  <c r="BS77" i="20"/>
  <c r="CA77" i="20"/>
  <c r="CI77" i="20"/>
  <c r="CQ77" i="20"/>
  <c r="CY77" i="20"/>
  <c r="DG77" i="20"/>
  <c r="T77" i="20"/>
  <c r="AC77" i="20"/>
  <c r="AL77" i="20"/>
  <c r="AV77" i="20"/>
  <c r="BE77" i="20"/>
  <c r="BN77" i="20"/>
  <c r="BW77" i="20"/>
  <c r="CF77" i="20"/>
  <c r="CO77" i="20"/>
  <c r="CX77" i="20"/>
  <c r="DH77" i="20"/>
  <c r="U77" i="20"/>
  <c r="AD77" i="20"/>
  <c r="AN77" i="20"/>
  <c r="AW77" i="20"/>
  <c r="BF77" i="20"/>
  <c r="BO77" i="20"/>
  <c r="BX77" i="20"/>
  <c r="CG77" i="20"/>
  <c r="CP77" i="20"/>
  <c r="CZ77" i="20"/>
  <c r="DI77" i="20"/>
  <c r="X77" i="20"/>
  <c r="AI77" i="20"/>
  <c r="AT77" i="20"/>
  <c r="BH77" i="20"/>
  <c r="BT77" i="20"/>
  <c r="CE77" i="20"/>
  <c r="CS77" i="20"/>
  <c r="DD77" i="20"/>
  <c r="Y77" i="20"/>
  <c r="AJ77" i="20"/>
  <c r="AX77" i="20"/>
  <c r="BI77" i="20"/>
  <c r="BU77" i="20"/>
  <c r="CH77" i="20"/>
  <c r="CT77" i="20"/>
  <c r="DE77" i="20"/>
  <c r="Z77" i="20"/>
  <c r="AP77" i="20"/>
  <c r="BD77" i="20"/>
  <c r="BV77" i="20"/>
  <c r="CL77" i="20"/>
  <c r="DB77" i="20"/>
  <c r="AA77" i="20"/>
  <c r="AQ77" i="20"/>
  <c r="BG77" i="20"/>
  <c r="BY77" i="20"/>
  <c r="CM77" i="20"/>
  <c r="DC77" i="20"/>
  <c r="AB77" i="20"/>
  <c r="AR77" i="20"/>
  <c r="BJ77" i="20"/>
  <c r="BZ77" i="20"/>
  <c r="CN77" i="20"/>
  <c r="DF77" i="20"/>
  <c r="R77" i="20"/>
  <c r="AH77" i="20"/>
  <c r="AZ77" i="20"/>
  <c r="BP77" i="20"/>
  <c r="CD77" i="20"/>
  <c r="CV77" i="20"/>
  <c r="DL77" i="20"/>
  <c r="AG77" i="20"/>
  <c r="BM77" i="20"/>
  <c r="CU77" i="20"/>
  <c r="AO77" i="20"/>
  <c r="BR77" i="20"/>
  <c r="DA77" i="20"/>
  <c r="AS77" i="20"/>
  <c r="CB77" i="20"/>
  <c r="DJ77" i="20"/>
  <c r="Q77" i="20"/>
  <c r="AY77" i="20"/>
  <c r="CC77" i="20"/>
  <c r="DK77" i="20"/>
  <c r="BB77" i="20"/>
  <c r="BL77" i="20"/>
  <c r="BQ77" i="20"/>
  <c r="V77" i="20"/>
  <c r="CK77" i="20"/>
  <c r="AF77" i="20"/>
  <c r="AK77" i="20"/>
  <c r="BA77" i="20"/>
  <c r="CJ77" i="20"/>
  <c r="CR77" i="20"/>
  <c r="S77" i="20"/>
  <c r="CW77" i="20"/>
  <c r="S52" i="20"/>
  <c r="AA52" i="20"/>
  <c r="AI52" i="20"/>
  <c r="AQ52" i="20"/>
  <c r="AY52" i="20"/>
  <c r="BG52" i="20"/>
  <c r="BO52" i="20"/>
  <c r="BW52" i="20"/>
  <c r="CE52" i="20"/>
  <c r="CM52" i="20"/>
  <c r="CU52" i="20"/>
  <c r="DC52" i="20"/>
  <c r="DK52" i="20"/>
  <c r="Y52" i="20"/>
  <c r="AH52" i="20"/>
  <c r="AR52" i="20"/>
  <c r="BA52" i="20"/>
  <c r="BJ52" i="20"/>
  <c r="BS52" i="20"/>
  <c r="CB52" i="20"/>
  <c r="CK52" i="20"/>
  <c r="CT52" i="20"/>
  <c r="DD52" i="20"/>
  <c r="Q52" i="20"/>
  <c r="Z52" i="20"/>
  <c r="AJ52" i="20"/>
  <c r="AS52" i="20"/>
  <c r="BB52" i="20"/>
  <c r="BK52" i="20"/>
  <c r="BT52" i="20"/>
  <c r="CC52" i="20"/>
  <c r="CL52" i="20"/>
  <c r="CV52" i="20"/>
  <c r="DE52" i="20"/>
  <c r="R52" i="20"/>
  <c r="AB52" i="20"/>
  <c r="AK52" i="20"/>
  <c r="AT52" i="20"/>
  <c r="BC52" i="20"/>
  <c r="BL52" i="20"/>
  <c r="BU52" i="20"/>
  <c r="CD52" i="20"/>
  <c r="CN52" i="20"/>
  <c r="CW52" i="20"/>
  <c r="DF52" i="20"/>
  <c r="T52" i="20"/>
  <c r="AC52" i="20"/>
  <c r="AL52" i="20"/>
  <c r="AU52" i="20"/>
  <c r="BD52" i="20"/>
  <c r="BM52" i="20"/>
  <c r="BV52" i="20"/>
  <c r="CF52" i="20"/>
  <c r="CO52" i="20"/>
  <c r="CX52" i="20"/>
  <c r="DG52" i="20"/>
  <c r="AD52" i="20"/>
  <c r="AV52" i="20"/>
  <c r="BN52" i="20"/>
  <c r="CG52" i="20"/>
  <c r="CY52" i="20"/>
  <c r="AE52" i="20"/>
  <c r="AW52" i="20"/>
  <c r="BP52" i="20"/>
  <c r="CH52" i="20"/>
  <c r="CZ52" i="20"/>
  <c r="AF52" i="20"/>
  <c r="AX52" i="20"/>
  <c r="BQ52" i="20"/>
  <c r="CI52" i="20"/>
  <c r="DA52" i="20"/>
  <c r="AG52" i="20"/>
  <c r="AZ52" i="20"/>
  <c r="BR52" i="20"/>
  <c r="CJ52" i="20"/>
  <c r="DB52" i="20"/>
  <c r="U52" i="20"/>
  <c r="AM52" i="20"/>
  <c r="BE52" i="20"/>
  <c r="BX52" i="20"/>
  <c r="CP52" i="20"/>
  <c r="DH52" i="20"/>
  <c r="AN52" i="20"/>
  <c r="CA52" i="20"/>
  <c r="AO52" i="20"/>
  <c r="CQ52" i="20"/>
  <c r="AP52" i="20"/>
  <c r="CR52" i="20"/>
  <c r="BF52" i="20"/>
  <c r="CS52" i="20"/>
  <c r="BH52" i="20"/>
  <c r="BI52" i="20"/>
  <c r="BY52" i="20"/>
  <c r="BZ52" i="20"/>
  <c r="DI52" i="20"/>
  <c r="V52" i="20"/>
  <c r="DJ52" i="20"/>
  <c r="W52" i="20"/>
  <c r="X52" i="20"/>
  <c r="DL52" i="20"/>
  <c r="S255" i="20"/>
  <c r="AA255" i="20"/>
  <c r="AI255" i="20"/>
  <c r="AQ255" i="20"/>
  <c r="AY255" i="20"/>
  <c r="BG255" i="20"/>
  <c r="BO255" i="20"/>
  <c r="BW255" i="20"/>
  <c r="CE255" i="20"/>
  <c r="CM255" i="20"/>
  <c r="CU255" i="20"/>
  <c r="DC255" i="20"/>
  <c r="DK255" i="20"/>
  <c r="V255" i="20"/>
  <c r="AD255" i="20"/>
  <c r="AL255" i="20"/>
  <c r="AT255" i="20"/>
  <c r="BB255" i="20"/>
  <c r="BJ255" i="20"/>
  <c r="BR255" i="20"/>
  <c r="BZ255" i="20"/>
  <c r="CH255" i="20"/>
  <c r="CP255" i="20"/>
  <c r="CX255" i="20"/>
  <c r="DF255" i="20"/>
  <c r="Z255" i="20"/>
  <c r="AK255" i="20"/>
  <c r="AV255" i="20"/>
  <c r="BF255" i="20"/>
  <c r="BQ255" i="20"/>
  <c r="CB255" i="20"/>
  <c r="CL255" i="20"/>
  <c r="CW255" i="20"/>
  <c r="DH255" i="20"/>
  <c r="R255" i="20"/>
  <c r="AC255" i="20"/>
  <c r="AN255" i="20"/>
  <c r="AX255" i="20"/>
  <c r="BI255" i="20"/>
  <c r="BT255" i="20"/>
  <c r="CD255" i="20"/>
  <c r="CO255" i="20"/>
  <c r="CZ255" i="20"/>
  <c r="DJ255" i="20"/>
  <c r="T255" i="20"/>
  <c r="AE255" i="20"/>
  <c r="AO255" i="20"/>
  <c r="AZ255" i="20"/>
  <c r="BK255" i="20"/>
  <c r="BU255" i="20"/>
  <c r="CF255" i="20"/>
  <c r="CQ255" i="20"/>
  <c r="DA255" i="20"/>
  <c r="DL255" i="20"/>
  <c r="Q255" i="20"/>
  <c r="AH255" i="20"/>
  <c r="BA255" i="20"/>
  <c r="BP255" i="20"/>
  <c r="CI255" i="20"/>
  <c r="CY255" i="20"/>
  <c r="U255" i="20"/>
  <c r="AJ255" i="20"/>
  <c r="BC255" i="20"/>
  <c r="BS255" i="20"/>
  <c r="CJ255" i="20"/>
  <c r="DB255" i="20"/>
  <c r="X255" i="20"/>
  <c r="AP255" i="20"/>
  <c r="BE255" i="20"/>
  <c r="BX255" i="20"/>
  <c r="CN255" i="20"/>
  <c r="DE255" i="20"/>
  <c r="AM255" i="20"/>
  <c r="BM255" i="20"/>
  <c r="CR255" i="20"/>
  <c r="AR255" i="20"/>
  <c r="BN255" i="20"/>
  <c r="CS255" i="20"/>
  <c r="AS255" i="20"/>
  <c r="BV255" i="20"/>
  <c r="CT255" i="20"/>
  <c r="W255" i="20"/>
  <c r="AU255" i="20"/>
  <c r="BY255" i="20"/>
  <c r="CV255" i="20"/>
  <c r="AB255" i="20"/>
  <c r="BD255" i="20"/>
  <c r="CC255" i="20"/>
  <c r="DG255" i="20"/>
  <c r="S64" i="20"/>
  <c r="AA64" i="20"/>
  <c r="AI64" i="20"/>
  <c r="AQ64" i="20"/>
  <c r="AY64" i="20"/>
  <c r="BG64" i="20"/>
  <c r="BO64" i="20"/>
  <c r="BW64" i="20"/>
  <c r="CE64" i="20"/>
  <c r="CM64" i="20"/>
  <c r="CU64" i="20"/>
  <c r="DC64" i="20"/>
  <c r="DK64" i="20"/>
  <c r="W64" i="20"/>
  <c r="AF64" i="20"/>
  <c r="AO64" i="20"/>
  <c r="AX64" i="20"/>
  <c r="BH64" i="20"/>
  <c r="BQ64" i="20"/>
  <c r="BZ64" i="20"/>
  <c r="CI64" i="20"/>
  <c r="CR64" i="20"/>
  <c r="DA64" i="20"/>
  <c r="DJ64" i="20"/>
  <c r="X64" i="20"/>
  <c r="AG64" i="20"/>
  <c r="AP64" i="20"/>
  <c r="AZ64" i="20"/>
  <c r="BI64" i="20"/>
  <c r="BR64" i="20"/>
  <c r="CA64" i="20"/>
  <c r="CJ64" i="20"/>
  <c r="CS64" i="20"/>
  <c r="DB64" i="20"/>
  <c r="DL64" i="20"/>
  <c r="Y64" i="20"/>
  <c r="AH64" i="20"/>
  <c r="AR64" i="20"/>
  <c r="BA64" i="20"/>
  <c r="BJ64" i="20"/>
  <c r="BS64" i="20"/>
  <c r="CB64" i="20"/>
  <c r="CK64" i="20"/>
  <c r="CT64" i="20"/>
  <c r="Q64" i="20"/>
  <c r="Z64" i="20"/>
  <c r="AJ64" i="20"/>
  <c r="AS64" i="20"/>
  <c r="BB64" i="20"/>
  <c r="BK64" i="20"/>
  <c r="BT64" i="20"/>
  <c r="CC64" i="20"/>
  <c r="CL64" i="20"/>
  <c r="CV64" i="20"/>
  <c r="DE64" i="20"/>
  <c r="T64" i="20"/>
  <c r="AL64" i="20"/>
  <c r="BD64" i="20"/>
  <c r="BV64" i="20"/>
  <c r="CO64" i="20"/>
  <c r="DF64" i="20"/>
  <c r="U64" i="20"/>
  <c r="AM64" i="20"/>
  <c r="BE64" i="20"/>
  <c r="BX64" i="20"/>
  <c r="CP64" i="20"/>
  <c r="DG64" i="20"/>
  <c r="V64" i="20"/>
  <c r="AN64" i="20"/>
  <c r="BF64" i="20"/>
  <c r="BY64" i="20"/>
  <c r="CQ64" i="20"/>
  <c r="DH64" i="20"/>
  <c r="AB64" i="20"/>
  <c r="AT64" i="20"/>
  <c r="BL64" i="20"/>
  <c r="CD64" i="20"/>
  <c r="CW64" i="20"/>
  <c r="DI64" i="20"/>
  <c r="AV64" i="20"/>
  <c r="CG64" i="20"/>
  <c r="AW64" i="20"/>
  <c r="CH64" i="20"/>
  <c r="R64" i="20"/>
  <c r="BC64" i="20"/>
  <c r="CN64" i="20"/>
  <c r="AC64" i="20"/>
  <c r="BM64" i="20"/>
  <c r="CX64" i="20"/>
  <c r="BN64" i="20"/>
  <c r="BP64" i="20"/>
  <c r="BU64" i="20"/>
  <c r="AE64" i="20"/>
  <c r="CZ64" i="20"/>
  <c r="AD64" i="20"/>
  <c r="AK64" i="20"/>
  <c r="AU64" i="20"/>
  <c r="CF64" i="20"/>
  <c r="CY64" i="20"/>
  <c r="DD64" i="20"/>
  <c r="V226" i="20"/>
  <c r="AD226" i="20"/>
  <c r="AL226" i="20"/>
  <c r="AT226" i="20"/>
  <c r="BB226" i="20"/>
  <c r="BJ226" i="20"/>
  <c r="BR226" i="20"/>
  <c r="BZ226" i="20"/>
  <c r="CH226" i="20"/>
  <c r="CP226" i="20"/>
  <c r="CX226" i="20"/>
  <c r="DF226" i="20"/>
  <c r="U226" i="20"/>
  <c r="AE226" i="20"/>
  <c r="AN226" i="20"/>
  <c r="AW226" i="20"/>
  <c r="BF226" i="20"/>
  <c r="BO226" i="20"/>
  <c r="BX226" i="20"/>
  <c r="CG226" i="20"/>
  <c r="CQ226" i="20"/>
  <c r="CZ226" i="20"/>
  <c r="DI226" i="20"/>
  <c r="Y226" i="20"/>
  <c r="AI226" i="20"/>
  <c r="AS226" i="20"/>
  <c r="BD226" i="20"/>
  <c r="BN226" i="20"/>
  <c r="BY226" i="20"/>
  <c r="CJ226" i="20"/>
  <c r="CT226" i="20"/>
  <c r="DD226" i="20"/>
  <c r="Z226" i="20"/>
  <c r="AJ226" i="20"/>
  <c r="AU226" i="20"/>
  <c r="BE226" i="20"/>
  <c r="BP226" i="20"/>
  <c r="CA226" i="20"/>
  <c r="CK226" i="20"/>
  <c r="CU226" i="20"/>
  <c r="DE226" i="20"/>
  <c r="R226" i="20"/>
  <c r="AB226" i="20"/>
  <c r="AM226" i="20"/>
  <c r="AX226" i="20"/>
  <c r="BH226" i="20"/>
  <c r="BS226" i="20"/>
  <c r="CC226" i="20"/>
  <c r="CM226" i="20"/>
  <c r="CW226" i="20"/>
  <c r="DH226" i="20"/>
  <c r="AA226" i="20"/>
  <c r="AQ226" i="20"/>
  <c r="BI226" i="20"/>
  <c r="BW226" i="20"/>
  <c r="CO226" i="20"/>
  <c r="DG226" i="20"/>
  <c r="AF226" i="20"/>
  <c r="AV226" i="20"/>
  <c r="BL226" i="20"/>
  <c r="CD226" i="20"/>
  <c r="CS226" i="20"/>
  <c r="DK226" i="20"/>
  <c r="Q226" i="20"/>
  <c r="AG226" i="20"/>
  <c r="AY226" i="20"/>
  <c r="BM226" i="20"/>
  <c r="CE226" i="20"/>
  <c r="CV226" i="20"/>
  <c r="DL226" i="20"/>
  <c r="AK226" i="20"/>
  <c r="BK226" i="20"/>
  <c r="CL226" i="20"/>
  <c r="AO226" i="20"/>
  <c r="BQ226" i="20"/>
  <c r="CN226" i="20"/>
  <c r="T226" i="20"/>
  <c r="AR226" i="20"/>
  <c r="BU226" i="20"/>
  <c r="CY226" i="20"/>
  <c r="X226" i="20"/>
  <c r="BT226" i="20"/>
  <c r="DC226" i="20"/>
  <c r="AC226" i="20"/>
  <c r="BV226" i="20"/>
  <c r="DJ226" i="20"/>
  <c r="AH226" i="20"/>
  <c r="CB226" i="20"/>
  <c r="AP226" i="20"/>
  <c r="CF226" i="20"/>
  <c r="AZ226" i="20"/>
  <c r="CI226" i="20"/>
  <c r="BA226" i="20"/>
  <c r="CR226" i="20"/>
  <c r="T162" i="20"/>
  <c r="AB162" i="20"/>
  <c r="AJ162" i="20"/>
  <c r="AR162" i="20"/>
  <c r="AZ162" i="20"/>
  <c r="BH162" i="20"/>
  <c r="BP162" i="20"/>
  <c r="BX162" i="20"/>
  <c r="CF162" i="20"/>
  <c r="CN162" i="20"/>
  <c r="CV162" i="20"/>
  <c r="DD162" i="20"/>
  <c r="DL162" i="20"/>
  <c r="X162" i="20"/>
  <c r="AF162" i="20"/>
  <c r="AN162" i="20"/>
  <c r="AV162" i="20"/>
  <c r="BD162" i="20"/>
  <c r="BL162" i="20"/>
  <c r="BT162" i="20"/>
  <c r="CB162" i="20"/>
  <c r="CJ162" i="20"/>
  <c r="CR162" i="20"/>
  <c r="CZ162" i="20"/>
  <c r="DH162" i="20"/>
  <c r="U162" i="20"/>
  <c r="AE162" i="20"/>
  <c r="V162" i="20"/>
  <c r="AG162" i="20"/>
  <c r="AQ162" i="20"/>
  <c r="BB162" i="20"/>
  <c r="BM162" i="20"/>
  <c r="BW162" i="20"/>
  <c r="CH162" i="20"/>
  <c r="CS162" i="20"/>
  <c r="DC162" i="20"/>
  <c r="W162" i="20"/>
  <c r="AH162" i="20"/>
  <c r="AS162" i="20"/>
  <c r="BC162" i="20"/>
  <c r="BN162" i="20"/>
  <c r="BY162" i="20"/>
  <c r="CI162" i="20"/>
  <c r="CT162" i="20"/>
  <c r="DE162" i="20"/>
  <c r="S162" i="20"/>
  <c r="AL162" i="20"/>
  <c r="AY162" i="20"/>
  <c r="BO162" i="20"/>
  <c r="CC162" i="20"/>
  <c r="CP162" i="20"/>
  <c r="DF162" i="20"/>
  <c r="Y162" i="20"/>
  <c r="AM162" i="20"/>
  <c r="BA162" i="20"/>
  <c r="BQ162" i="20"/>
  <c r="CD162" i="20"/>
  <c r="CQ162" i="20"/>
  <c r="DG162" i="20"/>
  <c r="AA162" i="20"/>
  <c r="AP162" i="20"/>
  <c r="BF162" i="20"/>
  <c r="BS162" i="20"/>
  <c r="CG162" i="20"/>
  <c r="CW162" i="20"/>
  <c r="DJ162" i="20"/>
  <c r="AI162" i="20"/>
  <c r="BG162" i="20"/>
  <c r="CA162" i="20"/>
  <c r="CY162" i="20"/>
  <c r="AK162" i="20"/>
  <c r="BI162" i="20"/>
  <c r="CE162" i="20"/>
  <c r="DA162" i="20"/>
  <c r="AO162" i="20"/>
  <c r="BJ162" i="20"/>
  <c r="CK162" i="20"/>
  <c r="DB162" i="20"/>
  <c r="R162" i="20"/>
  <c r="AU162" i="20"/>
  <c r="BR162" i="20"/>
  <c r="CM162" i="20"/>
  <c r="DK162" i="20"/>
  <c r="AD162" i="20"/>
  <c r="BZ162" i="20"/>
  <c r="AT162" i="20"/>
  <c r="CL162" i="20"/>
  <c r="AW162" i="20"/>
  <c r="CO162" i="20"/>
  <c r="AX162" i="20"/>
  <c r="CU162" i="20"/>
  <c r="BK162" i="20"/>
  <c r="BU162" i="20"/>
  <c r="BV162" i="20"/>
  <c r="CX162" i="20"/>
  <c r="DI162" i="20"/>
  <c r="BE162" i="20"/>
  <c r="Q162" i="20"/>
  <c r="V236" i="20"/>
  <c r="AD236" i="20"/>
  <c r="AL236" i="20"/>
  <c r="AT236" i="20"/>
  <c r="BB236" i="20"/>
  <c r="BJ236" i="20"/>
  <c r="BR236" i="20"/>
  <c r="BZ236" i="20"/>
  <c r="CH236" i="20"/>
  <c r="CP236" i="20"/>
  <c r="CX236" i="20"/>
  <c r="DF236" i="20"/>
  <c r="R236" i="20"/>
  <c r="AA236" i="20"/>
  <c r="AJ236" i="20"/>
  <c r="AS236" i="20"/>
  <c r="BC236" i="20"/>
  <c r="BL236" i="20"/>
  <c r="BU236" i="20"/>
  <c r="CD236" i="20"/>
  <c r="CM236" i="20"/>
  <c r="CV236" i="20"/>
  <c r="DE236" i="20"/>
  <c r="Q236" i="20"/>
  <c r="AB236" i="20"/>
  <c r="AM236" i="20"/>
  <c r="AW236" i="20"/>
  <c r="BG236" i="20"/>
  <c r="BQ236" i="20"/>
  <c r="CB236" i="20"/>
  <c r="CL236" i="20"/>
  <c r="CW236" i="20"/>
  <c r="DH236" i="20"/>
  <c r="S236" i="20"/>
  <c r="AC236" i="20"/>
  <c r="AN236" i="20"/>
  <c r="AX236" i="20"/>
  <c r="BH236" i="20"/>
  <c r="BS236" i="20"/>
  <c r="CC236" i="20"/>
  <c r="CN236" i="20"/>
  <c r="CY236" i="20"/>
  <c r="DI236" i="20"/>
  <c r="U236" i="20"/>
  <c r="AF236" i="20"/>
  <c r="AP236" i="20"/>
  <c r="AZ236" i="20"/>
  <c r="BK236" i="20"/>
  <c r="BV236" i="20"/>
  <c r="CF236" i="20"/>
  <c r="CQ236" i="20"/>
  <c r="DA236" i="20"/>
  <c r="DK236" i="20"/>
  <c r="AE236" i="20"/>
  <c r="AU236" i="20"/>
  <c r="BM236" i="20"/>
  <c r="CA236" i="20"/>
  <c r="CS236" i="20"/>
  <c r="DJ236" i="20"/>
  <c r="AH236" i="20"/>
  <c r="AY236" i="20"/>
  <c r="BO236" i="20"/>
  <c r="CG236" i="20"/>
  <c r="CU236" i="20"/>
  <c r="T236" i="20"/>
  <c r="AI236" i="20"/>
  <c r="BA236" i="20"/>
  <c r="BP236" i="20"/>
  <c r="CI236" i="20"/>
  <c r="CZ236" i="20"/>
  <c r="Y236" i="20"/>
  <c r="BD236" i="20"/>
  <c r="BY236" i="20"/>
  <c r="DC236" i="20"/>
  <c r="Z236" i="20"/>
  <c r="BE236" i="20"/>
  <c r="CE236" i="20"/>
  <c r="DD236" i="20"/>
  <c r="AK236" i="20"/>
  <c r="BI236" i="20"/>
  <c r="CK236" i="20"/>
  <c r="DL236" i="20"/>
  <c r="AV236" i="20"/>
  <c r="CR236" i="20"/>
  <c r="BF236" i="20"/>
  <c r="CT236" i="20"/>
  <c r="W236" i="20"/>
  <c r="BN236" i="20"/>
  <c r="DB236" i="20"/>
  <c r="X236" i="20"/>
  <c r="BT236" i="20"/>
  <c r="DG236" i="20"/>
  <c r="AG236" i="20"/>
  <c r="BW236" i="20"/>
  <c r="AO236" i="20"/>
  <c r="BX236" i="20"/>
  <c r="S259" i="20"/>
  <c r="AA259" i="20"/>
  <c r="AI259" i="20"/>
  <c r="AQ259" i="20"/>
  <c r="AY259" i="20"/>
  <c r="BG259" i="20"/>
  <c r="BO259" i="20"/>
  <c r="BW259" i="20"/>
  <c r="CE259" i="20"/>
  <c r="CM259" i="20"/>
  <c r="CU259" i="20"/>
  <c r="DC259" i="20"/>
  <c r="DK259" i="20"/>
  <c r="R259" i="20"/>
  <c r="AB259" i="20"/>
  <c r="AK259" i="20"/>
  <c r="AT259" i="20"/>
  <c r="BC259" i="20"/>
  <c r="BL259" i="20"/>
  <c r="BU259" i="20"/>
  <c r="CD259" i="20"/>
  <c r="CN259" i="20"/>
  <c r="CW259" i="20"/>
  <c r="DF259" i="20"/>
  <c r="U259" i="20"/>
  <c r="AD259" i="20"/>
  <c r="AM259" i="20"/>
  <c r="AV259" i="20"/>
  <c r="BE259" i="20"/>
  <c r="BN259" i="20"/>
  <c r="BX259" i="20"/>
  <c r="CG259" i="20"/>
  <c r="CP259" i="20"/>
  <c r="CY259" i="20"/>
  <c r="DH259" i="20"/>
  <c r="V259" i="20"/>
  <c r="AE259" i="20"/>
  <c r="AN259" i="20"/>
  <c r="AW259" i="20"/>
  <c r="BF259" i="20"/>
  <c r="BP259" i="20"/>
  <c r="BY259" i="20"/>
  <c r="CH259" i="20"/>
  <c r="CQ259" i="20"/>
  <c r="CZ259" i="20"/>
  <c r="DI259" i="20"/>
  <c r="T259" i="20"/>
  <c r="AH259" i="20"/>
  <c r="AX259" i="20"/>
  <c r="BK259" i="20"/>
  <c r="CA259" i="20"/>
  <c r="CO259" i="20"/>
  <c r="DD259" i="20"/>
  <c r="W259" i="20"/>
  <c r="AJ259" i="20"/>
  <c r="AZ259" i="20"/>
  <c r="BM259" i="20"/>
  <c r="CB259" i="20"/>
  <c r="CR259" i="20"/>
  <c r="DE259" i="20"/>
  <c r="Y259" i="20"/>
  <c r="AO259" i="20"/>
  <c r="BB259" i="20"/>
  <c r="BR259" i="20"/>
  <c r="CF259" i="20"/>
  <c r="CT259" i="20"/>
  <c r="DJ259" i="20"/>
  <c r="X259" i="20"/>
  <c r="AS259" i="20"/>
  <c r="BS259" i="20"/>
  <c r="CL259" i="20"/>
  <c r="Z259" i="20"/>
  <c r="AU259" i="20"/>
  <c r="BT259" i="20"/>
  <c r="CS259" i="20"/>
  <c r="AC259" i="20"/>
  <c r="BA259" i="20"/>
  <c r="BV259" i="20"/>
  <c r="CV259" i="20"/>
  <c r="AF259" i="20"/>
  <c r="BD259" i="20"/>
  <c r="BZ259" i="20"/>
  <c r="CX259" i="20"/>
  <c r="AL259" i="20"/>
  <c r="BI259" i="20"/>
  <c r="CI259" i="20"/>
  <c r="DB259" i="20"/>
  <c r="U355" i="20"/>
  <c r="AC355" i="20"/>
  <c r="AK355" i="20"/>
  <c r="AS355" i="20"/>
  <c r="BA355" i="20"/>
  <c r="BI355" i="20"/>
  <c r="BQ355" i="20"/>
  <c r="BY355" i="20"/>
  <c r="CG355" i="20"/>
  <c r="CO355" i="20"/>
  <c r="CW355" i="20"/>
  <c r="DE355" i="20"/>
  <c r="W355" i="20"/>
  <c r="AE355" i="20"/>
  <c r="AM355" i="20"/>
  <c r="AU355" i="20"/>
  <c r="BC355" i="20"/>
  <c r="BK355" i="20"/>
  <c r="BS355" i="20"/>
  <c r="CA355" i="20"/>
  <c r="CI355" i="20"/>
  <c r="CQ355" i="20"/>
  <c r="CY355" i="20"/>
  <c r="DG355" i="20"/>
  <c r="Z355" i="20"/>
  <c r="AJ355" i="20"/>
  <c r="AV355" i="20"/>
  <c r="BF355" i="20"/>
  <c r="BP355" i="20"/>
  <c r="CB355" i="20"/>
  <c r="CL355" i="20"/>
  <c r="CV355" i="20"/>
  <c r="DH355" i="20"/>
  <c r="Q355" i="20"/>
  <c r="AA355" i="20"/>
  <c r="AL355" i="20"/>
  <c r="AW355" i="20"/>
  <c r="BG355" i="20"/>
  <c r="BR355" i="20"/>
  <c r="CC355" i="20"/>
  <c r="CM355" i="20"/>
  <c r="CX355" i="20"/>
  <c r="DI355" i="20"/>
  <c r="R355" i="20"/>
  <c r="AB355" i="20"/>
  <c r="AN355" i="20"/>
  <c r="AX355" i="20"/>
  <c r="BH355" i="20"/>
  <c r="BT355" i="20"/>
  <c r="CD355" i="20"/>
  <c r="CN355" i="20"/>
  <c r="CZ355" i="20"/>
  <c r="DJ355" i="20"/>
  <c r="V228" i="20"/>
  <c r="AD228" i="20"/>
  <c r="AL228" i="20"/>
  <c r="AT228" i="20"/>
  <c r="BB228" i="20"/>
  <c r="BJ228" i="20"/>
  <c r="BR228" i="20"/>
  <c r="BZ228" i="20"/>
  <c r="CH228" i="20"/>
  <c r="CP228" i="20"/>
  <c r="CX228" i="20"/>
  <c r="DF228" i="20"/>
  <c r="W228" i="20"/>
  <c r="AF228" i="20"/>
  <c r="AO228" i="20"/>
  <c r="AX228" i="20"/>
  <c r="BG228" i="20"/>
  <c r="BP228" i="20"/>
  <c r="BY228" i="20"/>
  <c r="CI228" i="20"/>
  <c r="CR228" i="20"/>
  <c r="DA228" i="20"/>
  <c r="DJ228" i="20"/>
  <c r="X228" i="20"/>
  <c r="AH228" i="20"/>
  <c r="AR228" i="20"/>
  <c r="BC228" i="20"/>
  <c r="BM228" i="20"/>
  <c r="BW228" i="20"/>
  <c r="CG228" i="20"/>
  <c r="CS228" i="20"/>
  <c r="DC228" i="20"/>
  <c r="Y228" i="20"/>
  <c r="AI228" i="20"/>
  <c r="AS228" i="20"/>
  <c r="BD228" i="20"/>
  <c r="BN228" i="20"/>
  <c r="BX228" i="20"/>
  <c r="CJ228" i="20"/>
  <c r="CT228" i="20"/>
  <c r="DD228" i="20"/>
  <c r="Q228" i="20"/>
  <c r="AA228" i="20"/>
  <c r="AK228" i="20"/>
  <c r="AV228" i="20"/>
  <c r="BF228" i="20"/>
  <c r="BQ228" i="20"/>
  <c r="CB228" i="20"/>
  <c r="CL228" i="20"/>
  <c r="CV228" i="20"/>
  <c r="DG228" i="20"/>
  <c r="AB228" i="20"/>
  <c r="AQ228" i="20"/>
  <c r="BI228" i="20"/>
  <c r="CA228" i="20"/>
  <c r="CO228" i="20"/>
  <c r="DH228" i="20"/>
  <c r="AE228" i="20"/>
  <c r="AW228" i="20"/>
  <c r="BL228" i="20"/>
  <c r="CD228" i="20"/>
  <c r="CU228" i="20"/>
  <c r="DK228" i="20"/>
  <c r="R228" i="20"/>
  <c r="AG228" i="20"/>
  <c r="AY228" i="20"/>
  <c r="BO228" i="20"/>
  <c r="CE228" i="20"/>
  <c r="CW228" i="20"/>
  <c r="DL228" i="20"/>
  <c r="U228" i="20"/>
  <c r="AZ228" i="20"/>
  <c r="BV228" i="20"/>
  <c r="CZ228" i="20"/>
  <c r="Z228" i="20"/>
  <c r="BA228" i="20"/>
  <c r="CC228" i="20"/>
  <c r="DB228" i="20"/>
  <c r="AJ228" i="20"/>
  <c r="BH228" i="20"/>
  <c r="CK228" i="20"/>
  <c r="DI228" i="20"/>
  <c r="AN228" i="20"/>
  <c r="CF228" i="20"/>
  <c r="AP228" i="20"/>
  <c r="CM228" i="20"/>
  <c r="AU228" i="20"/>
  <c r="CN228" i="20"/>
  <c r="BE228" i="20"/>
  <c r="CQ228" i="20"/>
  <c r="S228" i="20"/>
  <c r="BK228" i="20"/>
  <c r="CY228" i="20"/>
  <c r="T228" i="20"/>
  <c r="BS228" i="20"/>
  <c r="DE228" i="20"/>
  <c r="U192" i="20"/>
  <c r="AC192" i="20"/>
  <c r="AK192" i="20"/>
  <c r="AS192" i="20"/>
  <c r="BA192" i="20"/>
  <c r="BI192" i="20"/>
  <c r="BQ192" i="20"/>
  <c r="BY192" i="20"/>
  <c r="CG192" i="20"/>
  <c r="CO192" i="20"/>
  <c r="CW192" i="20"/>
  <c r="DE192" i="20"/>
  <c r="V192" i="20"/>
  <c r="AD192" i="20"/>
  <c r="AL192" i="20"/>
  <c r="AT192" i="20"/>
  <c r="BB192" i="20"/>
  <c r="BJ192" i="20"/>
  <c r="BR192" i="20"/>
  <c r="BZ192" i="20"/>
  <c r="CH192" i="20"/>
  <c r="CP192" i="20"/>
  <c r="CX192" i="20"/>
  <c r="DF192" i="20"/>
  <c r="S192" i="20"/>
  <c r="AE192" i="20"/>
  <c r="AO192" i="20"/>
  <c r="AY192" i="20"/>
  <c r="BK192" i="20"/>
  <c r="BU192" i="20"/>
  <c r="CE192" i="20"/>
  <c r="CQ192" i="20"/>
  <c r="DA192" i="20"/>
  <c r="DK192" i="20"/>
  <c r="T192" i="20"/>
  <c r="AF192" i="20"/>
  <c r="AP192" i="20"/>
  <c r="AZ192" i="20"/>
  <c r="BL192" i="20"/>
  <c r="BV192" i="20"/>
  <c r="CF192" i="20"/>
  <c r="CR192" i="20"/>
  <c r="DB192" i="20"/>
  <c r="DL192" i="20"/>
  <c r="Q192" i="20"/>
  <c r="AG192" i="20"/>
  <c r="AU192" i="20"/>
  <c r="BG192" i="20"/>
  <c r="BW192" i="20"/>
  <c r="CK192" i="20"/>
  <c r="CY192" i="20"/>
  <c r="R192" i="20"/>
  <c r="AH192" i="20"/>
  <c r="AV192" i="20"/>
  <c r="BH192" i="20"/>
  <c r="BX192" i="20"/>
  <c r="CL192" i="20"/>
  <c r="CZ192" i="20"/>
  <c r="W192" i="20"/>
  <c r="AI192" i="20"/>
  <c r="AW192" i="20"/>
  <c r="BM192" i="20"/>
  <c r="CA192" i="20"/>
  <c r="CM192" i="20"/>
  <c r="DC192" i="20"/>
  <c r="Y192" i="20"/>
  <c r="AM192" i="20"/>
  <c r="BC192" i="20"/>
  <c r="BO192" i="20"/>
  <c r="CC192" i="20"/>
  <c r="CS192" i="20"/>
  <c r="DG192" i="20"/>
  <c r="AR192" i="20"/>
  <c r="BT192" i="20"/>
  <c r="CV192" i="20"/>
  <c r="Z192" i="20"/>
  <c r="BD192" i="20"/>
  <c r="CD192" i="20"/>
  <c r="DH192" i="20"/>
  <c r="AA192" i="20"/>
  <c r="BE192" i="20"/>
  <c r="CI192" i="20"/>
  <c r="DI192" i="20"/>
  <c r="AB192" i="20"/>
  <c r="BS192" i="20"/>
  <c r="AJ192" i="20"/>
  <c r="CB192" i="20"/>
  <c r="AQ192" i="20"/>
  <c r="CN192" i="20"/>
  <c r="BN192" i="20"/>
  <c r="AX192" i="20"/>
  <c r="DJ192" i="20"/>
  <c r="AN192" i="20"/>
  <c r="BF192" i="20"/>
  <c r="BP192" i="20"/>
  <c r="CJ192" i="20"/>
  <c r="CT192" i="20"/>
  <c r="CU192" i="20"/>
  <c r="W327" i="20"/>
  <c r="AE327" i="20"/>
  <c r="AM327" i="20"/>
  <c r="AU327" i="20"/>
  <c r="BC327" i="20"/>
  <c r="BK327" i="20"/>
  <c r="BS327" i="20"/>
  <c r="CA327" i="20"/>
  <c r="CI327" i="20"/>
  <c r="CQ327" i="20"/>
  <c r="CY327" i="20"/>
  <c r="DG327" i="20"/>
  <c r="Y327" i="20"/>
  <c r="AH327" i="20"/>
  <c r="AQ327" i="20"/>
  <c r="AZ327" i="20"/>
  <c r="BI327" i="20"/>
  <c r="BR327" i="20"/>
  <c r="CB327" i="20"/>
  <c r="CK327" i="20"/>
  <c r="CT327" i="20"/>
  <c r="DC327" i="20"/>
  <c r="DL327" i="20"/>
  <c r="R327" i="20"/>
  <c r="AA327" i="20"/>
  <c r="AJ327" i="20"/>
  <c r="AS327" i="20"/>
  <c r="BB327" i="20"/>
  <c r="BL327" i="20"/>
  <c r="BU327" i="20"/>
  <c r="CD327" i="20"/>
  <c r="CM327" i="20"/>
  <c r="CV327" i="20"/>
  <c r="DE327" i="20"/>
  <c r="X327" i="20"/>
  <c r="AK327" i="20"/>
  <c r="AW327" i="20"/>
  <c r="BH327" i="20"/>
  <c r="BV327" i="20"/>
  <c r="CG327" i="20"/>
  <c r="CS327" i="20"/>
  <c r="DF327" i="20"/>
  <c r="Z327" i="20"/>
  <c r="AL327" i="20"/>
  <c r="AX327" i="20"/>
  <c r="BJ327" i="20"/>
  <c r="BW327" i="20"/>
  <c r="CH327" i="20"/>
  <c r="CU327" i="20"/>
  <c r="DH327" i="20"/>
  <c r="AB327" i="20"/>
  <c r="AN327" i="20"/>
  <c r="AY327" i="20"/>
  <c r="BM327" i="20"/>
  <c r="BX327" i="20"/>
  <c r="CJ327" i="20"/>
  <c r="CW327" i="20"/>
  <c r="DI327" i="20"/>
  <c r="X14" i="20"/>
  <c r="AF14" i="20"/>
  <c r="W14" i="20"/>
  <c r="AG14" i="20"/>
  <c r="AO14" i="20"/>
  <c r="AW14" i="20"/>
  <c r="BE14" i="20"/>
  <c r="BM14" i="20"/>
  <c r="BU14" i="20"/>
  <c r="CC14" i="20"/>
  <c r="CK14" i="20"/>
  <c r="CS14" i="20"/>
  <c r="DA14" i="20"/>
  <c r="DI14" i="20"/>
  <c r="Y14" i="20"/>
  <c r="AH14" i="20"/>
  <c r="AP14" i="20"/>
  <c r="AX14" i="20"/>
  <c r="BF14" i="20"/>
  <c r="BN14" i="20"/>
  <c r="BV14" i="20"/>
  <c r="CD14" i="20"/>
  <c r="CL14" i="20"/>
  <c r="CT14" i="20"/>
  <c r="DB14" i="20"/>
  <c r="DJ14" i="20"/>
  <c r="Q14" i="20"/>
  <c r="Z14" i="20"/>
  <c r="AI14" i="20"/>
  <c r="AQ14" i="20"/>
  <c r="AY14" i="20"/>
  <c r="BG14" i="20"/>
  <c r="BO14" i="20"/>
  <c r="BW14" i="20"/>
  <c r="CE14" i="20"/>
  <c r="CM14" i="20"/>
  <c r="CU14" i="20"/>
  <c r="DC14" i="20"/>
  <c r="DK14" i="20"/>
  <c r="AB14" i="20"/>
  <c r="AN14" i="20"/>
  <c r="BB14" i="20"/>
  <c r="BP14" i="20"/>
  <c r="CA14" i="20"/>
  <c r="CO14" i="20"/>
  <c r="CZ14" i="20"/>
  <c r="AC14" i="20"/>
  <c r="AR14" i="20"/>
  <c r="BC14" i="20"/>
  <c r="BQ14" i="20"/>
  <c r="CB14" i="20"/>
  <c r="CP14" i="20"/>
  <c r="DD14" i="20"/>
  <c r="R14" i="20"/>
  <c r="AD14" i="20"/>
  <c r="AS14" i="20"/>
  <c r="BD14" i="20"/>
  <c r="BR14" i="20"/>
  <c r="CF14" i="20"/>
  <c r="CQ14" i="20"/>
  <c r="DE14" i="20"/>
  <c r="S14" i="20"/>
  <c r="AE14" i="20"/>
  <c r="AT14" i="20"/>
  <c r="BH14" i="20"/>
  <c r="BS14" i="20"/>
  <c r="CG14" i="20"/>
  <c r="CR14" i="20"/>
  <c r="DF14" i="20"/>
  <c r="AK14" i="20"/>
  <c r="BJ14" i="20"/>
  <c r="CI14" i="20"/>
  <c r="DH14" i="20"/>
  <c r="T14" i="20"/>
  <c r="AU14" i="20"/>
  <c r="BT14" i="20"/>
  <c r="CV14" i="20"/>
  <c r="AV14" i="20"/>
  <c r="BZ14" i="20"/>
  <c r="DL14" i="20"/>
  <c r="AZ14" i="20"/>
  <c r="CH14" i="20"/>
  <c r="BA14" i="20"/>
  <c r="CW14" i="20"/>
  <c r="AA14" i="20"/>
  <c r="BX14" i="20"/>
  <c r="BL14" i="20"/>
  <c r="U14" i="20"/>
  <c r="BY14" i="20"/>
  <c r="V14" i="20"/>
  <c r="CJ14" i="20"/>
  <c r="AJ14" i="20"/>
  <c r="CN14" i="20"/>
  <c r="AL14" i="20"/>
  <c r="AM14" i="20"/>
  <c r="DG14" i="20"/>
  <c r="BK14" i="20"/>
  <c r="CX14" i="20"/>
  <c r="CY14" i="20"/>
  <c r="BI14" i="20"/>
  <c r="K98" i="20"/>
  <c r="H199" i="20"/>
  <c r="H411" i="20"/>
  <c r="K38" i="20"/>
  <c r="H294" i="20"/>
  <c r="H28" i="20"/>
  <c r="H399" i="20"/>
  <c r="K127" i="20"/>
  <c r="K171" i="20"/>
  <c r="H55" i="20"/>
  <c r="K178" i="20"/>
  <c r="K370" i="20"/>
  <c r="K286" i="20"/>
  <c r="K330" i="20"/>
  <c r="K59" i="20"/>
  <c r="K250" i="20"/>
  <c r="K72" i="20"/>
  <c r="K147" i="20"/>
  <c r="H150" i="20"/>
  <c r="K99" i="20"/>
  <c r="K210" i="20"/>
  <c r="K185" i="20"/>
  <c r="K207" i="20"/>
  <c r="K68" i="20"/>
  <c r="K139" i="20"/>
  <c r="K292" i="20"/>
  <c r="H292" i="20"/>
  <c r="DC416" i="20"/>
  <c r="CS416" i="20"/>
  <c r="CH416" i="20"/>
  <c r="BW416" i="20"/>
  <c r="BM416" i="20"/>
  <c r="BB416" i="20"/>
  <c r="AQ416" i="20"/>
  <c r="AG416" i="20"/>
  <c r="V416" i="20"/>
  <c r="DG415" i="20"/>
  <c r="CW415" i="20"/>
  <c r="CL415" i="20"/>
  <c r="CA415" i="20"/>
  <c r="BQ415" i="20"/>
  <c r="BF415" i="20"/>
  <c r="AU415" i="20"/>
  <c r="AK415" i="20"/>
  <c r="Z415" i="20"/>
  <c r="DK414" i="20"/>
  <c r="DA414" i="20"/>
  <c r="CP414" i="20"/>
  <c r="CE414" i="20"/>
  <c r="BU414" i="20"/>
  <c r="BJ414" i="20"/>
  <c r="AY414" i="20"/>
  <c r="AO414" i="20"/>
  <c r="AD414" i="20"/>
  <c r="S414" i="20"/>
  <c r="DE413" i="20"/>
  <c r="CT413" i="20"/>
  <c r="CI413" i="20"/>
  <c r="BY413" i="20"/>
  <c r="BN413" i="20"/>
  <c r="BC413" i="20"/>
  <c r="AS413" i="20"/>
  <c r="AH413" i="20"/>
  <c r="W413" i="20"/>
  <c r="DI412" i="20"/>
  <c r="CX412" i="20"/>
  <c r="CM412" i="20"/>
  <c r="CC412" i="20"/>
  <c r="BR412" i="20"/>
  <c r="BG412" i="20"/>
  <c r="AW412" i="20"/>
  <c r="AL412" i="20"/>
  <c r="AA412" i="20"/>
  <c r="Q412" i="20"/>
  <c r="DB411" i="20"/>
  <c r="CQ411" i="20"/>
  <c r="CG411" i="20"/>
  <c r="BV411" i="20"/>
  <c r="BK411" i="20"/>
  <c r="BA411" i="20"/>
  <c r="AP411" i="20"/>
  <c r="AE411" i="20"/>
  <c r="U411" i="20"/>
  <c r="DF410" i="20"/>
  <c r="CU410" i="20"/>
  <c r="CK410" i="20"/>
  <c r="BZ410" i="20"/>
  <c r="BO410" i="20"/>
  <c r="BE410" i="20"/>
  <c r="AT410" i="20"/>
  <c r="AI410" i="20"/>
  <c r="Y410" i="20"/>
  <c r="DC408" i="20"/>
  <c r="CS408" i="20"/>
  <c r="CH408" i="20"/>
  <c r="BW408" i="20"/>
  <c r="BM408" i="20"/>
  <c r="BB408" i="20"/>
  <c r="AQ408" i="20"/>
  <c r="AG408" i="20"/>
  <c r="V408" i="20"/>
  <c r="DG407" i="20"/>
  <c r="CW407" i="20"/>
  <c r="CL407" i="20"/>
  <c r="CA407" i="20"/>
  <c r="BQ407" i="20"/>
  <c r="BF407" i="20"/>
  <c r="AU407" i="20"/>
  <c r="AK407" i="20"/>
  <c r="Z407" i="20"/>
  <c r="DE405" i="20"/>
  <c r="CT405" i="20"/>
  <c r="CI405" i="20"/>
  <c r="BY405" i="20"/>
  <c r="BN405" i="20"/>
  <c r="BC405" i="20"/>
  <c r="AS405" i="20"/>
  <c r="AH405" i="20"/>
  <c r="W405" i="20"/>
  <c r="DB403" i="20"/>
  <c r="CQ403" i="20"/>
  <c r="CG403" i="20"/>
  <c r="BV403" i="20"/>
  <c r="BK403" i="20"/>
  <c r="BA403" i="20"/>
  <c r="AP403" i="20"/>
  <c r="AE403" i="20"/>
  <c r="U403" i="20"/>
  <c r="DF402" i="20"/>
  <c r="CU402" i="20"/>
  <c r="CK402" i="20"/>
  <c r="BZ402" i="20"/>
  <c r="BO402" i="20"/>
  <c r="BE402" i="20"/>
  <c r="AT402" i="20"/>
  <c r="AI402" i="20"/>
  <c r="Y402" i="20"/>
  <c r="DJ401" i="20"/>
  <c r="CY401" i="20"/>
  <c r="CO401" i="20"/>
  <c r="CD401" i="20"/>
  <c r="BS401" i="20"/>
  <c r="BI401" i="20"/>
  <c r="AX401" i="20"/>
  <c r="AM401" i="20"/>
  <c r="AC401" i="20"/>
  <c r="R401" i="20"/>
  <c r="DC400" i="20"/>
  <c r="CS400" i="20"/>
  <c r="CH400" i="20"/>
  <c r="BW400" i="20"/>
  <c r="BM400" i="20"/>
  <c r="BB400" i="20"/>
  <c r="AQ400" i="20"/>
  <c r="AG400" i="20"/>
  <c r="V400" i="20"/>
  <c r="DG399" i="20"/>
  <c r="CW399" i="20"/>
  <c r="CL399" i="20"/>
  <c r="CA399" i="20"/>
  <c r="BQ399" i="20"/>
  <c r="BF399" i="20"/>
  <c r="AU399" i="20"/>
  <c r="AK399" i="20"/>
  <c r="Z399" i="20"/>
  <c r="DK398" i="20"/>
  <c r="DA398" i="20"/>
  <c r="CP398" i="20"/>
  <c r="CE398" i="20"/>
  <c r="BU398" i="20"/>
  <c r="BJ398" i="20"/>
  <c r="AY398" i="20"/>
  <c r="AO398" i="20"/>
  <c r="AD398" i="20"/>
  <c r="S398" i="20"/>
  <c r="DI396" i="20"/>
  <c r="CX396" i="20"/>
  <c r="CM396" i="20"/>
  <c r="CC396" i="20"/>
  <c r="BR396" i="20"/>
  <c r="BG396" i="20"/>
  <c r="AW396" i="20"/>
  <c r="AL396" i="20"/>
  <c r="AA396" i="20"/>
  <c r="Q396" i="20"/>
  <c r="DF394" i="20"/>
  <c r="CU394" i="20"/>
  <c r="CK394" i="20"/>
  <c r="BZ394" i="20"/>
  <c r="BO394" i="20"/>
  <c r="BE394" i="20"/>
  <c r="AT394" i="20"/>
  <c r="AI394" i="20"/>
  <c r="Y394" i="20"/>
  <c r="DC392" i="20"/>
  <c r="CS392" i="20"/>
  <c r="CH392" i="20"/>
  <c r="BW392" i="20"/>
  <c r="BM392" i="20"/>
  <c r="BB392" i="20"/>
  <c r="AQ392" i="20"/>
  <c r="AG392" i="20"/>
  <c r="V392" i="20"/>
  <c r="DG391" i="20"/>
  <c r="CW391" i="20"/>
  <c r="CL391" i="20"/>
  <c r="CA391" i="20"/>
  <c r="BQ391" i="20"/>
  <c r="BF391" i="20"/>
  <c r="AU391" i="20"/>
  <c r="AK391" i="20"/>
  <c r="Z391" i="20"/>
  <c r="DC388" i="20"/>
  <c r="CP388" i="20"/>
  <c r="CE388" i="20"/>
  <c r="BR388" i="20"/>
  <c r="BF388" i="20"/>
  <c r="AT388" i="20"/>
  <c r="AH388" i="20"/>
  <c r="U388" i="20"/>
  <c r="DF387" i="20"/>
  <c r="CS387" i="20"/>
  <c r="CF387" i="20"/>
  <c r="BU387" i="20"/>
  <c r="BH387" i="20"/>
  <c r="AV387" i="20"/>
  <c r="AJ387" i="20"/>
  <c r="X387" i="20"/>
  <c r="DG386" i="20"/>
  <c r="CV386" i="20"/>
  <c r="CI386" i="20"/>
  <c r="BW386" i="20"/>
  <c r="BK386" i="20"/>
  <c r="AY386" i="20"/>
  <c r="AL386" i="20"/>
  <c r="AA386" i="20"/>
  <c r="CZ384" i="20"/>
  <c r="CN384" i="20"/>
  <c r="CB384" i="20"/>
  <c r="BP384" i="20"/>
  <c r="BC384" i="20"/>
  <c r="AR384" i="20"/>
  <c r="AE384" i="20"/>
  <c r="S384" i="20"/>
  <c r="DC383" i="20"/>
  <c r="CQ383" i="20"/>
  <c r="CD383" i="20"/>
  <c r="BS383" i="20"/>
  <c r="BF383" i="20"/>
  <c r="AT383" i="20"/>
  <c r="AH383" i="20"/>
  <c r="V383" i="20"/>
  <c r="DE382" i="20"/>
  <c r="CT382" i="20"/>
  <c r="CG382" i="20"/>
  <c r="BT382" i="20"/>
  <c r="BI382" i="20"/>
  <c r="AV382" i="20"/>
  <c r="AJ382" i="20"/>
  <c r="X382" i="20"/>
  <c r="DH381" i="20"/>
  <c r="CU381" i="20"/>
  <c r="CJ381" i="20"/>
  <c r="BW381" i="20"/>
  <c r="BK381" i="20"/>
  <c r="AY381" i="20"/>
  <c r="AM381" i="20"/>
  <c r="Z381" i="20"/>
  <c r="DK380" i="20"/>
  <c r="CX380" i="20"/>
  <c r="CL380" i="20"/>
  <c r="BZ380" i="20"/>
  <c r="BN380" i="20"/>
  <c r="BA380" i="20"/>
  <c r="AP380" i="20"/>
  <c r="AC380" i="20"/>
  <c r="DL379" i="20"/>
  <c r="DA379" i="20"/>
  <c r="CN379" i="20"/>
  <c r="CB379" i="20"/>
  <c r="BP379" i="20"/>
  <c r="BD379" i="20"/>
  <c r="AQ379" i="20"/>
  <c r="AF379" i="20"/>
  <c r="S379" i="20"/>
  <c r="DF377" i="20"/>
  <c r="CS377" i="20"/>
  <c r="CH377" i="20"/>
  <c r="BU377" i="20"/>
  <c r="BH377" i="20"/>
  <c r="AW377" i="20"/>
  <c r="AJ377" i="20"/>
  <c r="X377" i="20"/>
  <c r="DH376" i="20"/>
  <c r="CV376" i="20"/>
  <c r="CI376" i="20"/>
  <c r="BX376" i="20"/>
  <c r="BK376" i="20"/>
  <c r="AY376" i="20"/>
  <c r="AM376" i="20"/>
  <c r="AA376" i="20"/>
  <c r="CZ374" i="20"/>
  <c r="CO374" i="20"/>
  <c r="CB374" i="20"/>
  <c r="BP374" i="20"/>
  <c r="BD374" i="20"/>
  <c r="AR374" i="20"/>
  <c r="AE374" i="20"/>
  <c r="T374" i="20"/>
  <c r="DC373" i="20"/>
  <c r="CQ373" i="20"/>
  <c r="CE373" i="20"/>
  <c r="BS373" i="20"/>
  <c r="BF373" i="20"/>
  <c r="AU373" i="20"/>
  <c r="AH373" i="20"/>
  <c r="V373" i="20"/>
  <c r="DH371" i="20"/>
  <c r="CV371" i="20"/>
  <c r="CJ371" i="20"/>
  <c r="BW371" i="20"/>
  <c r="BL371" i="20"/>
  <c r="AY371" i="20"/>
  <c r="AM371" i="20"/>
  <c r="AA371" i="20"/>
  <c r="DD368" i="20"/>
  <c r="CQ368" i="20"/>
  <c r="CE368" i="20"/>
  <c r="BS368" i="20"/>
  <c r="BG368" i="20"/>
  <c r="AT368" i="20"/>
  <c r="AI368" i="20"/>
  <c r="V368" i="20"/>
  <c r="DH366" i="20"/>
  <c r="CV366" i="20"/>
  <c r="CJ366" i="20"/>
  <c r="BX366" i="20"/>
  <c r="BK366" i="20"/>
  <c r="AZ366" i="20"/>
  <c r="AM366" i="20"/>
  <c r="AA366" i="20"/>
  <c r="DC363" i="20"/>
  <c r="CR363" i="20"/>
  <c r="CE363" i="20"/>
  <c r="BS363" i="20"/>
  <c r="BG363" i="20"/>
  <c r="AU363" i="20"/>
  <c r="AH363" i="20"/>
  <c r="T363" i="20"/>
  <c r="DB362" i="20"/>
  <c r="CN362" i="20"/>
  <c r="BZ362" i="20"/>
  <c r="BK362" i="20"/>
  <c r="AV362" i="20"/>
  <c r="AJ362" i="20"/>
  <c r="U362" i="20"/>
  <c r="DB361" i="20"/>
  <c r="CN361" i="20"/>
  <c r="BZ361" i="20"/>
  <c r="BL361" i="20"/>
  <c r="AX361" i="20"/>
  <c r="AI361" i="20"/>
  <c r="T361" i="20"/>
  <c r="DA359" i="20"/>
  <c r="CL359" i="20"/>
  <c r="BT359" i="20"/>
  <c r="BE359" i="20"/>
  <c r="AL359" i="20"/>
  <c r="S359" i="20"/>
  <c r="CZ358" i="20"/>
  <c r="CH358" i="20"/>
  <c r="BS358" i="20"/>
  <c r="BA358" i="20"/>
  <c r="AH358" i="20"/>
  <c r="T358" i="20"/>
  <c r="CV357" i="20"/>
  <c r="CH357" i="20"/>
  <c r="BO357" i="20"/>
  <c r="AW357" i="20"/>
  <c r="AH357" i="20"/>
  <c r="DL356" i="20"/>
  <c r="CW356" i="20"/>
  <c r="CD356" i="20"/>
  <c r="BK356" i="20"/>
  <c r="AV356" i="20"/>
  <c r="AD356" i="20"/>
  <c r="DK355" i="20"/>
  <c r="CS355" i="20"/>
  <c r="BZ355" i="20"/>
  <c r="BL355" i="20"/>
  <c r="AR355" i="20"/>
  <c r="AD355" i="20"/>
  <c r="DG354" i="20"/>
  <c r="CO354" i="20"/>
  <c r="BZ354" i="20"/>
  <c r="BH354" i="20"/>
  <c r="AS354" i="20"/>
  <c r="Z354" i="20"/>
  <c r="DH351" i="20"/>
  <c r="CN351" i="20"/>
  <c r="BZ351" i="20"/>
  <c r="BG351" i="20"/>
  <c r="AO351" i="20"/>
  <c r="Z351" i="20"/>
  <c r="DD350" i="20"/>
  <c r="CO350" i="20"/>
  <c r="BV350" i="20"/>
  <c r="BC350" i="20"/>
  <c r="AN350" i="20"/>
  <c r="V350" i="20"/>
  <c r="DC349" i="20"/>
  <c r="CK349" i="20"/>
  <c r="BR349" i="20"/>
  <c r="BD349" i="20"/>
  <c r="AJ349" i="20"/>
  <c r="V349" i="20"/>
  <c r="CY348" i="20"/>
  <c r="CG348" i="20"/>
  <c r="BR348" i="20"/>
  <c r="AZ348" i="20"/>
  <c r="AK348" i="20"/>
  <c r="R348" i="20"/>
  <c r="CU347" i="20"/>
  <c r="CF347" i="20"/>
  <c r="BN347" i="20"/>
  <c r="AY347" i="20"/>
  <c r="AG347" i="20"/>
  <c r="DJ346" i="20"/>
  <c r="CV346" i="20"/>
  <c r="CB346" i="20"/>
  <c r="BN346" i="20"/>
  <c r="AU346" i="20"/>
  <c r="AC346" i="20"/>
  <c r="DJ345" i="20"/>
  <c r="CR345" i="20"/>
  <c r="CC345" i="20"/>
  <c r="BJ345" i="20"/>
  <c r="AQ345" i="20"/>
  <c r="AB345" i="20"/>
  <c r="DF344" i="20"/>
  <c r="CQ344" i="20"/>
  <c r="BY344" i="20"/>
  <c r="BF344" i="20"/>
  <c r="AR344" i="20"/>
  <c r="X344" i="20"/>
  <c r="DF343" i="20"/>
  <c r="CM343" i="20"/>
  <c r="BU343" i="20"/>
  <c r="BF343" i="20"/>
  <c r="AN343" i="20"/>
  <c r="Y343" i="20"/>
  <c r="DB342" i="20"/>
  <c r="CI342" i="20"/>
  <c r="BT342" i="20"/>
  <c r="BB342" i="20"/>
  <c r="AM342" i="20"/>
  <c r="U342" i="20"/>
  <c r="DB339" i="20"/>
  <c r="CJ339" i="20"/>
  <c r="BU339" i="20"/>
  <c r="BB339" i="20"/>
  <c r="AI339" i="20"/>
  <c r="T339" i="20"/>
  <c r="CX338" i="20"/>
  <c r="CI338" i="20"/>
  <c r="BQ338" i="20"/>
  <c r="AX338" i="20"/>
  <c r="AJ338" i="20"/>
  <c r="DL337" i="20"/>
  <c r="CX337" i="20"/>
  <c r="CE337" i="20"/>
  <c r="BM337" i="20"/>
  <c r="AX337" i="20"/>
  <c r="AF337" i="20"/>
  <c r="Q337" i="20"/>
  <c r="CT336" i="20"/>
  <c r="CA336" i="20"/>
  <c r="BL336" i="20"/>
  <c r="AT336" i="20"/>
  <c r="AE336" i="20"/>
  <c r="DJ334" i="20"/>
  <c r="CQ334" i="20"/>
  <c r="BY334" i="20"/>
  <c r="BJ334" i="20"/>
  <c r="AR334" i="20"/>
  <c r="AC334" i="20"/>
  <c r="DF333" i="20"/>
  <c r="CM333" i="20"/>
  <c r="BX333" i="20"/>
  <c r="BF333" i="20"/>
  <c r="AQ333" i="20"/>
  <c r="Y333" i="20"/>
  <c r="DB332" i="20"/>
  <c r="CN332" i="20"/>
  <c r="BT332" i="20"/>
  <c r="BF332" i="20"/>
  <c r="AM332" i="20"/>
  <c r="U332" i="20"/>
  <c r="DB331" i="20"/>
  <c r="CJ331" i="20"/>
  <c r="BU331" i="20"/>
  <c r="BB331" i="20"/>
  <c r="AI331" i="20"/>
  <c r="T331" i="20"/>
  <c r="DL329" i="20"/>
  <c r="CX329" i="20"/>
  <c r="CE329" i="20"/>
  <c r="BM329" i="20"/>
  <c r="AX329" i="20"/>
  <c r="AC329" i="20"/>
  <c r="DH328" i="20"/>
  <c r="CL328" i="20"/>
  <c r="BQ328" i="20"/>
  <c r="AZ328" i="20"/>
  <c r="AE328" i="20"/>
  <c r="DJ327" i="20"/>
  <c r="CO327" i="20"/>
  <c r="BT327" i="20"/>
  <c r="BD327" i="20"/>
  <c r="AG327" i="20"/>
  <c r="Q327" i="20"/>
  <c r="CO326" i="20"/>
  <c r="BQ326" i="20"/>
  <c r="AV326" i="20"/>
  <c r="X326" i="20"/>
  <c r="DF324" i="20"/>
  <c r="CK324" i="20"/>
  <c r="BM324" i="20"/>
  <c r="AN324" i="20"/>
  <c r="V324" i="20"/>
  <c r="DB322" i="20"/>
  <c r="CD322" i="20"/>
  <c r="BK322" i="20"/>
  <c r="AL322" i="20"/>
  <c r="CT320" i="20"/>
  <c r="CB320" i="20"/>
  <c r="BB320" i="20"/>
  <c r="AH320" i="20"/>
  <c r="DF317" i="20"/>
  <c r="CG317" i="20"/>
  <c r="BF317" i="20"/>
  <c r="AB317" i="20"/>
  <c r="CZ316" i="20"/>
  <c r="BV316" i="20"/>
  <c r="AX316" i="20"/>
  <c r="V316" i="20"/>
  <c r="CM315" i="20"/>
  <c r="BP315" i="20"/>
  <c r="AK315" i="20"/>
  <c r="CV313" i="20"/>
  <c r="BY313" i="20"/>
  <c r="AT313" i="20"/>
  <c r="Q313" i="20"/>
  <c r="DE311" i="20"/>
  <c r="CD311" i="20"/>
  <c r="BE311" i="20"/>
  <c r="AB311" i="20"/>
  <c r="CY310" i="20"/>
  <c r="BV310" i="20"/>
  <c r="AT310" i="20"/>
  <c r="V310" i="20"/>
  <c r="DB308" i="20"/>
  <c r="BT308" i="20"/>
  <c r="AK308" i="20"/>
  <c r="CR306" i="20"/>
  <c r="BK306" i="20"/>
  <c r="AD306" i="20"/>
  <c r="DH304" i="20"/>
  <c r="BZ304" i="20"/>
  <c r="AO304" i="20"/>
  <c r="DD303" i="20"/>
  <c r="BW303" i="20"/>
  <c r="AP303" i="20"/>
  <c r="DB302" i="20"/>
  <c r="BS302" i="20"/>
  <c r="AL302" i="20"/>
  <c r="CS300" i="20"/>
  <c r="BL300" i="20"/>
  <c r="AD300" i="20"/>
  <c r="CO299" i="20"/>
  <c r="BH299" i="20"/>
  <c r="AA299" i="20"/>
  <c r="CP298" i="20"/>
  <c r="BF298" i="20"/>
  <c r="W298" i="20"/>
  <c r="CL297" i="20"/>
  <c r="BE297" i="20"/>
  <c r="V297" i="20"/>
  <c r="CJ296" i="20"/>
  <c r="BA296" i="20"/>
  <c r="R296" i="20"/>
  <c r="CL294" i="20"/>
  <c r="AZ294" i="20"/>
  <c r="CB292" i="20"/>
  <c r="AL292" i="20"/>
  <c r="CT291" i="20"/>
  <c r="BI291" i="20"/>
  <c r="W291" i="20"/>
  <c r="CE290" i="20"/>
  <c r="AR290" i="20"/>
  <c r="CZ289" i="20"/>
  <c r="BL289" i="20"/>
  <c r="Z289" i="20"/>
  <c r="CK288" i="20"/>
  <c r="AX288" i="20"/>
  <c r="DD287" i="20"/>
  <c r="BR287" i="20"/>
  <c r="AF287" i="20"/>
  <c r="CP286" i="20"/>
  <c r="BA286" i="20"/>
  <c r="DI285" i="20"/>
  <c r="BX285" i="20"/>
  <c r="AL285" i="20"/>
  <c r="CT284" i="20"/>
  <c r="BG284" i="20"/>
  <c r="S284" i="20"/>
  <c r="CA283" i="20"/>
  <c r="AO283" i="20"/>
  <c r="DE281" i="20"/>
  <c r="BQ281" i="20"/>
  <c r="AD281" i="20"/>
  <c r="CL280" i="20"/>
  <c r="AX280" i="20"/>
  <c r="DH279" i="20"/>
  <c r="BV279" i="20"/>
  <c r="AJ279" i="20"/>
  <c r="CO278" i="20"/>
  <c r="BD278" i="20"/>
  <c r="R278" i="20"/>
  <c r="CB277" i="20"/>
  <c r="AM277" i="20"/>
  <c r="CU276" i="20"/>
  <c r="BI276" i="20"/>
  <c r="X276" i="20"/>
  <c r="CF275" i="20"/>
  <c r="AS275" i="20"/>
  <c r="DA274" i="20"/>
  <c r="BM274" i="20"/>
  <c r="AA274" i="20"/>
  <c r="CK273" i="20"/>
  <c r="AX273" i="20"/>
  <c r="CH271" i="20"/>
  <c r="AV271" i="20"/>
  <c r="DD270" i="20"/>
  <c r="BQ270" i="20"/>
  <c r="AC270" i="20"/>
  <c r="CK269" i="20"/>
  <c r="AZ269" i="20"/>
  <c r="DJ268" i="20"/>
  <c r="BW268" i="20"/>
  <c r="AG268" i="20"/>
  <c r="CQ267" i="20"/>
  <c r="BE267" i="20"/>
  <c r="CZ266" i="20"/>
  <c r="AV266" i="20"/>
  <c r="DE264" i="20"/>
  <c r="BA264" i="20"/>
  <c r="BT261" i="20"/>
  <c r="R261" i="20"/>
  <c r="BI260" i="20"/>
  <c r="DA259" i="20"/>
  <c r="AP259" i="20"/>
  <c r="BT258" i="20"/>
  <c r="DL257" i="20"/>
  <c r="AW257" i="20"/>
  <c r="BR256" i="20"/>
  <c r="DD255" i="20"/>
  <c r="AF255" i="20"/>
  <c r="BA254" i="20"/>
  <c r="CK253" i="20"/>
  <c r="CH250" i="20"/>
  <c r="DI249" i="20"/>
  <c r="AA249" i="20"/>
  <c r="CS247" i="20"/>
  <c r="BU246" i="20"/>
  <c r="AY245" i="20"/>
  <c r="T244" i="20"/>
  <c r="CT242" i="20"/>
  <c r="BW241" i="20"/>
  <c r="AW240" i="20"/>
  <c r="AB239" i="20"/>
  <c r="CR237" i="20"/>
  <c r="AQ236" i="20"/>
  <c r="BV234" i="20"/>
  <c r="CU232" i="20"/>
  <c r="AE231" i="20"/>
  <c r="BT228" i="20"/>
  <c r="DA226" i="20"/>
  <c r="Y225" i="20"/>
  <c r="BG223" i="20"/>
  <c r="AJ221" i="20"/>
  <c r="AL219" i="20"/>
  <c r="CO215" i="20"/>
  <c r="BM209" i="20"/>
  <c r="DE206" i="20"/>
  <c r="CP203" i="20"/>
  <c r="CD198" i="20"/>
  <c r="DD195" i="20"/>
  <c r="DK191" i="20"/>
  <c r="CI187" i="20"/>
  <c r="AB181" i="20"/>
  <c r="AZ173" i="20"/>
  <c r="Q5" i="20"/>
  <c r="Y5" i="20"/>
  <c r="AG5" i="20"/>
  <c r="AO5" i="20"/>
  <c r="AW5" i="20"/>
  <c r="BE5" i="20"/>
  <c r="BM5" i="20"/>
  <c r="BU5" i="20"/>
  <c r="CC5" i="20"/>
  <c r="CK5" i="20"/>
  <c r="CS5" i="20"/>
  <c r="DA5" i="20"/>
  <c r="DI5" i="20"/>
  <c r="R5" i="20"/>
  <c r="Z5" i="20"/>
  <c r="AH5" i="20"/>
  <c r="AP5" i="20"/>
  <c r="AX5" i="20"/>
  <c r="BF5" i="20"/>
  <c r="BN5" i="20"/>
  <c r="BV5" i="20"/>
  <c r="CD5" i="20"/>
  <c r="CL5" i="20"/>
  <c r="CT5" i="20"/>
  <c r="DB5" i="20"/>
  <c r="DJ5" i="20"/>
  <c r="S5" i="20"/>
  <c r="AA5" i="20"/>
  <c r="AI5" i="20"/>
  <c r="AQ5" i="20"/>
  <c r="AY5" i="20"/>
  <c r="BG5" i="20"/>
  <c r="BO5" i="20"/>
  <c r="BW5" i="20"/>
  <c r="CE5" i="20"/>
  <c r="CM5" i="20"/>
  <c r="CU5" i="20"/>
  <c r="DC5" i="20"/>
  <c r="DK5" i="20"/>
  <c r="W5" i="20"/>
  <c r="AK5" i="20"/>
  <c r="AV5" i="20"/>
  <c r="BJ5" i="20"/>
  <c r="BX5" i="20"/>
  <c r="CI5" i="20"/>
  <c r="CW5" i="20"/>
  <c r="DH5" i="20"/>
  <c r="X5" i="20"/>
  <c r="AL5" i="20"/>
  <c r="AZ5" i="20"/>
  <c r="BK5" i="20"/>
  <c r="BY5" i="20"/>
  <c r="CJ5" i="20"/>
  <c r="CX5" i="20"/>
  <c r="DL5" i="20"/>
  <c r="AB5" i="20"/>
  <c r="AM5" i="20"/>
  <c r="BA5" i="20"/>
  <c r="BL5" i="20"/>
  <c r="BZ5" i="20"/>
  <c r="CN5" i="20"/>
  <c r="CY5" i="20"/>
  <c r="AC5" i="20"/>
  <c r="AT5" i="20"/>
  <c r="BQ5" i="20"/>
  <c r="CH5" i="20"/>
  <c r="DE5" i="20"/>
  <c r="AD5" i="20"/>
  <c r="AU5" i="20"/>
  <c r="BR5" i="20"/>
  <c r="CO5" i="20"/>
  <c r="DF5" i="20"/>
  <c r="AE5" i="20"/>
  <c r="BB5" i="20"/>
  <c r="BS5" i="20"/>
  <c r="CP5" i="20"/>
  <c r="DG5" i="20"/>
  <c r="U5" i="20"/>
  <c r="BD5" i="20"/>
  <c r="CG5" i="20"/>
  <c r="V5" i="20"/>
  <c r="BH5" i="20"/>
  <c r="CQ5" i="20"/>
  <c r="AF5" i="20"/>
  <c r="BI5" i="20"/>
  <c r="CR5" i="20"/>
  <c r="AJ5" i="20"/>
  <c r="BP5" i="20"/>
  <c r="CV5" i="20"/>
  <c r="AN5" i="20"/>
  <c r="CZ5" i="20"/>
  <c r="AR5" i="20"/>
  <c r="DD5" i="20"/>
  <c r="AS5" i="20"/>
  <c r="BC5" i="20"/>
  <c r="BT5" i="20"/>
  <c r="CB5" i="20"/>
  <c r="T5" i="20"/>
  <c r="CA5" i="20"/>
  <c r="CF5" i="20"/>
  <c r="S38" i="20"/>
  <c r="AA38" i="20"/>
  <c r="AI38" i="20"/>
  <c r="AQ38" i="20"/>
  <c r="AY38" i="20"/>
  <c r="BG38" i="20"/>
  <c r="BO38" i="20"/>
  <c r="BW38" i="20"/>
  <c r="CE38" i="20"/>
  <c r="CM38" i="20"/>
  <c r="CU38" i="20"/>
  <c r="DC38" i="20"/>
  <c r="DK38" i="20"/>
  <c r="R38" i="20"/>
  <c r="AB38" i="20"/>
  <c r="AK38" i="20"/>
  <c r="AT38" i="20"/>
  <c r="BC38" i="20"/>
  <c r="BL38" i="20"/>
  <c r="BU38" i="20"/>
  <c r="CD38" i="20"/>
  <c r="CN38" i="20"/>
  <c r="CW38" i="20"/>
  <c r="DF38" i="20"/>
  <c r="T38" i="20"/>
  <c r="AC38" i="20"/>
  <c r="AL38" i="20"/>
  <c r="AU38" i="20"/>
  <c r="BD38" i="20"/>
  <c r="BM38" i="20"/>
  <c r="BV38" i="20"/>
  <c r="CF38" i="20"/>
  <c r="CO38" i="20"/>
  <c r="CX38" i="20"/>
  <c r="DG38" i="20"/>
  <c r="U38" i="20"/>
  <c r="AF38" i="20"/>
  <c r="AR38" i="20"/>
  <c r="BE38" i="20"/>
  <c r="BQ38" i="20"/>
  <c r="CB38" i="20"/>
  <c r="CP38" i="20"/>
  <c r="DA38" i="20"/>
  <c r="W38" i="20"/>
  <c r="AJ38" i="20"/>
  <c r="AX38" i="20"/>
  <c r="BK38" i="20"/>
  <c r="BZ38" i="20"/>
  <c r="CL38" i="20"/>
  <c r="DB38" i="20"/>
  <c r="X38" i="20"/>
  <c r="AM38" i="20"/>
  <c r="AZ38" i="20"/>
  <c r="BN38" i="20"/>
  <c r="CA38" i="20"/>
  <c r="CQ38" i="20"/>
  <c r="DD38" i="20"/>
  <c r="Z38" i="20"/>
  <c r="AO38" i="20"/>
  <c r="BB38" i="20"/>
  <c r="BR38" i="20"/>
  <c r="CG38" i="20"/>
  <c r="CS38" i="20"/>
  <c r="DH38" i="20"/>
  <c r="AN38" i="20"/>
  <c r="BI38" i="20"/>
  <c r="CH38" i="20"/>
  <c r="CZ38" i="20"/>
  <c r="AE38" i="20"/>
  <c r="BA38" i="20"/>
  <c r="BX38" i="20"/>
  <c r="CT38" i="20"/>
  <c r="AH38" i="20"/>
  <c r="BP38" i="20"/>
  <c r="CR38" i="20"/>
  <c r="AP38" i="20"/>
  <c r="BS38" i="20"/>
  <c r="CV38" i="20"/>
  <c r="AS38" i="20"/>
  <c r="BT38" i="20"/>
  <c r="CY38" i="20"/>
  <c r="Q38" i="20"/>
  <c r="AV38" i="20"/>
  <c r="BY38" i="20"/>
  <c r="DE38" i="20"/>
  <c r="V38" i="20"/>
  <c r="CC38" i="20"/>
  <c r="Y38" i="20"/>
  <c r="CI38" i="20"/>
  <c r="AD38" i="20"/>
  <c r="CJ38" i="20"/>
  <c r="AG38" i="20"/>
  <c r="CK38" i="20"/>
  <c r="AW38" i="20"/>
  <c r="DI38" i="20"/>
  <c r="BF38" i="20"/>
  <c r="BH38" i="20"/>
  <c r="BJ38" i="20"/>
  <c r="DJ38" i="20"/>
  <c r="DL38" i="20"/>
  <c r="U335" i="20"/>
  <c r="AC335" i="20"/>
  <c r="AK335" i="20"/>
  <c r="AS335" i="20"/>
  <c r="BA335" i="20"/>
  <c r="BI335" i="20"/>
  <c r="BQ335" i="20"/>
  <c r="BY335" i="20"/>
  <c r="CG335" i="20"/>
  <c r="CO335" i="20"/>
  <c r="CW335" i="20"/>
  <c r="DE335" i="20"/>
  <c r="W335" i="20"/>
  <c r="AE335" i="20"/>
  <c r="AM335" i="20"/>
  <c r="AU335" i="20"/>
  <c r="BC335" i="20"/>
  <c r="BK335" i="20"/>
  <c r="BS335" i="20"/>
  <c r="CA335" i="20"/>
  <c r="CI335" i="20"/>
  <c r="CQ335" i="20"/>
  <c r="CY335" i="20"/>
  <c r="DG335" i="20"/>
  <c r="S62" i="20"/>
  <c r="AA62" i="20"/>
  <c r="AI62" i="20"/>
  <c r="AQ62" i="20"/>
  <c r="AY62" i="20"/>
  <c r="BG62" i="20"/>
  <c r="BO62" i="20"/>
  <c r="BW62" i="20"/>
  <c r="CE62" i="20"/>
  <c r="CM62" i="20"/>
  <c r="CU62" i="20"/>
  <c r="DC62" i="20"/>
  <c r="DK62" i="20"/>
  <c r="V62" i="20"/>
  <c r="AE62" i="20"/>
  <c r="AN62" i="20"/>
  <c r="AW62" i="20"/>
  <c r="BF62" i="20"/>
  <c r="BP62" i="20"/>
  <c r="BY62" i="20"/>
  <c r="CH62" i="20"/>
  <c r="CQ62" i="20"/>
  <c r="CZ62" i="20"/>
  <c r="DI62" i="20"/>
  <c r="W62" i="20"/>
  <c r="AF62" i="20"/>
  <c r="AO62" i="20"/>
  <c r="AX62" i="20"/>
  <c r="BH62" i="20"/>
  <c r="BQ62" i="20"/>
  <c r="BZ62" i="20"/>
  <c r="CI62" i="20"/>
  <c r="CR62" i="20"/>
  <c r="DA62" i="20"/>
  <c r="DJ62" i="20"/>
  <c r="X62" i="20"/>
  <c r="AG62" i="20"/>
  <c r="AP62" i="20"/>
  <c r="AZ62" i="20"/>
  <c r="BI62" i="20"/>
  <c r="BR62" i="20"/>
  <c r="CA62" i="20"/>
  <c r="CJ62" i="20"/>
  <c r="CS62" i="20"/>
  <c r="DB62" i="20"/>
  <c r="DL62" i="20"/>
  <c r="Y62" i="20"/>
  <c r="AH62" i="20"/>
  <c r="AR62" i="20"/>
  <c r="BA62" i="20"/>
  <c r="BJ62" i="20"/>
  <c r="BS62" i="20"/>
  <c r="CB62" i="20"/>
  <c r="CK62" i="20"/>
  <c r="CT62" i="20"/>
  <c r="DD62" i="20"/>
  <c r="Q62" i="20"/>
  <c r="AJ62" i="20"/>
  <c r="BB62" i="20"/>
  <c r="BT62" i="20"/>
  <c r="R62" i="20"/>
  <c r="AK62" i="20"/>
  <c r="BC62" i="20"/>
  <c r="BU62" i="20"/>
  <c r="CN62" i="20"/>
  <c r="DF62" i="20"/>
  <c r="T62" i="20"/>
  <c r="AL62" i="20"/>
  <c r="BD62" i="20"/>
  <c r="BV62" i="20"/>
  <c r="CO62" i="20"/>
  <c r="DG62" i="20"/>
  <c r="U62" i="20"/>
  <c r="AM62" i="20"/>
  <c r="BE62" i="20"/>
  <c r="BX62" i="20"/>
  <c r="CP62" i="20"/>
  <c r="DH62" i="20"/>
  <c r="Z62" i="20"/>
  <c r="AS62" i="20"/>
  <c r="BK62" i="20"/>
  <c r="CC62" i="20"/>
  <c r="CV62" i="20"/>
  <c r="BL62" i="20"/>
  <c r="CX62" i="20"/>
  <c r="BM62" i="20"/>
  <c r="CY62" i="20"/>
  <c r="AB62" i="20"/>
  <c r="BN62" i="20"/>
  <c r="DE62" i="20"/>
  <c r="AC62" i="20"/>
  <c r="CD62" i="20"/>
  <c r="AD62" i="20"/>
  <c r="AT62" i="20"/>
  <c r="AU62" i="20"/>
  <c r="CG62" i="20"/>
  <c r="CF62" i="20"/>
  <c r="CL62" i="20"/>
  <c r="CW62" i="20"/>
  <c r="AV62" i="20"/>
  <c r="V23" i="20"/>
  <c r="AD23" i="20"/>
  <c r="AL23" i="20"/>
  <c r="AT23" i="20"/>
  <c r="BB23" i="20"/>
  <c r="BJ23" i="20"/>
  <c r="BR23" i="20"/>
  <c r="BZ23" i="20"/>
  <c r="CH23" i="20"/>
  <c r="CP23" i="20"/>
  <c r="W23" i="20"/>
  <c r="AE23" i="20"/>
  <c r="AM23" i="20"/>
  <c r="AU23" i="20"/>
  <c r="BC23" i="20"/>
  <c r="BK23" i="20"/>
  <c r="BS23" i="20"/>
  <c r="CA23" i="20"/>
  <c r="CI23" i="20"/>
  <c r="CQ23" i="20"/>
  <c r="CY23" i="20"/>
  <c r="DG23" i="20"/>
  <c r="X23" i="20"/>
  <c r="AH23" i="20"/>
  <c r="AR23" i="20"/>
  <c r="BD23" i="20"/>
  <c r="BN23" i="20"/>
  <c r="BX23" i="20"/>
  <c r="CJ23" i="20"/>
  <c r="CT23" i="20"/>
  <c r="DC23" i="20"/>
  <c r="DL23" i="20"/>
  <c r="Q23" i="20"/>
  <c r="AA23" i="20"/>
  <c r="AK23" i="20"/>
  <c r="AW23" i="20"/>
  <c r="BG23" i="20"/>
  <c r="BQ23" i="20"/>
  <c r="CC23" i="20"/>
  <c r="CM23" i="20"/>
  <c r="CW23" i="20"/>
  <c r="DF23" i="20"/>
  <c r="T23" i="20"/>
  <c r="AI23" i="20"/>
  <c r="AX23" i="20"/>
  <c r="BL23" i="20"/>
  <c r="BY23" i="20"/>
  <c r="CN23" i="20"/>
  <c r="DA23" i="20"/>
  <c r="U23" i="20"/>
  <c r="AJ23" i="20"/>
  <c r="AY23" i="20"/>
  <c r="BM23" i="20"/>
  <c r="CB23" i="20"/>
  <c r="CO23" i="20"/>
  <c r="DB23" i="20"/>
  <c r="Y23" i="20"/>
  <c r="AP23" i="20"/>
  <c r="BH23" i="20"/>
  <c r="CD23" i="20"/>
  <c r="CU23" i="20"/>
  <c r="DJ23" i="20"/>
  <c r="AF23" i="20"/>
  <c r="AZ23" i="20"/>
  <c r="BT23" i="20"/>
  <c r="CK23" i="20"/>
  <c r="DD23" i="20"/>
  <c r="AN23" i="20"/>
  <c r="BI23" i="20"/>
  <c r="CG23" i="20"/>
  <c r="DH23" i="20"/>
  <c r="AO23" i="20"/>
  <c r="BO23" i="20"/>
  <c r="CL23" i="20"/>
  <c r="DI23" i="20"/>
  <c r="S23" i="20"/>
  <c r="AS23" i="20"/>
  <c r="BU23" i="20"/>
  <c r="CS23" i="20"/>
  <c r="AV23" i="20"/>
  <c r="CF23" i="20"/>
  <c r="BA23" i="20"/>
  <c r="CR23" i="20"/>
  <c r="AG23" i="20"/>
  <c r="BW23" i="20"/>
  <c r="DK23" i="20"/>
  <c r="Z23" i="20"/>
  <c r="CE23" i="20"/>
  <c r="AB23" i="20"/>
  <c r="CV23" i="20"/>
  <c r="AC23" i="20"/>
  <c r="CX23" i="20"/>
  <c r="AQ23" i="20"/>
  <c r="CZ23" i="20"/>
  <c r="DE23" i="20"/>
  <c r="R23" i="20"/>
  <c r="BE23" i="20"/>
  <c r="BF23" i="20"/>
  <c r="BP23" i="20"/>
  <c r="BV23" i="20"/>
  <c r="W67" i="20"/>
  <c r="AE67" i="20"/>
  <c r="AM67" i="20"/>
  <c r="AU67" i="20"/>
  <c r="BC67" i="20"/>
  <c r="BK67" i="20"/>
  <c r="BS67" i="20"/>
  <c r="CA67" i="20"/>
  <c r="CI67" i="20"/>
  <c r="CQ67" i="20"/>
  <c r="CY67" i="20"/>
  <c r="DG67" i="20"/>
  <c r="Y67" i="20"/>
  <c r="AH67" i="20"/>
  <c r="AQ67" i="20"/>
  <c r="AZ67" i="20"/>
  <c r="BI67" i="20"/>
  <c r="BR67" i="20"/>
  <c r="CB67" i="20"/>
  <c r="CK67" i="20"/>
  <c r="CT67" i="20"/>
  <c r="DC67" i="20"/>
  <c r="DL67" i="20"/>
  <c r="Q67" i="20"/>
  <c r="Z67" i="20"/>
  <c r="AI67" i="20"/>
  <c r="AR67" i="20"/>
  <c r="BA67" i="20"/>
  <c r="BJ67" i="20"/>
  <c r="BT67" i="20"/>
  <c r="CC67" i="20"/>
  <c r="CL67" i="20"/>
  <c r="CU67" i="20"/>
  <c r="DD67" i="20"/>
  <c r="S67" i="20"/>
  <c r="AB67" i="20"/>
  <c r="AK67" i="20"/>
  <c r="AT67" i="20"/>
  <c r="BD67" i="20"/>
  <c r="BM67" i="20"/>
  <c r="BV67" i="20"/>
  <c r="CE67" i="20"/>
  <c r="CN67" i="20"/>
  <c r="CW67" i="20"/>
  <c r="DF67" i="20"/>
  <c r="AC67" i="20"/>
  <c r="AP67" i="20"/>
  <c r="BF67" i="20"/>
  <c r="BU67" i="20"/>
  <c r="CH67" i="20"/>
  <c r="CX67" i="20"/>
  <c r="DK67" i="20"/>
  <c r="AD67" i="20"/>
  <c r="AS67" i="20"/>
  <c r="BG67" i="20"/>
  <c r="BW67" i="20"/>
  <c r="CJ67" i="20"/>
  <c r="CZ67" i="20"/>
  <c r="R67" i="20"/>
  <c r="AF67" i="20"/>
  <c r="AV67" i="20"/>
  <c r="BH67" i="20"/>
  <c r="BX67" i="20"/>
  <c r="CM67" i="20"/>
  <c r="DA67" i="20"/>
  <c r="T67" i="20"/>
  <c r="AG67" i="20"/>
  <c r="AW67" i="20"/>
  <c r="BL67" i="20"/>
  <c r="BY67" i="20"/>
  <c r="CO67" i="20"/>
  <c r="DB67" i="20"/>
  <c r="V67" i="20"/>
  <c r="AY67" i="20"/>
  <c r="CD67" i="20"/>
  <c r="DH67" i="20"/>
  <c r="X67" i="20"/>
  <c r="BB67" i="20"/>
  <c r="CF67" i="20"/>
  <c r="DI67" i="20"/>
  <c r="AA67" i="20"/>
  <c r="BE67" i="20"/>
  <c r="CG67" i="20"/>
  <c r="DJ67" i="20"/>
  <c r="AJ67" i="20"/>
  <c r="BQ67" i="20"/>
  <c r="AL67" i="20"/>
  <c r="BZ67" i="20"/>
  <c r="AN67" i="20"/>
  <c r="CP67" i="20"/>
  <c r="BN67" i="20"/>
  <c r="CV67" i="20"/>
  <c r="AX67" i="20"/>
  <c r="BO67" i="20"/>
  <c r="BP67" i="20"/>
  <c r="CR67" i="20"/>
  <c r="CS67" i="20"/>
  <c r="U67" i="20"/>
  <c r="DE67" i="20"/>
  <c r="AO67" i="20"/>
  <c r="U108" i="20"/>
  <c r="AC108" i="20"/>
  <c r="AK108" i="20"/>
  <c r="AS108" i="20"/>
  <c r="BA108" i="20"/>
  <c r="BI108" i="20"/>
  <c r="BQ108" i="20"/>
  <c r="BY108" i="20"/>
  <c r="CG108" i="20"/>
  <c r="CO108" i="20"/>
  <c r="CW108" i="20"/>
  <c r="DE108" i="20"/>
  <c r="Q108" i="20"/>
  <c r="Z108" i="20"/>
  <c r="AI108" i="20"/>
  <c r="AR108" i="20"/>
  <c r="BB108" i="20"/>
  <c r="BK108" i="20"/>
  <c r="BT108" i="20"/>
  <c r="CC108" i="20"/>
  <c r="CL108" i="20"/>
  <c r="CU108" i="20"/>
  <c r="DD108" i="20"/>
  <c r="R108" i="20"/>
  <c r="AA108" i="20"/>
  <c r="AJ108" i="20"/>
  <c r="AT108" i="20"/>
  <c r="BC108" i="20"/>
  <c r="BL108" i="20"/>
  <c r="BU108" i="20"/>
  <c r="CD108" i="20"/>
  <c r="CM108" i="20"/>
  <c r="CV108" i="20"/>
  <c r="DF108" i="20"/>
  <c r="Y108" i="20"/>
  <c r="AM108" i="20"/>
  <c r="AX108" i="20"/>
  <c r="BJ108" i="20"/>
  <c r="BW108" i="20"/>
  <c r="CI108" i="20"/>
  <c r="CT108" i="20"/>
  <c r="DH108" i="20"/>
  <c r="T108" i="20"/>
  <c r="AF108" i="20"/>
  <c r="AQ108" i="20"/>
  <c r="BE108" i="20"/>
  <c r="BP108" i="20"/>
  <c r="CB108" i="20"/>
  <c r="CP108" i="20"/>
  <c r="DA108" i="20"/>
  <c r="DL108" i="20"/>
  <c r="AG108" i="20"/>
  <c r="AW108" i="20"/>
  <c r="BN108" i="20"/>
  <c r="CE108" i="20"/>
  <c r="CS108" i="20"/>
  <c r="DJ108" i="20"/>
  <c r="S108" i="20"/>
  <c r="AH108" i="20"/>
  <c r="AY108" i="20"/>
  <c r="BO108" i="20"/>
  <c r="CF108" i="20"/>
  <c r="CX108" i="20"/>
  <c r="DK108" i="20"/>
  <c r="AD108" i="20"/>
  <c r="AZ108" i="20"/>
  <c r="BV108" i="20"/>
  <c r="CQ108" i="20"/>
  <c r="AE108" i="20"/>
  <c r="BD108" i="20"/>
  <c r="BX108" i="20"/>
  <c r="CR108" i="20"/>
  <c r="AL108" i="20"/>
  <c r="BF108" i="20"/>
  <c r="BZ108" i="20"/>
  <c r="CY108" i="20"/>
  <c r="AN108" i="20"/>
  <c r="BG108" i="20"/>
  <c r="CA108" i="20"/>
  <c r="CZ108" i="20"/>
  <c r="V108" i="20"/>
  <c r="AO108" i="20"/>
  <c r="BH108" i="20"/>
  <c r="CH108" i="20"/>
  <c r="DB108" i="20"/>
  <c r="AV108" i="20"/>
  <c r="DG108" i="20"/>
  <c r="BM108" i="20"/>
  <c r="DI108" i="20"/>
  <c r="BR108" i="20"/>
  <c r="W108" i="20"/>
  <c r="BS108" i="20"/>
  <c r="CN108" i="20"/>
  <c r="DC108" i="20"/>
  <c r="X108" i="20"/>
  <c r="AB108" i="20"/>
  <c r="AP108" i="20"/>
  <c r="AU108" i="20"/>
  <c r="CJ108" i="20"/>
  <c r="CK108" i="20"/>
  <c r="W75" i="20"/>
  <c r="AE75" i="20"/>
  <c r="AM75" i="20"/>
  <c r="AU75" i="20"/>
  <c r="BC75" i="20"/>
  <c r="BK75" i="20"/>
  <c r="BS75" i="20"/>
  <c r="CA75" i="20"/>
  <c r="CI75" i="20"/>
  <c r="CQ75" i="20"/>
  <c r="CY75" i="20"/>
  <c r="DG75" i="20"/>
  <c r="S75" i="20"/>
  <c r="AB75" i="20"/>
  <c r="AK75" i="20"/>
  <c r="AT75" i="20"/>
  <c r="BD75" i="20"/>
  <c r="BM75" i="20"/>
  <c r="BV75" i="20"/>
  <c r="CE75" i="20"/>
  <c r="CN75" i="20"/>
  <c r="CW75" i="20"/>
  <c r="DF75" i="20"/>
  <c r="T75" i="20"/>
  <c r="AC75" i="20"/>
  <c r="AL75" i="20"/>
  <c r="AV75" i="20"/>
  <c r="BE75" i="20"/>
  <c r="BN75" i="20"/>
  <c r="BW75" i="20"/>
  <c r="CF75" i="20"/>
  <c r="CO75" i="20"/>
  <c r="CX75" i="20"/>
  <c r="DH75" i="20"/>
  <c r="AA75" i="20"/>
  <c r="AO75" i="20"/>
  <c r="AZ75" i="20"/>
  <c r="BL75" i="20"/>
  <c r="BY75" i="20"/>
  <c r="CK75" i="20"/>
  <c r="CV75" i="20"/>
  <c r="DJ75" i="20"/>
  <c r="Q75" i="20"/>
  <c r="AD75" i="20"/>
  <c r="AP75" i="20"/>
  <c r="BA75" i="20"/>
  <c r="BO75" i="20"/>
  <c r="BZ75" i="20"/>
  <c r="CL75" i="20"/>
  <c r="CZ75" i="20"/>
  <c r="DK75" i="20"/>
  <c r="AF75" i="20"/>
  <c r="AS75" i="20"/>
  <c r="BI75" i="20"/>
  <c r="CB75" i="20"/>
  <c r="CR75" i="20"/>
  <c r="DE75" i="20"/>
  <c r="AG75" i="20"/>
  <c r="AW75" i="20"/>
  <c r="BJ75" i="20"/>
  <c r="CC75" i="20"/>
  <c r="CS75" i="20"/>
  <c r="DI75" i="20"/>
  <c r="R75" i="20"/>
  <c r="AH75" i="20"/>
  <c r="AX75" i="20"/>
  <c r="BP75" i="20"/>
  <c r="CD75" i="20"/>
  <c r="CT75" i="20"/>
  <c r="DL75" i="20"/>
  <c r="X75" i="20"/>
  <c r="AN75" i="20"/>
  <c r="BF75" i="20"/>
  <c r="BT75" i="20"/>
  <c r="CJ75" i="20"/>
  <c r="DB75" i="20"/>
  <c r="AJ75" i="20"/>
  <c r="BR75" i="20"/>
  <c r="DA75" i="20"/>
  <c r="AR75" i="20"/>
  <c r="BX75" i="20"/>
  <c r="DD75" i="20"/>
  <c r="U75" i="20"/>
  <c r="AY75" i="20"/>
  <c r="CG75" i="20"/>
  <c r="V75" i="20"/>
  <c r="BB75" i="20"/>
  <c r="CH75" i="20"/>
  <c r="BH75" i="20"/>
  <c r="BQ75" i="20"/>
  <c r="BU75" i="20"/>
  <c r="Z75" i="20"/>
  <c r="CP75" i="20"/>
  <c r="CU75" i="20"/>
  <c r="DC75" i="20"/>
  <c r="Y75" i="20"/>
  <c r="AI75" i="20"/>
  <c r="BG75" i="20"/>
  <c r="CM75" i="20"/>
  <c r="AQ75" i="20"/>
  <c r="S58" i="20"/>
  <c r="AA58" i="20"/>
  <c r="AI58" i="20"/>
  <c r="AQ58" i="20"/>
  <c r="AY58" i="20"/>
  <c r="BG58" i="20"/>
  <c r="BO58" i="20"/>
  <c r="BW58" i="20"/>
  <c r="CE58" i="20"/>
  <c r="CM58" i="20"/>
  <c r="CU58" i="20"/>
  <c r="DC58" i="20"/>
  <c r="DK58" i="20"/>
  <c r="T58" i="20"/>
  <c r="AC58" i="20"/>
  <c r="AL58" i="20"/>
  <c r="AU58" i="20"/>
  <c r="BD58" i="20"/>
  <c r="BM58" i="20"/>
  <c r="BV58" i="20"/>
  <c r="CF58" i="20"/>
  <c r="CO58" i="20"/>
  <c r="CX58" i="20"/>
  <c r="DG58" i="20"/>
  <c r="U58" i="20"/>
  <c r="AD58" i="20"/>
  <c r="AM58" i="20"/>
  <c r="AV58" i="20"/>
  <c r="BE58" i="20"/>
  <c r="BN58" i="20"/>
  <c r="BX58" i="20"/>
  <c r="CG58" i="20"/>
  <c r="CP58" i="20"/>
  <c r="CY58" i="20"/>
  <c r="DH58" i="20"/>
  <c r="V58" i="20"/>
  <c r="AE58" i="20"/>
  <c r="AN58" i="20"/>
  <c r="AW58" i="20"/>
  <c r="BF58" i="20"/>
  <c r="BP58" i="20"/>
  <c r="BY58" i="20"/>
  <c r="CH58" i="20"/>
  <c r="CQ58" i="20"/>
  <c r="CZ58" i="20"/>
  <c r="DI58" i="20"/>
  <c r="W58" i="20"/>
  <c r="AF58" i="20"/>
  <c r="AO58" i="20"/>
  <c r="AX58" i="20"/>
  <c r="BH58" i="20"/>
  <c r="BQ58" i="20"/>
  <c r="BZ58" i="20"/>
  <c r="CI58" i="20"/>
  <c r="CR58" i="20"/>
  <c r="DA58" i="20"/>
  <c r="DJ58" i="20"/>
  <c r="AG58" i="20"/>
  <c r="AZ58" i="20"/>
  <c r="BR58" i="20"/>
  <c r="CJ58" i="20"/>
  <c r="DB58" i="20"/>
  <c r="AH58" i="20"/>
  <c r="BA58" i="20"/>
  <c r="BS58" i="20"/>
  <c r="CK58" i="20"/>
  <c r="DD58" i="20"/>
  <c r="Q58" i="20"/>
  <c r="AJ58" i="20"/>
  <c r="BB58" i="20"/>
  <c r="BT58" i="20"/>
  <c r="CL58" i="20"/>
  <c r="DE58" i="20"/>
  <c r="R58" i="20"/>
  <c r="AK58" i="20"/>
  <c r="BC58" i="20"/>
  <c r="BU58" i="20"/>
  <c r="CN58" i="20"/>
  <c r="DF58" i="20"/>
  <c r="X58" i="20"/>
  <c r="AP58" i="20"/>
  <c r="BI58" i="20"/>
  <c r="CA58" i="20"/>
  <c r="CS58" i="20"/>
  <c r="DL58" i="20"/>
  <c r="Y58" i="20"/>
  <c r="BL58" i="20"/>
  <c r="Z58" i="20"/>
  <c r="CB58" i="20"/>
  <c r="AB58" i="20"/>
  <c r="CC58" i="20"/>
  <c r="AR58" i="20"/>
  <c r="CD58" i="20"/>
  <c r="AS58" i="20"/>
  <c r="AT58" i="20"/>
  <c r="BJ58" i="20"/>
  <c r="CV58" i="20"/>
  <c r="CT58" i="20"/>
  <c r="CW58" i="20"/>
  <c r="BK58" i="20"/>
  <c r="Q390" i="20"/>
  <c r="Y390" i="20"/>
  <c r="AG390" i="20"/>
  <c r="AO390" i="20"/>
  <c r="AW390" i="20"/>
  <c r="BE390" i="20"/>
  <c r="BM390" i="20"/>
  <c r="BU390" i="20"/>
  <c r="CC390" i="20"/>
  <c r="CK390" i="20"/>
  <c r="CS390" i="20"/>
  <c r="DA390" i="20"/>
  <c r="DI390" i="20"/>
  <c r="W79" i="20"/>
  <c r="AE79" i="20"/>
  <c r="AM79" i="20"/>
  <c r="AU79" i="20"/>
  <c r="BC79" i="20"/>
  <c r="BK79" i="20"/>
  <c r="BS79" i="20"/>
  <c r="CA79" i="20"/>
  <c r="CI79" i="20"/>
  <c r="CQ79" i="20"/>
  <c r="CY79" i="20"/>
  <c r="DG79" i="20"/>
  <c r="U79" i="20"/>
  <c r="AD79" i="20"/>
  <c r="AN79" i="20"/>
  <c r="AW79" i="20"/>
  <c r="BF79" i="20"/>
  <c r="BO79" i="20"/>
  <c r="BX79" i="20"/>
  <c r="CG79" i="20"/>
  <c r="CP79" i="20"/>
  <c r="CZ79" i="20"/>
  <c r="DI79" i="20"/>
  <c r="V79" i="20"/>
  <c r="AF79" i="20"/>
  <c r="AO79" i="20"/>
  <c r="AX79" i="20"/>
  <c r="BG79" i="20"/>
  <c r="BP79" i="20"/>
  <c r="BY79" i="20"/>
  <c r="CH79" i="20"/>
  <c r="CR79" i="20"/>
  <c r="DA79" i="20"/>
  <c r="DJ79" i="20"/>
  <c r="R79" i="20"/>
  <c r="AC79" i="20"/>
  <c r="AQ79" i="20"/>
  <c r="BB79" i="20"/>
  <c r="BN79" i="20"/>
  <c r="CB79" i="20"/>
  <c r="CM79" i="20"/>
  <c r="CX79" i="20"/>
  <c r="DL79" i="20"/>
  <c r="S79" i="20"/>
  <c r="AG79" i="20"/>
  <c r="AR79" i="20"/>
  <c r="BD79" i="20"/>
  <c r="BQ79" i="20"/>
  <c r="CC79" i="20"/>
  <c r="CN79" i="20"/>
  <c r="DB79" i="20"/>
  <c r="T79" i="20"/>
  <c r="AJ79" i="20"/>
  <c r="AZ79" i="20"/>
  <c r="BR79" i="20"/>
  <c r="CF79" i="20"/>
  <c r="CV79" i="20"/>
  <c r="X79" i="20"/>
  <c r="AK79" i="20"/>
  <c r="BA79" i="20"/>
  <c r="BT79" i="20"/>
  <c r="CJ79" i="20"/>
  <c r="CW79" i="20"/>
  <c r="Y79" i="20"/>
  <c r="AL79" i="20"/>
  <c r="BE79" i="20"/>
  <c r="BU79" i="20"/>
  <c r="CK79" i="20"/>
  <c r="DC79" i="20"/>
  <c r="Q79" i="20"/>
  <c r="AT79" i="20"/>
  <c r="BV79" i="20"/>
  <c r="CT79" i="20"/>
  <c r="AA79" i="20"/>
  <c r="AY79" i="20"/>
  <c r="BZ79" i="20"/>
  <c r="DD79" i="20"/>
  <c r="AB79" i="20"/>
  <c r="BH79" i="20"/>
  <c r="CD79" i="20"/>
  <c r="DE79" i="20"/>
  <c r="AH79" i="20"/>
  <c r="BI79" i="20"/>
  <c r="CE79" i="20"/>
  <c r="DF79" i="20"/>
  <c r="AP79" i="20"/>
  <c r="CO79" i="20"/>
  <c r="AS79" i="20"/>
  <c r="CS79" i="20"/>
  <c r="AV79" i="20"/>
  <c r="CU79" i="20"/>
  <c r="BL79" i="20"/>
  <c r="BM79" i="20"/>
  <c r="BW79" i="20"/>
  <c r="CL79" i="20"/>
  <c r="DH79" i="20"/>
  <c r="Z79" i="20"/>
  <c r="AI79" i="20"/>
  <c r="BJ79" i="20"/>
  <c r="DK79" i="20"/>
  <c r="Q141" i="20"/>
  <c r="Y141" i="20"/>
  <c r="AG141" i="20"/>
  <c r="AO141" i="20"/>
  <c r="AW141" i="20"/>
  <c r="BE141" i="20"/>
  <c r="BM141" i="20"/>
  <c r="BU141" i="20"/>
  <c r="CC141" i="20"/>
  <c r="CK141" i="20"/>
  <c r="CS141" i="20"/>
  <c r="DA141" i="20"/>
  <c r="DI141" i="20"/>
  <c r="R141" i="20"/>
  <c r="Z141" i="20"/>
  <c r="AH141" i="20"/>
  <c r="AP141" i="20"/>
  <c r="AX141" i="20"/>
  <c r="BF141" i="20"/>
  <c r="BN141" i="20"/>
  <c r="BV141" i="20"/>
  <c r="CD141" i="20"/>
  <c r="CL141" i="20"/>
  <c r="CT141" i="20"/>
  <c r="DB141" i="20"/>
  <c r="DJ141" i="20"/>
  <c r="W141" i="20"/>
  <c r="AI141" i="20"/>
  <c r="AS141" i="20"/>
  <c r="BC141" i="20"/>
  <c r="BO141" i="20"/>
  <c r="BY141" i="20"/>
  <c r="CI141" i="20"/>
  <c r="CU141" i="20"/>
  <c r="DE141" i="20"/>
  <c r="X141" i="20"/>
  <c r="AJ141" i="20"/>
  <c r="AT141" i="20"/>
  <c r="BD141" i="20"/>
  <c r="BP141" i="20"/>
  <c r="BZ141" i="20"/>
  <c r="CJ141" i="20"/>
  <c r="CV141" i="20"/>
  <c r="DF141" i="20"/>
  <c r="AB141" i="20"/>
  <c r="AL141" i="20"/>
  <c r="AV141" i="20"/>
  <c r="BH141" i="20"/>
  <c r="BR141" i="20"/>
  <c r="CB141" i="20"/>
  <c r="CN141" i="20"/>
  <c r="CX141" i="20"/>
  <c r="DH141" i="20"/>
  <c r="S141" i="20"/>
  <c r="AC141" i="20"/>
  <c r="AM141" i="20"/>
  <c r="AY141" i="20"/>
  <c r="BI141" i="20"/>
  <c r="BS141" i="20"/>
  <c r="CE141" i="20"/>
  <c r="CO141" i="20"/>
  <c r="CY141" i="20"/>
  <c r="DK141" i="20"/>
  <c r="AK141" i="20"/>
  <c r="BG141" i="20"/>
  <c r="CA141" i="20"/>
  <c r="CW141" i="20"/>
  <c r="T141" i="20"/>
  <c r="AN141" i="20"/>
  <c r="BJ141" i="20"/>
  <c r="CF141" i="20"/>
  <c r="CZ141" i="20"/>
  <c r="U141" i="20"/>
  <c r="AQ141" i="20"/>
  <c r="BK141" i="20"/>
  <c r="CG141" i="20"/>
  <c r="DC141" i="20"/>
  <c r="V141" i="20"/>
  <c r="AR141" i="20"/>
  <c r="BL141" i="20"/>
  <c r="CH141" i="20"/>
  <c r="DD141" i="20"/>
  <c r="BA141" i="20"/>
  <c r="CQ141" i="20"/>
  <c r="BB141" i="20"/>
  <c r="CR141" i="20"/>
  <c r="AD141" i="20"/>
  <c r="BT141" i="20"/>
  <c r="DL141" i="20"/>
  <c r="BW141" i="20"/>
  <c r="BX141" i="20"/>
  <c r="AA141" i="20"/>
  <c r="CM141" i="20"/>
  <c r="AE141" i="20"/>
  <c r="CP141" i="20"/>
  <c r="AF141" i="20"/>
  <c r="DG141" i="20"/>
  <c r="BQ141" i="20"/>
  <c r="AU141" i="20"/>
  <c r="AZ141" i="20"/>
  <c r="T42" i="20"/>
  <c r="AB42" i="20"/>
  <c r="AJ42" i="20"/>
  <c r="AR42" i="20"/>
  <c r="AZ42" i="20"/>
  <c r="BH42" i="20"/>
  <c r="BP42" i="20"/>
  <c r="BX42" i="20"/>
  <c r="CF42" i="20"/>
  <c r="CN42" i="20"/>
  <c r="CV42" i="20"/>
  <c r="DD42" i="20"/>
  <c r="DL42" i="20"/>
  <c r="Y42" i="20"/>
  <c r="AH42" i="20"/>
  <c r="AQ42" i="20"/>
  <c r="BA42" i="20"/>
  <c r="BJ42" i="20"/>
  <c r="BS42" i="20"/>
  <c r="CB42" i="20"/>
  <c r="CK42" i="20"/>
  <c r="CT42" i="20"/>
  <c r="DC42" i="20"/>
  <c r="S42" i="20"/>
  <c r="AC42" i="20"/>
  <c r="AL42" i="20"/>
  <c r="AU42" i="20"/>
  <c r="BD42" i="20"/>
  <c r="BM42" i="20"/>
  <c r="BV42" i="20"/>
  <c r="CE42" i="20"/>
  <c r="CO42" i="20"/>
  <c r="CX42" i="20"/>
  <c r="DG42" i="20"/>
  <c r="U42" i="20"/>
  <c r="AF42" i="20"/>
  <c r="AS42" i="20"/>
  <c r="BE42" i="20"/>
  <c r="BQ42" i="20"/>
  <c r="CC42" i="20"/>
  <c r="CP42" i="20"/>
  <c r="DA42" i="20"/>
  <c r="V42" i="20"/>
  <c r="AI42" i="20"/>
  <c r="AW42" i="20"/>
  <c r="BK42" i="20"/>
  <c r="BY42" i="20"/>
  <c r="CL42" i="20"/>
  <c r="CZ42" i="20"/>
  <c r="W42" i="20"/>
  <c r="AK42" i="20"/>
  <c r="AX42" i="20"/>
  <c r="BL42" i="20"/>
  <c r="BZ42" i="20"/>
  <c r="CM42" i="20"/>
  <c r="DB42" i="20"/>
  <c r="X42" i="20"/>
  <c r="AM42" i="20"/>
  <c r="AY42" i="20"/>
  <c r="BN42" i="20"/>
  <c r="CA42" i="20"/>
  <c r="CQ42" i="20"/>
  <c r="DE42" i="20"/>
  <c r="Z42" i="20"/>
  <c r="AN42" i="20"/>
  <c r="BB42" i="20"/>
  <c r="BO42" i="20"/>
  <c r="CD42" i="20"/>
  <c r="CR42" i="20"/>
  <c r="DF42" i="20"/>
  <c r="AA42" i="20"/>
  <c r="BC42" i="20"/>
  <c r="CG42" i="20"/>
  <c r="DH42" i="20"/>
  <c r="AD42" i="20"/>
  <c r="BF42" i="20"/>
  <c r="CH42" i="20"/>
  <c r="DI42" i="20"/>
  <c r="AE42" i="20"/>
  <c r="BG42" i="20"/>
  <c r="CI42" i="20"/>
  <c r="DJ42" i="20"/>
  <c r="AG42" i="20"/>
  <c r="BI42" i="20"/>
  <c r="CJ42" i="20"/>
  <c r="DK42" i="20"/>
  <c r="AO42" i="20"/>
  <c r="BR42" i="20"/>
  <c r="CS42" i="20"/>
  <c r="BW42" i="20"/>
  <c r="Q42" i="20"/>
  <c r="CU42" i="20"/>
  <c r="R42" i="20"/>
  <c r="CW42" i="20"/>
  <c r="AP42" i="20"/>
  <c r="CY42" i="20"/>
  <c r="AT42" i="20"/>
  <c r="AV42" i="20"/>
  <c r="BT42" i="20"/>
  <c r="BU42" i="20"/>
  <c r="W323" i="20"/>
  <c r="AE323" i="20"/>
  <c r="AM323" i="20"/>
  <c r="AU323" i="20"/>
  <c r="BC323" i="20"/>
  <c r="BK323" i="20"/>
  <c r="BS323" i="20"/>
  <c r="CA323" i="20"/>
  <c r="CI323" i="20"/>
  <c r="CQ323" i="20"/>
  <c r="CY323" i="20"/>
  <c r="DG323" i="20"/>
  <c r="X323" i="20"/>
  <c r="AF323" i="20"/>
  <c r="AN323" i="20"/>
  <c r="AV323" i="20"/>
  <c r="BD323" i="20"/>
  <c r="BL323" i="20"/>
  <c r="BT323" i="20"/>
  <c r="CB323" i="20"/>
  <c r="CJ323" i="20"/>
  <c r="CR323" i="20"/>
  <c r="CZ323" i="20"/>
  <c r="DH323" i="20"/>
  <c r="U323" i="20"/>
  <c r="AG323" i="20"/>
  <c r="AQ323" i="20"/>
  <c r="BA323" i="20"/>
  <c r="BM323" i="20"/>
  <c r="BW323" i="20"/>
  <c r="CG323" i="20"/>
  <c r="CS323" i="20"/>
  <c r="DC323" i="20"/>
  <c r="Y323" i="20"/>
  <c r="AI323" i="20"/>
  <c r="AS323" i="20"/>
  <c r="BE323" i="20"/>
  <c r="BO323" i="20"/>
  <c r="BY323" i="20"/>
  <c r="CK323" i="20"/>
  <c r="CU323" i="20"/>
  <c r="DE323" i="20"/>
  <c r="Q197" i="20"/>
  <c r="Y197" i="20"/>
  <c r="AG197" i="20"/>
  <c r="AO197" i="20"/>
  <c r="AW197" i="20"/>
  <c r="BE197" i="20"/>
  <c r="BM197" i="20"/>
  <c r="BU197" i="20"/>
  <c r="CC197" i="20"/>
  <c r="CK197" i="20"/>
  <c r="CS197" i="20"/>
  <c r="R197" i="20"/>
  <c r="Z197" i="20"/>
  <c r="AH197" i="20"/>
  <c r="AP197" i="20"/>
  <c r="AX197" i="20"/>
  <c r="BF197" i="20"/>
  <c r="BN197" i="20"/>
  <c r="BV197" i="20"/>
  <c r="CD197" i="20"/>
  <c r="CL197" i="20"/>
  <c r="CT197" i="20"/>
  <c r="DB197" i="20"/>
  <c r="DJ197" i="20"/>
  <c r="U197" i="20"/>
  <c r="AE197" i="20"/>
  <c r="AQ197" i="20"/>
  <c r="BA197" i="20"/>
  <c r="BK197" i="20"/>
  <c r="BW197" i="20"/>
  <c r="CG197" i="20"/>
  <c r="CQ197" i="20"/>
  <c r="DA197" i="20"/>
  <c r="DK197" i="20"/>
  <c r="V197" i="20"/>
  <c r="AF197" i="20"/>
  <c r="AR197" i="20"/>
  <c r="BB197" i="20"/>
  <c r="BL197" i="20"/>
  <c r="BX197" i="20"/>
  <c r="CH197" i="20"/>
  <c r="CR197" i="20"/>
  <c r="DC197" i="20"/>
  <c r="DL197" i="20"/>
  <c r="AC197" i="20"/>
  <c r="AS197" i="20"/>
  <c r="BG197" i="20"/>
  <c r="BS197" i="20"/>
  <c r="CI197" i="20"/>
  <c r="CW197" i="20"/>
  <c r="DH197" i="20"/>
  <c r="AD197" i="20"/>
  <c r="AT197" i="20"/>
  <c r="BH197" i="20"/>
  <c r="BT197" i="20"/>
  <c r="CJ197" i="20"/>
  <c r="CX197" i="20"/>
  <c r="DI197" i="20"/>
  <c r="S197" i="20"/>
  <c r="AI197" i="20"/>
  <c r="AU197" i="20"/>
  <c r="BI197" i="20"/>
  <c r="BY197" i="20"/>
  <c r="CM197" i="20"/>
  <c r="CY197" i="20"/>
  <c r="W197" i="20"/>
  <c r="AK197" i="20"/>
  <c r="AY197" i="20"/>
  <c r="BO197" i="20"/>
  <c r="CA197" i="20"/>
  <c r="CO197" i="20"/>
  <c r="DD197" i="20"/>
  <c r="AB197" i="20"/>
  <c r="BD197" i="20"/>
  <c r="CF197" i="20"/>
  <c r="DG197" i="20"/>
  <c r="AL197" i="20"/>
  <c r="BP197" i="20"/>
  <c r="CP197" i="20"/>
  <c r="AM197" i="20"/>
  <c r="BQ197" i="20"/>
  <c r="CU197" i="20"/>
  <c r="AA197" i="20"/>
  <c r="BZ197" i="20"/>
  <c r="AJ197" i="20"/>
  <c r="CB197" i="20"/>
  <c r="AV197" i="20"/>
  <c r="CN197" i="20"/>
  <c r="BR197" i="20"/>
  <c r="BC197" i="20"/>
  <c r="T160" i="20"/>
  <c r="AB160" i="20"/>
  <c r="AJ160" i="20"/>
  <c r="AR160" i="20"/>
  <c r="AZ160" i="20"/>
  <c r="BH160" i="20"/>
  <c r="BP160" i="20"/>
  <c r="BX160" i="20"/>
  <c r="CF160" i="20"/>
  <c r="CN160" i="20"/>
  <c r="CV160" i="20"/>
  <c r="DD160" i="20"/>
  <c r="DL160" i="20"/>
  <c r="X160" i="20"/>
  <c r="AF160" i="20"/>
  <c r="AN160" i="20"/>
  <c r="AV160" i="20"/>
  <c r="BD160" i="20"/>
  <c r="BL160" i="20"/>
  <c r="BT160" i="20"/>
  <c r="CB160" i="20"/>
  <c r="CJ160" i="20"/>
  <c r="CR160" i="20"/>
  <c r="CZ160" i="20"/>
  <c r="DH160" i="20"/>
  <c r="R160" i="20"/>
  <c r="AC160" i="20"/>
  <c r="AM160" i="20"/>
  <c r="AX160" i="20"/>
  <c r="BI160" i="20"/>
  <c r="BS160" i="20"/>
  <c r="CD160" i="20"/>
  <c r="CO160" i="20"/>
  <c r="CY160" i="20"/>
  <c r="DJ160" i="20"/>
  <c r="S160" i="20"/>
  <c r="AD160" i="20"/>
  <c r="AO160" i="20"/>
  <c r="AY160" i="20"/>
  <c r="BJ160" i="20"/>
  <c r="BU160" i="20"/>
  <c r="CE160" i="20"/>
  <c r="CP160" i="20"/>
  <c r="DA160" i="20"/>
  <c r="DK160" i="20"/>
  <c r="U160" i="20"/>
  <c r="AE160" i="20"/>
  <c r="AP160" i="20"/>
  <c r="BA160" i="20"/>
  <c r="BK160" i="20"/>
  <c r="BV160" i="20"/>
  <c r="CG160" i="20"/>
  <c r="CQ160" i="20"/>
  <c r="DB160" i="20"/>
  <c r="AH160" i="20"/>
  <c r="AW160" i="20"/>
  <c r="BO160" i="20"/>
  <c r="CH160" i="20"/>
  <c r="CW160" i="20"/>
  <c r="Q160" i="20"/>
  <c r="AI160" i="20"/>
  <c r="BB160" i="20"/>
  <c r="BQ160" i="20"/>
  <c r="CI160" i="20"/>
  <c r="CX160" i="20"/>
  <c r="W160" i="20"/>
  <c r="AL160" i="20"/>
  <c r="BE160" i="20"/>
  <c r="BW160" i="20"/>
  <c r="CL160" i="20"/>
  <c r="DE160" i="20"/>
  <c r="AS160" i="20"/>
  <c r="BR160" i="20"/>
  <c r="CT160" i="20"/>
  <c r="V160" i="20"/>
  <c r="AT160" i="20"/>
  <c r="BY160" i="20"/>
  <c r="CU160" i="20"/>
  <c r="Y160" i="20"/>
  <c r="AU160" i="20"/>
  <c r="BZ160" i="20"/>
  <c r="DC160" i="20"/>
  <c r="Z160" i="20"/>
  <c r="BC160" i="20"/>
  <c r="CA160" i="20"/>
  <c r="AA160" i="20"/>
  <c r="BF160" i="20"/>
  <c r="CC160" i="20"/>
  <c r="DG160" i="20"/>
  <c r="BM160" i="20"/>
  <c r="BN160" i="20"/>
  <c r="CK160" i="20"/>
  <c r="CM160" i="20"/>
  <c r="AK160" i="20"/>
  <c r="AQ160" i="20"/>
  <c r="BG160" i="20"/>
  <c r="CS160" i="20"/>
  <c r="DF160" i="20"/>
  <c r="DI160" i="20"/>
  <c r="AG160" i="20"/>
  <c r="X45" i="20"/>
  <c r="AF45" i="20"/>
  <c r="AN45" i="20"/>
  <c r="AV45" i="20"/>
  <c r="BD45" i="20"/>
  <c r="BL45" i="20"/>
  <c r="BT45" i="20"/>
  <c r="CB45" i="20"/>
  <c r="CJ45" i="20"/>
  <c r="CR45" i="20"/>
  <c r="CZ45" i="20"/>
  <c r="DH45" i="20"/>
  <c r="R45" i="20"/>
  <c r="AA45" i="20"/>
  <c r="AJ45" i="20"/>
  <c r="AS45" i="20"/>
  <c r="BB45" i="20"/>
  <c r="BK45" i="20"/>
  <c r="BU45" i="20"/>
  <c r="CD45" i="20"/>
  <c r="CM45" i="20"/>
  <c r="CV45" i="20"/>
  <c r="DE45" i="20"/>
  <c r="Z45" i="20"/>
  <c r="AK45" i="20"/>
  <c r="AU45" i="20"/>
  <c r="BF45" i="20"/>
  <c r="BP45" i="20"/>
  <c r="BZ45" i="20"/>
  <c r="CK45" i="20"/>
  <c r="CU45" i="20"/>
  <c r="DF45" i="20"/>
  <c r="Q45" i="20"/>
  <c r="AB45" i="20"/>
  <c r="AL45" i="20"/>
  <c r="AW45" i="20"/>
  <c r="BG45" i="20"/>
  <c r="BQ45" i="20"/>
  <c r="CA45" i="20"/>
  <c r="CL45" i="20"/>
  <c r="CW45" i="20"/>
  <c r="DG45" i="20"/>
  <c r="S45" i="20"/>
  <c r="AC45" i="20"/>
  <c r="AM45" i="20"/>
  <c r="AX45" i="20"/>
  <c r="BH45" i="20"/>
  <c r="BR45" i="20"/>
  <c r="CC45" i="20"/>
  <c r="CN45" i="20"/>
  <c r="CX45" i="20"/>
  <c r="DI45" i="20"/>
  <c r="T45" i="20"/>
  <c r="AD45" i="20"/>
  <c r="AO45" i="20"/>
  <c r="AY45" i="20"/>
  <c r="BI45" i="20"/>
  <c r="BS45" i="20"/>
  <c r="CE45" i="20"/>
  <c r="CO45" i="20"/>
  <c r="CY45" i="20"/>
  <c r="DJ45" i="20"/>
  <c r="U45" i="20"/>
  <c r="AP45" i="20"/>
  <c r="BJ45" i="20"/>
  <c r="CF45" i="20"/>
  <c r="DA45" i="20"/>
  <c r="V45" i="20"/>
  <c r="AQ45" i="20"/>
  <c r="BM45" i="20"/>
  <c r="CG45" i="20"/>
  <c r="DB45" i="20"/>
  <c r="W45" i="20"/>
  <c r="AR45" i="20"/>
  <c r="BN45" i="20"/>
  <c r="CH45" i="20"/>
  <c r="DC45" i="20"/>
  <c r="Y45" i="20"/>
  <c r="AT45" i="20"/>
  <c r="BO45" i="20"/>
  <c r="CI45" i="20"/>
  <c r="DD45" i="20"/>
  <c r="AE45" i="20"/>
  <c r="AZ45" i="20"/>
  <c r="BV45" i="20"/>
  <c r="CP45" i="20"/>
  <c r="DK45" i="20"/>
  <c r="AH45" i="20"/>
  <c r="CQ45" i="20"/>
  <c r="AI45" i="20"/>
  <c r="CS45" i="20"/>
  <c r="BA45" i="20"/>
  <c r="CT45" i="20"/>
  <c r="BC45" i="20"/>
  <c r="DL45" i="20"/>
  <c r="AG45" i="20"/>
  <c r="BE45" i="20"/>
  <c r="BW45" i="20"/>
  <c r="BX45" i="20"/>
  <c r="BY45" i="20"/>
  <c r="S82" i="20"/>
  <c r="AA82" i="20"/>
  <c r="AI82" i="20"/>
  <c r="AQ82" i="20"/>
  <c r="AY82" i="20"/>
  <c r="BG82" i="20"/>
  <c r="BO82" i="20"/>
  <c r="BW82" i="20"/>
  <c r="CE82" i="20"/>
  <c r="CM82" i="20"/>
  <c r="CU82" i="20"/>
  <c r="DC82" i="20"/>
  <c r="DK82" i="20"/>
  <c r="W82" i="20"/>
  <c r="AF82" i="20"/>
  <c r="AO82" i="20"/>
  <c r="AX82" i="20"/>
  <c r="BH82" i="20"/>
  <c r="BQ82" i="20"/>
  <c r="BZ82" i="20"/>
  <c r="CI82" i="20"/>
  <c r="CR82" i="20"/>
  <c r="DA82" i="20"/>
  <c r="DJ82" i="20"/>
  <c r="X82" i="20"/>
  <c r="AG82" i="20"/>
  <c r="AP82" i="20"/>
  <c r="AZ82" i="20"/>
  <c r="BI82" i="20"/>
  <c r="BR82" i="20"/>
  <c r="CA82" i="20"/>
  <c r="CJ82" i="20"/>
  <c r="CS82" i="20"/>
  <c r="DB82" i="20"/>
  <c r="DL82" i="20"/>
  <c r="V82" i="20"/>
  <c r="AJ82" i="20"/>
  <c r="AU82" i="20"/>
  <c r="BF82" i="20"/>
  <c r="BT82" i="20"/>
  <c r="CF82" i="20"/>
  <c r="CQ82" i="20"/>
  <c r="DE82" i="20"/>
  <c r="Y82" i="20"/>
  <c r="AK82" i="20"/>
  <c r="AV82" i="20"/>
  <c r="BJ82" i="20"/>
  <c r="BU82" i="20"/>
  <c r="CG82" i="20"/>
  <c r="CT82" i="20"/>
  <c r="DF82" i="20"/>
  <c r="AC82" i="20"/>
  <c r="AS82" i="20"/>
  <c r="BK82" i="20"/>
  <c r="BY82" i="20"/>
  <c r="CO82" i="20"/>
  <c r="DG82" i="20"/>
  <c r="Q82" i="20"/>
  <c r="AE82" i="20"/>
  <c r="AW82" i="20"/>
  <c r="BM82" i="20"/>
  <c r="CC82" i="20"/>
  <c r="CV82" i="20"/>
  <c r="DI82" i="20"/>
  <c r="AB82" i="20"/>
  <c r="BA82" i="20"/>
  <c r="BS82" i="20"/>
  <c r="CN82" i="20"/>
  <c r="AH82" i="20"/>
  <c r="BC82" i="20"/>
  <c r="BX82" i="20"/>
  <c r="CW82" i="20"/>
  <c r="AL82" i="20"/>
  <c r="BD82" i="20"/>
  <c r="CB82" i="20"/>
  <c r="CX82" i="20"/>
  <c r="R82" i="20"/>
  <c r="AM82" i="20"/>
  <c r="BE82" i="20"/>
  <c r="CD82" i="20"/>
  <c r="CY82" i="20"/>
  <c r="AR82" i="20"/>
  <c r="CK82" i="20"/>
  <c r="AT82" i="20"/>
  <c r="CL82" i="20"/>
  <c r="BB82" i="20"/>
  <c r="CP82" i="20"/>
  <c r="T82" i="20"/>
  <c r="BV82" i="20"/>
  <c r="U82" i="20"/>
  <c r="CH82" i="20"/>
  <c r="Z82" i="20"/>
  <c r="CZ82" i="20"/>
  <c r="AD82" i="20"/>
  <c r="DD82" i="20"/>
  <c r="AN82" i="20"/>
  <c r="DH82" i="20"/>
  <c r="BL82" i="20"/>
  <c r="BN82" i="20"/>
  <c r="BP82" i="20"/>
  <c r="S118" i="20"/>
  <c r="AA118" i="20"/>
  <c r="AI118" i="20"/>
  <c r="AQ118" i="20"/>
  <c r="AY118" i="20"/>
  <c r="BG118" i="20"/>
  <c r="BO118" i="20"/>
  <c r="BW118" i="20"/>
  <c r="CE118" i="20"/>
  <c r="CM118" i="20"/>
  <c r="CU118" i="20"/>
  <c r="DC118" i="20"/>
  <c r="DK118" i="20"/>
  <c r="T118" i="20"/>
  <c r="AB118" i="20"/>
  <c r="AJ118" i="20"/>
  <c r="AR118" i="20"/>
  <c r="AZ118" i="20"/>
  <c r="BH118" i="20"/>
  <c r="BP118" i="20"/>
  <c r="BX118" i="20"/>
  <c r="CF118" i="20"/>
  <c r="CN118" i="20"/>
  <c r="CV118" i="20"/>
  <c r="DD118" i="20"/>
  <c r="DL118" i="20"/>
  <c r="V118" i="20"/>
  <c r="AF118" i="20"/>
  <c r="AP118" i="20"/>
  <c r="BB118" i="20"/>
  <c r="BL118" i="20"/>
  <c r="BV118" i="20"/>
  <c r="CH118" i="20"/>
  <c r="CR118" i="20"/>
  <c r="DB118" i="20"/>
  <c r="X118" i="20"/>
  <c r="AK118" i="20"/>
  <c r="AV118" i="20"/>
  <c r="BI118" i="20"/>
  <c r="BT118" i="20"/>
  <c r="CG118" i="20"/>
  <c r="CS118" i="20"/>
  <c r="DF118" i="20"/>
  <c r="Y118" i="20"/>
  <c r="AL118" i="20"/>
  <c r="AW118" i="20"/>
  <c r="BJ118" i="20"/>
  <c r="BU118" i="20"/>
  <c r="CI118" i="20"/>
  <c r="CT118" i="20"/>
  <c r="DG118" i="20"/>
  <c r="U118" i="20"/>
  <c r="AM118" i="20"/>
  <c r="BC118" i="20"/>
  <c r="BR118" i="20"/>
  <c r="CJ118" i="20"/>
  <c r="CY118" i="20"/>
  <c r="W118" i="20"/>
  <c r="AN118" i="20"/>
  <c r="BD118" i="20"/>
  <c r="BS118" i="20"/>
  <c r="CK118" i="20"/>
  <c r="CZ118" i="20"/>
  <c r="Z118" i="20"/>
  <c r="AO118" i="20"/>
  <c r="BE118" i="20"/>
  <c r="BY118" i="20"/>
  <c r="CL118" i="20"/>
  <c r="DA118" i="20"/>
  <c r="AC118" i="20"/>
  <c r="AS118" i="20"/>
  <c r="BF118" i="20"/>
  <c r="BZ118" i="20"/>
  <c r="CO118" i="20"/>
  <c r="DE118" i="20"/>
  <c r="AD118" i="20"/>
  <c r="AT118" i="20"/>
  <c r="BK118" i="20"/>
  <c r="CA118" i="20"/>
  <c r="CP118" i="20"/>
  <c r="DH118" i="20"/>
  <c r="AG118" i="20"/>
  <c r="CB118" i="20"/>
  <c r="AH118" i="20"/>
  <c r="CC118" i="20"/>
  <c r="AU118" i="20"/>
  <c r="CD118" i="20"/>
  <c r="AX118" i="20"/>
  <c r="CQ118" i="20"/>
  <c r="R118" i="20"/>
  <c r="DI118" i="20"/>
  <c r="AE118" i="20"/>
  <c r="DJ118" i="20"/>
  <c r="BA118" i="20"/>
  <c r="BM118" i="20"/>
  <c r="Q118" i="20"/>
  <c r="BN118" i="20"/>
  <c r="CW118" i="20"/>
  <c r="CX118" i="20"/>
  <c r="BQ118" i="20"/>
  <c r="X123" i="20"/>
  <c r="AF123" i="20"/>
  <c r="AN123" i="20"/>
  <c r="AV123" i="20"/>
  <c r="BD123" i="20"/>
  <c r="BL123" i="20"/>
  <c r="BT123" i="20"/>
  <c r="CB123" i="20"/>
  <c r="CJ123" i="20"/>
  <c r="CR123" i="20"/>
  <c r="CZ123" i="20"/>
  <c r="DH123" i="20"/>
  <c r="V123" i="20"/>
  <c r="AE123" i="20"/>
  <c r="AO123" i="20"/>
  <c r="AX123" i="20"/>
  <c r="BG123" i="20"/>
  <c r="BP123" i="20"/>
  <c r="BY123" i="20"/>
  <c r="Z123" i="20"/>
  <c r="AJ123" i="20"/>
  <c r="AT123" i="20"/>
  <c r="BE123" i="20"/>
  <c r="BO123" i="20"/>
  <c r="BZ123" i="20"/>
  <c r="CI123" i="20"/>
  <c r="CS123" i="20"/>
  <c r="DB123" i="20"/>
  <c r="DK123" i="20"/>
  <c r="Q123" i="20"/>
  <c r="AA123" i="20"/>
  <c r="AK123" i="20"/>
  <c r="AU123" i="20"/>
  <c r="BF123" i="20"/>
  <c r="BQ123" i="20"/>
  <c r="CA123" i="20"/>
  <c r="CK123" i="20"/>
  <c r="CT123" i="20"/>
  <c r="DC123" i="20"/>
  <c r="DL123" i="20"/>
  <c r="T123" i="20"/>
  <c r="AH123" i="20"/>
  <c r="AW123" i="20"/>
  <c r="BJ123" i="20"/>
  <c r="BW123" i="20"/>
  <c r="CL123" i="20"/>
  <c r="CW123" i="20"/>
  <c r="DI123" i="20"/>
  <c r="U123" i="20"/>
  <c r="AI123" i="20"/>
  <c r="AY123" i="20"/>
  <c r="BK123" i="20"/>
  <c r="BX123" i="20"/>
  <c r="CM123" i="20"/>
  <c r="CX123" i="20"/>
  <c r="DJ123" i="20"/>
  <c r="W123" i="20"/>
  <c r="AL123" i="20"/>
  <c r="AZ123" i="20"/>
  <c r="BM123" i="20"/>
  <c r="CC123" i="20"/>
  <c r="CN123" i="20"/>
  <c r="CY123" i="20"/>
  <c r="Y123" i="20"/>
  <c r="AM123" i="20"/>
  <c r="BA123" i="20"/>
  <c r="BN123" i="20"/>
  <c r="CD123" i="20"/>
  <c r="CO123" i="20"/>
  <c r="DA123" i="20"/>
  <c r="AB123" i="20"/>
  <c r="AP123" i="20"/>
  <c r="BB123" i="20"/>
  <c r="BR123" i="20"/>
  <c r="CE123" i="20"/>
  <c r="CP123" i="20"/>
  <c r="DD123" i="20"/>
  <c r="AD123" i="20"/>
  <c r="BS123" i="20"/>
  <c r="CV123" i="20"/>
  <c r="AG123" i="20"/>
  <c r="BU123" i="20"/>
  <c r="DE123" i="20"/>
  <c r="AQ123" i="20"/>
  <c r="BV123" i="20"/>
  <c r="DF123" i="20"/>
  <c r="AR123" i="20"/>
  <c r="CF123" i="20"/>
  <c r="DG123" i="20"/>
  <c r="S123" i="20"/>
  <c r="CQ123" i="20"/>
  <c r="AC123" i="20"/>
  <c r="CU123" i="20"/>
  <c r="AS123" i="20"/>
  <c r="BC123" i="20"/>
  <c r="R123" i="20"/>
  <c r="BH123" i="20"/>
  <c r="BI123" i="20"/>
  <c r="CG123" i="20"/>
  <c r="S263" i="20"/>
  <c r="AA263" i="20"/>
  <c r="AI263" i="20"/>
  <c r="AQ263" i="20"/>
  <c r="AY263" i="20"/>
  <c r="BG263" i="20"/>
  <c r="BO263" i="20"/>
  <c r="BW263" i="20"/>
  <c r="CE263" i="20"/>
  <c r="CM263" i="20"/>
  <c r="CU263" i="20"/>
  <c r="DC263" i="20"/>
  <c r="DK263" i="20"/>
  <c r="W263" i="20"/>
  <c r="AF263" i="20"/>
  <c r="AO263" i="20"/>
  <c r="AX263" i="20"/>
  <c r="BH263" i="20"/>
  <c r="BQ263" i="20"/>
  <c r="BZ263" i="20"/>
  <c r="CI263" i="20"/>
  <c r="CR263" i="20"/>
  <c r="DA263" i="20"/>
  <c r="DJ263" i="20"/>
  <c r="X263" i="20"/>
  <c r="AG263" i="20"/>
  <c r="AP263" i="20"/>
  <c r="AZ263" i="20"/>
  <c r="BI263" i="20"/>
  <c r="BR263" i="20"/>
  <c r="CA263" i="20"/>
  <c r="CJ263" i="20"/>
  <c r="CS263" i="20"/>
  <c r="DB263" i="20"/>
  <c r="DL263" i="20"/>
  <c r="V263" i="20"/>
  <c r="AJ263" i="20"/>
  <c r="AU263" i="20"/>
  <c r="BF263" i="20"/>
  <c r="BT263" i="20"/>
  <c r="CF263" i="20"/>
  <c r="CQ263" i="20"/>
  <c r="DE263" i="20"/>
  <c r="Y263" i="20"/>
  <c r="AK263" i="20"/>
  <c r="AV263" i="20"/>
  <c r="BJ263" i="20"/>
  <c r="BU263" i="20"/>
  <c r="CG263" i="20"/>
  <c r="CT263" i="20"/>
  <c r="DF263" i="20"/>
  <c r="AB263" i="20"/>
  <c r="AM263" i="20"/>
  <c r="BA263" i="20"/>
  <c r="BL263" i="20"/>
  <c r="BX263" i="20"/>
  <c r="CK263" i="20"/>
  <c r="CW263" i="20"/>
  <c r="DH263" i="20"/>
  <c r="V212" i="20"/>
  <c r="AD212" i="20"/>
  <c r="AL212" i="20"/>
  <c r="AT212" i="20"/>
  <c r="BB212" i="20"/>
  <c r="BJ212" i="20"/>
  <c r="BR212" i="20"/>
  <c r="BZ212" i="20"/>
  <c r="CH212" i="20"/>
  <c r="CP212" i="20"/>
  <c r="CX212" i="20"/>
  <c r="DF212" i="20"/>
  <c r="W212" i="20"/>
  <c r="AF212" i="20"/>
  <c r="AO212" i="20"/>
  <c r="AX212" i="20"/>
  <c r="BG212" i="20"/>
  <c r="BP212" i="20"/>
  <c r="BY212" i="20"/>
  <c r="CI212" i="20"/>
  <c r="CR212" i="20"/>
  <c r="DA212" i="20"/>
  <c r="DJ212" i="20"/>
  <c r="X212" i="20"/>
  <c r="AG212" i="20"/>
  <c r="AP212" i="20"/>
  <c r="AY212" i="20"/>
  <c r="BH212" i="20"/>
  <c r="BQ212" i="20"/>
  <c r="CA212" i="20"/>
  <c r="CJ212" i="20"/>
  <c r="CS212" i="20"/>
  <c r="DB212" i="20"/>
  <c r="DK212" i="20"/>
  <c r="Q212" i="20"/>
  <c r="AB212" i="20"/>
  <c r="AN212" i="20"/>
  <c r="BA212" i="20"/>
  <c r="BM212" i="20"/>
  <c r="BX212" i="20"/>
  <c r="CL212" i="20"/>
  <c r="CW212" i="20"/>
  <c r="DI212" i="20"/>
  <c r="R212" i="20"/>
  <c r="AC212" i="20"/>
  <c r="AQ212" i="20"/>
  <c r="BC212" i="20"/>
  <c r="BN212" i="20"/>
  <c r="CB212" i="20"/>
  <c r="CM212" i="20"/>
  <c r="CY212" i="20"/>
  <c r="DL212" i="20"/>
  <c r="T212" i="20"/>
  <c r="AH212" i="20"/>
  <c r="AS212" i="20"/>
  <c r="BE212" i="20"/>
  <c r="BS212" i="20"/>
  <c r="CD212" i="20"/>
  <c r="CO212" i="20"/>
  <c r="DC212" i="20"/>
  <c r="U212" i="20"/>
  <c r="AM212" i="20"/>
  <c r="BI212" i="20"/>
  <c r="CC212" i="20"/>
  <c r="CU212" i="20"/>
  <c r="Z212" i="20"/>
  <c r="AU212" i="20"/>
  <c r="BL212" i="20"/>
  <c r="CF212" i="20"/>
  <c r="CZ212" i="20"/>
  <c r="AA212" i="20"/>
  <c r="AV212" i="20"/>
  <c r="BO212" i="20"/>
  <c r="CG212" i="20"/>
  <c r="DD212" i="20"/>
  <c r="Y212" i="20"/>
  <c r="BD212" i="20"/>
  <c r="CK212" i="20"/>
  <c r="AE212" i="20"/>
  <c r="BF212" i="20"/>
  <c r="CN212" i="20"/>
  <c r="AJ212" i="20"/>
  <c r="BT212" i="20"/>
  <c r="CT212" i="20"/>
  <c r="AI212" i="20"/>
  <c r="BW212" i="20"/>
  <c r="U156" i="20"/>
  <c r="AC156" i="20"/>
  <c r="AK156" i="20"/>
  <c r="AS156" i="20"/>
  <c r="BA156" i="20"/>
  <c r="BI156" i="20"/>
  <c r="BQ156" i="20"/>
  <c r="BY156" i="20"/>
  <c r="CG156" i="20"/>
  <c r="CO156" i="20"/>
  <c r="CW156" i="20"/>
  <c r="DE156" i="20"/>
  <c r="W156" i="20"/>
  <c r="AF156" i="20"/>
  <c r="AO156" i="20"/>
  <c r="AX156" i="20"/>
  <c r="BG156" i="20"/>
  <c r="BP156" i="20"/>
  <c r="BZ156" i="20"/>
  <c r="CI156" i="20"/>
  <c r="CR156" i="20"/>
  <c r="DA156" i="20"/>
  <c r="DJ156" i="20"/>
  <c r="Q156" i="20"/>
  <c r="Z156" i="20"/>
  <c r="AI156" i="20"/>
  <c r="AR156" i="20"/>
  <c r="BB156" i="20"/>
  <c r="BK156" i="20"/>
  <c r="BT156" i="20"/>
  <c r="R156" i="20"/>
  <c r="AA156" i="20"/>
  <c r="AJ156" i="20"/>
  <c r="AT156" i="20"/>
  <c r="BC156" i="20"/>
  <c r="BL156" i="20"/>
  <c r="BU156" i="20"/>
  <c r="CD156" i="20"/>
  <c r="CM156" i="20"/>
  <c r="CV156" i="20"/>
  <c r="DF156" i="20"/>
  <c r="AB156" i="20"/>
  <c r="AP156" i="20"/>
  <c r="BE156" i="20"/>
  <c r="BS156" i="20"/>
  <c r="CF156" i="20"/>
  <c r="CS156" i="20"/>
  <c r="DD156" i="20"/>
  <c r="AD156" i="20"/>
  <c r="AQ156" i="20"/>
  <c r="BF156" i="20"/>
  <c r="BV156" i="20"/>
  <c r="CH156" i="20"/>
  <c r="CT156" i="20"/>
  <c r="DG156" i="20"/>
  <c r="AE156" i="20"/>
  <c r="AU156" i="20"/>
  <c r="BH156" i="20"/>
  <c r="BW156" i="20"/>
  <c r="CJ156" i="20"/>
  <c r="CU156" i="20"/>
  <c r="DH156" i="20"/>
  <c r="AG156" i="20"/>
  <c r="AZ156" i="20"/>
  <c r="CA156" i="20"/>
  <c r="CQ156" i="20"/>
  <c r="DL156" i="20"/>
  <c r="AH156" i="20"/>
  <c r="BD156" i="20"/>
  <c r="CB156" i="20"/>
  <c r="CX156" i="20"/>
  <c r="S156" i="20"/>
  <c r="AM156" i="20"/>
  <c r="BM156" i="20"/>
  <c r="CE156" i="20"/>
  <c r="CZ156" i="20"/>
  <c r="AL156" i="20"/>
  <c r="BR156" i="20"/>
  <c r="DB156" i="20"/>
  <c r="AN156" i="20"/>
  <c r="BX156" i="20"/>
  <c r="DC156" i="20"/>
  <c r="AV156" i="20"/>
  <c r="CC156" i="20"/>
  <c r="DI156" i="20"/>
  <c r="AW156" i="20"/>
  <c r="CK156" i="20"/>
  <c r="DK156" i="20"/>
  <c r="T156" i="20"/>
  <c r="AY156" i="20"/>
  <c r="CL156" i="20"/>
  <c r="CN156" i="20"/>
  <c r="CP156" i="20"/>
  <c r="V156" i="20"/>
  <c r="CY156" i="20"/>
  <c r="X156" i="20"/>
  <c r="Y156" i="20"/>
  <c r="S251" i="20"/>
  <c r="AA251" i="20"/>
  <c r="AI251" i="20"/>
  <c r="AQ251" i="20"/>
  <c r="AY251" i="20"/>
  <c r="BG251" i="20"/>
  <c r="BO251" i="20"/>
  <c r="BW251" i="20"/>
  <c r="CE251" i="20"/>
  <c r="CM251" i="20"/>
  <c r="CU251" i="20"/>
  <c r="DC251" i="20"/>
  <c r="DK251" i="20"/>
  <c r="V251" i="20"/>
  <c r="AD251" i="20"/>
  <c r="AL251" i="20"/>
  <c r="AT251" i="20"/>
  <c r="BB251" i="20"/>
  <c r="BJ251" i="20"/>
  <c r="BR251" i="20"/>
  <c r="BZ251" i="20"/>
  <c r="CH251" i="20"/>
  <c r="CP251" i="20"/>
  <c r="CX251" i="20"/>
  <c r="DF251" i="20"/>
  <c r="U251" i="20"/>
  <c r="AF251" i="20"/>
  <c r="AP251" i="20"/>
  <c r="BA251" i="20"/>
  <c r="BL251" i="20"/>
  <c r="BV251" i="20"/>
  <c r="CG251" i="20"/>
  <c r="CR251" i="20"/>
  <c r="DB251" i="20"/>
  <c r="X251" i="20"/>
  <c r="AH251" i="20"/>
  <c r="AS251" i="20"/>
  <c r="BD251" i="20"/>
  <c r="BN251" i="20"/>
  <c r="BY251" i="20"/>
  <c r="CJ251" i="20"/>
  <c r="CT251" i="20"/>
  <c r="DE251" i="20"/>
  <c r="Y251" i="20"/>
  <c r="AJ251" i="20"/>
  <c r="AU251" i="20"/>
  <c r="BE251" i="20"/>
  <c r="BP251" i="20"/>
  <c r="CA251" i="20"/>
  <c r="CK251" i="20"/>
  <c r="CV251" i="20"/>
  <c r="DG251" i="20"/>
  <c r="Z251" i="20"/>
  <c r="AO251" i="20"/>
  <c r="BH251" i="20"/>
  <c r="BX251" i="20"/>
  <c r="CO251" i="20"/>
  <c r="DH251" i="20"/>
  <c r="AB251" i="20"/>
  <c r="AR251" i="20"/>
  <c r="BI251" i="20"/>
  <c r="CB251" i="20"/>
  <c r="CQ251" i="20"/>
  <c r="DI251" i="20"/>
  <c r="AE251" i="20"/>
  <c r="AW251" i="20"/>
  <c r="BM251" i="20"/>
  <c r="CD251" i="20"/>
  <c r="CW251" i="20"/>
  <c r="DL251" i="20"/>
  <c r="W83" i="20"/>
  <c r="AE83" i="20"/>
  <c r="AM83" i="20"/>
  <c r="AU83" i="20"/>
  <c r="BC83" i="20"/>
  <c r="BK83" i="20"/>
  <c r="BS83" i="20"/>
  <c r="CA83" i="20"/>
  <c r="CI83" i="20"/>
  <c r="CQ83" i="20"/>
  <c r="CY83" i="20"/>
  <c r="DG83" i="20"/>
  <c r="X83" i="20"/>
  <c r="AG83" i="20"/>
  <c r="AP83" i="20"/>
  <c r="AY83" i="20"/>
  <c r="BH83" i="20"/>
  <c r="BQ83" i="20"/>
  <c r="BZ83" i="20"/>
  <c r="CJ83" i="20"/>
  <c r="CS83" i="20"/>
  <c r="DB83" i="20"/>
  <c r="DK83" i="20"/>
  <c r="Y83" i="20"/>
  <c r="AH83" i="20"/>
  <c r="AQ83" i="20"/>
  <c r="AZ83" i="20"/>
  <c r="BI83" i="20"/>
  <c r="BR83" i="20"/>
  <c r="CB83" i="20"/>
  <c r="CK83" i="20"/>
  <c r="CT83" i="20"/>
  <c r="DC83" i="20"/>
  <c r="DL83" i="20"/>
  <c r="T83" i="20"/>
  <c r="AF83" i="20"/>
  <c r="AS83" i="20"/>
  <c r="BE83" i="20"/>
  <c r="BP83" i="20"/>
  <c r="CD83" i="20"/>
  <c r="CO83" i="20"/>
  <c r="DA83" i="20"/>
  <c r="U83" i="20"/>
  <c r="AI83" i="20"/>
  <c r="AT83" i="20"/>
  <c r="BF83" i="20"/>
  <c r="BT83" i="20"/>
  <c r="CE83" i="20"/>
  <c r="CP83" i="20"/>
  <c r="DD83" i="20"/>
  <c r="AA83" i="20"/>
  <c r="AO83" i="20"/>
  <c r="BG83" i="20"/>
  <c r="BW83" i="20"/>
  <c r="CM83" i="20"/>
  <c r="DE83" i="20"/>
  <c r="AC83" i="20"/>
  <c r="AV83" i="20"/>
  <c r="BL83" i="20"/>
  <c r="BY83" i="20"/>
  <c r="CR83" i="20"/>
  <c r="DH83" i="20"/>
  <c r="Q83" i="20"/>
  <c r="AK83" i="20"/>
  <c r="BD83" i="20"/>
  <c r="CC83" i="20"/>
  <c r="CW83" i="20"/>
  <c r="S83" i="20"/>
  <c r="AN83" i="20"/>
  <c r="BM83" i="20"/>
  <c r="CG83" i="20"/>
  <c r="CZ83" i="20"/>
  <c r="V83" i="20"/>
  <c r="AR83" i="20"/>
  <c r="BN83" i="20"/>
  <c r="CH83" i="20"/>
  <c r="DF83" i="20"/>
  <c r="Z83" i="20"/>
  <c r="AW83" i="20"/>
  <c r="BO83" i="20"/>
  <c r="CL83" i="20"/>
  <c r="DI83" i="20"/>
  <c r="AD83" i="20"/>
  <c r="BV83" i="20"/>
  <c r="AJ83" i="20"/>
  <c r="BX83" i="20"/>
  <c r="AL83" i="20"/>
  <c r="CF83" i="20"/>
  <c r="BA83" i="20"/>
  <c r="DJ83" i="20"/>
  <c r="BB83" i="20"/>
  <c r="BJ83" i="20"/>
  <c r="BU83" i="20"/>
  <c r="CN83" i="20"/>
  <c r="AB83" i="20"/>
  <c r="AX83" i="20"/>
  <c r="CU83" i="20"/>
  <c r="CV83" i="20"/>
  <c r="CX83" i="20"/>
  <c r="R83" i="20"/>
  <c r="W252" i="20"/>
  <c r="AE252" i="20"/>
  <c r="AM252" i="20"/>
  <c r="AU252" i="20"/>
  <c r="BC252" i="20"/>
  <c r="BK252" i="20"/>
  <c r="BS252" i="20"/>
  <c r="CA252" i="20"/>
  <c r="CI252" i="20"/>
  <c r="CQ252" i="20"/>
  <c r="CY252" i="20"/>
  <c r="DG252" i="20"/>
  <c r="R252" i="20"/>
  <c r="Z252" i="20"/>
  <c r="AH252" i="20"/>
  <c r="AP252" i="20"/>
  <c r="AX252" i="20"/>
  <c r="BF252" i="20"/>
  <c r="BN252" i="20"/>
  <c r="BV252" i="20"/>
  <c r="CD252" i="20"/>
  <c r="CL252" i="20"/>
  <c r="CT252" i="20"/>
  <c r="DB252" i="20"/>
  <c r="DJ252" i="20"/>
  <c r="Q252" i="20"/>
  <c r="AB252" i="20"/>
  <c r="AL252" i="20"/>
  <c r="AW252" i="20"/>
  <c r="BH252" i="20"/>
  <c r="BR252" i="20"/>
  <c r="CC252" i="20"/>
  <c r="CN252" i="20"/>
  <c r="CX252" i="20"/>
  <c r="DI252" i="20"/>
  <c r="T252" i="20"/>
  <c r="AD252" i="20"/>
  <c r="AO252" i="20"/>
  <c r="AZ252" i="20"/>
  <c r="BJ252" i="20"/>
  <c r="BU252" i="20"/>
  <c r="CF252" i="20"/>
  <c r="CP252" i="20"/>
  <c r="DA252" i="20"/>
  <c r="DL252" i="20"/>
  <c r="U252" i="20"/>
  <c r="AF252" i="20"/>
  <c r="AQ252" i="20"/>
  <c r="BA252" i="20"/>
  <c r="BL252" i="20"/>
  <c r="BW252" i="20"/>
  <c r="CG252" i="20"/>
  <c r="CR252" i="20"/>
  <c r="DC252" i="20"/>
  <c r="AA252" i="20"/>
  <c r="AS252" i="20"/>
  <c r="BI252" i="20"/>
  <c r="BZ252" i="20"/>
  <c r="CS252" i="20"/>
  <c r="DH252" i="20"/>
  <c r="AC252" i="20"/>
  <c r="AT252" i="20"/>
  <c r="BM252" i="20"/>
  <c r="CB252" i="20"/>
  <c r="CU252" i="20"/>
  <c r="DK252" i="20"/>
  <c r="AI252" i="20"/>
  <c r="AY252" i="20"/>
  <c r="BP252" i="20"/>
  <c r="CH252" i="20"/>
  <c r="CW252" i="20"/>
  <c r="W81" i="20"/>
  <c r="AE81" i="20"/>
  <c r="AM81" i="20"/>
  <c r="AU81" i="20"/>
  <c r="BC81" i="20"/>
  <c r="BK81" i="20"/>
  <c r="BS81" i="20"/>
  <c r="CA81" i="20"/>
  <c r="CI81" i="20"/>
  <c r="CQ81" i="20"/>
  <c r="CY81" i="20"/>
  <c r="DG81" i="20"/>
  <c r="V81" i="20"/>
  <c r="AF81" i="20"/>
  <c r="AO81" i="20"/>
  <c r="AX81" i="20"/>
  <c r="BG81" i="20"/>
  <c r="BP81" i="20"/>
  <c r="BY81" i="20"/>
  <c r="CH81" i="20"/>
  <c r="CR81" i="20"/>
  <c r="DA81" i="20"/>
  <c r="DJ81" i="20"/>
  <c r="X81" i="20"/>
  <c r="AG81" i="20"/>
  <c r="AP81" i="20"/>
  <c r="AY81" i="20"/>
  <c r="BH81" i="20"/>
  <c r="BQ81" i="20"/>
  <c r="BZ81" i="20"/>
  <c r="CJ81" i="20"/>
  <c r="CS81" i="20"/>
  <c r="DB81" i="20"/>
  <c r="DK81" i="20"/>
  <c r="Z81" i="20"/>
  <c r="AK81" i="20"/>
  <c r="AW81" i="20"/>
  <c r="BJ81" i="20"/>
  <c r="BV81" i="20"/>
  <c r="CG81" i="20"/>
  <c r="CU81" i="20"/>
  <c r="DF81" i="20"/>
  <c r="AA81" i="20"/>
  <c r="AL81" i="20"/>
  <c r="AZ81" i="20"/>
  <c r="BL81" i="20"/>
  <c r="BW81" i="20"/>
  <c r="CK81" i="20"/>
  <c r="CV81" i="20"/>
  <c r="DH81" i="20"/>
  <c r="Q81" i="20"/>
  <c r="AD81" i="20"/>
  <c r="AT81" i="20"/>
  <c r="BM81" i="20"/>
  <c r="CC81" i="20"/>
  <c r="CP81" i="20"/>
  <c r="DI81" i="20"/>
  <c r="R81" i="20"/>
  <c r="AH81" i="20"/>
  <c r="AV81" i="20"/>
  <c r="BN81" i="20"/>
  <c r="CD81" i="20"/>
  <c r="CT81" i="20"/>
  <c r="S81" i="20"/>
  <c r="AI81" i="20"/>
  <c r="BA81" i="20"/>
  <c r="BO81" i="20"/>
  <c r="CE81" i="20"/>
  <c r="CW81" i="20"/>
  <c r="AB81" i="20"/>
  <c r="BD81" i="20"/>
  <c r="CB81" i="20"/>
  <c r="DC81" i="20"/>
  <c r="AJ81" i="20"/>
  <c r="BF81" i="20"/>
  <c r="CL81" i="20"/>
  <c r="DE81" i="20"/>
  <c r="AN81" i="20"/>
  <c r="BI81" i="20"/>
  <c r="CM81" i="20"/>
  <c r="DL81" i="20"/>
  <c r="AQ81" i="20"/>
  <c r="BR81" i="20"/>
  <c r="CN81" i="20"/>
  <c r="AS81" i="20"/>
  <c r="CX81" i="20"/>
  <c r="BB81" i="20"/>
  <c r="CZ81" i="20"/>
  <c r="BE81" i="20"/>
  <c r="DD81" i="20"/>
  <c r="Y81" i="20"/>
  <c r="AC81" i="20"/>
  <c r="AR81" i="20"/>
  <c r="BT81" i="20"/>
  <c r="BU81" i="20"/>
  <c r="U81" i="20"/>
  <c r="BX81" i="20"/>
  <c r="CF81" i="20"/>
  <c r="CO81" i="20"/>
  <c r="T81" i="20"/>
  <c r="V210" i="20"/>
  <c r="AD210" i="20"/>
  <c r="AL210" i="20"/>
  <c r="AT210" i="20"/>
  <c r="BB210" i="20"/>
  <c r="BJ210" i="20"/>
  <c r="BR210" i="20"/>
  <c r="BZ210" i="20"/>
  <c r="CH210" i="20"/>
  <c r="CP210" i="20"/>
  <c r="CX210" i="20"/>
  <c r="DF210" i="20"/>
  <c r="U210" i="20"/>
  <c r="AE210" i="20"/>
  <c r="AN210" i="20"/>
  <c r="AW210" i="20"/>
  <c r="BF210" i="20"/>
  <c r="BO210" i="20"/>
  <c r="BX210" i="20"/>
  <c r="CG210" i="20"/>
  <c r="CQ210" i="20"/>
  <c r="CZ210" i="20"/>
  <c r="DI210" i="20"/>
  <c r="W210" i="20"/>
  <c r="AF210" i="20"/>
  <c r="AO210" i="20"/>
  <c r="AX210" i="20"/>
  <c r="BG210" i="20"/>
  <c r="BP210" i="20"/>
  <c r="BY210" i="20"/>
  <c r="CI210" i="20"/>
  <c r="CR210" i="20"/>
  <c r="DA210" i="20"/>
  <c r="DJ210" i="20"/>
  <c r="T210" i="20"/>
  <c r="AH210" i="20"/>
  <c r="AS210" i="20"/>
  <c r="BE210" i="20"/>
  <c r="BS210" i="20"/>
  <c r="CD210" i="20"/>
  <c r="CO210" i="20"/>
  <c r="DC210" i="20"/>
  <c r="X210" i="20"/>
  <c r="AI210" i="20"/>
  <c r="AU210" i="20"/>
  <c r="BH210" i="20"/>
  <c r="BT210" i="20"/>
  <c r="CE210" i="20"/>
  <c r="CS210" i="20"/>
  <c r="DD210" i="20"/>
  <c r="Z210" i="20"/>
  <c r="AK210" i="20"/>
  <c r="AY210" i="20"/>
  <c r="BK210" i="20"/>
  <c r="BV210" i="20"/>
  <c r="CJ210" i="20"/>
  <c r="CU210" i="20"/>
  <c r="DG210" i="20"/>
  <c r="AA210" i="20"/>
  <c r="AR210" i="20"/>
  <c r="BM210" i="20"/>
  <c r="CF210" i="20"/>
  <c r="CY210" i="20"/>
  <c r="AC210" i="20"/>
  <c r="AZ210" i="20"/>
  <c r="BQ210" i="20"/>
  <c r="CL210" i="20"/>
  <c r="DE210" i="20"/>
  <c r="AG210" i="20"/>
  <c r="BA210" i="20"/>
  <c r="BU210" i="20"/>
  <c r="CM210" i="20"/>
  <c r="DH210" i="20"/>
  <c r="AM210" i="20"/>
  <c r="BN210" i="20"/>
  <c r="CV210" i="20"/>
  <c r="AP210" i="20"/>
  <c r="BW210" i="20"/>
  <c r="CW210" i="20"/>
  <c r="R210" i="20"/>
  <c r="AV210" i="20"/>
  <c r="CB210" i="20"/>
  <c r="DK210" i="20"/>
  <c r="AB210" i="20"/>
  <c r="CC210" i="20"/>
  <c r="S265" i="20"/>
  <c r="AA265" i="20"/>
  <c r="AI265" i="20"/>
  <c r="AQ265" i="20"/>
  <c r="AY265" i="20"/>
  <c r="BG265" i="20"/>
  <c r="BO265" i="20"/>
  <c r="BW265" i="20"/>
  <c r="CE265" i="20"/>
  <c r="CM265" i="20"/>
  <c r="CU265" i="20"/>
  <c r="DC265" i="20"/>
  <c r="DK265" i="20"/>
  <c r="X265" i="20"/>
  <c r="AG265" i="20"/>
  <c r="AP265" i="20"/>
  <c r="AZ265" i="20"/>
  <c r="BI265" i="20"/>
  <c r="BR265" i="20"/>
  <c r="CA265" i="20"/>
  <c r="CJ265" i="20"/>
  <c r="CS265" i="20"/>
  <c r="DB265" i="20"/>
  <c r="DL265" i="20"/>
  <c r="Y265" i="20"/>
  <c r="AH265" i="20"/>
  <c r="AR265" i="20"/>
  <c r="BA265" i="20"/>
  <c r="BJ265" i="20"/>
  <c r="BS265" i="20"/>
  <c r="CB265" i="20"/>
  <c r="CK265" i="20"/>
  <c r="CT265" i="20"/>
  <c r="DD265" i="20"/>
  <c r="R265" i="20"/>
  <c r="AD265" i="20"/>
  <c r="AO265" i="20"/>
  <c r="BC265" i="20"/>
  <c r="BN265" i="20"/>
  <c r="BZ265" i="20"/>
  <c r="CN265" i="20"/>
  <c r="CY265" i="20"/>
  <c r="DJ265" i="20"/>
  <c r="T265" i="20"/>
  <c r="AE265" i="20"/>
  <c r="AS265" i="20"/>
  <c r="BD265" i="20"/>
  <c r="BP265" i="20"/>
  <c r="CC265" i="20"/>
  <c r="CO265" i="20"/>
  <c r="CZ265" i="20"/>
  <c r="V265" i="20"/>
  <c r="AJ265" i="20"/>
  <c r="AU265" i="20"/>
  <c r="BF265" i="20"/>
  <c r="BT265" i="20"/>
  <c r="CF265" i="20"/>
  <c r="CQ265" i="20"/>
  <c r="DE265" i="20"/>
  <c r="U190" i="20"/>
  <c r="AC190" i="20"/>
  <c r="AK190" i="20"/>
  <c r="AS190" i="20"/>
  <c r="BA190" i="20"/>
  <c r="BI190" i="20"/>
  <c r="BQ190" i="20"/>
  <c r="BY190" i="20"/>
  <c r="CG190" i="20"/>
  <c r="CO190" i="20"/>
  <c r="CW190" i="20"/>
  <c r="DE190" i="20"/>
  <c r="V190" i="20"/>
  <c r="AD190" i="20"/>
  <c r="AL190" i="20"/>
  <c r="AT190" i="20"/>
  <c r="BB190" i="20"/>
  <c r="BJ190" i="20"/>
  <c r="BR190" i="20"/>
  <c r="BZ190" i="20"/>
  <c r="CH190" i="20"/>
  <c r="CP190" i="20"/>
  <c r="CX190" i="20"/>
  <c r="DF190" i="20"/>
  <c r="Q190" i="20"/>
  <c r="AA190" i="20"/>
  <c r="AM190" i="20"/>
  <c r="AW190" i="20"/>
  <c r="BG190" i="20"/>
  <c r="BS190" i="20"/>
  <c r="CC190" i="20"/>
  <c r="CM190" i="20"/>
  <c r="CY190" i="20"/>
  <c r="DI190" i="20"/>
  <c r="R190" i="20"/>
  <c r="AB190" i="20"/>
  <c r="AN190" i="20"/>
  <c r="AX190" i="20"/>
  <c r="BH190" i="20"/>
  <c r="BT190" i="20"/>
  <c r="CD190" i="20"/>
  <c r="CN190" i="20"/>
  <c r="CZ190" i="20"/>
  <c r="DJ190" i="20"/>
  <c r="S190" i="20"/>
  <c r="AG190" i="20"/>
  <c r="AU190" i="20"/>
  <c r="BK190" i="20"/>
  <c r="BW190" i="20"/>
  <c r="CK190" i="20"/>
  <c r="DA190" i="20"/>
  <c r="T190" i="20"/>
  <c r="AH190" i="20"/>
  <c r="AV190" i="20"/>
  <c r="BL190" i="20"/>
  <c r="BX190" i="20"/>
  <c r="CL190" i="20"/>
  <c r="DB190" i="20"/>
  <c r="W190" i="20"/>
  <c r="AI190" i="20"/>
  <c r="AY190" i="20"/>
  <c r="BM190" i="20"/>
  <c r="CA190" i="20"/>
  <c r="CQ190" i="20"/>
  <c r="DC190" i="20"/>
  <c r="Y190" i="20"/>
  <c r="AO190" i="20"/>
  <c r="BC190" i="20"/>
  <c r="BO190" i="20"/>
  <c r="CE190" i="20"/>
  <c r="CS190" i="20"/>
  <c r="DG190" i="20"/>
  <c r="AR190" i="20"/>
  <c r="BV190" i="20"/>
  <c r="CV190" i="20"/>
  <c r="X190" i="20"/>
  <c r="AZ190" i="20"/>
  <c r="CB190" i="20"/>
  <c r="DD190" i="20"/>
  <c r="Z190" i="20"/>
  <c r="BD190" i="20"/>
  <c r="CF190" i="20"/>
  <c r="DH190" i="20"/>
  <c r="AE190" i="20"/>
  <c r="BE190" i="20"/>
  <c r="CI190" i="20"/>
  <c r="DK190" i="20"/>
  <c r="BN190" i="20"/>
  <c r="BP190" i="20"/>
  <c r="AF190" i="20"/>
  <c r="CJ190" i="20"/>
  <c r="CR190" i="20"/>
  <c r="CT190" i="20"/>
  <c r="BU190" i="20"/>
  <c r="W272" i="20"/>
  <c r="AE272" i="20"/>
  <c r="AM272" i="20"/>
  <c r="AU272" i="20"/>
  <c r="BC272" i="20"/>
  <c r="BK272" i="20"/>
  <c r="BS272" i="20"/>
  <c r="CA272" i="20"/>
  <c r="CI272" i="20"/>
  <c r="CQ272" i="20"/>
  <c r="CY272" i="20"/>
  <c r="DG272" i="20"/>
  <c r="S272" i="20"/>
  <c r="AB272" i="20"/>
  <c r="AK272" i="20"/>
  <c r="AT272" i="20"/>
  <c r="BD272" i="20"/>
  <c r="BM272" i="20"/>
  <c r="BV272" i="20"/>
  <c r="CE272" i="20"/>
  <c r="CN272" i="20"/>
  <c r="CW272" i="20"/>
  <c r="DF272" i="20"/>
  <c r="T272" i="20"/>
  <c r="AC272" i="20"/>
  <c r="AL272" i="20"/>
  <c r="AV272" i="20"/>
  <c r="BE272" i="20"/>
  <c r="BN272" i="20"/>
  <c r="BW272" i="20"/>
  <c r="CF272" i="20"/>
  <c r="CO272" i="20"/>
  <c r="CX272" i="20"/>
  <c r="DH272" i="20"/>
  <c r="Y272" i="20"/>
  <c r="AJ272" i="20"/>
  <c r="AX272" i="20"/>
  <c r="BI272" i="20"/>
  <c r="BU272" i="20"/>
  <c r="CH272" i="20"/>
  <c r="CT272" i="20"/>
  <c r="DE272" i="20"/>
  <c r="Z272" i="20"/>
  <c r="AN272" i="20"/>
  <c r="AY272" i="20"/>
  <c r="BJ272" i="20"/>
  <c r="BX272" i="20"/>
  <c r="CJ272" i="20"/>
  <c r="CU272" i="20"/>
  <c r="DI272" i="20"/>
  <c r="Q272" i="20"/>
  <c r="AD272" i="20"/>
  <c r="AP272" i="20"/>
  <c r="BA272" i="20"/>
  <c r="BO272" i="20"/>
  <c r="BZ272" i="20"/>
  <c r="CL272" i="20"/>
  <c r="CZ272" i="20"/>
  <c r="DK272" i="20"/>
  <c r="U17" i="20"/>
  <c r="AC17" i="20"/>
  <c r="AK17" i="20"/>
  <c r="AS17" i="20"/>
  <c r="BA17" i="20"/>
  <c r="BI17" i="20"/>
  <c r="BQ17" i="20"/>
  <c r="BY17" i="20"/>
  <c r="CG17" i="20"/>
  <c r="CO17" i="20"/>
  <c r="CW17" i="20"/>
  <c r="DE17" i="20"/>
  <c r="V17" i="20"/>
  <c r="AD17" i="20"/>
  <c r="AL17" i="20"/>
  <c r="AT17" i="20"/>
  <c r="BB17" i="20"/>
  <c r="BJ17" i="20"/>
  <c r="BR17" i="20"/>
  <c r="BZ17" i="20"/>
  <c r="CH17" i="20"/>
  <c r="CP17" i="20"/>
  <c r="CX17" i="20"/>
  <c r="DF17" i="20"/>
  <c r="W17" i="20"/>
  <c r="AE17" i="20"/>
  <c r="AM17" i="20"/>
  <c r="AU17" i="20"/>
  <c r="BC17" i="20"/>
  <c r="BK17" i="20"/>
  <c r="BS17" i="20"/>
  <c r="CA17" i="20"/>
  <c r="CI17" i="20"/>
  <c r="CQ17" i="20"/>
  <c r="CY17" i="20"/>
  <c r="DG17" i="20"/>
  <c r="X17" i="20"/>
  <c r="AI17" i="20"/>
  <c r="AW17" i="20"/>
  <c r="BH17" i="20"/>
  <c r="BV17" i="20"/>
  <c r="CJ17" i="20"/>
  <c r="CU17" i="20"/>
  <c r="DI17" i="20"/>
  <c r="Y17" i="20"/>
  <c r="AJ17" i="20"/>
  <c r="AX17" i="20"/>
  <c r="BL17" i="20"/>
  <c r="BW17" i="20"/>
  <c r="CK17" i="20"/>
  <c r="CV17" i="20"/>
  <c r="DJ17" i="20"/>
  <c r="Z17" i="20"/>
  <c r="AN17" i="20"/>
  <c r="AY17" i="20"/>
  <c r="BM17" i="20"/>
  <c r="BX17" i="20"/>
  <c r="CL17" i="20"/>
  <c r="CZ17" i="20"/>
  <c r="DK17" i="20"/>
  <c r="AA17" i="20"/>
  <c r="AO17" i="20"/>
  <c r="AZ17" i="20"/>
  <c r="BN17" i="20"/>
  <c r="CB17" i="20"/>
  <c r="CM17" i="20"/>
  <c r="DA17" i="20"/>
  <c r="DL17" i="20"/>
  <c r="R17" i="20"/>
  <c r="AQ17" i="20"/>
  <c r="BP17" i="20"/>
  <c r="CR17" i="20"/>
  <c r="AB17" i="20"/>
  <c r="BD17" i="20"/>
  <c r="CC17" i="20"/>
  <c r="DB17" i="20"/>
  <c r="S17" i="20"/>
  <c r="BE17" i="20"/>
  <c r="CF17" i="20"/>
  <c r="T17" i="20"/>
  <c r="BF17" i="20"/>
  <c r="CN17" i="20"/>
  <c r="AF17" i="20"/>
  <c r="BT17" i="20"/>
  <c r="DH17" i="20"/>
  <c r="AR17" i="20"/>
  <c r="CS17" i="20"/>
  <c r="BU17" i="20"/>
  <c r="Q17" i="20"/>
  <c r="CD17" i="20"/>
  <c r="AG17" i="20"/>
  <c r="CE17" i="20"/>
  <c r="AH17" i="20"/>
  <c r="CT17" i="20"/>
  <c r="DC17" i="20"/>
  <c r="DD17" i="20"/>
  <c r="BG17" i="20"/>
  <c r="AP17" i="20"/>
  <c r="AV17" i="20"/>
  <c r="BO17" i="20"/>
  <c r="W319" i="20"/>
  <c r="AE319" i="20"/>
  <c r="AM319" i="20"/>
  <c r="AU319" i="20"/>
  <c r="BC319" i="20"/>
  <c r="BK319" i="20"/>
  <c r="BS319" i="20"/>
  <c r="CA319" i="20"/>
  <c r="CI319" i="20"/>
  <c r="CQ319" i="20"/>
  <c r="CY319" i="20"/>
  <c r="DG319" i="20"/>
  <c r="X319" i="20"/>
  <c r="AF319" i="20"/>
  <c r="AN319" i="20"/>
  <c r="AV319" i="20"/>
  <c r="BD319" i="20"/>
  <c r="BL319" i="20"/>
  <c r="BT319" i="20"/>
  <c r="CB319" i="20"/>
  <c r="CJ319" i="20"/>
  <c r="CR319" i="20"/>
  <c r="CZ319" i="20"/>
  <c r="DH319" i="20"/>
  <c r="Q319" i="20"/>
  <c r="AA319" i="20"/>
  <c r="AK319" i="20"/>
  <c r="AW319" i="20"/>
  <c r="BG319" i="20"/>
  <c r="BQ319" i="20"/>
  <c r="CC319" i="20"/>
  <c r="CM319" i="20"/>
  <c r="CW319" i="20"/>
  <c r="DI319" i="20"/>
  <c r="S319" i="20"/>
  <c r="AC319" i="20"/>
  <c r="AO319" i="20"/>
  <c r="AY319" i="20"/>
  <c r="BI319" i="20"/>
  <c r="BU319" i="20"/>
  <c r="CE319" i="20"/>
  <c r="CO319" i="20"/>
  <c r="DA319" i="20"/>
  <c r="DK319" i="20"/>
  <c r="U136" i="20"/>
  <c r="AC136" i="20"/>
  <c r="AK136" i="20"/>
  <c r="AS136" i="20"/>
  <c r="BA136" i="20"/>
  <c r="BI136" i="20"/>
  <c r="BQ136" i="20"/>
  <c r="BY136" i="20"/>
  <c r="CG136" i="20"/>
  <c r="CO136" i="20"/>
  <c r="CW136" i="20"/>
  <c r="DE136" i="20"/>
  <c r="V136" i="20"/>
  <c r="AD136" i="20"/>
  <c r="AL136" i="20"/>
  <c r="AT136" i="20"/>
  <c r="BB136" i="20"/>
  <c r="BJ136" i="20"/>
  <c r="BR136" i="20"/>
  <c r="BZ136" i="20"/>
  <c r="CH136" i="20"/>
  <c r="CP136" i="20"/>
  <c r="CX136" i="20"/>
  <c r="DF136" i="20"/>
  <c r="W136" i="20"/>
  <c r="AG136" i="20"/>
  <c r="AQ136" i="20"/>
  <c r="BC136" i="20"/>
  <c r="BM136" i="20"/>
  <c r="BW136" i="20"/>
  <c r="CI136" i="20"/>
  <c r="CS136" i="20"/>
  <c r="DC136" i="20"/>
  <c r="X136" i="20"/>
  <c r="AH136" i="20"/>
  <c r="AR136" i="20"/>
  <c r="BD136" i="20"/>
  <c r="BN136" i="20"/>
  <c r="BX136" i="20"/>
  <c r="CJ136" i="20"/>
  <c r="CT136" i="20"/>
  <c r="DD136" i="20"/>
  <c r="Y136" i="20"/>
  <c r="AI136" i="20"/>
  <c r="AU136" i="20"/>
  <c r="Z136" i="20"/>
  <c r="AJ136" i="20"/>
  <c r="AV136" i="20"/>
  <c r="BF136" i="20"/>
  <c r="BP136" i="20"/>
  <c r="CB136" i="20"/>
  <c r="CL136" i="20"/>
  <c r="CV136" i="20"/>
  <c r="DH136" i="20"/>
  <c r="Q136" i="20"/>
  <c r="AA136" i="20"/>
  <c r="AM136" i="20"/>
  <c r="AW136" i="20"/>
  <c r="BG136" i="20"/>
  <c r="BS136" i="20"/>
  <c r="CC136" i="20"/>
  <c r="CM136" i="20"/>
  <c r="CY136" i="20"/>
  <c r="DI136" i="20"/>
  <c r="R136" i="20"/>
  <c r="AP136" i="20"/>
  <c r="BO136" i="20"/>
  <c r="CK136" i="20"/>
  <c r="DG136" i="20"/>
  <c r="S136" i="20"/>
  <c r="AX136" i="20"/>
  <c r="BT136" i="20"/>
  <c r="CN136" i="20"/>
  <c r="DJ136" i="20"/>
  <c r="T136" i="20"/>
  <c r="AY136" i="20"/>
  <c r="BU136" i="20"/>
  <c r="CQ136" i="20"/>
  <c r="DK136" i="20"/>
  <c r="AB136" i="20"/>
  <c r="AZ136" i="20"/>
  <c r="BV136" i="20"/>
  <c r="CR136" i="20"/>
  <c r="DL136" i="20"/>
  <c r="AN136" i="20"/>
  <c r="CE136" i="20"/>
  <c r="AO136" i="20"/>
  <c r="CF136" i="20"/>
  <c r="BH136" i="20"/>
  <c r="CZ136" i="20"/>
  <c r="CU136" i="20"/>
  <c r="AE136" i="20"/>
  <c r="DA136" i="20"/>
  <c r="AF136" i="20"/>
  <c r="DB136" i="20"/>
  <c r="BE136" i="20"/>
  <c r="BK136" i="20"/>
  <c r="BL136" i="20"/>
  <c r="CA136" i="20"/>
  <c r="CD136" i="20"/>
  <c r="X159" i="20"/>
  <c r="AF159" i="20"/>
  <c r="AN159" i="20"/>
  <c r="AV159" i="20"/>
  <c r="BD159" i="20"/>
  <c r="BL159" i="20"/>
  <c r="BT159" i="20"/>
  <c r="CB159" i="20"/>
  <c r="CJ159" i="20"/>
  <c r="CR159" i="20"/>
  <c r="CZ159" i="20"/>
  <c r="DH159" i="20"/>
  <c r="T159" i="20"/>
  <c r="AB159" i="20"/>
  <c r="AJ159" i="20"/>
  <c r="AR159" i="20"/>
  <c r="AZ159" i="20"/>
  <c r="BH159" i="20"/>
  <c r="BP159" i="20"/>
  <c r="BX159" i="20"/>
  <c r="CF159" i="20"/>
  <c r="CN159" i="20"/>
  <c r="CV159" i="20"/>
  <c r="DD159" i="20"/>
  <c r="DL159" i="20"/>
  <c r="V159" i="20"/>
  <c r="AG159" i="20"/>
  <c r="AQ159" i="20"/>
  <c r="BB159" i="20"/>
  <c r="BM159" i="20"/>
  <c r="BW159" i="20"/>
  <c r="CH159" i="20"/>
  <c r="CS159" i="20"/>
  <c r="DC159" i="20"/>
  <c r="W159" i="20"/>
  <c r="AH159" i="20"/>
  <c r="AS159" i="20"/>
  <c r="BC159" i="20"/>
  <c r="BN159" i="20"/>
  <c r="BY159" i="20"/>
  <c r="CI159" i="20"/>
  <c r="CT159" i="20"/>
  <c r="DE159" i="20"/>
  <c r="Y159" i="20"/>
  <c r="AI159" i="20"/>
  <c r="AT159" i="20"/>
  <c r="BE159" i="20"/>
  <c r="BO159" i="20"/>
  <c r="BZ159" i="20"/>
  <c r="CK159" i="20"/>
  <c r="CU159" i="20"/>
  <c r="DF159" i="20"/>
  <c r="AD159" i="20"/>
  <c r="AW159" i="20"/>
  <c r="BK159" i="20"/>
  <c r="CD159" i="20"/>
  <c r="CW159" i="20"/>
  <c r="DK159" i="20"/>
  <c r="Q159" i="20"/>
  <c r="AE159" i="20"/>
  <c r="AX159" i="20"/>
  <c r="BQ159" i="20"/>
  <c r="CE159" i="20"/>
  <c r="CX159" i="20"/>
  <c r="S159" i="20"/>
  <c r="AL159" i="20"/>
  <c r="BA159" i="20"/>
  <c r="BS159" i="20"/>
  <c r="CL159" i="20"/>
  <c r="DA159" i="20"/>
  <c r="AK159" i="20"/>
  <c r="BI159" i="20"/>
  <c r="CM159" i="20"/>
  <c r="DJ159" i="20"/>
  <c r="AM159" i="20"/>
  <c r="BJ159" i="20"/>
  <c r="CO159" i="20"/>
  <c r="AO159" i="20"/>
  <c r="BR159" i="20"/>
  <c r="CP159" i="20"/>
  <c r="R159" i="20"/>
  <c r="AP159" i="20"/>
  <c r="BU159" i="20"/>
  <c r="CQ159" i="20"/>
  <c r="U159" i="20"/>
  <c r="AU159" i="20"/>
  <c r="BV159" i="20"/>
  <c r="CY159" i="20"/>
  <c r="Z159" i="20"/>
  <c r="CG159" i="20"/>
  <c r="AA159" i="20"/>
  <c r="DB159" i="20"/>
  <c r="AC159" i="20"/>
  <c r="DG159" i="20"/>
  <c r="AY159" i="20"/>
  <c r="DI159" i="20"/>
  <c r="BF159" i="20"/>
  <c r="V200" i="20"/>
  <c r="AD200" i="20"/>
  <c r="AL200" i="20"/>
  <c r="AT200" i="20"/>
  <c r="BB200" i="20"/>
  <c r="BJ200" i="20"/>
  <c r="BR200" i="20"/>
  <c r="BZ200" i="20"/>
  <c r="CH200" i="20"/>
  <c r="CP200" i="20"/>
  <c r="CX200" i="20"/>
  <c r="DF200" i="20"/>
  <c r="Y200" i="20"/>
  <c r="AH200" i="20"/>
  <c r="AQ200" i="20"/>
  <c r="AZ200" i="20"/>
  <c r="BI200" i="20"/>
  <c r="BS200" i="20"/>
  <c r="CB200" i="20"/>
  <c r="CK200" i="20"/>
  <c r="CT200" i="20"/>
  <c r="DC200" i="20"/>
  <c r="DL200" i="20"/>
  <c r="Q200" i="20"/>
  <c r="Z200" i="20"/>
  <c r="AI200" i="20"/>
  <c r="AR200" i="20"/>
  <c r="BA200" i="20"/>
  <c r="BK200" i="20"/>
  <c r="BT200" i="20"/>
  <c r="CC200" i="20"/>
  <c r="CL200" i="20"/>
  <c r="CU200" i="20"/>
  <c r="DD200" i="20"/>
  <c r="T200" i="20"/>
  <c r="AF200" i="20"/>
  <c r="AS200" i="20"/>
  <c r="BE200" i="20"/>
  <c r="BP200" i="20"/>
  <c r="CD200" i="20"/>
  <c r="CO200" i="20"/>
  <c r="DA200" i="20"/>
  <c r="U200" i="20"/>
  <c r="AG200" i="20"/>
  <c r="AU200" i="20"/>
  <c r="BF200" i="20"/>
  <c r="BQ200" i="20"/>
  <c r="CE200" i="20"/>
  <c r="CQ200" i="20"/>
  <c r="DB200" i="20"/>
  <c r="W200" i="20"/>
  <c r="AJ200" i="20"/>
  <c r="AV200" i="20"/>
  <c r="BG200" i="20"/>
  <c r="BU200" i="20"/>
  <c r="CF200" i="20"/>
  <c r="CR200" i="20"/>
  <c r="DE200" i="20"/>
  <c r="AA200" i="20"/>
  <c r="AM200" i="20"/>
  <c r="AX200" i="20"/>
  <c r="BL200" i="20"/>
  <c r="BW200" i="20"/>
  <c r="CI200" i="20"/>
  <c r="CV200" i="20"/>
  <c r="DH200" i="20"/>
  <c r="AE200" i="20"/>
  <c r="BD200" i="20"/>
  <c r="CA200" i="20"/>
  <c r="CZ200" i="20"/>
  <c r="AN200" i="20"/>
  <c r="BM200" i="20"/>
  <c r="CJ200" i="20"/>
  <c r="DI200" i="20"/>
  <c r="R200" i="20"/>
  <c r="AO200" i="20"/>
  <c r="BN200" i="20"/>
  <c r="CM200" i="20"/>
  <c r="DJ200" i="20"/>
  <c r="AY200" i="20"/>
  <c r="CN200" i="20"/>
  <c r="S200" i="20"/>
  <c r="BC200" i="20"/>
  <c r="CS200" i="20"/>
  <c r="AB200" i="20"/>
  <c r="BO200" i="20"/>
  <c r="CY200" i="20"/>
  <c r="AC200" i="20"/>
  <c r="CG200" i="20"/>
  <c r="BX200" i="20"/>
  <c r="U365" i="20"/>
  <c r="AC365" i="20"/>
  <c r="AK365" i="20"/>
  <c r="AS365" i="20"/>
  <c r="BA365" i="20"/>
  <c r="BI365" i="20"/>
  <c r="BQ365" i="20"/>
  <c r="BY365" i="20"/>
  <c r="CG365" i="20"/>
  <c r="CO365" i="20"/>
  <c r="CW365" i="20"/>
  <c r="DE365" i="20"/>
  <c r="Q340" i="20"/>
  <c r="Y340" i="20"/>
  <c r="AG340" i="20"/>
  <c r="AO340" i="20"/>
  <c r="AW340" i="20"/>
  <c r="BE340" i="20"/>
  <c r="BM340" i="20"/>
  <c r="BU340" i="20"/>
  <c r="CC340" i="20"/>
  <c r="CK340" i="20"/>
  <c r="CS340" i="20"/>
  <c r="DA340" i="20"/>
  <c r="DI340" i="20"/>
  <c r="S340" i="20"/>
  <c r="AA340" i="20"/>
  <c r="AI340" i="20"/>
  <c r="AQ340" i="20"/>
  <c r="AY340" i="20"/>
  <c r="BG340" i="20"/>
  <c r="BO340" i="20"/>
  <c r="BW340" i="20"/>
  <c r="CE340" i="20"/>
  <c r="CM340" i="20"/>
  <c r="CU340" i="20"/>
  <c r="DC340" i="20"/>
  <c r="DK340" i="20"/>
  <c r="R229" i="20"/>
  <c r="Z229" i="20"/>
  <c r="AH229" i="20"/>
  <c r="AP229" i="20"/>
  <c r="AX229" i="20"/>
  <c r="BF229" i="20"/>
  <c r="BN229" i="20"/>
  <c r="BV229" i="20"/>
  <c r="CD229" i="20"/>
  <c r="CL229" i="20"/>
  <c r="CT229" i="20"/>
  <c r="DB229" i="20"/>
  <c r="DJ229" i="20"/>
  <c r="W229" i="20"/>
  <c r="AF229" i="20"/>
  <c r="AO229" i="20"/>
  <c r="AY229" i="20"/>
  <c r="BH229" i="20"/>
  <c r="BQ229" i="20"/>
  <c r="BZ229" i="20"/>
  <c r="CI229" i="20"/>
  <c r="CR229" i="20"/>
  <c r="DA229" i="20"/>
  <c r="DK229" i="20"/>
  <c r="Q229" i="20"/>
  <c r="AB229" i="20"/>
  <c r="AL229" i="20"/>
  <c r="AV229" i="20"/>
  <c r="BG229" i="20"/>
  <c r="BR229" i="20"/>
  <c r="CB229" i="20"/>
  <c r="CM229" i="20"/>
  <c r="CW229" i="20"/>
  <c r="DG229" i="20"/>
  <c r="S229" i="20"/>
  <c r="AC229" i="20"/>
  <c r="AM229" i="20"/>
  <c r="AW229" i="20"/>
  <c r="BI229" i="20"/>
  <c r="BS229" i="20"/>
  <c r="CC229" i="20"/>
  <c r="CN229" i="20"/>
  <c r="CX229" i="20"/>
  <c r="DH229" i="20"/>
  <c r="U229" i="20"/>
  <c r="AE229" i="20"/>
  <c r="AQ229" i="20"/>
  <c r="BA229" i="20"/>
  <c r="BK229" i="20"/>
  <c r="BU229" i="20"/>
  <c r="CF229" i="20"/>
  <c r="CP229" i="20"/>
  <c r="CZ229" i="20"/>
  <c r="DL229" i="20"/>
  <c r="AA229" i="20"/>
  <c r="AS229" i="20"/>
  <c r="BJ229" i="20"/>
  <c r="BY229" i="20"/>
  <c r="CQ229" i="20"/>
  <c r="DF229" i="20"/>
  <c r="AG229" i="20"/>
  <c r="AU229" i="20"/>
  <c r="BM229" i="20"/>
  <c r="CE229" i="20"/>
  <c r="CU229" i="20"/>
  <c r="AI229" i="20"/>
  <c r="AZ229" i="20"/>
  <c r="BO229" i="20"/>
  <c r="CG229" i="20"/>
  <c r="CV229" i="20"/>
  <c r="AD229" i="20"/>
  <c r="BD229" i="20"/>
  <c r="CH229" i="20"/>
  <c r="DE229" i="20"/>
  <c r="AJ229" i="20"/>
  <c r="BE229" i="20"/>
  <c r="CJ229" i="20"/>
  <c r="DI229" i="20"/>
  <c r="AN229" i="20"/>
  <c r="BP229" i="20"/>
  <c r="CO229" i="20"/>
  <c r="U369" i="20"/>
  <c r="AC369" i="20"/>
  <c r="AK369" i="20"/>
  <c r="AS369" i="20"/>
  <c r="BA369" i="20"/>
  <c r="BI369" i="20"/>
  <c r="BQ369" i="20"/>
  <c r="BY369" i="20"/>
  <c r="CG369" i="20"/>
  <c r="CO369" i="20"/>
  <c r="CW369" i="20"/>
  <c r="DE369" i="20"/>
  <c r="U375" i="20"/>
  <c r="AC375" i="20"/>
  <c r="AK375" i="20"/>
  <c r="AS375" i="20"/>
  <c r="BA375" i="20"/>
  <c r="BI375" i="20"/>
  <c r="BQ375" i="20"/>
  <c r="BY375" i="20"/>
  <c r="CG375" i="20"/>
  <c r="CO375" i="20"/>
  <c r="CW375" i="20"/>
  <c r="DE375" i="20"/>
  <c r="R213" i="20"/>
  <c r="Z213" i="20"/>
  <c r="AH213" i="20"/>
  <c r="AP213" i="20"/>
  <c r="AX213" i="20"/>
  <c r="BF213" i="20"/>
  <c r="BN213" i="20"/>
  <c r="BV213" i="20"/>
  <c r="CD213" i="20"/>
  <c r="CL213" i="20"/>
  <c r="CT213" i="20"/>
  <c r="DB213" i="20"/>
  <c r="DJ213" i="20"/>
  <c r="W213" i="20"/>
  <c r="AF213" i="20"/>
  <c r="AO213" i="20"/>
  <c r="AY213" i="20"/>
  <c r="BH213" i="20"/>
  <c r="BQ213" i="20"/>
  <c r="BZ213" i="20"/>
  <c r="CI213" i="20"/>
  <c r="CR213" i="20"/>
  <c r="DA213" i="20"/>
  <c r="DK213" i="20"/>
  <c r="X213" i="20"/>
  <c r="AG213" i="20"/>
  <c r="AQ213" i="20"/>
  <c r="AZ213" i="20"/>
  <c r="BI213" i="20"/>
  <c r="BR213" i="20"/>
  <c r="CA213" i="20"/>
  <c r="CJ213" i="20"/>
  <c r="CS213" i="20"/>
  <c r="DC213" i="20"/>
  <c r="DL213" i="20"/>
  <c r="AA213" i="20"/>
  <c r="AL213" i="20"/>
  <c r="AW213" i="20"/>
  <c r="BK213" i="20"/>
  <c r="BW213" i="20"/>
  <c r="CH213" i="20"/>
  <c r="CV213" i="20"/>
  <c r="DG213" i="20"/>
  <c r="AB213" i="20"/>
  <c r="AM213" i="20"/>
  <c r="BA213" i="20"/>
  <c r="BL213" i="20"/>
  <c r="BX213" i="20"/>
  <c r="CK213" i="20"/>
  <c r="CW213" i="20"/>
  <c r="DH213" i="20"/>
  <c r="S213" i="20"/>
  <c r="AD213" i="20"/>
  <c r="AR213" i="20"/>
  <c r="BC213" i="20"/>
  <c r="BO213" i="20"/>
  <c r="CB213" i="20"/>
  <c r="CN213" i="20"/>
  <c r="CY213" i="20"/>
  <c r="T213" i="20"/>
  <c r="AK213" i="20"/>
  <c r="BE213" i="20"/>
  <c r="BY213" i="20"/>
  <c r="CQ213" i="20"/>
  <c r="V213" i="20"/>
  <c r="AS213" i="20"/>
  <c r="BJ213" i="20"/>
  <c r="CE213" i="20"/>
  <c r="CX213" i="20"/>
  <c r="Y213" i="20"/>
  <c r="AT213" i="20"/>
  <c r="BM213" i="20"/>
  <c r="CF213" i="20"/>
  <c r="CZ213" i="20"/>
  <c r="Q213" i="20"/>
  <c r="AV213" i="20"/>
  <c r="CC213" i="20"/>
  <c r="DF213" i="20"/>
  <c r="U213" i="20"/>
  <c r="BB213" i="20"/>
  <c r="CG213" i="20"/>
  <c r="DI213" i="20"/>
  <c r="AE213" i="20"/>
  <c r="BG213" i="20"/>
  <c r="CO213" i="20"/>
  <c r="AI213" i="20"/>
  <c r="BU213" i="20"/>
  <c r="U341" i="20"/>
  <c r="AC341" i="20"/>
  <c r="AK341" i="20"/>
  <c r="AS341" i="20"/>
  <c r="BA341" i="20"/>
  <c r="BI341" i="20"/>
  <c r="BQ341" i="20"/>
  <c r="BY341" i="20"/>
  <c r="CG341" i="20"/>
  <c r="CO341" i="20"/>
  <c r="CW341" i="20"/>
  <c r="DE341" i="20"/>
  <c r="W341" i="20"/>
  <c r="AE341" i="20"/>
  <c r="AM341" i="20"/>
  <c r="AU341" i="20"/>
  <c r="BC341" i="20"/>
  <c r="BK341" i="20"/>
  <c r="BS341" i="20"/>
  <c r="CA341" i="20"/>
  <c r="CI341" i="20"/>
  <c r="CQ341" i="20"/>
  <c r="CY341" i="20"/>
  <c r="DG341" i="20"/>
  <c r="S293" i="20"/>
  <c r="AA293" i="20"/>
  <c r="AI293" i="20"/>
  <c r="AQ293" i="20"/>
  <c r="AY293" i="20"/>
  <c r="BG293" i="20"/>
  <c r="BO293" i="20"/>
  <c r="BW293" i="20"/>
  <c r="CE293" i="20"/>
  <c r="CM293" i="20"/>
  <c r="CU293" i="20"/>
  <c r="DC293" i="20"/>
  <c r="DK293" i="20"/>
  <c r="V293" i="20"/>
  <c r="AE293" i="20"/>
  <c r="AN293" i="20"/>
  <c r="AW293" i="20"/>
  <c r="BF293" i="20"/>
  <c r="BP293" i="20"/>
  <c r="BY293" i="20"/>
  <c r="CH293" i="20"/>
  <c r="CQ293" i="20"/>
  <c r="CZ293" i="20"/>
  <c r="DI293" i="20"/>
  <c r="W293" i="20"/>
  <c r="AF293" i="20"/>
  <c r="AO293" i="20"/>
  <c r="AX293" i="20"/>
  <c r="BH293" i="20"/>
  <c r="BQ293" i="20"/>
  <c r="BZ293" i="20"/>
  <c r="CI293" i="20"/>
  <c r="CR293" i="20"/>
  <c r="DA293" i="20"/>
  <c r="DJ293" i="20"/>
  <c r="U293" i="20"/>
  <c r="AH293" i="20"/>
  <c r="AT293" i="20"/>
  <c r="BE293" i="20"/>
  <c r="BS293" i="20"/>
  <c r="CD293" i="20"/>
  <c r="CP293" i="20"/>
  <c r="DD293" i="20"/>
  <c r="X293" i="20"/>
  <c r="AJ293" i="20"/>
  <c r="AU293" i="20"/>
  <c r="BI293" i="20"/>
  <c r="BT293" i="20"/>
  <c r="CF293" i="20"/>
  <c r="CS293" i="20"/>
  <c r="DE293" i="20"/>
  <c r="Z293" i="20"/>
  <c r="AL293" i="20"/>
  <c r="AZ293" i="20"/>
  <c r="BK293" i="20"/>
  <c r="BV293" i="20"/>
  <c r="CJ293" i="20"/>
  <c r="CV293" i="20"/>
  <c r="DG293" i="20"/>
  <c r="W301" i="20"/>
  <c r="AE301" i="20"/>
  <c r="AM301" i="20"/>
  <c r="AU301" i="20"/>
  <c r="BC301" i="20"/>
  <c r="BK301" i="20"/>
  <c r="BS301" i="20"/>
  <c r="CA301" i="20"/>
  <c r="CI301" i="20"/>
  <c r="CQ301" i="20"/>
  <c r="CY301" i="20"/>
  <c r="DG301" i="20"/>
  <c r="X301" i="20"/>
  <c r="AF301" i="20"/>
  <c r="AN301" i="20"/>
  <c r="AV301" i="20"/>
  <c r="BD301" i="20"/>
  <c r="BL301" i="20"/>
  <c r="BT301" i="20"/>
  <c r="CB301" i="20"/>
  <c r="CJ301" i="20"/>
  <c r="CR301" i="20"/>
  <c r="CZ301" i="20"/>
  <c r="DH301" i="20"/>
  <c r="V301" i="20"/>
  <c r="AH301" i="20"/>
  <c r="AR301" i="20"/>
  <c r="BB301" i="20"/>
  <c r="BN301" i="20"/>
  <c r="BX301" i="20"/>
  <c r="CH301" i="20"/>
  <c r="CT301" i="20"/>
  <c r="DD301" i="20"/>
  <c r="Y301" i="20"/>
  <c r="AI301" i="20"/>
  <c r="AS301" i="20"/>
  <c r="BE301" i="20"/>
  <c r="BO301" i="20"/>
  <c r="BY301" i="20"/>
  <c r="CK301" i="20"/>
  <c r="CU301" i="20"/>
  <c r="DE301" i="20"/>
  <c r="Q301" i="20"/>
  <c r="AA301" i="20"/>
  <c r="AK301" i="20"/>
  <c r="AW301" i="20"/>
  <c r="BG301" i="20"/>
  <c r="BQ301" i="20"/>
  <c r="CC301" i="20"/>
  <c r="CM301" i="20"/>
  <c r="CW301" i="20"/>
  <c r="DI301" i="20"/>
  <c r="T164" i="20"/>
  <c r="AB164" i="20"/>
  <c r="AJ164" i="20"/>
  <c r="AR164" i="20"/>
  <c r="AZ164" i="20"/>
  <c r="BH164" i="20"/>
  <c r="BP164" i="20"/>
  <c r="BX164" i="20"/>
  <c r="CF164" i="20"/>
  <c r="CN164" i="20"/>
  <c r="CV164" i="20"/>
  <c r="DD164" i="20"/>
  <c r="DL164" i="20"/>
  <c r="X164" i="20"/>
  <c r="AF164" i="20"/>
  <c r="AN164" i="20"/>
  <c r="AV164" i="20"/>
  <c r="BD164" i="20"/>
  <c r="BL164" i="20"/>
  <c r="BT164" i="20"/>
  <c r="CB164" i="20"/>
  <c r="CJ164" i="20"/>
  <c r="CR164" i="20"/>
  <c r="CZ164" i="20"/>
  <c r="DH164" i="20"/>
  <c r="Y164" i="20"/>
  <c r="AI164" i="20"/>
  <c r="AT164" i="20"/>
  <c r="BE164" i="20"/>
  <c r="BO164" i="20"/>
  <c r="BZ164" i="20"/>
  <c r="CK164" i="20"/>
  <c r="CU164" i="20"/>
  <c r="DF164" i="20"/>
  <c r="Z164" i="20"/>
  <c r="AK164" i="20"/>
  <c r="AU164" i="20"/>
  <c r="BF164" i="20"/>
  <c r="BQ164" i="20"/>
  <c r="CA164" i="20"/>
  <c r="CL164" i="20"/>
  <c r="CW164" i="20"/>
  <c r="DG164" i="20"/>
  <c r="V164" i="20"/>
  <c r="AL164" i="20"/>
  <c r="AY164" i="20"/>
  <c r="BM164" i="20"/>
  <c r="CC164" i="20"/>
  <c r="CP164" i="20"/>
  <c r="DC164" i="20"/>
  <c r="W164" i="20"/>
  <c r="AM164" i="20"/>
  <c r="BA164" i="20"/>
  <c r="BN164" i="20"/>
  <c r="CD164" i="20"/>
  <c r="CQ164" i="20"/>
  <c r="DE164" i="20"/>
  <c r="AC164" i="20"/>
  <c r="AP164" i="20"/>
  <c r="BC164" i="20"/>
  <c r="BS164" i="20"/>
  <c r="CG164" i="20"/>
  <c r="CT164" i="20"/>
  <c r="DJ164" i="20"/>
  <c r="R164" i="20"/>
  <c r="AO164" i="20"/>
  <c r="BJ164" i="20"/>
  <c r="CH164" i="20"/>
  <c r="DB164" i="20"/>
  <c r="S164" i="20"/>
  <c r="AQ164" i="20"/>
  <c r="BK164" i="20"/>
  <c r="CI164" i="20"/>
  <c r="DI164" i="20"/>
  <c r="U164" i="20"/>
  <c r="AS164" i="20"/>
  <c r="BR164" i="20"/>
  <c r="CM164" i="20"/>
  <c r="DK164" i="20"/>
  <c r="AD164" i="20"/>
  <c r="AX164" i="20"/>
  <c r="BV164" i="20"/>
  <c r="CS164" i="20"/>
  <c r="Q164" i="20"/>
  <c r="BI164" i="20"/>
  <c r="DA164" i="20"/>
  <c r="AA164" i="20"/>
  <c r="BU164" i="20"/>
  <c r="AE164" i="20"/>
  <c r="BW164" i="20"/>
  <c r="AG164" i="20"/>
  <c r="BY164" i="20"/>
  <c r="AW164" i="20"/>
  <c r="BB164" i="20"/>
  <c r="BG164" i="20"/>
  <c r="CE164" i="20"/>
  <c r="CO164" i="20"/>
  <c r="CX164" i="20"/>
  <c r="AH164" i="20"/>
  <c r="V248" i="20"/>
  <c r="AD248" i="20"/>
  <c r="AL248" i="20"/>
  <c r="AT248" i="20"/>
  <c r="BB248" i="20"/>
  <c r="BJ248" i="20"/>
  <c r="BR248" i="20"/>
  <c r="BZ248" i="20"/>
  <c r="CH248" i="20"/>
  <c r="CP248" i="20"/>
  <c r="CX248" i="20"/>
  <c r="DF248" i="20"/>
  <c r="R248" i="20"/>
  <c r="AA248" i="20"/>
  <c r="AJ248" i="20"/>
  <c r="AS248" i="20"/>
  <c r="BC248" i="20"/>
  <c r="BL248" i="20"/>
  <c r="BU248" i="20"/>
  <c r="CD248" i="20"/>
  <c r="CM248" i="20"/>
  <c r="CV248" i="20"/>
  <c r="DE248" i="20"/>
  <c r="U248" i="20"/>
  <c r="AE248" i="20"/>
  <c r="AN248" i="20"/>
  <c r="AW248" i="20"/>
  <c r="BF248" i="20"/>
  <c r="BO248" i="20"/>
  <c r="BX248" i="20"/>
  <c r="CG248" i="20"/>
  <c r="CQ248" i="20"/>
  <c r="CZ248" i="20"/>
  <c r="DI248" i="20"/>
  <c r="X248" i="20"/>
  <c r="AI248" i="20"/>
  <c r="AV248" i="20"/>
  <c r="BH248" i="20"/>
  <c r="BT248" i="20"/>
  <c r="CF248" i="20"/>
  <c r="CS248" i="20"/>
  <c r="DD248" i="20"/>
  <c r="Z248" i="20"/>
  <c r="AM248" i="20"/>
  <c r="AY248" i="20"/>
  <c r="BK248" i="20"/>
  <c r="BW248" i="20"/>
  <c r="CJ248" i="20"/>
  <c r="CU248" i="20"/>
  <c r="DH248" i="20"/>
  <c r="AB248" i="20"/>
  <c r="AO248" i="20"/>
  <c r="AZ248" i="20"/>
  <c r="BM248" i="20"/>
  <c r="BY248" i="20"/>
  <c r="CK248" i="20"/>
  <c r="CW248" i="20"/>
  <c r="DJ248" i="20"/>
  <c r="AG248" i="20"/>
  <c r="BA248" i="20"/>
  <c r="BS248" i="20"/>
  <c r="CN248" i="20"/>
  <c r="DG248" i="20"/>
  <c r="Q248" i="20"/>
  <c r="AH248" i="20"/>
  <c r="BD248" i="20"/>
  <c r="BV248" i="20"/>
  <c r="CO248" i="20"/>
  <c r="DK248" i="20"/>
  <c r="T248" i="20"/>
  <c r="AP248" i="20"/>
  <c r="BG248" i="20"/>
  <c r="CB248" i="20"/>
  <c r="CT248" i="20"/>
  <c r="W262" i="20"/>
  <c r="AE262" i="20"/>
  <c r="AM262" i="20"/>
  <c r="AU262" i="20"/>
  <c r="BC262" i="20"/>
  <c r="BK262" i="20"/>
  <c r="BS262" i="20"/>
  <c r="CA262" i="20"/>
  <c r="CI262" i="20"/>
  <c r="CQ262" i="20"/>
  <c r="CY262" i="20"/>
  <c r="DG262" i="20"/>
  <c r="V262" i="20"/>
  <c r="AF262" i="20"/>
  <c r="AO262" i="20"/>
  <c r="AX262" i="20"/>
  <c r="BG262" i="20"/>
  <c r="BP262" i="20"/>
  <c r="BY262" i="20"/>
  <c r="CH262" i="20"/>
  <c r="CR262" i="20"/>
  <c r="DA262" i="20"/>
  <c r="DJ262" i="20"/>
  <c r="X262" i="20"/>
  <c r="AG262" i="20"/>
  <c r="AP262" i="20"/>
  <c r="AY262" i="20"/>
  <c r="BH262" i="20"/>
  <c r="BQ262" i="20"/>
  <c r="BZ262" i="20"/>
  <c r="CJ262" i="20"/>
  <c r="CS262" i="20"/>
  <c r="DB262" i="20"/>
  <c r="DK262" i="20"/>
  <c r="Z262" i="20"/>
  <c r="AK262" i="20"/>
  <c r="AW262" i="20"/>
  <c r="BJ262" i="20"/>
  <c r="BV262" i="20"/>
  <c r="CG262" i="20"/>
  <c r="CU262" i="20"/>
  <c r="DF262" i="20"/>
  <c r="AA262" i="20"/>
  <c r="AL262" i="20"/>
  <c r="AZ262" i="20"/>
  <c r="BL262" i="20"/>
  <c r="BW262" i="20"/>
  <c r="CK262" i="20"/>
  <c r="CV262" i="20"/>
  <c r="DH262" i="20"/>
  <c r="R262" i="20"/>
  <c r="AC262" i="20"/>
  <c r="AQ262" i="20"/>
  <c r="BB262" i="20"/>
  <c r="BN262" i="20"/>
  <c r="CB262" i="20"/>
  <c r="CM262" i="20"/>
  <c r="CX262" i="20"/>
  <c r="DL262" i="20"/>
  <c r="S295" i="20"/>
  <c r="AA295" i="20"/>
  <c r="AI295" i="20"/>
  <c r="AQ295" i="20"/>
  <c r="AY295" i="20"/>
  <c r="BG295" i="20"/>
  <c r="BO295" i="20"/>
  <c r="BW295" i="20"/>
  <c r="CE295" i="20"/>
  <c r="W295" i="20"/>
  <c r="AF295" i="20"/>
  <c r="AO295" i="20"/>
  <c r="AX295" i="20"/>
  <c r="BH295" i="20"/>
  <c r="BQ295" i="20"/>
  <c r="BZ295" i="20"/>
  <c r="CI295" i="20"/>
  <c r="CQ295" i="20"/>
  <c r="CY295" i="20"/>
  <c r="DG295" i="20"/>
  <c r="X295" i="20"/>
  <c r="AG295" i="20"/>
  <c r="AP295" i="20"/>
  <c r="AZ295" i="20"/>
  <c r="BI295" i="20"/>
  <c r="BR295" i="20"/>
  <c r="CA295" i="20"/>
  <c r="CJ295" i="20"/>
  <c r="CR295" i="20"/>
  <c r="CZ295" i="20"/>
  <c r="DH295" i="20"/>
  <c r="Q295" i="20"/>
  <c r="AC295" i="20"/>
  <c r="AN295" i="20"/>
  <c r="BB295" i="20"/>
  <c r="BM295" i="20"/>
  <c r="BY295" i="20"/>
  <c r="CL295" i="20"/>
  <c r="CV295" i="20"/>
  <c r="DF295" i="20"/>
  <c r="R295" i="20"/>
  <c r="AD295" i="20"/>
  <c r="AR295" i="20"/>
  <c r="BC295" i="20"/>
  <c r="BN295" i="20"/>
  <c r="CB295" i="20"/>
  <c r="CM295" i="20"/>
  <c r="CW295" i="20"/>
  <c r="DI295" i="20"/>
  <c r="U295" i="20"/>
  <c r="AH295" i="20"/>
  <c r="AT295" i="20"/>
  <c r="BE295" i="20"/>
  <c r="BS295" i="20"/>
  <c r="CD295" i="20"/>
  <c r="CO295" i="20"/>
  <c r="DA295" i="20"/>
  <c r="DK295" i="20"/>
  <c r="W39" i="20"/>
  <c r="AE39" i="20"/>
  <c r="AM39" i="20"/>
  <c r="AU39" i="20"/>
  <c r="BC39" i="20"/>
  <c r="BK39" i="20"/>
  <c r="BS39" i="20"/>
  <c r="CA39" i="20"/>
  <c r="CI39" i="20"/>
  <c r="CQ39" i="20"/>
  <c r="CY39" i="20"/>
  <c r="DG39" i="20"/>
  <c r="S39" i="20"/>
  <c r="AB39" i="20"/>
  <c r="AK39" i="20"/>
  <c r="AT39" i="20"/>
  <c r="BD39" i="20"/>
  <c r="BM39" i="20"/>
  <c r="BV39" i="20"/>
  <c r="CE39" i="20"/>
  <c r="CN39" i="20"/>
  <c r="CW39" i="20"/>
  <c r="DF39" i="20"/>
  <c r="T39" i="20"/>
  <c r="AC39" i="20"/>
  <c r="AL39" i="20"/>
  <c r="AV39" i="20"/>
  <c r="BE39" i="20"/>
  <c r="BN39" i="20"/>
  <c r="BW39" i="20"/>
  <c r="CF39" i="20"/>
  <c r="CO39" i="20"/>
  <c r="CX39" i="20"/>
  <c r="DH39" i="20"/>
  <c r="Q39" i="20"/>
  <c r="AD39" i="20"/>
  <c r="AP39" i="20"/>
  <c r="BA39" i="20"/>
  <c r="BO39" i="20"/>
  <c r="BZ39" i="20"/>
  <c r="CL39" i="20"/>
  <c r="CZ39" i="20"/>
  <c r="DK39" i="20"/>
  <c r="U39" i="20"/>
  <c r="AH39" i="20"/>
  <c r="AW39" i="20"/>
  <c r="BI39" i="20"/>
  <c r="BX39" i="20"/>
  <c r="CK39" i="20"/>
  <c r="DA39" i="20"/>
  <c r="V39" i="20"/>
  <c r="AI39" i="20"/>
  <c r="Y39" i="20"/>
  <c r="AN39" i="20"/>
  <c r="AZ39" i="20"/>
  <c r="BP39" i="20"/>
  <c r="CC39" i="20"/>
  <c r="CR39" i="20"/>
  <c r="DD39" i="20"/>
  <c r="AA39" i="20"/>
  <c r="AX39" i="20"/>
  <c r="BQ39" i="20"/>
  <c r="CH39" i="20"/>
  <c r="DB39" i="20"/>
  <c r="R39" i="20"/>
  <c r="AQ39" i="20"/>
  <c r="BH39" i="20"/>
  <c r="CB39" i="20"/>
  <c r="CT39" i="20"/>
  <c r="DL39" i="20"/>
  <c r="Z39" i="20"/>
  <c r="BB39" i="20"/>
  <c r="BY39" i="20"/>
  <c r="CV39" i="20"/>
  <c r="AF39" i="20"/>
  <c r="BF39" i="20"/>
  <c r="CD39" i="20"/>
  <c r="DC39" i="20"/>
  <c r="AG39" i="20"/>
  <c r="BG39" i="20"/>
  <c r="CG39" i="20"/>
  <c r="DE39" i="20"/>
  <c r="AJ39" i="20"/>
  <c r="BJ39" i="20"/>
  <c r="CJ39" i="20"/>
  <c r="DI39" i="20"/>
  <c r="AO39" i="20"/>
  <c r="CM39" i="20"/>
  <c r="AR39" i="20"/>
  <c r="CP39" i="20"/>
  <c r="AS39" i="20"/>
  <c r="CS39" i="20"/>
  <c r="AY39" i="20"/>
  <c r="CU39" i="20"/>
  <c r="BL39" i="20"/>
  <c r="DJ39" i="20"/>
  <c r="BU39" i="20"/>
  <c r="X39" i="20"/>
  <c r="BR39" i="20"/>
  <c r="BT39" i="20"/>
  <c r="K400" i="20"/>
  <c r="K109" i="20"/>
  <c r="K132" i="20"/>
  <c r="K45" i="20"/>
  <c r="K195" i="20"/>
  <c r="K143" i="20"/>
  <c r="K289" i="20"/>
  <c r="K83" i="20"/>
  <c r="K254" i="20"/>
  <c r="K252" i="20"/>
  <c r="K155" i="20"/>
  <c r="K49" i="20"/>
  <c r="K389" i="20"/>
  <c r="K142" i="20"/>
  <c r="K307" i="20"/>
  <c r="K25" i="20"/>
  <c r="K166" i="20"/>
  <c r="K20" i="20"/>
  <c r="K347" i="20"/>
  <c r="DH2" i="20"/>
  <c r="CZ2" i="20"/>
  <c r="CR2" i="20"/>
  <c r="CJ2" i="20"/>
  <c r="CB2" i="20"/>
  <c r="BT2" i="20"/>
  <c r="BL2" i="20"/>
  <c r="BD2" i="20"/>
  <c r="AV2" i="20"/>
  <c r="AN2" i="20"/>
  <c r="AF2" i="20"/>
  <c r="X2" i="20"/>
  <c r="DK417" i="20"/>
  <c r="DC417" i="20"/>
  <c r="CU417" i="20"/>
  <c r="CM417" i="20"/>
  <c r="CE417" i="20"/>
  <c r="BW417" i="20"/>
  <c r="BO417" i="20"/>
  <c r="BG417" i="20"/>
  <c r="AY417" i="20"/>
  <c r="AQ417" i="20"/>
  <c r="AI417" i="20"/>
  <c r="AA417" i="20"/>
  <c r="S417" i="20"/>
  <c r="DK409" i="20"/>
  <c r="DC409" i="20"/>
  <c r="CU409" i="20"/>
  <c r="CM409" i="20"/>
  <c r="CE409" i="20"/>
  <c r="BW409" i="20"/>
  <c r="BO409" i="20"/>
  <c r="BG409" i="20"/>
  <c r="AY409" i="20"/>
  <c r="AQ409" i="20"/>
  <c r="AI409" i="20"/>
  <c r="AA409" i="20"/>
  <c r="S409" i="20"/>
  <c r="DG404" i="20"/>
  <c r="CY404" i="20"/>
  <c r="CQ404" i="20"/>
  <c r="CI404" i="20"/>
  <c r="CA404" i="20"/>
  <c r="BS404" i="20"/>
  <c r="BK404" i="20"/>
  <c r="BC404" i="20"/>
  <c r="AU404" i="20"/>
  <c r="AM404" i="20"/>
  <c r="AE404" i="20"/>
  <c r="W404" i="20"/>
  <c r="DK397" i="20"/>
  <c r="DC397" i="20"/>
  <c r="CU397" i="20"/>
  <c r="CM397" i="20"/>
  <c r="CE397" i="20"/>
  <c r="BW397" i="20"/>
  <c r="BO397" i="20"/>
  <c r="BG397" i="20"/>
  <c r="AY397" i="20"/>
  <c r="AQ397" i="20"/>
  <c r="AI397" i="20"/>
  <c r="AA397" i="20"/>
  <c r="S397" i="20"/>
  <c r="DK395" i="20"/>
  <c r="DC395" i="20"/>
  <c r="CU395" i="20"/>
  <c r="CM395" i="20"/>
  <c r="CE395" i="20"/>
  <c r="BW395" i="20"/>
  <c r="BO395" i="20"/>
  <c r="BG395" i="20"/>
  <c r="AY395" i="20"/>
  <c r="AQ395" i="20"/>
  <c r="AI395" i="20"/>
  <c r="AA395" i="20"/>
  <c r="S395" i="20"/>
  <c r="DK393" i="20"/>
  <c r="DC393" i="20"/>
  <c r="CU393" i="20"/>
  <c r="CM393" i="20"/>
  <c r="CE393" i="20"/>
  <c r="BW393" i="20"/>
  <c r="BO393" i="20"/>
  <c r="BG393" i="20"/>
  <c r="AY393" i="20"/>
  <c r="AQ393" i="20"/>
  <c r="AI393" i="20"/>
  <c r="AA393" i="20"/>
  <c r="S393" i="20"/>
  <c r="DE390" i="20"/>
  <c r="CV390" i="20"/>
  <c r="CM390" i="20"/>
  <c r="CD390" i="20"/>
  <c r="BT390" i="20"/>
  <c r="BK390" i="20"/>
  <c r="BB390" i="20"/>
  <c r="AS390" i="20"/>
  <c r="AJ390" i="20"/>
  <c r="AA390" i="20"/>
  <c r="R390" i="20"/>
  <c r="DD389" i="20"/>
  <c r="CU389" i="20"/>
  <c r="CL389" i="20"/>
  <c r="CC389" i="20"/>
  <c r="BT389" i="20"/>
  <c r="BK389" i="20"/>
  <c r="BB389" i="20"/>
  <c r="AR389" i="20"/>
  <c r="AI389" i="20"/>
  <c r="Z389" i="20"/>
  <c r="DK385" i="20"/>
  <c r="DB385" i="20"/>
  <c r="CS385" i="20"/>
  <c r="CJ385" i="20"/>
  <c r="CA385" i="20"/>
  <c r="BR385" i="20"/>
  <c r="BH385" i="20"/>
  <c r="AY385" i="20"/>
  <c r="AP385" i="20"/>
  <c r="AG385" i="20"/>
  <c r="DG378" i="20"/>
  <c r="CX378" i="20"/>
  <c r="CO378" i="20"/>
  <c r="CF378" i="20"/>
  <c r="BW378" i="20"/>
  <c r="BN378" i="20"/>
  <c r="BD378" i="20"/>
  <c r="AU378" i="20"/>
  <c r="AL378" i="20"/>
  <c r="AC378" i="20"/>
  <c r="DF375" i="20"/>
  <c r="CV375" i="20"/>
  <c r="CM375" i="20"/>
  <c r="CD375" i="20"/>
  <c r="BU375" i="20"/>
  <c r="BL375" i="20"/>
  <c r="BC375" i="20"/>
  <c r="AT375" i="20"/>
  <c r="AJ375" i="20"/>
  <c r="AA375" i="20"/>
  <c r="R375" i="20"/>
  <c r="DD372" i="20"/>
  <c r="CU372" i="20"/>
  <c r="CL372" i="20"/>
  <c r="CB372" i="20"/>
  <c r="BS372" i="20"/>
  <c r="BJ372" i="20"/>
  <c r="BA372" i="20"/>
  <c r="AR372" i="20"/>
  <c r="AI372" i="20"/>
  <c r="DL370" i="20"/>
  <c r="DC370" i="20"/>
  <c r="CT370" i="20"/>
  <c r="CJ370" i="20"/>
  <c r="CA370" i="20"/>
  <c r="BR370" i="20"/>
  <c r="BI370" i="20"/>
  <c r="AZ370" i="20"/>
  <c r="AQ370" i="20"/>
  <c r="AH370" i="20"/>
  <c r="DK369" i="20"/>
  <c r="DB369" i="20"/>
  <c r="CS369" i="20"/>
  <c r="CJ369" i="20"/>
  <c r="CA369" i="20"/>
  <c r="BR369" i="20"/>
  <c r="BH369" i="20"/>
  <c r="AY369" i="20"/>
  <c r="AP369" i="20"/>
  <c r="AG369" i="20"/>
  <c r="X369" i="20"/>
  <c r="DJ367" i="20"/>
  <c r="DA367" i="20"/>
  <c r="CR367" i="20"/>
  <c r="CI367" i="20"/>
  <c r="BZ367" i="20"/>
  <c r="BP367" i="20"/>
  <c r="BG367" i="20"/>
  <c r="AX367" i="20"/>
  <c r="AO367" i="20"/>
  <c r="AF367" i="20"/>
  <c r="DI365" i="20"/>
  <c r="CZ365" i="20"/>
  <c r="CQ365" i="20"/>
  <c r="CH365" i="20"/>
  <c r="BX365" i="20"/>
  <c r="BO365" i="20"/>
  <c r="BF365" i="20"/>
  <c r="AW365" i="20"/>
  <c r="AN365" i="20"/>
  <c r="AE365" i="20"/>
  <c r="V365" i="20"/>
  <c r="DH364" i="20"/>
  <c r="CY364" i="20"/>
  <c r="CP364" i="20"/>
  <c r="CG364" i="20"/>
  <c r="BX364" i="20"/>
  <c r="BO364" i="20"/>
  <c r="BF364" i="20"/>
  <c r="AV364" i="20"/>
  <c r="AM364" i="20"/>
  <c r="AD364" i="20"/>
  <c r="DL360" i="20"/>
  <c r="CZ360" i="20"/>
  <c r="CP360" i="20"/>
  <c r="CF360" i="20"/>
  <c r="BT360" i="20"/>
  <c r="BJ360" i="20"/>
  <c r="AZ360" i="20"/>
  <c r="AN360" i="20"/>
  <c r="AD360" i="20"/>
  <c r="DH353" i="20"/>
  <c r="CV353" i="20"/>
  <c r="CL353" i="20"/>
  <c r="CB353" i="20"/>
  <c r="BP353" i="20"/>
  <c r="BF353" i="20"/>
  <c r="AV353" i="20"/>
  <c r="AJ353" i="20"/>
  <c r="DL352" i="20"/>
  <c r="CZ352" i="20"/>
  <c r="CP352" i="20"/>
  <c r="CF352" i="20"/>
  <c r="BT352" i="20"/>
  <c r="BJ352" i="20"/>
  <c r="AZ352" i="20"/>
  <c r="AN352" i="20"/>
  <c r="AD352" i="20"/>
  <c r="DL341" i="20"/>
  <c r="DB341" i="20"/>
  <c r="CR341" i="20"/>
  <c r="CF341" i="20"/>
  <c r="BV341" i="20"/>
  <c r="BL341" i="20"/>
  <c r="AZ341" i="20"/>
  <c r="AP341" i="20"/>
  <c r="AF341" i="20"/>
  <c r="T341" i="20"/>
  <c r="DF340" i="20"/>
  <c r="CV340" i="20"/>
  <c r="CJ340" i="20"/>
  <c r="BZ340" i="20"/>
  <c r="BP340" i="20"/>
  <c r="BD340" i="20"/>
  <c r="AT340" i="20"/>
  <c r="AJ340" i="20"/>
  <c r="X340" i="20"/>
  <c r="DD335" i="20"/>
  <c r="CT335" i="20"/>
  <c r="CJ335" i="20"/>
  <c r="BX335" i="20"/>
  <c r="BN335" i="20"/>
  <c r="BD335" i="20"/>
  <c r="AR335" i="20"/>
  <c r="AH335" i="20"/>
  <c r="X335" i="20"/>
  <c r="DD330" i="20"/>
  <c r="CR330" i="20"/>
  <c r="CH330" i="20"/>
  <c r="BX330" i="20"/>
  <c r="BL330" i="20"/>
  <c r="BB330" i="20"/>
  <c r="AR330" i="20"/>
  <c r="AF330" i="20"/>
  <c r="V330" i="20"/>
  <c r="DL325" i="20"/>
  <c r="CX325" i="20"/>
  <c r="CH325" i="20"/>
  <c r="BV325" i="20"/>
  <c r="BH325" i="20"/>
  <c r="AR325" i="20"/>
  <c r="AD325" i="20"/>
  <c r="R325" i="20"/>
  <c r="DL323" i="20"/>
  <c r="CX323" i="20"/>
  <c r="CL323" i="20"/>
  <c r="BV323" i="20"/>
  <c r="BH323" i="20"/>
  <c r="AT323" i="20"/>
  <c r="AD323" i="20"/>
  <c r="R323" i="20"/>
  <c r="CX321" i="20"/>
  <c r="CL321" i="20"/>
  <c r="BX321" i="20"/>
  <c r="BH321" i="20"/>
  <c r="AT321" i="20"/>
  <c r="AH321" i="20"/>
  <c r="R321" i="20"/>
  <c r="DB319" i="20"/>
  <c r="CL319" i="20"/>
  <c r="BX319" i="20"/>
  <c r="BJ319" i="20"/>
  <c r="AT319" i="20"/>
  <c r="AH319" i="20"/>
  <c r="T319" i="20"/>
  <c r="CY318" i="20"/>
  <c r="CJ318" i="20"/>
  <c r="BR318" i="20"/>
  <c r="BB318" i="20"/>
  <c r="AK318" i="20"/>
  <c r="Q318" i="20"/>
  <c r="DH314" i="20"/>
  <c r="CQ314" i="20"/>
  <c r="BY314" i="20"/>
  <c r="BJ314" i="20"/>
  <c r="AP314" i="20"/>
  <c r="Z314" i="20"/>
  <c r="DA312" i="20"/>
  <c r="CL312" i="20"/>
  <c r="BT312" i="20"/>
  <c r="BD312" i="20"/>
  <c r="AM312" i="20"/>
  <c r="U312" i="20"/>
  <c r="DL309" i="20"/>
  <c r="CV309" i="20"/>
  <c r="CE309" i="20"/>
  <c r="BM309" i="20"/>
  <c r="AX309" i="20"/>
  <c r="AD309" i="20"/>
  <c r="DI307" i="20"/>
  <c r="CO307" i="20"/>
  <c r="BZ307" i="20"/>
  <c r="BH307" i="20"/>
  <c r="AR307" i="20"/>
  <c r="AA307" i="20"/>
  <c r="DD305" i="20"/>
  <c r="CL305" i="20"/>
  <c r="BV305" i="20"/>
  <c r="BE305" i="20"/>
  <c r="AK305" i="20"/>
  <c r="V305" i="20"/>
  <c r="DK301" i="20"/>
  <c r="CS301" i="20"/>
  <c r="CD301" i="20"/>
  <c r="BJ301" i="20"/>
  <c r="AT301" i="20"/>
  <c r="AC301" i="20"/>
  <c r="CU295" i="20"/>
  <c r="CF295" i="20"/>
  <c r="BK295" i="20"/>
  <c r="AS295" i="20"/>
  <c r="Y295" i="20"/>
  <c r="DB293" i="20"/>
  <c r="CK293" i="20"/>
  <c r="BN293" i="20"/>
  <c r="AV293" i="20"/>
  <c r="AC293" i="20"/>
  <c r="DK282" i="20"/>
  <c r="CP282" i="20"/>
  <c r="BX282" i="20"/>
  <c r="BE282" i="20"/>
  <c r="AJ282" i="20"/>
  <c r="S282" i="20"/>
  <c r="CV272" i="20"/>
  <c r="CC272" i="20"/>
  <c r="BH272" i="20"/>
  <c r="AQ272" i="20"/>
  <c r="V272" i="20"/>
  <c r="CV265" i="20"/>
  <c r="BY265" i="20"/>
  <c r="BH265" i="20"/>
  <c r="AM265" i="20"/>
  <c r="U265" i="20"/>
  <c r="CY263" i="20"/>
  <c r="CD263" i="20"/>
  <c r="BM263" i="20"/>
  <c r="AS263" i="20"/>
  <c r="Z263" i="20"/>
  <c r="DC262" i="20"/>
  <c r="CF262" i="20"/>
  <c r="BO262" i="20"/>
  <c r="AT262" i="20"/>
  <c r="AB262" i="20"/>
  <c r="CZ252" i="20"/>
  <c r="BX252" i="20"/>
  <c r="AV252" i="20"/>
  <c r="V252" i="20"/>
  <c r="CN251" i="20"/>
  <c r="BQ251" i="20"/>
  <c r="AM251" i="20"/>
  <c r="DC248" i="20"/>
  <c r="CC248" i="20"/>
  <c r="AU248" i="20"/>
  <c r="S248" i="20"/>
  <c r="CA229" i="20"/>
  <c r="AR229" i="20"/>
  <c r="CZ222" i="20"/>
  <c r="BC222" i="20"/>
  <c r="CZ217" i="20"/>
  <c r="AU217" i="20"/>
  <c r="DD213" i="20"/>
  <c r="AU213" i="20"/>
  <c r="CQ212" i="20"/>
  <c r="AK212" i="20"/>
  <c r="BI210" i="20"/>
  <c r="DG200" i="20"/>
  <c r="X200" i="20"/>
  <c r="BJ197" i="20"/>
  <c r="AP190" i="20"/>
  <c r="BD176" i="20"/>
  <c r="DF166" i="20"/>
  <c r="BJ156" i="20"/>
  <c r="DB330" i="20"/>
  <c r="CQ330" i="20"/>
  <c r="CG330" i="20"/>
  <c r="BV330" i="20"/>
  <c r="BK330" i="20"/>
  <c r="BA330" i="20"/>
  <c r="AP330" i="20"/>
  <c r="AE330" i="20"/>
  <c r="DK325" i="20"/>
  <c r="CV325" i="20"/>
  <c r="CG325" i="20"/>
  <c r="BU325" i="20"/>
  <c r="BF325" i="20"/>
  <c r="AQ325" i="20"/>
  <c r="DK323" i="20"/>
  <c r="CW323" i="20"/>
  <c r="CH323" i="20"/>
  <c r="BU323" i="20"/>
  <c r="BG323" i="20"/>
  <c r="AR323" i="20"/>
  <c r="AC323" i="20"/>
  <c r="Q323" i="20"/>
  <c r="DL321" i="20"/>
  <c r="CW321" i="20"/>
  <c r="CK321" i="20"/>
  <c r="BV321" i="20"/>
  <c r="BG321" i="20"/>
  <c r="AS321" i="20"/>
  <c r="AD321" i="20"/>
  <c r="CX319" i="20"/>
  <c r="CK319" i="20"/>
  <c r="BW319" i="20"/>
  <c r="BH319" i="20"/>
  <c r="AS319" i="20"/>
  <c r="AG319" i="20"/>
  <c r="R319" i="20"/>
  <c r="CX318" i="20"/>
  <c r="CH318" i="20"/>
  <c r="BQ318" i="20"/>
  <c r="AW318" i="20"/>
  <c r="DE314" i="20"/>
  <c r="CP314" i="20"/>
  <c r="BV314" i="20"/>
  <c r="BF314" i="20"/>
  <c r="AO314" i="20"/>
  <c r="CZ312" i="20"/>
  <c r="CJ312" i="20"/>
  <c r="BS312" i="20"/>
  <c r="BA312" i="20"/>
  <c r="AL312" i="20"/>
  <c r="DK309" i="20"/>
  <c r="CS309" i="20"/>
  <c r="CD309" i="20"/>
  <c r="BJ309" i="20"/>
  <c r="AT309" i="20"/>
  <c r="DF307" i="20"/>
  <c r="CN307" i="20"/>
  <c r="BX307" i="20"/>
  <c r="BG307" i="20"/>
  <c r="AO307" i="20"/>
  <c r="DB305" i="20"/>
  <c r="CK305" i="20"/>
  <c r="BQ305" i="20"/>
  <c r="BB305" i="20"/>
  <c r="AJ305" i="20"/>
  <c r="DJ301" i="20"/>
  <c r="CP301" i="20"/>
  <c r="BZ301" i="20"/>
  <c r="BI301" i="20"/>
  <c r="AQ301" i="20"/>
  <c r="AB301" i="20"/>
  <c r="DL295" i="20"/>
  <c r="CT295" i="20"/>
  <c r="CC295" i="20"/>
  <c r="BJ295" i="20"/>
  <c r="AM295" i="20"/>
  <c r="V295" i="20"/>
  <c r="CY293" i="20"/>
  <c r="CG293" i="20"/>
  <c r="BM293" i="20"/>
  <c r="AS293" i="20"/>
  <c r="AB293" i="20"/>
  <c r="DI282" i="20"/>
  <c r="CO282" i="20"/>
  <c r="BU282" i="20"/>
  <c r="BD282" i="20"/>
  <c r="CS272" i="20"/>
  <c r="CB272" i="20"/>
  <c r="BG272" i="20"/>
  <c r="AO272" i="20"/>
  <c r="U272" i="20"/>
  <c r="DI265" i="20"/>
  <c r="CR265" i="20"/>
  <c r="BX265" i="20"/>
  <c r="BE265" i="20"/>
  <c r="AL265" i="20"/>
  <c r="Q265" i="20"/>
  <c r="CX263" i="20"/>
  <c r="CC263" i="20"/>
  <c r="BK263" i="20"/>
  <c r="AR263" i="20"/>
  <c r="U263" i="20"/>
  <c r="CZ262" i="20"/>
  <c r="CE262" i="20"/>
  <c r="BM262" i="20"/>
  <c r="AS262" i="20"/>
  <c r="Y262" i="20"/>
  <c r="CV252" i="20"/>
  <c r="BT252" i="20"/>
  <c r="AR252" i="20"/>
  <c r="S252" i="20"/>
  <c r="CL251" i="20"/>
  <c r="BK251" i="20"/>
  <c r="AK251" i="20"/>
  <c r="DB248" i="20"/>
  <c r="CA248" i="20"/>
  <c r="AR248" i="20"/>
  <c r="BX229" i="20"/>
  <c r="AK229" i="20"/>
  <c r="CR222" i="20"/>
  <c r="CW217" i="20"/>
  <c r="CU213" i="20"/>
  <c r="AN213" i="20"/>
  <c r="CE212" i="20"/>
  <c r="S212" i="20"/>
  <c r="DL210" i="20"/>
  <c r="BD210" i="20"/>
  <c r="CW200" i="20"/>
  <c r="AZ197" i="20"/>
  <c r="AJ190" i="20"/>
  <c r="CC159" i="20"/>
  <c r="Q352" i="20"/>
  <c r="Y352" i="20"/>
  <c r="AG352" i="20"/>
  <c r="AO352" i="20"/>
  <c r="AW352" i="20"/>
  <c r="BE352" i="20"/>
  <c r="BM352" i="20"/>
  <c r="BU352" i="20"/>
  <c r="CC352" i="20"/>
  <c r="CK352" i="20"/>
  <c r="CS352" i="20"/>
  <c r="DA352" i="20"/>
  <c r="DI352" i="20"/>
  <c r="S352" i="20"/>
  <c r="AA352" i="20"/>
  <c r="AI352" i="20"/>
  <c r="AQ352" i="20"/>
  <c r="AY352" i="20"/>
  <c r="BG352" i="20"/>
  <c r="BO352" i="20"/>
  <c r="BW352" i="20"/>
  <c r="CE352" i="20"/>
  <c r="CM352" i="20"/>
  <c r="CU352" i="20"/>
  <c r="DC352" i="20"/>
  <c r="DK352" i="20"/>
  <c r="W113" i="20"/>
  <c r="AE113" i="20"/>
  <c r="AM113" i="20"/>
  <c r="AU113" i="20"/>
  <c r="BC113" i="20"/>
  <c r="BK113" i="20"/>
  <c r="BS113" i="20"/>
  <c r="CA113" i="20"/>
  <c r="CI113" i="20"/>
  <c r="CQ113" i="20"/>
  <c r="CY113" i="20"/>
  <c r="DG113" i="20"/>
  <c r="X113" i="20"/>
  <c r="AF113" i="20"/>
  <c r="AN113" i="20"/>
  <c r="AV113" i="20"/>
  <c r="BD113" i="20"/>
  <c r="BL113" i="20"/>
  <c r="BT113" i="20"/>
  <c r="CB113" i="20"/>
  <c r="CJ113" i="20"/>
  <c r="CR113" i="20"/>
  <c r="CZ113" i="20"/>
  <c r="DH113" i="20"/>
  <c r="T113" i="20"/>
  <c r="AD113" i="20"/>
  <c r="AP113" i="20"/>
  <c r="AZ113" i="20"/>
  <c r="BJ113" i="20"/>
  <c r="BV113" i="20"/>
  <c r="CF113" i="20"/>
  <c r="CP113" i="20"/>
  <c r="DB113" i="20"/>
  <c r="DL113" i="20"/>
  <c r="Z113" i="20"/>
  <c r="AJ113" i="20"/>
  <c r="AT113" i="20"/>
  <c r="BF113" i="20"/>
  <c r="BP113" i="20"/>
  <c r="BZ113" i="20"/>
  <c r="CL113" i="20"/>
  <c r="CV113" i="20"/>
  <c r="DF113" i="20"/>
  <c r="AA113" i="20"/>
  <c r="AO113" i="20"/>
  <c r="BB113" i="20"/>
  <c r="BQ113" i="20"/>
  <c r="CE113" i="20"/>
  <c r="CT113" i="20"/>
  <c r="DI113" i="20"/>
  <c r="AB113" i="20"/>
  <c r="AQ113" i="20"/>
  <c r="BE113" i="20"/>
  <c r="BR113" i="20"/>
  <c r="CG113" i="20"/>
  <c r="CU113" i="20"/>
  <c r="DJ113" i="20"/>
  <c r="AC113" i="20"/>
  <c r="AW113" i="20"/>
  <c r="BN113" i="20"/>
  <c r="CH113" i="20"/>
  <c r="DA113" i="20"/>
  <c r="AG113" i="20"/>
  <c r="AX113" i="20"/>
  <c r="BO113" i="20"/>
  <c r="CK113" i="20"/>
  <c r="DC113" i="20"/>
  <c r="Q113" i="20"/>
  <c r="AH113" i="20"/>
  <c r="AY113" i="20"/>
  <c r="BU113" i="20"/>
  <c r="CM113" i="20"/>
  <c r="DD113" i="20"/>
  <c r="R113" i="20"/>
  <c r="AI113" i="20"/>
  <c r="BA113" i="20"/>
  <c r="BW113" i="20"/>
  <c r="CN113" i="20"/>
  <c r="DE113" i="20"/>
  <c r="S113" i="20"/>
  <c r="AK113" i="20"/>
  <c r="BG113" i="20"/>
  <c r="BX113" i="20"/>
  <c r="CO113" i="20"/>
  <c r="DK113" i="20"/>
  <c r="Y113" i="20"/>
  <c r="CC113" i="20"/>
  <c r="AL113" i="20"/>
  <c r="CD113" i="20"/>
  <c r="AR113" i="20"/>
  <c r="CS113" i="20"/>
  <c r="AS113" i="20"/>
  <c r="CW113" i="20"/>
  <c r="U113" i="20"/>
  <c r="V113" i="20"/>
  <c r="BH113" i="20"/>
  <c r="BI113" i="20"/>
  <c r="BM113" i="20"/>
  <c r="BY113" i="20"/>
  <c r="CX113" i="20"/>
  <c r="Q7" i="20"/>
  <c r="Y7" i="20"/>
  <c r="AG7" i="20"/>
  <c r="AO7" i="20"/>
  <c r="AW7" i="20"/>
  <c r="BE7" i="20"/>
  <c r="BM7" i="20"/>
  <c r="BU7" i="20"/>
  <c r="CC7" i="20"/>
  <c r="CK7" i="20"/>
  <c r="CS7" i="20"/>
  <c r="DA7" i="20"/>
  <c r="DI7" i="20"/>
  <c r="R7" i="20"/>
  <c r="Z7" i="20"/>
  <c r="AH7" i="20"/>
  <c r="AP7" i="20"/>
  <c r="AX7" i="20"/>
  <c r="BF7" i="20"/>
  <c r="BN7" i="20"/>
  <c r="BV7" i="20"/>
  <c r="CD7" i="20"/>
  <c r="CL7" i="20"/>
  <c r="CT7" i="20"/>
  <c r="DB7" i="20"/>
  <c r="DJ7" i="20"/>
  <c r="S7" i="20"/>
  <c r="AA7" i="20"/>
  <c r="AI7" i="20"/>
  <c r="AQ7" i="20"/>
  <c r="AY7" i="20"/>
  <c r="BG7" i="20"/>
  <c r="BO7" i="20"/>
  <c r="BW7" i="20"/>
  <c r="CE7" i="20"/>
  <c r="CM7" i="20"/>
  <c r="CU7" i="20"/>
  <c r="DC7" i="20"/>
  <c r="DK7" i="20"/>
  <c r="AC7" i="20"/>
  <c r="AN7" i="20"/>
  <c r="BB7" i="20"/>
  <c r="BP7" i="20"/>
  <c r="CA7" i="20"/>
  <c r="CO7" i="20"/>
  <c r="CZ7" i="20"/>
  <c r="AD7" i="20"/>
  <c r="AR7" i="20"/>
  <c r="BC7" i="20"/>
  <c r="BQ7" i="20"/>
  <c r="CB7" i="20"/>
  <c r="CP7" i="20"/>
  <c r="DD7" i="20"/>
  <c r="T7" i="20"/>
  <c r="AE7" i="20"/>
  <c r="AS7" i="20"/>
  <c r="BD7" i="20"/>
  <c r="BR7" i="20"/>
  <c r="CF7" i="20"/>
  <c r="CQ7" i="20"/>
  <c r="DE7" i="20"/>
  <c r="AF7" i="20"/>
  <c r="AZ7" i="20"/>
  <c r="BT7" i="20"/>
  <c r="CN7" i="20"/>
  <c r="DH7" i="20"/>
  <c r="AJ7" i="20"/>
  <c r="BA7" i="20"/>
  <c r="BX7" i="20"/>
  <c r="CR7" i="20"/>
  <c r="DL7" i="20"/>
  <c r="AK7" i="20"/>
  <c r="BH7" i="20"/>
  <c r="BY7" i="20"/>
  <c r="CV7" i="20"/>
  <c r="V7" i="20"/>
  <c r="AV7" i="20"/>
  <c r="CH7" i="20"/>
  <c r="W7" i="20"/>
  <c r="BI7" i="20"/>
  <c r="CI7" i="20"/>
  <c r="X7" i="20"/>
  <c r="BJ7" i="20"/>
  <c r="CJ7" i="20"/>
  <c r="AB7" i="20"/>
  <c r="BK7" i="20"/>
  <c r="CW7" i="20"/>
  <c r="AL7" i="20"/>
  <c r="CX7" i="20"/>
  <c r="AM7" i="20"/>
  <c r="CY7" i="20"/>
  <c r="AT7" i="20"/>
  <c r="DF7" i="20"/>
  <c r="AU7" i="20"/>
  <c r="DG7" i="20"/>
  <c r="BS7" i="20"/>
  <c r="BZ7" i="20"/>
  <c r="BL7" i="20"/>
  <c r="U7" i="20"/>
  <c r="CG7" i="20"/>
  <c r="Q378" i="20"/>
  <c r="Y378" i="20"/>
  <c r="AG378" i="20"/>
  <c r="AO378" i="20"/>
  <c r="AW378" i="20"/>
  <c r="BE378" i="20"/>
  <c r="BM378" i="20"/>
  <c r="BU378" i="20"/>
  <c r="CC378" i="20"/>
  <c r="CK378" i="20"/>
  <c r="CS378" i="20"/>
  <c r="DA378" i="20"/>
  <c r="DI378" i="20"/>
  <c r="S28" i="20"/>
  <c r="AA28" i="20"/>
  <c r="AI28" i="20"/>
  <c r="AQ28" i="20"/>
  <c r="AY28" i="20"/>
  <c r="BG28" i="20"/>
  <c r="BO28" i="20"/>
  <c r="BW28" i="20"/>
  <c r="CE28" i="20"/>
  <c r="CM28" i="20"/>
  <c r="CU28" i="20"/>
  <c r="DC28" i="20"/>
  <c r="DK28" i="20"/>
  <c r="R28" i="20"/>
  <c r="AB28" i="20"/>
  <c r="AK28" i="20"/>
  <c r="AT28" i="20"/>
  <c r="BC28" i="20"/>
  <c r="BL28" i="20"/>
  <c r="BU28" i="20"/>
  <c r="CD28" i="20"/>
  <c r="CN28" i="20"/>
  <c r="CW28" i="20"/>
  <c r="DF28" i="20"/>
  <c r="U28" i="20"/>
  <c r="AE28" i="20"/>
  <c r="AO28" i="20"/>
  <c r="AZ28" i="20"/>
  <c r="BJ28" i="20"/>
  <c r="BT28" i="20"/>
  <c r="CF28" i="20"/>
  <c r="CP28" i="20"/>
  <c r="CZ28" i="20"/>
  <c r="DJ28" i="20"/>
  <c r="V28" i="20"/>
  <c r="AF28" i="20"/>
  <c r="AP28" i="20"/>
  <c r="BA28" i="20"/>
  <c r="BK28" i="20"/>
  <c r="BV28" i="20"/>
  <c r="CG28" i="20"/>
  <c r="CQ28" i="20"/>
  <c r="DA28" i="20"/>
  <c r="DL28" i="20"/>
  <c r="Y28" i="20"/>
  <c r="AM28" i="20"/>
  <c r="BB28" i="20"/>
  <c r="BP28" i="20"/>
  <c r="CB28" i="20"/>
  <c r="CR28" i="20"/>
  <c r="DE28" i="20"/>
  <c r="AC28" i="20"/>
  <c r="AS28" i="20"/>
  <c r="BH28" i="20"/>
  <c r="BY28" i="20"/>
  <c r="CL28" i="20"/>
  <c r="DD28" i="20"/>
  <c r="AD28" i="20"/>
  <c r="AU28" i="20"/>
  <c r="BI28" i="20"/>
  <c r="BZ28" i="20"/>
  <c r="CO28" i="20"/>
  <c r="DG28" i="20"/>
  <c r="Q28" i="20"/>
  <c r="AH28" i="20"/>
  <c r="AW28" i="20"/>
  <c r="BN28" i="20"/>
  <c r="CC28" i="20"/>
  <c r="CT28" i="20"/>
  <c r="DI28" i="20"/>
  <c r="AL28" i="20"/>
  <c r="BM28" i="20"/>
  <c r="CJ28" i="20"/>
  <c r="AN28" i="20"/>
  <c r="BQ28" i="20"/>
  <c r="CK28" i="20"/>
  <c r="AG28" i="20"/>
  <c r="BE28" i="20"/>
  <c r="CH28" i="20"/>
  <c r="DB28" i="20"/>
  <c r="AJ28" i="20"/>
  <c r="BX28" i="20"/>
  <c r="AR28" i="20"/>
  <c r="CA28" i="20"/>
  <c r="AV28" i="20"/>
  <c r="CI28" i="20"/>
  <c r="AX28" i="20"/>
  <c r="CS28" i="20"/>
  <c r="BD28" i="20"/>
  <c r="BF28" i="20"/>
  <c r="BR28" i="20"/>
  <c r="BS28" i="20"/>
  <c r="T28" i="20"/>
  <c r="CV28" i="20"/>
  <c r="W28" i="20"/>
  <c r="X28" i="20"/>
  <c r="Z28" i="20"/>
  <c r="CX28" i="20"/>
  <c r="CY28" i="20"/>
  <c r="DH28" i="20"/>
  <c r="Q364" i="20"/>
  <c r="Y364" i="20"/>
  <c r="AG364" i="20"/>
  <c r="AO364" i="20"/>
  <c r="AW364" i="20"/>
  <c r="BE364" i="20"/>
  <c r="BM364" i="20"/>
  <c r="BU364" i="20"/>
  <c r="CC364" i="20"/>
  <c r="CK364" i="20"/>
  <c r="CS364" i="20"/>
  <c r="DA364" i="20"/>
  <c r="DI364" i="20"/>
  <c r="W119" i="20"/>
  <c r="AE119" i="20"/>
  <c r="AM119" i="20"/>
  <c r="AU119" i="20"/>
  <c r="BC119" i="20"/>
  <c r="BK119" i="20"/>
  <c r="BS119" i="20"/>
  <c r="CA119" i="20"/>
  <c r="CI119" i="20"/>
  <c r="CQ119" i="20"/>
  <c r="CY119" i="20"/>
  <c r="DG119" i="20"/>
  <c r="X119" i="20"/>
  <c r="AF119" i="20"/>
  <c r="AN119" i="20"/>
  <c r="AV119" i="20"/>
  <c r="BD119" i="20"/>
  <c r="BL119" i="20"/>
  <c r="BT119" i="20"/>
  <c r="CB119" i="20"/>
  <c r="CJ119" i="20"/>
  <c r="CR119" i="20"/>
  <c r="CZ119" i="20"/>
  <c r="DH119" i="20"/>
  <c r="R119" i="20"/>
  <c r="AB119" i="20"/>
  <c r="AL119" i="20"/>
  <c r="AX119" i="20"/>
  <c r="BH119" i="20"/>
  <c r="BR119" i="20"/>
  <c r="CD119" i="20"/>
  <c r="CN119" i="20"/>
  <c r="CX119" i="20"/>
  <c r="DJ119" i="20"/>
  <c r="U119" i="20"/>
  <c r="AH119" i="20"/>
  <c r="AS119" i="20"/>
  <c r="BF119" i="20"/>
  <c r="BQ119" i="20"/>
  <c r="CE119" i="20"/>
  <c r="CP119" i="20"/>
  <c r="DC119" i="20"/>
  <c r="V119" i="20"/>
  <c r="AI119" i="20"/>
  <c r="AT119" i="20"/>
  <c r="BG119" i="20"/>
  <c r="BU119" i="20"/>
  <c r="CF119" i="20"/>
  <c r="CS119" i="20"/>
  <c r="DD119" i="20"/>
  <c r="S119" i="20"/>
  <c r="AJ119" i="20"/>
  <c r="AZ119" i="20"/>
  <c r="BO119" i="20"/>
  <c r="CG119" i="20"/>
  <c r="CV119" i="20"/>
  <c r="DL119" i="20"/>
  <c r="T119" i="20"/>
  <c r="AK119" i="20"/>
  <c r="BA119" i="20"/>
  <c r="BP119" i="20"/>
  <c r="CH119" i="20"/>
  <c r="CW119" i="20"/>
  <c r="Y119" i="20"/>
  <c r="AO119" i="20"/>
  <c r="BB119" i="20"/>
  <c r="BV119" i="20"/>
  <c r="CK119" i="20"/>
  <c r="DA119" i="20"/>
  <c r="Z119" i="20"/>
  <c r="AP119" i="20"/>
  <c r="BE119" i="20"/>
  <c r="BW119" i="20"/>
  <c r="CL119" i="20"/>
  <c r="DB119" i="20"/>
  <c r="AA119" i="20"/>
  <c r="AQ119" i="20"/>
  <c r="BI119" i="20"/>
  <c r="BX119" i="20"/>
  <c r="CM119" i="20"/>
  <c r="DE119" i="20"/>
  <c r="Q119" i="20"/>
  <c r="BM119" i="20"/>
  <c r="DF119" i="20"/>
  <c r="AC119" i="20"/>
  <c r="BN119" i="20"/>
  <c r="DI119" i="20"/>
  <c r="AD119" i="20"/>
  <c r="BY119" i="20"/>
  <c r="DK119" i="20"/>
  <c r="AG119" i="20"/>
  <c r="BZ119" i="20"/>
  <c r="CT119" i="20"/>
  <c r="CU119" i="20"/>
  <c r="AR119" i="20"/>
  <c r="AW119" i="20"/>
  <c r="AY119" i="20"/>
  <c r="BJ119" i="20"/>
  <c r="CC119" i="20"/>
  <c r="CO119" i="20"/>
  <c r="S84" i="20"/>
  <c r="AA84" i="20"/>
  <c r="AI84" i="20"/>
  <c r="AQ84" i="20"/>
  <c r="AY84" i="20"/>
  <c r="BG84" i="20"/>
  <c r="BO84" i="20"/>
  <c r="BW84" i="20"/>
  <c r="CE84" i="20"/>
  <c r="CM84" i="20"/>
  <c r="CU84" i="20"/>
  <c r="DC84" i="20"/>
  <c r="DK84" i="20"/>
  <c r="X84" i="20"/>
  <c r="AG84" i="20"/>
  <c r="AP84" i="20"/>
  <c r="AZ84" i="20"/>
  <c r="BI84" i="20"/>
  <c r="BR84" i="20"/>
  <c r="CA84" i="20"/>
  <c r="CJ84" i="20"/>
  <c r="CS84" i="20"/>
  <c r="DB84" i="20"/>
  <c r="DL84" i="20"/>
  <c r="Y84" i="20"/>
  <c r="AH84" i="20"/>
  <c r="AR84" i="20"/>
  <c r="BA84" i="20"/>
  <c r="BJ84" i="20"/>
  <c r="BS84" i="20"/>
  <c r="CB84" i="20"/>
  <c r="R84" i="20"/>
  <c r="AD84" i="20"/>
  <c r="AO84" i="20"/>
  <c r="BC84" i="20"/>
  <c r="BN84" i="20"/>
  <c r="BZ84" i="20"/>
  <c r="CL84" i="20"/>
  <c r="CW84" i="20"/>
  <c r="DG84" i="20"/>
  <c r="T84" i="20"/>
  <c r="AE84" i="20"/>
  <c r="AS84" i="20"/>
  <c r="BD84" i="20"/>
  <c r="BP84" i="20"/>
  <c r="CC84" i="20"/>
  <c r="CN84" i="20"/>
  <c r="CX84" i="20"/>
  <c r="DH84" i="20"/>
  <c r="W84" i="20"/>
  <c r="AM84" i="20"/>
  <c r="BE84" i="20"/>
  <c r="BU84" i="20"/>
  <c r="CI84" i="20"/>
  <c r="CY84" i="20"/>
  <c r="AB84" i="20"/>
  <c r="AT84" i="20"/>
  <c r="BH84" i="20"/>
  <c r="BX84" i="20"/>
  <c r="CO84" i="20"/>
  <c r="DA84" i="20"/>
  <c r="V84" i="20"/>
  <c r="AU84" i="20"/>
  <c r="BM84" i="20"/>
  <c r="CH84" i="20"/>
  <c r="DD84" i="20"/>
  <c r="AC84" i="20"/>
  <c r="AW84" i="20"/>
  <c r="BT84" i="20"/>
  <c r="CP84" i="20"/>
  <c r="DF84" i="20"/>
  <c r="AF84" i="20"/>
  <c r="AX84" i="20"/>
  <c r="BV84" i="20"/>
  <c r="CQ84" i="20"/>
  <c r="DI84" i="20"/>
  <c r="AJ84" i="20"/>
  <c r="BB84" i="20"/>
  <c r="BY84" i="20"/>
  <c r="CR84" i="20"/>
  <c r="DJ84" i="20"/>
  <c r="Q84" i="20"/>
  <c r="BK84" i="20"/>
  <c r="CV84" i="20"/>
  <c r="U84" i="20"/>
  <c r="BL84" i="20"/>
  <c r="CZ84" i="20"/>
  <c r="Z84" i="20"/>
  <c r="BQ84" i="20"/>
  <c r="DE84" i="20"/>
  <c r="CG84" i="20"/>
  <c r="AK84" i="20"/>
  <c r="CK84" i="20"/>
  <c r="AL84" i="20"/>
  <c r="CT84" i="20"/>
  <c r="AN84" i="20"/>
  <c r="AV84" i="20"/>
  <c r="CD84" i="20"/>
  <c r="CF84" i="20"/>
  <c r="BF84" i="20"/>
  <c r="W61" i="20"/>
  <c r="AE61" i="20"/>
  <c r="AM61" i="20"/>
  <c r="AU61" i="20"/>
  <c r="BC61" i="20"/>
  <c r="BK61" i="20"/>
  <c r="BS61" i="20"/>
  <c r="CA61" i="20"/>
  <c r="CI61" i="20"/>
  <c r="CQ61" i="20"/>
  <c r="CY61" i="20"/>
  <c r="DG61" i="20"/>
  <c r="U61" i="20"/>
  <c r="AD61" i="20"/>
  <c r="AN61" i="20"/>
  <c r="AW61" i="20"/>
  <c r="BF61" i="20"/>
  <c r="BO61" i="20"/>
  <c r="BX61" i="20"/>
  <c r="CG61" i="20"/>
  <c r="CP61" i="20"/>
  <c r="CZ61" i="20"/>
  <c r="DI61" i="20"/>
  <c r="V61" i="20"/>
  <c r="AF61" i="20"/>
  <c r="AO61" i="20"/>
  <c r="AX61" i="20"/>
  <c r="BG61" i="20"/>
  <c r="BP61" i="20"/>
  <c r="BY61" i="20"/>
  <c r="CH61" i="20"/>
  <c r="CR61" i="20"/>
  <c r="DA61" i="20"/>
  <c r="DJ61" i="20"/>
  <c r="X61" i="20"/>
  <c r="AG61" i="20"/>
  <c r="AP61" i="20"/>
  <c r="AY61" i="20"/>
  <c r="BH61" i="20"/>
  <c r="BQ61" i="20"/>
  <c r="BZ61" i="20"/>
  <c r="CJ61" i="20"/>
  <c r="CS61" i="20"/>
  <c r="DB61" i="20"/>
  <c r="DK61" i="20"/>
  <c r="Y61" i="20"/>
  <c r="AH61" i="20"/>
  <c r="AQ61" i="20"/>
  <c r="AZ61" i="20"/>
  <c r="BI61" i="20"/>
  <c r="BR61" i="20"/>
  <c r="CB61" i="20"/>
  <c r="CK61" i="20"/>
  <c r="CT61" i="20"/>
  <c r="DC61" i="20"/>
  <c r="DL61" i="20"/>
  <c r="Z61" i="20"/>
  <c r="AR61" i="20"/>
  <c r="BJ61" i="20"/>
  <c r="CC61" i="20"/>
  <c r="CU61" i="20"/>
  <c r="AA61" i="20"/>
  <c r="AS61" i="20"/>
  <c r="BL61" i="20"/>
  <c r="CD61" i="20"/>
  <c r="CV61" i="20"/>
  <c r="AB61" i="20"/>
  <c r="AT61" i="20"/>
  <c r="BM61" i="20"/>
  <c r="CE61" i="20"/>
  <c r="CW61" i="20"/>
  <c r="AC61" i="20"/>
  <c r="AV61" i="20"/>
  <c r="BN61" i="20"/>
  <c r="CF61" i="20"/>
  <c r="CX61" i="20"/>
  <c r="Q61" i="20"/>
  <c r="AI61" i="20"/>
  <c r="BA61" i="20"/>
  <c r="BT61" i="20"/>
  <c r="CL61" i="20"/>
  <c r="DD61" i="20"/>
  <c r="R61" i="20"/>
  <c r="BE61" i="20"/>
  <c r="DF61" i="20"/>
  <c r="S61" i="20"/>
  <c r="BU61" i="20"/>
  <c r="DH61" i="20"/>
  <c r="T61" i="20"/>
  <c r="BV61" i="20"/>
  <c r="AJ61" i="20"/>
  <c r="BW61" i="20"/>
  <c r="AK61" i="20"/>
  <c r="AL61" i="20"/>
  <c r="BB61" i="20"/>
  <c r="CN61" i="20"/>
  <c r="BD61" i="20"/>
  <c r="CM61" i="20"/>
  <c r="CO61" i="20"/>
  <c r="DE61" i="20"/>
  <c r="Q107" i="20"/>
  <c r="Y107" i="20"/>
  <c r="AG107" i="20"/>
  <c r="AO107" i="20"/>
  <c r="AW107" i="20"/>
  <c r="BE107" i="20"/>
  <c r="BM107" i="20"/>
  <c r="BU107" i="20"/>
  <c r="CC107" i="20"/>
  <c r="CK107" i="20"/>
  <c r="CS107" i="20"/>
  <c r="DA107" i="20"/>
  <c r="DI107" i="20"/>
  <c r="Z107" i="20"/>
  <c r="AI107" i="20"/>
  <c r="AR107" i="20"/>
  <c r="BA107" i="20"/>
  <c r="BJ107" i="20"/>
  <c r="BS107" i="20"/>
  <c r="CB107" i="20"/>
  <c r="CL107" i="20"/>
  <c r="CU107" i="20"/>
  <c r="DD107" i="20"/>
  <c r="R107" i="20"/>
  <c r="AA107" i="20"/>
  <c r="AJ107" i="20"/>
  <c r="AS107" i="20"/>
  <c r="BB107" i="20"/>
  <c r="BK107" i="20"/>
  <c r="BT107" i="20"/>
  <c r="CD107" i="20"/>
  <c r="CM107" i="20"/>
  <c r="CV107" i="20"/>
  <c r="DE107" i="20"/>
  <c r="AC107" i="20"/>
  <c r="AN107" i="20"/>
  <c r="AZ107" i="20"/>
  <c r="BN107" i="20"/>
  <c r="BY107" i="20"/>
  <c r="CJ107" i="20"/>
  <c r="CX107" i="20"/>
  <c r="DJ107" i="20"/>
  <c r="V107" i="20"/>
  <c r="AH107" i="20"/>
  <c r="AU107" i="20"/>
  <c r="BG107" i="20"/>
  <c r="BR107" i="20"/>
  <c r="CF107" i="20"/>
  <c r="CQ107" i="20"/>
  <c r="DC107" i="20"/>
  <c r="T107" i="20"/>
  <c r="AK107" i="20"/>
  <c r="AY107" i="20"/>
  <c r="BP107" i="20"/>
  <c r="CG107" i="20"/>
  <c r="CW107" i="20"/>
  <c r="DL107" i="20"/>
  <c r="U107" i="20"/>
  <c r="AL107" i="20"/>
  <c r="BC107" i="20"/>
  <c r="BQ107" i="20"/>
  <c r="CH107" i="20"/>
  <c r="CY107" i="20"/>
  <c r="W107" i="20"/>
  <c r="AQ107" i="20"/>
  <c r="BL107" i="20"/>
  <c r="CI107" i="20"/>
  <c r="DF107" i="20"/>
  <c r="X107" i="20"/>
  <c r="AT107" i="20"/>
  <c r="BO107" i="20"/>
  <c r="CN107" i="20"/>
  <c r="DG107" i="20"/>
  <c r="AB107" i="20"/>
  <c r="AV107" i="20"/>
  <c r="BV107" i="20"/>
  <c r="CO107" i="20"/>
  <c r="DH107" i="20"/>
  <c r="AD107" i="20"/>
  <c r="AX107" i="20"/>
  <c r="BW107" i="20"/>
  <c r="CP107" i="20"/>
  <c r="DK107" i="20"/>
  <c r="AE107" i="20"/>
  <c r="BD107" i="20"/>
  <c r="BX107" i="20"/>
  <c r="CR107" i="20"/>
  <c r="AM107" i="20"/>
  <c r="CT107" i="20"/>
  <c r="AP107" i="20"/>
  <c r="CZ107" i="20"/>
  <c r="BF107" i="20"/>
  <c r="DB107" i="20"/>
  <c r="BH107" i="20"/>
  <c r="CA107" i="20"/>
  <c r="CE107" i="20"/>
  <c r="S107" i="20"/>
  <c r="AF107" i="20"/>
  <c r="BI107" i="20"/>
  <c r="BZ107" i="20"/>
  <c r="Q360" i="20"/>
  <c r="Y360" i="20"/>
  <c r="AG360" i="20"/>
  <c r="AO360" i="20"/>
  <c r="AW360" i="20"/>
  <c r="BE360" i="20"/>
  <c r="BM360" i="20"/>
  <c r="BU360" i="20"/>
  <c r="CC360" i="20"/>
  <c r="CK360" i="20"/>
  <c r="CS360" i="20"/>
  <c r="DA360" i="20"/>
  <c r="DI360" i="20"/>
  <c r="S360" i="20"/>
  <c r="AA360" i="20"/>
  <c r="AI360" i="20"/>
  <c r="AQ360" i="20"/>
  <c r="AY360" i="20"/>
  <c r="BG360" i="20"/>
  <c r="BO360" i="20"/>
  <c r="BW360" i="20"/>
  <c r="CE360" i="20"/>
  <c r="CM360" i="20"/>
  <c r="CU360" i="20"/>
  <c r="DC360" i="20"/>
  <c r="DK360" i="20"/>
  <c r="S318" i="20"/>
  <c r="AA318" i="20"/>
  <c r="AI318" i="20"/>
  <c r="AQ318" i="20"/>
  <c r="AY318" i="20"/>
  <c r="BG318" i="20"/>
  <c r="BO318" i="20"/>
  <c r="BW318" i="20"/>
  <c r="CE318" i="20"/>
  <c r="CM318" i="20"/>
  <c r="CU318" i="20"/>
  <c r="DC318" i="20"/>
  <c r="DK318" i="20"/>
  <c r="T318" i="20"/>
  <c r="AB318" i="20"/>
  <c r="AJ318" i="20"/>
  <c r="AR318" i="20"/>
  <c r="AZ318" i="20"/>
  <c r="BH318" i="20"/>
  <c r="BP318" i="20"/>
  <c r="BX318" i="20"/>
  <c r="CF318" i="20"/>
  <c r="CN318" i="20"/>
  <c r="CV318" i="20"/>
  <c r="DD318" i="20"/>
  <c r="DL318" i="20"/>
  <c r="R318" i="20"/>
  <c r="AD318" i="20"/>
  <c r="AN318" i="20"/>
  <c r="AX318" i="20"/>
  <c r="BJ318" i="20"/>
  <c r="BT318" i="20"/>
  <c r="CD318" i="20"/>
  <c r="CP318" i="20"/>
  <c r="CZ318" i="20"/>
  <c r="U318" i="20"/>
  <c r="AE318" i="20"/>
  <c r="AO318" i="20"/>
  <c r="BA318" i="20"/>
  <c r="BK318" i="20"/>
  <c r="BU318" i="20"/>
  <c r="CG318" i="20"/>
  <c r="CQ318" i="20"/>
  <c r="DA318" i="20"/>
  <c r="W318" i="20"/>
  <c r="AG318" i="20"/>
  <c r="AS318" i="20"/>
  <c r="BC318" i="20"/>
  <c r="BM318" i="20"/>
  <c r="BY318" i="20"/>
  <c r="CI318" i="20"/>
  <c r="CS318" i="20"/>
  <c r="DE318" i="20"/>
  <c r="S114" i="20"/>
  <c r="AA114" i="20"/>
  <c r="AI114" i="20"/>
  <c r="AQ114" i="20"/>
  <c r="AY114" i="20"/>
  <c r="BG114" i="20"/>
  <c r="BO114" i="20"/>
  <c r="BW114" i="20"/>
  <c r="CE114" i="20"/>
  <c r="CM114" i="20"/>
  <c r="CU114" i="20"/>
  <c r="DC114" i="20"/>
  <c r="DK114" i="20"/>
  <c r="T114" i="20"/>
  <c r="AB114" i="20"/>
  <c r="AJ114" i="20"/>
  <c r="AR114" i="20"/>
  <c r="AZ114" i="20"/>
  <c r="BH114" i="20"/>
  <c r="BP114" i="20"/>
  <c r="BX114" i="20"/>
  <c r="CF114" i="20"/>
  <c r="CN114" i="20"/>
  <c r="CV114" i="20"/>
  <c r="DD114" i="20"/>
  <c r="DL114" i="20"/>
  <c r="Z114" i="20"/>
  <c r="AL114" i="20"/>
  <c r="AV114" i="20"/>
  <c r="BF114" i="20"/>
  <c r="BR114" i="20"/>
  <c r="CB114" i="20"/>
  <c r="CL114" i="20"/>
  <c r="CX114" i="20"/>
  <c r="DH114" i="20"/>
  <c r="V114" i="20"/>
  <c r="AF114" i="20"/>
  <c r="AP114" i="20"/>
  <c r="BB114" i="20"/>
  <c r="BL114" i="20"/>
  <c r="BV114" i="20"/>
  <c r="CH114" i="20"/>
  <c r="CR114" i="20"/>
  <c r="DB114" i="20"/>
  <c r="Y114" i="20"/>
  <c r="AN114" i="20"/>
  <c r="BC114" i="20"/>
  <c r="BQ114" i="20"/>
  <c r="CD114" i="20"/>
  <c r="CS114" i="20"/>
  <c r="DG114" i="20"/>
  <c r="AC114" i="20"/>
  <c r="AO114" i="20"/>
  <c r="BD114" i="20"/>
  <c r="BS114" i="20"/>
  <c r="CG114" i="20"/>
  <c r="CT114" i="20"/>
  <c r="DI114" i="20"/>
  <c r="W114" i="20"/>
  <c r="AS114" i="20"/>
  <c r="BJ114" i="20"/>
  <c r="CA114" i="20"/>
  <c r="CW114" i="20"/>
  <c r="X114" i="20"/>
  <c r="AT114" i="20"/>
  <c r="BK114" i="20"/>
  <c r="CC114" i="20"/>
  <c r="CY114" i="20"/>
  <c r="AD114" i="20"/>
  <c r="AU114" i="20"/>
  <c r="BM114" i="20"/>
  <c r="CI114" i="20"/>
  <c r="CZ114" i="20"/>
  <c r="AE114" i="20"/>
  <c r="AW114" i="20"/>
  <c r="BN114" i="20"/>
  <c r="CJ114" i="20"/>
  <c r="DA114" i="20"/>
  <c r="AG114" i="20"/>
  <c r="AX114" i="20"/>
  <c r="BT114" i="20"/>
  <c r="CK114" i="20"/>
  <c r="DE114" i="20"/>
  <c r="AH114" i="20"/>
  <c r="BZ114" i="20"/>
  <c r="AK114" i="20"/>
  <c r="CO114" i="20"/>
  <c r="AM114" i="20"/>
  <c r="CP114" i="20"/>
  <c r="BA114" i="20"/>
  <c r="CQ114" i="20"/>
  <c r="R114" i="20"/>
  <c r="U114" i="20"/>
  <c r="BE114" i="20"/>
  <c r="BI114" i="20"/>
  <c r="Q114" i="20"/>
  <c r="BU114" i="20"/>
  <c r="DJ114" i="20"/>
  <c r="Q370" i="20"/>
  <c r="Y370" i="20"/>
  <c r="AG370" i="20"/>
  <c r="AO370" i="20"/>
  <c r="AW370" i="20"/>
  <c r="BE370" i="20"/>
  <c r="BM370" i="20"/>
  <c r="BU370" i="20"/>
  <c r="CC370" i="20"/>
  <c r="CK370" i="20"/>
  <c r="CS370" i="20"/>
  <c r="DA370" i="20"/>
  <c r="DI370" i="20"/>
  <c r="S78" i="20"/>
  <c r="AA78" i="20"/>
  <c r="AI78" i="20"/>
  <c r="AQ78" i="20"/>
  <c r="AY78" i="20"/>
  <c r="BG78" i="20"/>
  <c r="BO78" i="20"/>
  <c r="BW78" i="20"/>
  <c r="CE78" i="20"/>
  <c r="CM78" i="20"/>
  <c r="CU78" i="20"/>
  <c r="DC78" i="20"/>
  <c r="DK78" i="20"/>
  <c r="U78" i="20"/>
  <c r="AD78" i="20"/>
  <c r="AM78" i="20"/>
  <c r="AV78" i="20"/>
  <c r="BE78" i="20"/>
  <c r="BN78" i="20"/>
  <c r="BX78" i="20"/>
  <c r="CG78" i="20"/>
  <c r="CP78" i="20"/>
  <c r="CY78" i="20"/>
  <c r="DH78" i="20"/>
  <c r="V78" i="20"/>
  <c r="AE78" i="20"/>
  <c r="AN78" i="20"/>
  <c r="AW78" i="20"/>
  <c r="BF78" i="20"/>
  <c r="BP78" i="20"/>
  <c r="BY78" i="20"/>
  <c r="CH78" i="20"/>
  <c r="CQ78" i="20"/>
  <c r="CZ78" i="20"/>
  <c r="DI78" i="20"/>
  <c r="T78" i="20"/>
  <c r="AG78" i="20"/>
  <c r="AS78" i="20"/>
  <c r="BD78" i="20"/>
  <c r="BR78" i="20"/>
  <c r="CC78" i="20"/>
  <c r="CO78" i="20"/>
  <c r="DB78" i="20"/>
  <c r="W78" i="20"/>
  <c r="AH78" i="20"/>
  <c r="AT78" i="20"/>
  <c r="BH78" i="20"/>
  <c r="BS78" i="20"/>
  <c r="CD78" i="20"/>
  <c r="CR78" i="20"/>
  <c r="DD78" i="20"/>
  <c r="X78" i="20"/>
  <c r="AL78" i="20"/>
  <c r="BB78" i="20"/>
  <c r="BT78" i="20"/>
  <c r="CJ78" i="20"/>
  <c r="CX78" i="20"/>
  <c r="Y78" i="20"/>
  <c r="AO78" i="20"/>
  <c r="BC78" i="20"/>
  <c r="BU78" i="20"/>
  <c r="CK78" i="20"/>
  <c r="DA78" i="20"/>
  <c r="Z78" i="20"/>
  <c r="AP78" i="20"/>
  <c r="BI78" i="20"/>
  <c r="BV78" i="20"/>
  <c r="CL78" i="20"/>
  <c r="DE78" i="20"/>
  <c r="AF78" i="20"/>
  <c r="AX78" i="20"/>
  <c r="BL78" i="20"/>
  <c r="CB78" i="20"/>
  <c r="AC78" i="20"/>
  <c r="BK78" i="20"/>
  <c r="CS78" i="20"/>
  <c r="AK78" i="20"/>
  <c r="BQ78" i="20"/>
  <c r="CV78" i="20"/>
  <c r="AR78" i="20"/>
  <c r="BZ78" i="20"/>
  <c r="CW78" i="20"/>
  <c r="AU78" i="20"/>
  <c r="CA78" i="20"/>
  <c r="DF78" i="20"/>
  <c r="R78" i="20"/>
  <c r="CI78" i="20"/>
  <c r="AB78" i="20"/>
  <c r="CN78" i="20"/>
  <c r="AJ78" i="20"/>
  <c r="CT78" i="20"/>
  <c r="BA78" i="20"/>
  <c r="DJ78" i="20"/>
  <c r="BJ78" i="20"/>
  <c r="BM78" i="20"/>
  <c r="CF78" i="20"/>
  <c r="DG78" i="20"/>
  <c r="DL78" i="20"/>
  <c r="AZ78" i="20"/>
  <c r="Q78" i="20"/>
  <c r="W282" i="20"/>
  <c r="AE282" i="20"/>
  <c r="AM282" i="20"/>
  <c r="AU282" i="20"/>
  <c r="BC282" i="20"/>
  <c r="BK282" i="20"/>
  <c r="BS282" i="20"/>
  <c r="CA282" i="20"/>
  <c r="CI282" i="20"/>
  <c r="CQ282" i="20"/>
  <c r="CY282" i="20"/>
  <c r="DG282" i="20"/>
  <c r="Y282" i="20"/>
  <c r="AH282" i="20"/>
  <c r="AQ282" i="20"/>
  <c r="AZ282" i="20"/>
  <c r="BI282" i="20"/>
  <c r="BR282" i="20"/>
  <c r="CB282" i="20"/>
  <c r="CK282" i="20"/>
  <c r="CT282" i="20"/>
  <c r="DC282" i="20"/>
  <c r="DL282" i="20"/>
  <c r="Q282" i="20"/>
  <c r="Z282" i="20"/>
  <c r="AI282" i="20"/>
  <c r="AR282" i="20"/>
  <c r="BA282" i="20"/>
  <c r="BJ282" i="20"/>
  <c r="BT282" i="20"/>
  <c r="CC282" i="20"/>
  <c r="CL282" i="20"/>
  <c r="CU282" i="20"/>
  <c r="DD282" i="20"/>
  <c r="X282" i="20"/>
  <c r="AK282" i="20"/>
  <c r="AW282" i="20"/>
  <c r="BH282" i="20"/>
  <c r="BV282" i="20"/>
  <c r="CG282" i="20"/>
  <c r="CS282" i="20"/>
  <c r="DF282" i="20"/>
  <c r="AA282" i="20"/>
  <c r="AL282" i="20"/>
  <c r="AX282" i="20"/>
  <c r="BL282" i="20"/>
  <c r="BW282" i="20"/>
  <c r="CH282" i="20"/>
  <c r="CV282" i="20"/>
  <c r="DH282" i="20"/>
  <c r="R282" i="20"/>
  <c r="AC282" i="20"/>
  <c r="AO282" i="20"/>
  <c r="BB282" i="20"/>
  <c r="BN282" i="20"/>
  <c r="BY282" i="20"/>
  <c r="CM282" i="20"/>
  <c r="CX282" i="20"/>
  <c r="DJ282" i="20"/>
  <c r="U128" i="20"/>
  <c r="AC128" i="20"/>
  <c r="AK128" i="20"/>
  <c r="AS128" i="20"/>
  <c r="BA128" i="20"/>
  <c r="BI128" i="20"/>
  <c r="BQ128" i="20"/>
  <c r="BY128" i="20"/>
  <c r="CG128" i="20"/>
  <c r="CO128" i="20"/>
  <c r="CW128" i="20"/>
  <c r="DE128" i="20"/>
  <c r="V128" i="20"/>
  <c r="AD128" i="20"/>
  <c r="AL128" i="20"/>
  <c r="AT128" i="20"/>
  <c r="BB128" i="20"/>
  <c r="BJ128" i="20"/>
  <c r="BR128" i="20"/>
  <c r="BZ128" i="20"/>
  <c r="CH128" i="20"/>
  <c r="CP128" i="20"/>
  <c r="CX128" i="20"/>
  <c r="DF128" i="20"/>
  <c r="W128" i="20"/>
  <c r="AG128" i="20"/>
  <c r="AQ128" i="20"/>
  <c r="BC128" i="20"/>
  <c r="BM128" i="20"/>
  <c r="BW128" i="20"/>
  <c r="CI128" i="20"/>
  <c r="CS128" i="20"/>
  <c r="DC128" i="20"/>
  <c r="X128" i="20"/>
  <c r="AH128" i="20"/>
  <c r="AR128" i="20"/>
  <c r="BD128" i="20"/>
  <c r="BN128" i="20"/>
  <c r="BX128" i="20"/>
  <c r="CJ128" i="20"/>
  <c r="CT128" i="20"/>
  <c r="DD128" i="20"/>
  <c r="Y128" i="20"/>
  <c r="AI128" i="20"/>
  <c r="AU128" i="20"/>
  <c r="BE128" i="20"/>
  <c r="BO128" i="20"/>
  <c r="CA128" i="20"/>
  <c r="CK128" i="20"/>
  <c r="CU128" i="20"/>
  <c r="DG128" i="20"/>
  <c r="Z128" i="20"/>
  <c r="AJ128" i="20"/>
  <c r="AV128" i="20"/>
  <c r="BF128" i="20"/>
  <c r="BP128" i="20"/>
  <c r="CB128" i="20"/>
  <c r="CL128" i="20"/>
  <c r="CV128" i="20"/>
  <c r="DH128" i="20"/>
  <c r="Q128" i="20"/>
  <c r="AA128" i="20"/>
  <c r="AM128" i="20"/>
  <c r="AW128" i="20"/>
  <c r="BG128" i="20"/>
  <c r="BS128" i="20"/>
  <c r="CC128" i="20"/>
  <c r="CM128" i="20"/>
  <c r="CY128" i="20"/>
  <c r="DI128" i="20"/>
  <c r="S128" i="20"/>
  <c r="AX128" i="20"/>
  <c r="BV128" i="20"/>
  <c r="DA128" i="20"/>
  <c r="T128" i="20"/>
  <c r="AY128" i="20"/>
  <c r="CD128" i="20"/>
  <c r="DB128" i="20"/>
  <c r="AB128" i="20"/>
  <c r="AZ128" i="20"/>
  <c r="CE128" i="20"/>
  <c r="DJ128" i="20"/>
  <c r="AE128" i="20"/>
  <c r="BH128" i="20"/>
  <c r="CF128" i="20"/>
  <c r="DK128" i="20"/>
  <c r="AO128" i="20"/>
  <c r="CR128" i="20"/>
  <c r="AP128" i="20"/>
  <c r="CZ128" i="20"/>
  <c r="BK128" i="20"/>
  <c r="DL128" i="20"/>
  <c r="BL128" i="20"/>
  <c r="R128" i="20"/>
  <c r="AF128" i="20"/>
  <c r="AN128" i="20"/>
  <c r="BT128" i="20"/>
  <c r="BU128" i="20"/>
  <c r="CN128" i="20"/>
  <c r="CQ128" i="20"/>
  <c r="W305" i="20"/>
  <c r="AE305" i="20"/>
  <c r="AM305" i="20"/>
  <c r="AU305" i="20"/>
  <c r="BC305" i="20"/>
  <c r="BK305" i="20"/>
  <c r="BS305" i="20"/>
  <c r="CA305" i="20"/>
  <c r="CI305" i="20"/>
  <c r="CQ305" i="20"/>
  <c r="CY305" i="20"/>
  <c r="DG305" i="20"/>
  <c r="X305" i="20"/>
  <c r="AF305" i="20"/>
  <c r="AN305" i="20"/>
  <c r="AV305" i="20"/>
  <c r="BD305" i="20"/>
  <c r="BL305" i="20"/>
  <c r="BT305" i="20"/>
  <c r="CB305" i="20"/>
  <c r="CJ305" i="20"/>
  <c r="CR305" i="20"/>
  <c r="CZ305" i="20"/>
  <c r="DH305" i="20"/>
  <c r="R305" i="20"/>
  <c r="AB305" i="20"/>
  <c r="AL305" i="20"/>
  <c r="AX305" i="20"/>
  <c r="BH305" i="20"/>
  <c r="BR305" i="20"/>
  <c r="CD305" i="20"/>
  <c r="CN305" i="20"/>
  <c r="CX305" i="20"/>
  <c r="DJ305" i="20"/>
  <c r="S305" i="20"/>
  <c r="AC305" i="20"/>
  <c r="AO305" i="20"/>
  <c r="AY305" i="20"/>
  <c r="BI305" i="20"/>
  <c r="BU305" i="20"/>
  <c r="CE305" i="20"/>
  <c r="CO305" i="20"/>
  <c r="DA305" i="20"/>
  <c r="DK305" i="20"/>
  <c r="U305" i="20"/>
  <c r="AG305" i="20"/>
  <c r="AQ305" i="20"/>
  <c r="BA305" i="20"/>
  <c r="BM305" i="20"/>
  <c r="BW305" i="20"/>
  <c r="CG305" i="20"/>
  <c r="CS305" i="20"/>
  <c r="DC305" i="20"/>
  <c r="U94" i="20"/>
  <c r="AC94" i="20"/>
  <c r="AK94" i="20"/>
  <c r="AS94" i="20"/>
  <c r="BA94" i="20"/>
  <c r="BI94" i="20"/>
  <c r="BQ94" i="20"/>
  <c r="BY94" i="20"/>
  <c r="CG94" i="20"/>
  <c r="CO94" i="20"/>
  <c r="CW94" i="20"/>
  <c r="DE94" i="20"/>
  <c r="R94" i="20"/>
  <c r="AA94" i="20"/>
  <c r="AJ94" i="20"/>
  <c r="AT94" i="20"/>
  <c r="BC94" i="20"/>
  <c r="BL94" i="20"/>
  <c r="BU94" i="20"/>
  <c r="CD94" i="20"/>
  <c r="CM94" i="20"/>
  <c r="CV94" i="20"/>
  <c r="DF94" i="20"/>
  <c r="S94" i="20"/>
  <c r="AB94" i="20"/>
  <c r="AL94" i="20"/>
  <c r="AU94" i="20"/>
  <c r="BD94" i="20"/>
  <c r="BM94" i="20"/>
  <c r="BV94" i="20"/>
  <c r="CE94" i="20"/>
  <c r="CN94" i="20"/>
  <c r="CX94" i="20"/>
  <c r="DG94" i="20"/>
  <c r="X94" i="20"/>
  <c r="AI94" i="20"/>
  <c r="AW94" i="20"/>
  <c r="BH94" i="20"/>
  <c r="BT94" i="20"/>
  <c r="CH94" i="20"/>
  <c r="CS94" i="20"/>
  <c r="DD94" i="20"/>
  <c r="AD94" i="20"/>
  <c r="AO94" i="20"/>
  <c r="AZ94" i="20"/>
  <c r="BN94" i="20"/>
  <c r="BZ94" i="20"/>
  <c r="CK94" i="20"/>
  <c r="CY94" i="20"/>
  <c r="DJ94" i="20"/>
  <c r="Q94" i="20"/>
  <c r="AE94" i="20"/>
  <c r="AP94" i="20"/>
  <c r="BB94" i="20"/>
  <c r="BO94" i="20"/>
  <c r="CA94" i="20"/>
  <c r="CL94" i="20"/>
  <c r="CZ94" i="20"/>
  <c r="DK94" i="20"/>
  <c r="T94" i="20"/>
  <c r="AM94" i="20"/>
  <c r="BF94" i="20"/>
  <c r="BX94" i="20"/>
  <c r="CR94" i="20"/>
  <c r="DL94" i="20"/>
  <c r="V94" i="20"/>
  <c r="AN94" i="20"/>
  <c r="BG94" i="20"/>
  <c r="CB94" i="20"/>
  <c r="CT94" i="20"/>
  <c r="W94" i="20"/>
  <c r="AQ94" i="20"/>
  <c r="BJ94" i="20"/>
  <c r="CC94" i="20"/>
  <c r="CU94" i="20"/>
  <c r="Y94" i="20"/>
  <c r="AY94" i="20"/>
  <c r="CI94" i="20"/>
  <c r="DI94" i="20"/>
  <c r="Z94" i="20"/>
  <c r="BE94" i="20"/>
  <c r="CJ94" i="20"/>
  <c r="AF94" i="20"/>
  <c r="BK94" i="20"/>
  <c r="CP94" i="20"/>
  <c r="AG94" i="20"/>
  <c r="BP94" i="20"/>
  <c r="CQ94" i="20"/>
  <c r="AH94" i="20"/>
  <c r="BR94" i="20"/>
  <c r="DA94" i="20"/>
  <c r="BS94" i="20"/>
  <c r="BW94" i="20"/>
  <c r="CF94" i="20"/>
  <c r="DB94" i="20"/>
  <c r="AV94" i="20"/>
  <c r="AX94" i="20"/>
  <c r="DC94" i="20"/>
  <c r="DH94" i="20"/>
  <c r="AR94" i="20"/>
  <c r="S30" i="20"/>
  <c r="AA30" i="20"/>
  <c r="AI30" i="20"/>
  <c r="AQ30" i="20"/>
  <c r="AY30" i="20"/>
  <c r="BG30" i="20"/>
  <c r="BO30" i="20"/>
  <c r="BW30" i="20"/>
  <c r="CE30" i="20"/>
  <c r="CM30" i="20"/>
  <c r="CU30" i="20"/>
  <c r="DC30" i="20"/>
  <c r="DK30" i="20"/>
  <c r="W30" i="20"/>
  <c r="AF30" i="20"/>
  <c r="AO30" i="20"/>
  <c r="AX30" i="20"/>
  <c r="BH30" i="20"/>
  <c r="BQ30" i="20"/>
  <c r="BZ30" i="20"/>
  <c r="CI30" i="20"/>
  <c r="CR30" i="20"/>
  <c r="DA30" i="20"/>
  <c r="DJ30" i="20"/>
  <c r="X30" i="20"/>
  <c r="AG30" i="20"/>
  <c r="AP30" i="20"/>
  <c r="AZ30" i="20"/>
  <c r="BI30" i="20"/>
  <c r="BR30" i="20"/>
  <c r="CA30" i="20"/>
  <c r="CJ30" i="20"/>
  <c r="CS30" i="20"/>
  <c r="DB30" i="20"/>
  <c r="DL30" i="20"/>
  <c r="AB30" i="20"/>
  <c r="AM30" i="20"/>
  <c r="BA30" i="20"/>
  <c r="BL30" i="20"/>
  <c r="BX30" i="20"/>
  <c r="CK30" i="20"/>
  <c r="CW30" i="20"/>
  <c r="DH30" i="20"/>
  <c r="AC30" i="20"/>
  <c r="AR30" i="20"/>
  <c r="BD30" i="20"/>
  <c r="BS30" i="20"/>
  <c r="CF30" i="20"/>
  <c r="CT30" i="20"/>
  <c r="DG30" i="20"/>
  <c r="Q30" i="20"/>
  <c r="AD30" i="20"/>
  <c r="AS30" i="20"/>
  <c r="BE30" i="20"/>
  <c r="BT30" i="20"/>
  <c r="CG30" i="20"/>
  <c r="CV30" i="20"/>
  <c r="DI30" i="20"/>
  <c r="T30" i="20"/>
  <c r="AH30" i="20"/>
  <c r="AU30" i="20"/>
  <c r="BJ30" i="20"/>
  <c r="BV30" i="20"/>
  <c r="CL30" i="20"/>
  <c r="CY30" i="20"/>
  <c r="AJ30" i="20"/>
  <c r="BC30" i="20"/>
  <c r="CB30" i="20"/>
  <c r="CX30" i="20"/>
  <c r="AK30" i="20"/>
  <c r="BF30" i="20"/>
  <c r="CC30" i="20"/>
  <c r="CZ30" i="20"/>
  <c r="Z30" i="20"/>
  <c r="AW30" i="20"/>
  <c r="BU30" i="20"/>
  <c r="CP30" i="20"/>
  <c r="AE30" i="20"/>
  <c r="BN30" i="20"/>
  <c r="DD30" i="20"/>
  <c r="AL30" i="20"/>
  <c r="BP30" i="20"/>
  <c r="DE30" i="20"/>
  <c r="AN30" i="20"/>
  <c r="BY30" i="20"/>
  <c r="DF30" i="20"/>
  <c r="AT30" i="20"/>
  <c r="CD30" i="20"/>
  <c r="R30" i="20"/>
  <c r="CH30" i="20"/>
  <c r="U30" i="20"/>
  <c r="CN30" i="20"/>
  <c r="V30" i="20"/>
  <c r="CO30" i="20"/>
  <c r="Y30" i="20"/>
  <c r="CQ30" i="20"/>
  <c r="AV30" i="20"/>
  <c r="BB30" i="20"/>
  <c r="BK30" i="20"/>
  <c r="BM30" i="20"/>
  <c r="T46" i="20"/>
  <c r="AB46" i="20"/>
  <c r="AJ46" i="20"/>
  <c r="AR46" i="20"/>
  <c r="AZ46" i="20"/>
  <c r="BH46" i="20"/>
  <c r="BP46" i="20"/>
  <c r="BX46" i="20"/>
  <c r="CF46" i="20"/>
  <c r="CN46" i="20"/>
  <c r="CV46" i="20"/>
  <c r="DD46" i="20"/>
  <c r="DL46" i="20"/>
  <c r="R46" i="20"/>
  <c r="AA46" i="20"/>
  <c r="AK46" i="20"/>
  <c r="AT46" i="20"/>
  <c r="BC46" i="20"/>
  <c r="BL46" i="20"/>
  <c r="BU46" i="20"/>
  <c r="CD46" i="20"/>
  <c r="CM46" i="20"/>
  <c r="CW46" i="20"/>
  <c r="DF46" i="20"/>
  <c r="U46" i="20"/>
  <c r="AE46" i="20"/>
  <c r="AO46" i="20"/>
  <c r="AY46" i="20"/>
  <c r="BJ46" i="20"/>
  <c r="BT46" i="20"/>
  <c r="CE46" i="20"/>
  <c r="CP46" i="20"/>
  <c r="CZ46" i="20"/>
  <c r="DJ46" i="20"/>
  <c r="V46" i="20"/>
  <c r="AF46" i="20"/>
  <c r="AP46" i="20"/>
  <c r="BA46" i="20"/>
  <c r="BK46" i="20"/>
  <c r="BV46" i="20"/>
  <c r="CG46" i="20"/>
  <c r="CQ46" i="20"/>
  <c r="DA46" i="20"/>
  <c r="DK46" i="20"/>
  <c r="W46" i="20"/>
  <c r="AG46" i="20"/>
  <c r="AQ46" i="20"/>
  <c r="BB46" i="20"/>
  <c r="BM46" i="20"/>
  <c r="BW46" i="20"/>
  <c r="CH46" i="20"/>
  <c r="CR46" i="20"/>
  <c r="DB46" i="20"/>
  <c r="X46" i="20"/>
  <c r="AH46" i="20"/>
  <c r="AS46" i="20"/>
  <c r="BD46" i="20"/>
  <c r="BN46" i="20"/>
  <c r="BY46" i="20"/>
  <c r="CI46" i="20"/>
  <c r="CS46" i="20"/>
  <c r="DC46" i="20"/>
  <c r="Y46" i="20"/>
  <c r="AU46" i="20"/>
  <c r="BO46" i="20"/>
  <c r="CJ46" i="20"/>
  <c r="DE46" i="20"/>
  <c r="Z46" i="20"/>
  <c r="AV46" i="20"/>
  <c r="BQ46" i="20"/>
  <c r="CK46" i="20"/>
  <c r="DG46" i="20"/>
  <c r="AC46" i="20"/>
  <c r="AW46" i="20"/>
  <c r="BR46" i="20"/>
  <c r="CL46" i="20"/>
  <c r="DH46" i="20"/>
  <c r="AD46" i="20"/>
  <c r="AX46" i="20"/>
  <c r="BS46" i="20"/>
  <c r="CO46" i="20"/>
  <c r="DI46" i="20"/>
  <c r="AI46" i="20"/>
  <c r="BE46" i="20"/>
  <c r="BZ46" i="20"/>
  <c r="CT46" i="20"/>
  <c r="AN46" i="20"/>
  <c r="CX46" i="20"/>
  <c r="BF46" i="20"/>
  <c r="CY46" i="20"/>
  <c r="BG46" i="20"/>
  <c r="BI46" i="20"/>
  <c r="Q46" i="20"/>
  <c r="S46" i="20"/>
  <c r="AL46" i="20"/>
  <c r="AM46" i="20"/>
  <c r="CA46" i="20"/>
  <c r="CB46" i="20"/>
  <c r="CC46" i="20"/>
  <c r="CU46" i="20"/>
  <c r="Q330" i="20"/>
  <c r="Y330" i="20"/>
  <c r="AG330" i="20"/>
  <c r="AO330" i="20"/>
  <c r="AW330" i="20"/>
  <c r="BE330" i="20"/>
  <c r="BM330" i="20"/>
  <c r="BU330" i="20"/>
  <c r="CC330" i="20"/>
  <c r="CK330" i="20"/>
  <c r="CS330" i="20"/>
  <c r="DA330" i="20"/>
  <c r="DI330" i="20"/>
  <c r="S330" i="20"/>
  <c r="AA330" i="20"/>
  <c r="AI330" i="20"/>
  <c r="AQ330" i="20"/>
  <c r="AY330" i="20"/>
  <c r="BG330" i="20"/>
  <c r="BO330" i="20"/>
  <c r="BW330" i="20"/>
  <c r="CE330" i="20"/>
  <c r="CM330" i="20"/>
  <c r="CU330" i="20"/>
  <c r="DC330" i="20"/>
  <c r="DK330" i="20"/>
  <c r="U110" i="20"/>
  <c r="R110" i="20"/>
  <c r="AA110" i="20"/>
  <c r="AI110" i="20"/>
  <c r="AQ110" i="20"/>
  <c r="AY110" i="20"/>
  <c r="BG110" i="20"/>
  <c r="BO110" i="20"/>
  <c r="BW110" i="20"/>
  <c r="CE110" i="20"/>
  <c r="CM110" i="20"/>
  <c r="CU110" i="20"/>
  <c r="DC110" i="20"/>
  <c r="DK110" i="20"/>
  <c r="S110" i="20"/>
  <c r="AB110" i="20"/>
  <c r="AJ110" i="20"/>
  <c r="AR110" i="20"/>
  <c r="AZ110" i="20"/>
  <c r="BH110" i="20"/>
  <c r="BP110" i="20"/>
  <c r="BX110" i="20"/>
  <c r="CF110" i="20"/>
  <c r="CN110" i="20"/>
  <c r="CV110" i="20"/>
  <c r="DD110" i="20"/>
  <c r="DL110" i="20"/>
  <c r="V110" i="20"/>
  <c r="AF110" i="20"/>
  <c r="AP110" i="20"/>
  <c r="BB110" i="20"/>
  <c r="BL110" i="20"/>
  <c r="BV110" i="20"/>
  <c r="CH110" i="20"/>
  <c r="CR110" i="20"/>
  <c r="DB110" i="20"/>
  <c r="Z110" i="20"/>
  <c r="AL110" i="20"/>
  <c r="AV110" i="20"/>
  <c r="BF110" i="20"/>
  <c r="BR110" i="20"/>
  <c r="CB110" i="20"/>
  <c r="CL110" i="20"/>
  <c r="CX110" i="20"/>
  <c r="DH110" i="20"/>
  <c r="AC110" i="20"/>
  <c r="AO110" i="20"/>
  <c r="BD110" i="20"/>
  <c r="BS110" i="20"/>
  <c r="CG110" i="20"/>
  <c r="CT110" i="20"/>
  <c r="DI110" i="20"/>
  <c r="AD110" i="20"/>
  <c r="AS110" i="20"/>
  <c r="BE110" i="20"/>
  <c r="BT110" i="20"/>
  <c r="CI110" i="20"/>
  <c r="CW110" i="20"/>
  <c r="DJ110" i="20"/>
  <c r="X110" i="20"/>
  <c r="AT110" i="20"/>
  <c r="BK110" i="20"/>
  <c r="CC110" i="20"/>
  <c r="CY110" i="20"/>
  <c r="Y110" i="20"/>
  <c r="AU110" i="20"/>
  <c r="BM110" i="20"/>
  <c r="CD110" i="20"/>
  <c r="CZ110" i="20"/>
  <c r="AE110" i="20"/>
  <c r="AW110" i="20"/>
  <c r="BN110" i="20"/>
  <c r="CJ110" i="20"/>
  <c r="DA110" i="20"/>
  <c r="AG110" i="20"/>
  <c r="AX110" i="20"/>
  <c r="BQ110" i="20"/>
  <c r="CK110" i="20"/>
  <c r="DE110" i="20"/>
  <c r="AH110" i="20"/>
  <c r="BA110" i="20"/>
  <c r="BU110" i="20"/>
  <c r="CO110" i="20"/>
  <c r="DF110" i="20"/>
  <c r="W110" i="20"/>
  <c r="BZ110" i="20"/>
  <c r="AK110" i="20"/>
  <c r="CA110" i="20"/>
  <c r="AM110" i="20"/>
  <c r="CP110" i="20"/>
  <c r="AN110" i="20"/>
  <c r="CQ110" i="20"/>
  <c r="Q110" i="20"/>
  <c r="T110" i="20"/>
  <c r="BC110" i="20"/>
  <c r="BI110" i="20"/>
  <c r="BJ110" i="20"/>
  <c r="BY110" i="20"/>
  <c r="CS110" i="20"/>
  <c r="DG110" i="20"/>
  <c r="S72" i="20"/>
  <c r="AA72" i="20"/>
  <c r="AI72" i="20"/>
  <c r="AQ72" i="20"/>
  <c r="AY72" i="20"/>
  <c r="BG72" i="20"/>
  <c r="BO72" i="20"/>
  <c r="BW72" i="20"/>
  <c r="CE72" i="20"/>
  <c r="CM72" i="20"/>
  <c r="CU72" i="20"/>
  <c r="DC72" i="20"/>
  <c r="DK72" i="20"/>
  <c r="R72" i="20"/>
  <c r="AB72" i="20"/>
  <c r="AK72" i="20"/>
  <c r="AT72" i="20"/>
  <c r="BC72" i="20"/>
  <c r="BL72" i="20"/>
  <c r="BU72" i="20"/>
  <c r="CD72" i="20"/>
  <c r="CN72" i="20"/>
  <c r="CW72" i="20"/>
  <c r="DF72" i="20"/>
  <c r="W72" i="20"/>
  <c r="AG72" i="20"/>
  <c r="AR72" i="20"/>
  <c r="BB72" i="20"/>
  <c r="BM72" i="20"/>
  <c r="BX72" i="20"/>
  <c r="CH72" i="20"/>
  <c r="CR72" i="20"/>
  <c r="DB72" i="20"/>
  <c r="X72" i="20"/>
  <c r="AH72" i="20"/>
  <c r="AS72" i="20"/>
  <c r="BD72" i="20"/>
  <c r="BN72" i="20"/>
  <c r="BY72" i="20"/>
  <c r="CI72" i="20"/>
  <c r="CS72" i="20"/>
  <c r="DD72" i="20"/>
  <c r="Y72" i="20"/>
  <c r="AJ72" i="20"/>
  <c r="AU72" i="20"/>
  <c r="BE72" i="20"/>
  <c r="BP72" i="20"/>
  <c r="Z72" i="20"/>
  <c r="AL72" i="20"/>
  <c r="AV72" i="20"/>
  <c r="BF72" i="20"/>
  <c r="BQ72" i="20"/>
  <c r="CA72" i="20"/>
  <c r="CK72" i="20"/>
  <c r="CV72" i="20"/>
  <c r="DG72" i="20"/>
  <c r="U72" i="20"/>
  <c r="AO72" i="20"/>
  <c r="BJ72" i="20"/>
  <c r="CC72" i="20"/>
  <c r="CT72" i="20"/>
  <c r="DJ72" i="20"/>
  <c r="V72" i="20"/>
  <c r="AP72" i="20"/>
  <c r="BK72" i="20"/>
  <c r="CF72" i="20"/>
  <c r="CX72" i="20"/>
  <c r="DL72" i="20"/>
  <c r="Q72" i="20"/>
  <c r="AW72" i="20"/>
  <c r="BT72" i="20"/>
  <c r="CP72" i="20"/>
  <c r="T72" i="20"/>
  <c r="AX72" i="20"/>
  <c r="BV72" i="20"/>
  <c r="CQ72" i="20"/>
  <c r="AC72" i="20"/>
  <c r="AZ72" i="20"/>
  <c r="BZ72" i="20"/>
  <c r="CY72" i="20"/>
  <c r="AF72" i="20"/>
  <c r="BI72" i="20"/>
  <c r="CJ72" i="20"/>
  <c r="DE72" i="20"/>
  <c r="AE72" i="20"/>
  <c r="CG72" i="20"/>
  <c r="AN72" i="20"/>
  <c r="CO72" i="20"/>
  <c r="BA72" i="20"/>
  <c r="CZ72" i="20"/>
  <c r="BH72" i="20"/>
  <c r="DA72" i="20"/>
  <c r="BS72" i="20"/>
  <c r="CB72" i="20"/>
  <c r="CL72" i="20"/>
  <c r="DI72" i="20"/>
  <c r="AD72" i="20"/>
  <c r="AM72" i="20"/>
  <c r="BR72" i="20"/>
  <c r="DH72" i="20"/>
  <c r="U353" i="20"/>
  <c r="AC353" i="20"/>
  <c r="AK353" i="20"/>
  <c r="AS353" i="20"/>
  <c r="BA353" i="20"/>
  <c r="BI353" i="20"/>
  <c r="BQ353" i="20"/>
  <c r="BY353" i="20"/>
  <c r="CG353" i="20"/>
  <c r="CO353" i="20"/>
  <c r="CW353" i="20"/>
  <c r="DE353" i="20"/>
  <c r="W353" i="20"/>
  <c r="AE353" i="20"/>
  <c r="AM353" i="20"/>
  <c r="AU353" i="20"/>
  <c r="BC353" i="20"/>
  <c r="BK353" i="20"/>
  <c r="BS353" i="20"/>
  <c r="CA353" i="20"/>
  <c r="CI353" i="20"/>
  <c r="CQ353" i="20"/>
  <c r="CY353" i="20"/>
  <c r="DG353" i="20"/>
  <c r="W111" i="20"/>
  <c r="AE111" i="20"/>
  <c r="AM111" i="20"/>
  <c r="AU111" i="20"/>
  <c r="BC111" i="20"/>
  <c r="BK111" i="20"/>
  <c r="BS111" i="20"/>
  <c r="CA111" i="20"/>
  <c r="CI111" i="20"/>
  <c r="CQ111" i="20"/>
  <c r="CY111" i="20"/>
  <c r="DG111" i="20"/>
  <c r="X111" i="20"/>
  <c r="AF111" i="20"/>
  <c r="AN111" i="20"/>
  <c r="AV111" i="20"/>
  <c r="BD111" i="20"/>
  <c r="BL111" i="20"/>
  <c r="BT111" i="20"/>
  <c r="CB111" i="20"/>
  <c r="CJ111" i="20"/>
  <c r="CR111" i="20"/>
  <c r="CZ111" i="20"/>
  <c r="DH111" i="20"/>
  <c r="R111" i="20"/>
  <c r="AB111" i="20"/>
  <c r="AL111" i="20"/>
  <c r="AX111" i="20"/>
  <c r="BH111" i="20"/>
  <c r="BR111" i="20"/>
  <c r="CD111" i="20"/>
  <c r="CN111" i="20"/>
  <c r="CX111" i="20"/>
  <c r="DJ111" i="20"/>
  <c r="V111" i="20"/>
  <c r="AH111" i="20"/>
  <c r="AR111" i="20"/>
  <c r="BB111" i="20"/>
  <c r="BN111" i="20"/>
  <c r="BX111" i="20"/>
  <c r="CH111" i="20"/>
  <c r="CT111" i="20"/>
  <c r="DD111" i="20"/>
  <c r="AA111" i="20"/>
  <c r="AP111" i="20"/>
  <c r="BE111" i="20"/>
  <c r="BQ111" i="20"/>
  <c r="CF111" i="20"/>
  <c r="CU111" i="20"/>
  <c r="DI111" i="20"/>
  <c r="AC111" i="20"/>
  <c r="AQ111" i="20"/>
  <c r="BF111" i="20"/>
  <c r="BU111" i="20"/>
  <c r="CG111" i="20"/>
  <c r="CV111" i="20"/>
  <c r="DK111" i="20"/>
  <c r="T111" i="20"/>
  <c r="AK111" i="20"/>
  <c r="BG111" i="20"/>
  <c r="BY111" i="20"/>
  <c r="CP111" i="20"/>
  <c r="DL111" i="20"/>
  <c r="U111" i="20"/>
  <c r="AO111" i="20"/>
  <c r="BI111" i="20"/>
  <c r="BZ111" i="20"/>
  <c r="CS111" i="20"/>
  <c r="Y111" i="20"/>
  <c r="AS111" i="20"/>
  <c r="BJ111" i="20"/>
  <c r="CC111" i="20"/>
  <c r="CW111" i="20"/>
  <c r="Z111" i="20"/>
  <c r="AT111" i="20"/>
  <c r="BM111" i="20"/>
  <c r="CE111" i="20"/>
  <c r="DA111" i="20"/>
  <c r="AD111" i="20"/>
  <c r="AW111" i="20"/>
  <c r="BO111" i="20"/>
  <c r="CK111" i="20"/>
  <c r="DB111" i="20"/>
  <c r="AG111" i="20"/>
  <c r="BW111" i="20"/>
  <c r="AI111" i="20"/>
  <c r="CL111" i="20"/>
  <c r="AJ111" i="20"/>
  <c r="CM111" i="20"/>
  <c r="AY111" i="20"/>
  <c r="CO111" i="20"/>
  <c r="Q111" i="20"/>
  <c r="DF111" i="20"/>
  <c r="S111" i="20"/>
  <c r="AZ111" i="20"/>
  <c r="BA111" i="20"/>
  <c r="BP111" i="20"/>
  <c r="BV111" i="20"/>
  <c r="DC111" i="20"/>
  <c r="DE111" i="20"/>
  <c r="Q151" i="20"/>
  <c r="Y151" i="20"/>
  <c r="AG151" i="20"/>
  <c r="AO151" i="20"/>
  <c r="AW151" i="20"/>
  <c r="BE151" i="20"/>
  <c r="BM151" i="20"/>
  <c r="BU151" i="20"/>
  <c r="CC151" i="20"/>
  <c r="CK151" i="20"/>
  <c r="CS151" i="20"/>
  <c r="DA151" i="20"/>
  <c r="DI151" i="20"/>
  <c r="T151" i="20"/>
  <c r="AC151" i="20"/>
  <c r="AL151" i="20"/>
  <c r="AU151" i="20"/>
  <c r="BD151" i="20"/>
  <c r="BN151" i="20"/>
  <c r="BW151" i="20"/>
  <c r="CF151" i="20"/>
  <c r="CO151" i="20"/>
  <c r="CX151" i="20"/>
  <c r="DG151" i="20"/>
  <c r="W151" i="20"/>
  <c r="AF151" i="20"/>
  <c r="AP151" i="20"/>
  <c r="AY151" i="20"/>
  <c r="BH151" i="20"/>
  <c r="BQ151" i="20"/>
  <c r="BZ151" i="20"/>
  <c r="CI151" i="20"/>
  <c r="CR151" i="20"/>
  <c r="DB151" i="20"/>
  <c r="DK151" i="20"/>
  <c r="X151" i="20"/>
  <c r="AH151" i="20"/>
  <c r="AQ151" i="20"/>
  <c r="AZ151" i="20"/>
  <c r="BI151" i="20"/>
  <c r="BR151" i="20"/>
  <c r="CA151" i="20"/>
  <c r="CJ151" i="20"/>
  <c r="CT151" i="20"/>
  <c r="DC151" i="20"/>
  <c r="DL151" i="20"/>
  <c r="AB151" i="20"/>
  <c r="AR151" i="20"/>
  <c r="BF151" i="20"/>
  <c r="BT151" i="20"/>
  <c r="CH151" i="20"/>
  <c r="CW151" i="20"/>
  <c r="AD151" i="20"/>
  <c r="AS151" i="20"/>
  <c r="BG151" i="20"/>
  <c r="BV151" i="20"/>
  <c r="CL151" i="20"/>
  <c r="CY151" i="20"/>
  <c r="R151" i="20"/>
  <c r="AE151" i="20"/>
  <c r="AT151" i="20"/>
  <c r="BJ151" i="20"/>
  <c r="BX151" i="20"/>
  <c r="CM151" i="20"/>
  <c r="CZ151" i="20"/>
  <c r="S151" i="20"/>
  <c r="AI151" i="20"/>
  <c r="AV151" i="20"/>
  <c r="BK151" i="20"/>
  <c r="BY151" i="20"/>
  <c r="CN151" i="20"/>
  <c r="DD151" i="20"/>
  <c r="AM151" i="20"/>
  <c r="BP151" i="20"/>
  <c r="CU151" i="20"/>
  <c r="AN151" i="20"/>
  <c r="BS151" i="20"/>
  <c r="CV151" i="20"/>
  <c r="V151" i="20"/>
  <c r="BA151" i="20"/>
  <c r="CD151" i="20"/>
  <c r="DF151" i="20"/>
  <c r="BC151" i="20"/>
  <c r="DE151" i="20"/>
  <c r="U151" i="20"/>
  <c r="BL151" i="20"/>
  <c r="DH151" i="20"/>
  <c r="Z151" i="20"/>
  <c r="BO151" i="20"/>
  <c r="DJ151" i="20"/>
  <c r="AA151" i="20"/>
  <c r="CB151" i="20"/>
  <c r="AJ151" i="20"/>
  <c r="CE151" i="20"/>
  <c r="AK151" i="20"/>
  <c r="AX151" i="20"/>
  <c r="BB151" i="20"/>
  <c r="CG151" i="20"/>
  <c r="S312" i="20"/>
  <c r="AA312" i="20"/>
  <c r="AI312" i="20"/>
  <c r="AQ312" i="20"/>
  <c r="AY312" i="20"/>
  <c r="BG312" i="20"/>
  <c r="BO312" i="20"/>
  <c r="BW312" i="20"/>
  <c r="CE312" i="20"/>
  <c r="CM312" i="20"/>
  <c r="CU312" i="20"/>
  <c r="DC312" i="20"/>
  <c r="DK312" i="20"/>
  <c r="T312" i="20"/>
  <c r="AB312" i="20"/>
  <c r="AJ312" i="20"/>
  <c r="AR312" i="20"/>
  <c r="AZ312" i="20"/>
  <c r="BH312" i="20"/>
  <c r="BP312" i="20"/>
  <c r="BX312" i="20"/>
  <c r="CF312" i="20"/>
  <c r="CN312" i="20"/>
  <c r="CV312" i="20"/>
  <c r="DD312" i="20"/>
  <c r="DL312" i="20"/>
  <c r="V312" i="20"/>
  <c r="AF312" i="20"/>
  <c r="AP312" i="20"/>
  <c r="BB312" i="20"/>
  <c r="BL312" i="20"/>
  <c r="BV312" i="20"/>
  <c r="CH312" i="20"/>
  <c r="CR312" i="20"/>
  <c r="DB312" i="20"/>
  <c r="W312" i="20"/>
  <c r="AG312" i="20"/>
  <c r="AS312" i="20"/>
  <c r="BC312" i="20"/>
  <c r="BM312" i="20"/>
  <c r="BY312" i="20"/>
  <c r="CI312" i="20"/>
  <c r="CS312" i="20"/>
  <c r="DE312" i="20"/>
  <c r="Y312" i="20"/>
  <c r="AK312" i="20"/>
  <c r="AU312" i="20"/>
  <c r="BE312" i="20"/>
  <c r="BQ312" i="20"/>
  <c r="CA312" i="20"/>
  <c r="CK312" i="20"/>
  <c r="CW312" i="20"/>
  <c r="DG312" i="20"/>
  <c r="U389" i="20"/>
  <c r="AC389" i="20"/>
  <c r="AK389" i="20"/>
  <c r="AS389" i="20"/>
  <c r="BA389" i="20"/>
  <c r="BI389" i="20"/>
  <c r="BQ389" i="20"/>
  <c r="BY389" i="20"/>
  <c r="CG389" i="20"/>
  <c r="CO389" i="20"/>
  <c r="CW389" i="20"/>
  <c r="DE389" i="20"/>
  <c r="S70" i="20"/>
  <c r="AA70" i="20"/>
  <c r="AI70" i="20"/>
  <c r="AQ70" i="20"/>
  <c r="AY70" i="20"/>
  <c r="BG70" i="20"/>
  <c r="BO70" i="20"/>
  <c r="BW70" i="20"/>
  <c r="CE70" i="20"/>
  <c r="CM70" i="20"/>
  <c r="CU70" i="20"/>
  <c r="DC70" i="20"/>
  <c r="DK70" i="20"/>
  <c r="Q70" i="20"/>
  <c r="Z70" i="20"/>
  <c r="AJ70" i="20"/>
  <c r="AS70" i="20"/>
  <c r="BB70" i="20"/>
  <c r="BK70" i="20"/>
  <c r="BT70" i="20"/>
  <c r="CC70" i="20"/>
  <c r="CL70" i="20"/>
  <c r="CV70" i="20"/>
  <c r="DE70" i="20"/>
  <c r="R70" i="20"/>
  <c r="AB70" i="20"/>
  <c r="AK70" i="20"/>
  <c r="AT70" i="20"/>
  <c r="BC70" i="20"/>
  <c r="BL70" i="20"/>
  <c r="BU70" i="20"/>
  <c r="CD70" i="20"/>
  <c r="CN70" i="20"/>
  <c r="CW70" i="20"/>
  <c r="DF70" i="20"/>
  <c r="V70" i="20"/>
  <c r="AG70" i="20"/>
  <c r="AU70" i="20"/>
  <c r="BF70" i="20"/>
  <c r="BR70" i="20"/>
  <c r="CF70" i="20"/>
  <c r="CQ70" i="20"/>
  <c r="DB70" i="20"/>
  <c r="W70" i="20"/>
  <c r="AH70" i="20"/>
  <c r="AV70" i="20"/>
  <c r="BH70" i="20"/>
  <c r="BS70" i="20"/>
  <c r="CG70" i="20"/>
  <c r="CR70" i="20"/>
  <c r="DD70" i="20"/>
  <c r="X70" i="20"/>
  <c r="AL70" i="20"/>
  <c r="AW70" i="20"/>
  <c r="BI70" i="20"/>
  <c r="BV70" i="20"/>
  <c r="CH70" i="20"/>
  <c r="CS70" i="20"/>
  <c r="DG70" i="20"/>
  <c r="Y70" i="20"/>
  <c r="AM70" i="20"/>
  <c r="AX70" i="20"/>
  <c r="BJ70" i="20"/>
  <c r="BX70" i="20"/>
  <c r="CI70" i="20"/>
  <c r="CT70" i="20"/>
  <c r="DH70" i="20"/>
  <c r="T70" i="20"/>
  <c r="AP70" i="20"/>
  <c r="BP70" i="20"/>
  <c r="CO70" i="20"/>
  <c r="DL70" i="20"/>
  <c r="U70" i="20"/>
  <c r="AR70" i="20"/>
  <c r="BQ70" i="20"/>
  <c r="CP70" i="20"/>
  <c r="AN70" i="20"/>
  <c r="BY70" i="20"/>
  <c r="CZ70" i="20"/>
  <c r="AO70" i="20"/>
  <c r="BZ70" i="20"/>
  <c r="DA70" i="20"/>
  <c r="AZ70" i="20"/>
  <c r="CA70" i="20"/>
  <c r="DI70" i="20"/>
  <c r="AD70" i="20"/>
  <c r="BE70" i="20"/>
  <c r="CK70" i="20"/>
  <c r="BD70" i="20"/>
  <c r="BN70" i="20"/>
  <c r="CB70" i="20"/>
  <c r="AC70" i="20"/>
  <c r="CJ70" i="20"/>
  <c r="AF70" i="20"/>
  <c r="BA70" i="20"/>
  <c r="BM70" i="20"/>
  <c r="CY70" i="20"/>
  <c r="DJ70" i="20"/>
  <c r="CX70" i="20"/>
  <c r="AE70" i="20"/>
  <c r="Q153" i="20"/>
  <c r="Y153" i="20"/>
  <c r="AG153" i="20"/>
  <c r="AO153" i="20"/>
  <c r="AW153" i="20"/>
  <c r="BE153" i="20"/>
  <c r="BM153" i="20"/>
  <c r="BU153" i="20"/>
  <c r="CC153" i="20"/>
  <c r="CK153" i="20"/>
  <c r="CS153" i="20"/>
  <c r="DA153" i="20"/>
  <c r="DI153" i="20"/>
  <c r="U153" i="20"/>
  <c r="AD153" i="20"/>
  <c r="AM153" i="20"/>
  <c r="AV153" i="20"/>
  <c r="BF153" i="20"/>
  <c r="BO153" i="20"/>
  <c r="BX153" i="20"/>
  <c r="CG153" i="20"/>
  <c r="CP153" i="20"/>
  <c r="CY153" i="20"/>
  <c r="DH153" i="20"/>
  <c r="X153" i="20"/>
  <c r="AH153" i="20"/>
  <c r="AQ153" i="20"/>
  <c r="AZ153" i="20"/>
  <c r="BI153" i="20"/>
  <c r="BR153" i="20"/>
  <c r="CA153" i="20"/>
  <c r="CJ153" i="20"/>
  <c r="CT153" i="20"/>
  <c r="DC153" i="20"/>
  <c r="DL153" i="20"/>
  <c r="Z153" i="20"/>
  <c r="AI153" i="20"/>
  <c r="AR153" i="20"/>
  <c r="BA153" i="20"/>
  <c r="BJ153" i="20"/>
  <c r="BS153" i="20"/>
  <c r="CB153" i="20"/>
  <c r="CL153" i="20"/>
  <c r="CU153" i="20"/>
  <c r="DD153" i="20"/>
  <c r="S153" i="20"/>
  <c r="AF153" i="20"/>
  <c r="AU153" i="20"/>
  <c r="BK153" i="20"/>
  <c r="BY153" i="20"/>
  <c r="CN153" i="20"/>
  <c r="DB153" i="20"/>
  <c r="T153" i="20"/>
  <c r="AJ153" i="20"/>
  <c r="AX153" i="20"/>
  <c r="BL153" i="20"/>
  <c r="BZ153" i="20"/>
  <c r="CO153" i="20"/>
  <c r="DE153" i="20"/>
  <c r="V153" i="20"/>
  <c r="AK153" i="20"/>
  <c r="AY153" i="20"/>
  <c r="BN153" i="20"/>
  <c r="CD153" i="20"/>
  <c r="CQ153" i="20"/>
  <c r="DF153" i="20"/>
  <c r="W153" i="20"/>
  <c r="AL153" i="20"/>
  <c r="BB153" i="20"/>
  <c r="BP153" i="20"/>
  <c r="CE153" i="20"/>
  <c r="CR153" i="20"/>
  <c r="DG153" i="20"/>
  <c r="AS153" i="20"/>
  <c r="BV153" i="20"/>
  <c r="CX153" i="20"/>
  <c r="R153" i="20"/>
  <c r="AT153" i="20"/>
  <c r="BW153" i="20"/>
  <c r="CZ153" i="20"/>
  <c r="AB153" i="20"/>
  <c r="BD153" i="20"/>
  <c r="CH153" i="20"/>
  <c r="DK153" i="20"/>
  <c r="AP153" i="20"/>
  <c r="CM153" i="20"/>
  <c r="BC153" i="20"/>
  <c r="CV153" i="20"/>
  <c r="BG153" i="20"/>
  <c r="CW153" i="20"/>
  <c r="BH153" i="20"/>
  <c r="DJ153" i="20"/>
  <c r="AA153" i="20"/>
  <c r="BQ153" i="20"/>
  <c r="BT153" i="20"/>
  <c r="CF153" i="20"/>
  <c r="CI153" i="20"/>
  <c r="AC153" i="20"/>
  <c r="AE153" i="20"/>
  <c r="AN153" i="20"/>
  <c r="W309" i="20"/>
  <c r="AE309" i="20"/>
  <c r="AM309" i="20"/>
  <c r="AU309" i="20"/>
  <c r="BC309" i="20"/>
  <c r="BK309" i="20"/>
  <c r="BS309" i="20"/>
  <c r="CA309" i="20"/>
  <c r="CI309" i="20"/>
  <c r="CQ309" i="20"/>
  <c r="CY309" i="20"/>
  <c r="DG309" i="20"/>
  <c r="X309" i="20"/>
  <c r="AF309" i="20"/>
  <c r="AN309" i="20"/>
  <c r="AV309" i="20"/>
  <c r="BD309" i="20"/>
  <c r="BL309" i="20"/>
  <c r="BT309" i="20"/>
  <c r="CB309" i="20"/>
  <c r="CJ309" i="20"/>
  <c r="CR309" i="20"/>
  <c r="CZ309" i="20"/>
  <c r="DH309" i="20"/>
  <c r="V309" i="20"/>
  <c r="AH309" i="20"/>
  <c r="AR309" i="20"/>
  <c r="BB309" i="20"/>
  <c r="BN309" i="20"/>
  <c r="BX309" i="20"/>
  <c r="CH309" i="20"/>
  <c r="CT309" i="20"/>
  <c r="DD309" i="20"/>
  <c r="Y309" i="20"/>
  <c r="AI309" i="20"/>
  <c r="AS309" i="20"/>
  <c r="BE309" i="20"/>
  <c r="BO309" i="20"/>
  <c r="BY309" i="20"/>
  <c r="CK309" i="20"/>
  <c r="CU309" i="20"/>
  <c r="DE309" i="20"/>
  <c r="Q309" i="20"/>
  <c r="AA309" i="20"/>
  <c r="AK309" i="20"/>
  <c r="AW309" i="20"/>
  <c r="BG309" i="20"/>
  <c r="BQ309" i="20"/>
  <c r="CC309" i="20"/>
  <c r="CM309" i="20"/>
  <c r="CW309" i="20"/>
  <c r="DI309" i="20"/>
  <c r="W12" i="20"/>
  <c r="AE12" i="20"/>
  <c r="X12" i="20"/>
  <c r="AF12" i="20"/>
  <c r="AN12" i="20"/>
  <c r="AV12" i="20"/>
  <c r="BD12" i="20"/>
  <c r="BL12" i="20"/>
  <c r="BT12" i="20"/>
  <c r="CB12" i="20"/>
  <c r="CJ12" i="20"/>
  <c r="CR12" i="20"/>
  <c r="CZ12" i="20"/>
  <c r="DH12" i="20"/>
  <c r="T12" i="20"/>
  <c r="AD12" i="20"/>
  <c r="AO12" i="20"/>
  <c r="AX12" i="20"/>
  <c r="BG12" i="20"/>
  <c r="BP12" i="20"/>
  <c r="BY12" i="20"/>
  <c r="CH12" i="20"/>
  <c r="CQ12" i="20"/>
  <c r="DA12" i="20"/>
  <c r="DJ12" i="20"/>
  <c r="U12" i="20"/>
  <c r="AG12" i="20"/>
  <c r="AP12" i="20"/>
  <c r="AY12" i="20"/>
  <c r="BH12" i="20"/>
  <c r="BQ12" i="20"/>
  <c r="BZ12" i="20"/>
  <c r="CI12" i="20"/>
  <c r="CS12" i="20"/>
  <c r="DB12" i="20"/>
  <c r="DK12" i="20"/>
  <c r="V12" i="20"/>
  <c r="AH12" i="20"/>
  <c r="AQ12" i="20"/>
  <c r="AZ12" i="20"/>
  <c r="BI12" i="20"/>
  <c r="BR12" i="20"/>
  <c r="CA12" i="20"/>
  <c r="CK12" i="20"/>
  <c r="CT12" i="20"/>
  <c r="DC12" i="20"/>
  <c r="DL12" i="20"/>
  <c r="S12" i="20"/>
  <c r="AK12" i="20"/>
  <c r="BA12" i="20"/>
  <c r="BN12" i="20"/>
  <c r="CD12" i="20"/>
  <c r="CP12" i="20"/>
  <c r="DF12" i="20"/>
  <c r="Y12" i="20"/>
  <c r="AL12" i="20"/>
  <c r="BB12" i="20"/>
  <c r="BO12" i="20"/>
  <c r="CE12" i="20"/>
  <c r="CU12" i="20"/>
  <c r="DG12" i="20"/>
  <c r="Z12" i="20"/>
  <c r="AM12" i="20"/>
  <c r="BC12" i="20"/>
  <c r="BS12" i="20"/>
  <c r="CF12" i="20"/>
  <c r="CV12" i="20"/>
  <c r="DI12" i="20"/>
  <c r="AA12" i="20"/>
  <c r="AR12" i="20"/>
  <c r="BE12" i="20"/>
  <c r="BU12" i="20"/>
  <c r="CG12" i="20"/>
  <c r="CW12" i="20"/>
  <c r="AC12" i="20"/>
  <c r="BJ12" i="20"/>
  <c r="CM12" i="20"/>
  <c r="AS12" i="20"/>
  <c r="BV12" i="20"/>
  <c r="CX12" i="20"/>
  <c r="AW12" i="20"/>
  <c r="CN12" i="20"/>
  <c r="Q12" i="20"/>
  <c r="BF12" i="20"/>
  <c r="CO12" i="20"/>
  <c r="AT12" i="20"/>
  <c r="CY12" i="20"/>
  <c r="R12" i="20"/>
  <c r="BW12" i="20"/>
  <c r="BM12" i="20"/>
  <c r="BX12" i="20"/>
  <c r="CC12" i="20"/>
  <c r="AB12" i="20"/>
  <c r="CL12" i="20"/>
  <c r="DD12" i="20"/>
  <c r="DE12" i="20"/>
  <c r="AU12" i="20"/>
  <c r="AJ12" i="20"/>
  <c r="BK12" i="20"/>
  <c r="AI12" i="20"/>
  <c r="Q139" i="20"/>
  <c r="Y139" i="20"/>
  <c r="AG139" i="20"/>
  <c r="AO139" i="20"/>
  <c r="AW139" i="20"/>
  <c r="BE139" i="20"/>
  <c r="BM139" i="20"/>
  <c r="BU139" i="20"/>
  <c r="CC139" i="20"/>
  <c r="CK139" i="20"/>
  <c r="CS139" i="20"/>
  <c r="DA139" i="20"/>
  <c r="DI139" i="20"/>
  <c r="R139" i="20"/>
  <c r="Z139" i="20"/>
  <c r="AH139" i="20"/>
  <c r="AP139" i="20"/>
  <c r="AX139" i="20"/>
  <c r="BF139" i="20"/>
  <c r="BN139" i="20"/>
  <c r="BV139" i="20"/>
  <c r="CD139" i="20"/>
  <c r="CL139" i="20"/>
  <c r="CT139" i="20"/>
  <c r="DB139" i="20"/>
  <c r="DJ139" i="20"/>
  <c r="U139" i="20"/>
  <c r="AE139" i="20"/>
  <c r="AQ139" i="20"/>
  <c r="BA139" i="20"/>
  <c r="BK139" i="20"/>
  <c r="BW139" i="20"/>
  <c r="CG139" i="20"/>
  <c r="CQ139" i="20"/>
  <c r="DC139" i="20"/>
  <c r="V139" i="20"/>
  <c r="AF139" i="20"/>
  <c r="AR139" i="20"/>
  <c r="BB139" i="20"/>
  <c r="BL139" i="20"/>
  <c r="BX139" i="20"/>
  <c r="CH139" i="20"/>
  <c r="CR139" i="20"/>
  <c r="DD139" i="20"/>
  <c r="X139" i="20"/>
  <c r="AJ139" i="20"/>
  <c r="AT139" i="20"/>
  <c r="BD139" i="20"/>
  <c r="BP139" i="20"/>
  <c r="BZ139" i="20"/>
  <c r="CJ139" i="20"/>
  <c r="CV139" i="20"/>
  <c r="DF139" i="20"/>
  <c r="AA139" i="20"/>
  <c r="AK139" i="20"/>
  <c r="AU139" i="20"/>
  <c r="BG139" i="20"/>
  <c r="BQ139" i="20"/>
  <c r="CA139" i="20"/>
  <c r="CM139" i="20"/>
  <c r="CW139" i="20"/>
  <c r="DG139" i="20"/>
  <c r="W139" i="20"/>
  <c r="AS139" i="20"/>
  <c r="BO139" i="20"/>
  <c r="CI139" i="20"/>
  <c r="DE139" i="20"/>
  <c r="AB139" i="20"/>
  <c r="AV139" i="20"/>
  <c r="BR139" i="20"/>
  <c r="CN139" i="20"/>
  <c r="DH139" i="20"/>
  <c r="AC139" i="20"/>
  <c r="AY139" i="20"/>
  <c r="BS139" i="20"/>
  <c r="CO139" i="20"/>
  <c r="DK139" i="20"/>
  <c r="AD139" i="20"/>
  <c r="AZ139" i="20"/>
  <c r="BT139" i="20"/>
  <c r="CP139" i="20"/>
  <c r="DL139" i="20"/>
  <c r="AM139" i="20"/>
  <c r="CE139" i="20"/>
  <c r="AN139" i="20"/>
  <c r="CF139" i="20"/>
  <c r="BH139" i="20"/>
  <c r="CX139" i="20"/>
  <c r="BJ139" i="20"/>
  <c r="BY139" i="20"/>
  <c r="S139" i="20"/>
  <c r="CB139" i="20"/>
  <c r="T139" i="20"/>
  <c r="CU139" i="20"/>
  <c r="AI139" i="20"/>
  <c r="CY139" i="20"/>
  <c r="CZ139" i="20"/>
  <c r="W307" i="20"/>
  <c r="AE307" i="20"/>
  <c r="AM307" i="20"/>
  <c r="AU307" i="20"/>
  <c r="BC307" i="20"/>
  <c r="BK307" i="20"/>
  <c r="BS307" i="20"/>
  <c r="CA307" i="20"/>
  <c r="CI307" i="20"/>
  <c r="CQ307" i="20"/>
  <c r="CY307" i="20"/>
  <c r="DG307" i="20"/>
  <c r="X307" i="20"/>
  <c r="AF307" i="20"/>
  <c r="AN307" i="20"/>
  <c r="AV307" i="20"/>
  <c r="BD307" i="20"/>
  <c r="BL307" i="20"/>
  <c r="BT307" i="20"/>
  <c r="CB307" i="20"/>
  <c r="CJ307" i="20"/>
  <c r="CR307" i="20"/>
  <c r="CZ307" i="20"/>
  <c r="DH307" i="20"/>
  <c r="T307" i="20"/>
  <c r="AD307" i="20"/>
  <c r="AP307" i="20"/>
  <c r="AZ307" i="20"/>
  <c r="BJ307" i="20"/>
  <c r="BV307" i="20"/>
  <c r="CF307" i="20"/>
  <c r="CP307" i="20"/>
  <c r="DB307" i="20"/>
  <c r="DL307" i="20"/>
  <c r="U307" i="20"/>
  <c r="AG307" i="20"/>
  <c r="AQ307" i="20"/>
  <c r="BA307" i="20"/>
  <c r="BM307" i="20"/>
  <c r="BW307" i="20"/>
  <c r="CG307" i="20"/>
  <c r="CS307" i="20"/>
  <c r="DC307" i="20"/>
  <c r="Y307" i="20"/>
  <c r="AI307" i="20"/>
  <c r="AS307" i="20"/>
  <c r="BE307" i="20"/>
  <c r="BO307" i="20"/>
  <c r="BY307" i="20"/>
  <c r="CK307" i="20"/>
  <c r="CU307" i="20"/>
  <c r="DE307" i="20"/>
  <c r="T166" i="20"/>
  <c r="AB166" i="20"/>
  <c r="AJ166" i="20"/>
  <c r="AR166" i="20"/>
  <c r="AZ166" i="20"/>
  <c r="BH166" i="20"/>
  <c r="BP166" i="20"/>
  <c r="BX166" i="20"/>
  <c r="CF166" i="20"/>
  <c r="CN166" i="20"/>
  <c r="CV166" i="20"/>
  <c r="DD166" i="20"/>
  <c r="DL166" i="20"/>
  <c r="X166" i="20"/>
  <c r="AF166" i="20"/>
  <c r="AN166" i="20"/>
  <c r="AV166" i="20"/>
  <c r="BD166" i="20"/>
  <c r="BL166" i="20"/>
  <c r="BT166" i="20"/>
  <c r="CB166" i="20"/>
  <c r="CJ166" i="20"/>
  <c r="CR166" i="20"/>
  <c r="CZ166" i="20"/>
  <c r="DH166" i="20"/>
  <c r="Q166" i="20"/>
  <c r="AA166" i="20"/>
  <c r="AL166" i="20"/>
  <c r="AW166" i="20"/>
  <c r="BG166" i="20"/>
  <c r="BR166" i="20"/>
  <c r="CC166" i="20"/>
  <c r="CM166" i="20"/>
  <c r="CX166" i="20"/>
  <c r="DI166" i="20"/>
  <c r="R166" i="20"/>
  <c r="AC166" i="20"/>
  <c r="AM166" i="20"/>
  <c r="AX166" i="20"/>
  <c r="BI166" i="20"/>
  <c r="BS166" i="20"/>
  <c r="CD166" i="20"/>
  <c r="CO166" i="20"/>
  <c r="CY166" i="20"/>
  <c r="DJ166" i="20"/>
  <c r="V166" i="20"/>
  <c r="AI166" i="20"/>
  <c r="AY166" i="20"/>
  <c r="BM166" i="20"/>
  <c r="BZ166" i="20"/>
  <c r="CP166" i="20"/>
  <c r="DC166" i="20"/>
  <c r="W166" i="20"/>
  <c r="AK166" i="20"/>
  <c r="BA166" i="20"/>
  <c r="BN166" i="20"/>
  <c r="CA166" i="20"/>
  <c r="CQ166" i="20"/>
  <c r="DE166" i="20"/>
  <c r="Z166" i="20"/>
  <c r="AP166" i="20"/>
  <c r="BC166" i="20"/>
  <c r="BQ166" i="20"/>
  <c r="CG166" i="20"/>
  <c r="CT166" i="20"/>
  <c r="DG166" i="20"/>
  <c r="U166" i="20"/>
  <c r="AS166" i="20"/>
  <c r="BO166" i="20"/>
  <c r="CK166" i="20"/>
  <c r="DK166" i="20"/>
  <c r="Y166" i="20"/>
  <c r="AT166" i="20"/>
  <c r="BU166" i="20"/>
  <c r="CL166" i="20"/>
  <c r="AD166" i="20"/>
  <c r="AU166" i="20"/>
  <c r="BV166" i="20"/>
  <c r="CS166" i="20"/>
  <c r="AG166" i="20"/>
  <c r="BE166" i="20"/>
  <c r="BY166" i="20"/>
  <c r="CW166" i="20"/>
  <c r="AQ166" i="20"/>
  <c r="CI166" i="20"/>
  <c r="BB166" i="20"/>
  <c r="CU166" i="20"/>
  <c r="BF166" i="20"/>
  <c r="DA166" i="20"/>
  <c r="BJ166" i="20"/>
  <c r="DB166" i="20"/>
  <c r="AE166" i="20"/>
  <c r="AH166" i="20"/>
  <c r="AO166" i="20"/>
  <c r="BK166" i="20"/>
  <c r="BW166" i="20"/>
  <c r="CE166" i="20"/>
  <c r="S166" i="20"/>
  <c r="W63" i="20"/>
  <c r="AE63" i="20"/>
  <c r="AM63" i="20"/>
  <c r="AU63" i="20"/>
  <c r="BC63" i="20"/>
  <c r="BK63" i="20"/>
  <c r="BS63" i="20"/>
  <c r="CA63" i="20"/>
  <c r="CI63" i="20"/>
  <c r="CQ63" i="20"/>
  <c r="CY63" i="20"/>
  <c r="DG63" i="20"/>
  <c r="V63" i="20"/>
  <c r="AF63" i="20"/>
  <c r="AO63" i="20"/>
  <c r="AX63" i="20"/>
  <c r="BG63" i="20"/>
  <c r="BP63" i="20"/>
  <c r="BY63" i="20"/>
  <c r="CH63" i="20"/>
  <c r="CR63" i="20"/>
  <c r="DA63" i="20"/>
  <c r="DJ63" i="20"/>
  <c r="X63" i="20"/>
  <c r="AG63" i="20"/>
  <c r="AP63" i="20"/>
  <c r="AY63" i="20"/>
  <c r="BH63" i="20"/>
  <c r="BQ63" i="20"/>
  <c r="BZ63" i="20"/>
  <c r="CJ63" i="20"/>
  <c r="CS63" i="20"/>
  <c r="DB63" i="20"/>
  <c r="DK63" i="20"/>
  <c r="Y63" i="20"/>
  <c r="AH63" i="20"/>
  <c r="AQ63" i="20"/>
  <c r="AZ63" i="20"/>
  <c r="BI63" i="20"/>
  <c r="BR63" i="20"/>
  <c r="CB63" i="20"/>
  <c r="CK63" i="20"/>
  <c r="CT63" i="20"/>
  <c r="DC63" i="20"/>
  <c r="DL63" i="20"/>
  <c r="Q63" i="20"/>
  <c r="Z63" i="20"/>
  <c r="AI63" i="20"/>
  <c r="AR63" i="20"/>
  <c r="BA63" i="20"/>
  <c r="BJ63" i="20"/>
  <c r="BT63" i="20"/>
  <c r="CC63" i="20"/>
  <c r="CL63" i="20"/>
  <c r="CU63" i="20"/>
  <c r="DD63" i="20"/>
  <c r="AB63" i="20"/>
  <c r="AT63" i="20"/>
  <c r="BM63" i="20"/>
  <c r="CE63" i="20"/>
  <c r="CW63" i="20"/>
  <c r="AC63" i="20"/>
  <c r="AV63" i="20"/>
  <c r="BN63" i="20"/>
  <c r="CF63" i="20"/>
  <c r="CX63" i="20"/>
  <c r="AD63" i="20"/>
  <c r="AW63" i="20"/>
  <c r="BO63" i="20"/>
  <c r="CG63" i="20"/>
  <c r="CZ63" i="20"/>
  <c r="R63" i="20"/>
  <c r="AJ63" i="20"/>
  <c r="BB63" i="20"/>
  <c r="BU63" i="20"/>
  <c r="CM63" i="20"/>
  <c r="DE63" i="20"/>
  <c r="AL63" i="20"/>
  <c r="BW63" i="20"/>
  <c r="DH63" i="20"/>
  <c r="AN63" i="20"/>
  <c r="BX63" i="20"/>
  <c r="DI63" i="20"/>
  <c r="AS63" i="20"/>
  <c r="CD63" i="20"/>
  <c r="S63" i="20"/>
  <c r="BD63" i="20"/>
  <c r="CN63" i="20"/>
  <c r="T63" i="20"/>
  <c r="CO63" i="20"/>
  <c r="U63" i="20"/>
  <c r="CP63" i="20"/>
  <c r="AA63" i="20"/>
  <c r="CV63" i="20"/>
  <c r="BF63" i="20"/>
  <c r="AK63" i="20"/>
  <c r="BE63" i="20"/>
  <c r="BL63" i="20"/>
  <c r="BV63" i="20"/>
  <c r="DF63" i="20"/>
  <c r="Q131" i="20"/>
  <c r="Y131" i="20"/>
  <c r="AG131" i="20"/>
  <c r="AO131" i="20"/>
  <c r="AW131" i="20"/>
  <c r="BE131" i="20"/>
  <c r="BM131" i="20"/>
  <c r="BU131" i="20"/>
  <c r="CC131" i="20"/>
  <c r="CK131" i="20"/>
  <c r="CS131" i="20"/>
  <c r="DA131" i="20"/>
  <c r="DI131" i="20"/>
  <c r="R131" i="20"/>
  <c r="Z131" i="20"/>
  <c r="AH131" i="20"/>
  <c r="AP131" i="20"/>
  <c r="AX131" i="20"/>
  <c r="BF131" i="20"/>
  <c r="BN131" i="20"/>
  <c r="BV131" i="20"/>
  <c r="CD131" i="20"/>
  <c r="CL131" i="20"/>
  <c r="CT131" i="20"/>
  <c r="DB131" i="20"/>
  <c r="DJ131" i="20"/>
  <c r="U131" i="20"/>
  <c r="AE131" i="20"/>
  <c r="AQ131" i="20"/>
  <c r="BA131" i="20"/>
  <c r="BK131" i="20"/>
  <c r="BW131" i="20"/>
  <c r="CG131" i="20"/>
  <c r="CQ131" i="20"/>
  <c r="DC131" i="20"/>
  <c r="V131" i="20"/>
  <c r="AF131" i="20"/>
  <c r="AR131" i="20"/>
  <c r="BB131" i="20"/>
  <c r="BL131" i="20"/>
  <c r="BX131" i="20"/>
  <c r="CH131" i="20"/>
  <c r="CR131" i="20"/>
  <c r="DD131" i="20"/>
  <c r="W131" i="20"/>
  <c r="AI131" i="20"/>
  <c r="AS131" i="20"/>
  <c r="BC131" i="20"/>
  <c r="BO131" i="20"/>
  <c r="BY131" i="20"/>
  <c r="CI131" i="20"/>
  <c r="CU131" i="20"/>
  <c r="DE131" i="20"/>
  <c r="X131" i="20"/>
  <c r="AJ131" i="20"/>
  <c r="AT131" i="20"/>
  <c r="BD131" i="20"/>
  <c r="BP131" i="20"/>
  <c r="BZ131" i="20"/>
  <c r="CJ131" i="20"/>
  <c r="CV131" i="20"/>
  <c r="DF131" i="20"/>
  <c r="AA131" i="20"/>
  <c r="AK131" i="20"/>
  <c r="AU131" i="20"/>
  <c r="BG131" i="20"/>
  <c r="BQ131" i="20"/>
  <c r="CA131" i="20"/>
  <c r="CM131" i="20"/>
  <c r="CW131" i="20"/>
  <c r="DG131" i="20"/>
  <c r="AD131" i="20"/>
  <c r="BI131" i="20"/>
  <c r="CN131" i="20"/>
  <c r="DL131" i="20"/>
  <c r="AL131" i="20"/>
  <c r="BJ131" i="20"/>
  <c r="CO131" i="20"/>
  <c r="AM131" i="20"/>
  <c r="BR131" i="20"/>
  <c r="CP131" i="20"/>
  <c r="AN131" i="20"/>
  <c r="BS131" i="20"/>
  <c r="CX131" i="20"/>
  <c r="AB131" i="20"/>
  <c r="CE131" i="20"/>
  <c r="AC131" i="20"/>
  <c r="CF131" i="20"/>
  <c r="AV131" i="20"/>
  <c r="CY131" i="20"/>
  <c r="AY131" i="20"/>
  <c r="CZ131" i="20"/>
  <c r="AZ131" i="20"/>
  <c r="BH131" i="20"/>
  <c r="BT131" i="20"/>
  <c r="CB131" i="20"/>
  <c r="DH131" i="20"/>
  <c r="S131" i="20"/>
  <c r="T131" i="20"/>
  <c r="DK131" i="20"/>
  <c r="T176" i="20"/>
  <c r="AB176" i="20"/>
  <c r="AJ176" i="20"/>
  <c r="AR176" i="20"/>
  <c r="AZ176" i="20"/>
  <c r="BH176" i="20"/>
  <c r="BP176" i="20"/>
  <c r="BX176" i="20"/>
  <c r="CF176" i="20"/>
  <c r="CN176" i="20"/>
  <c r="CV176" i="20"/>
  <c r="DD176" i="20"/>
  <c r="DL176" i="20"/>
  <c r="U176" i="20"/>
  <c r="AD176" i="20"/>
  <c r="AM176" i="20"/>
  <c r="AV176" i="20"/>
  <c r="BE176" i="20"/>
  <c r="BN176" i="20"/>
  <c r="BW176" i="20"/>
  <c r="CG176" i="20"/>
  <c r="CP176" i="20"/>
  <c r="CY176" i="20"/>
  <c r="DH176" i="20"/>
  <c r="V176" i="20"/>
  <c r="AE176" i="20"/>
  <c r="AN176" i="20"/>
  <c r="AW176" i="20"/>
  <c r="BF176" i="20"/>
  <c r="BO176" i="20"/>
  <c r="BY176" i="20"/>
  <c r="CH176" i="20"/>
  <c r="CQ176" i="20"/>
  <c r="CZ176" i="20"/>
  <c r="DI176" i="20"/>
  <c r="AA176" i="20"/>
  <c r="AO176" i="20"/>
  <c r="BA176" i="20"/>
  <c r="BL176" i="20"/>
  <c r="BZ176" i="20"/>
  <c r="CK176" i="20"/>
  <c r="CW176" i="20"/>
  <c r="DJ176" i="20"/>
  <c r="Q176" i="20"/>
  <c r="AC176" i="20"/>
  <c r="AP176" i="20"/>
  <c r="BB176" i="20"/>
  <c r="BM176" i="20"/>
  <c r="CA176" i="20"/>
  <c r="CL176" i="20"/>
  <c r="CX176" i="20"/>
  <c r="DK176" i="20"/>
  <c r="AF176" i="20"/>
  <c r="AT176" i="20"/>
  <c r="BJ176" i="20"/>
  <c r="CB176" i="20"/>
  <c r="CR176" i="20"/>
  <c r="DF176" i="20"/>
  <c r="AG176" i="20"/>
  <c r="AU176" i="20"/>
  <c r="BK176" i="20"/>
  <c r="CC176" i="20"/>
  <c r="CS176" i="20"/>
  <c r="DG176" i="20"/>
  <c r="R176" i="20"/>
  <c r="AH176" i="20"/>
  <c r="AX176" i="20"/>
  <c r="BQ176" i="20"/>
  <c r="CD176" i="20"/>
  <c r="CT176" i="20"/>
  <c r="W176" i="20"/>
  <c r="AK176" i="20"/>
  <c r="BC176" i="20"/>
  <c r="BS176" i="20"/>
  <c r="CI176" i="20"/>
  <c r="DA176" i="20"/>
  <c r="Z176" i="20"/>
  <c r="BI176" i="20"/>
  <c r="CO176" i="20"/>
  <c r="AI176" i="20"/>
  <c r="BR176" i="20"/>
  <c r="CU176" i="20"/>
  <c r="AL176" i="20"/>
  <c r="BT176" i="20"/>
  <c r="DB176" i="20"/>
  <c r="AQ176" i="20"/>
  <c r="BU176" i="20"/>
  <c r="DC176" i="20"/>
  <c r="S176" i="20"/>
  <c r="CE176" i="20"/>
  <c r="X176" i="20"/>
  <c r="CJ176" i="20"/>
  <c r="Y176" i="20"/>
  <c r="CM176" i="20"/>
  <c r="AS176" i="20"/>
  <c r="DE176" i="20"/>
  <c r="BV176" i="20"/>
  <c r="W27" i="20"/>
  <c r="AE27" i="20"/>
  <c r="AM27" i="20"/>
  <c r="AU27" i="20"/>
  <c r="BC27" i="20"/>
  <c r="BK27" i="20"/>
  <c r="BS27" i="20"/>
  <c r="CA27" i="20"/>
  <c r="CI27" i="20"/>
  <c r="CQ27" i="20"/>
  <c r="CY27" i="20"/>
  <c r="DG27" i="20"/>
  <c r="R27" i="20"/>
  <c r="AA27" i="20"/>
  <c r="AJ27" i="20"/>
  <c r="AS27" i="20"/>
  <c r="BB27" i="20"/>
  <c r="BL27" i="20"/>
  <c r="BU27" i="20"/>
  <c r="CD27" i="20"/>
  <c r="CM27" i="20"/>
  <c r="CV27" i="20"/>
  <c r="DE27" i="20"/>
  <c r="Z27" i="20"/>
  <c r="AK27" i="20"/>
  <c r="AV27" i="20"/>
  <c r="BF27" i="20"/>
  <c r="BP27" i="20"/>
  <c r="BZ27" i="20"/>
  <c r="CK27" i="20"/>
  <c r="CU27" i="20"/>
  <c r="DF27" i="20"/>
  <c r="Q27" i="20"/>
  <c r="AB27" i="20"/>
  <c r="AL27" i="20"/>
  <c r="AW27" i="20"/>
  <c r="BG27" i="20"/>
  <c r="BQ27" i="20"/>
  <c r="CB27" i="20"/>
  <c r="CL27" i="20"/>
  <c r="CW27" i="20"/>
  <c r="DH27" i="20"/>
  <c r="AC27" i="20"/>
  <c r="AP27" i="20"/>
  <c r="BD27" i="20"/>
  <c r="BR27" i="20"/>
  <c r="CF27" i="20"/>
  <c r="CS27" i="20"/>
  <c r="DI27" i="20"/>
  <c r="S27" i="20"/>
  <c r="AG27" i="20"/>
  <c r="AX27" i="20"/>
  <c r="BM27" i="20"/>
  <c r="CC27" i="20"/>
  <c r="CR27" i="20"/>
  <c r="DJ27" i="20"/>
  <c r="T27" i="20"/>
  <c r="AH27" i="20"/>
  <c r="AY27" i="20"/>
  <c r="BN27" i="20"/>
  <c r="CE27" i="20"/>
  <c r="CT27" i="20"/>
  <c r="DK27" i="20"/>
  <c r="V27" i="20"/>
  <c r="AN27" i="20"/>
  <c r="BA27" i="20"/>
  <c r="BT27" i="20"/>
  <c r="CH27" i="20"/>
  <c r="CZ27" i="20"/>
  <c r="AI27" i="20"/>
  <c r="BI27" i="20"/>
  <c r="CJ27" i="20"/>
  <c r="DD27" i="20"/>
  <c r="AO27" i="20"/>
  <c r="BJ27" i="20"/>
  <c r="CN27" i="20"/>
  <c r="DL27" i="20"/>
  <c r="AD27" i="20"/>
  <c r="BE27" i="20"/>
  <c r="BY27" i="20"/>
  <c r="DB27" i="20"/>
  <c r="AZ27" i="20"/>
  <c r="CP27" i="20"/>
  <c r="U27" i="20"/>
  <c r="BH27" i="20"/>
  <c r="CX27" i="20"/>
  <c r="X27" i="20"/>
  <c r="BO27" i="20"/>
  <c r="DA27" i="20"/>
  <c r="Y27" i="20"/>
  <c r="BV27" i="20"/>
  <c r="DC27" i="20"/>
  <c r="BW27" i="20"/>
  <c r="BX27" i="20"/>
  <c r="CG27" i="20"/>
  <c r="CO27" i="20"/>
  <c r="AF27" i="20"/>
  <c r="AQ27" i="20"/>
  <c r="AR27" i="20"/>
  <c r="AT27" i="20"/>
  <c r="U385" i="20"/>
  <c r="AC385" i="20"/>
  <c r="AK385" i="20"/>
  <c r="AS385" i="20"/>
  <c r="BA385" i="20"/>
  <c r="BI385" i="20"/>
  <c r="BQ385" i="20"/>
  <c r="BY385" i="20"/>
  <c r="CG385" i="20"/>
  <c r="CO385" i="20"/>
  <c r="CW385" i="20"/>
  <c r="DE385" i="20"/>
  <c r="Q372" i="20"/>
  <c r="Y372" i="20"/>
  <c r="AG372" i="20"/>
  <c r="AO372" i="20"/>
  <c r="AW372" i="20"/>
  <c r="BE372" i="20"/>
  <c r="BM372" i="20"/>
  <c r="BU372" i="20"/>
  <c r="CC372" i="20"/>
  <c r="CK372" i="20"/>
  <c r="CS372" i="20"/>
  <c r="DA372" i="20"/>
  <c r="DI372" i="20"/>
  <c r="W321" i="20"/>
  <c r="AE321" i="20"/>
  <c r="AM321" i="20"/>
  <c r="AU321" i="20"/>
  <c r="BC321" i="20"/>
  <c r="BK321" i="20"/>
  <c r="BS321" i="20"/>
  <c r="CA321" i="20"/>
  <c r="CI321" i="20"/>
  <c r="CQ321" i="20"/>
  <c r="CY321" i="20"/>
  <c r="DG321" i="20"/>
  <c r="X321" i="20"/>
  <c r="AF321" i="20"/>
  <c r="AN321" i="20"/>
  <c r="AV321" i="20"/>
  <c r="BD321" i="20"/>
  <c r="BL321" i="20"/>
  <c r="BT321" i="20"/>
  <c r="CB321" i="20"/>
  <c r="CJ321" i="20"/>
  <c r="CR321" i="20"/>
  <c r="CZ321" i="20"/>
  <c r="DH321" i="20"/>
  <c r="S321" i="20"/>
  <c r="AC321" i="20"/>
  <c r="AO321" i="20"/>
  <c r="AY321" i="20"/>
  <c r="BI321" i="20"/>
  <c r="BU321" i="20"/>
  <c r="CE321" i="20"/>
  <c r="CO321" i="20"/>
  <c r="DA321" i="20"/>
  <c r="DK321" i="20"/>
  <c r="U321" i="20"/>
  <c r="AG321" i="20"/>
  <c r="AQ321" i="20"/>
  <c r="BA321" i="20"/>
  <c r="BM321" i="20"/>
  <c r="BW321" i="20"/>
  <c r="CG321" i="20"/>
  <c r="CS321" i="20"/>
  <c r="DC321" i="20"/>
  <c r="U367" i="20"/>
  <c r="AC367" i="20"/>
  <c r="AK367" i="20"/>
  <c r="AS367" i="20"/>
  <c r="BA367" i="20"/>
  <c r="BI367" i="20"/>
  <c r="BQ367" i="20"/>
  <c r="BY367" i="20"/>
  <c r="CG367" i="20"/>
  <c r="CO367" i="20"/>
  <c r="CW367" i="20"/>
  <c r="DE367" i="20"/>
  <c r="S80" i="20"/>
  <c r="AA80" i="20"/>
  <c r="AI80" i="20"/>
  <c r="AQ80" i="20"/>
  <c r="AY80" i="20"/>
  <c r="BG80" i="20"/>
  <c r="BO80" i="20"/>
  <c r="BW80" i="20"/>
  <c r="CE80" i="20"/>
  <c r="CM80" i="20"/>
  <c r="CU80" i="20"/>
  <c r="DC80" i="20"/>
  <c r="DK80" i="20"/>
  <c r="V80" i="20"/>
  <c r="AE80" i="20"/>
  <c r="AN80" i="20"/>
  <c r="AW80" i="20"/>
  <c r="BF80" i="20"/>
  <c r="BP80" i="20"/>
  <c r="BY80" i="20"/>
  <c r="CH80" i="20"/>
  <c r="CQ80" i="20"/>
  <c r="CZ80" i="20"/>
  <c r="DI80" i="20"/>
  <c r="W80" i="20"/>
  <c r="AF80" i="20"/>
  <c r="AO80" i="20"/>
  <c r="AX80" i="20"/>
  <c r="BH80" i="20"/>
  <c r="BQ80" i="20"/>
  <c r="BZ80" i="20"/>
  <c r="CI80" i="20"/>
  <c r="CR80" i="20"/>
  <c r="DA80" i="20"/>
  <c r="DJ80" i="20"/>
  <c r="AB80" i="20"/>
  <c r="AM80" i="20"/>
  <c r="BA80" i="20"/>
  <c r="BL80" i="20"/>
  <c r="BX80" i="20"/>
  <c r="CK80" i="20"/>
  <c r="CW80" i="20"/>
  <c r="DH80" i="20"/>
  <c r="Q80" i="20"/>
  <c r="AC80" i="20"/>
  <c r="AP80" i="20"/>
  <c r="BB80" i="20"/>
  <c r="BM80" i="20"/>
  <c r="CA80" i="20"/>
  <c r="CL80" i="20"/>
  <c r="CX80" i="20"/>
  <c r="DL80" i="20"/>
  <c r="R80" i="20"/>
  <c r="AH80" i="20"/>
  <c r="AV80" i="20"/>
  <c r="BN80" i="20"/>
  <c r="CD80" i="20"/>
  <c r="CT80" i="20"/>
  <c r="T80" i="20"/>
  <c r="AJ80" i="20"/>
  <c r="AZ80" i="20"/>
  <c r="BR80" i="20"/>
  <c r="CF80" i="20"/>
  <c r="CV80" i="20"/>
  <c r="U80" i="20"/>
  <c r="AK80" i="20"/>
  <c r="BC80" i="20"/>
  <c r="BS80" i="20"/>
  <c r="CG80" i="20"/>
  <c r="CY80" i="20"/>
  <c r="Y80" i="20"/>
  <c r="AU80" i="20"/>
  <c r="BV80" i="20"/>
  <c r="DB80" i="20"/>
  <c r="AD80" i="20"/>
  <c r="BE80" i="20"/>
  <c r="CC80" i="20"/>
  <c r="DE80" i="20"/>
  <c r="AG80" i="20"/>
  <c r="BI80" i="20"/>
  <c r="CJ80" i="20"/>
  <c r="DF80" i="20"/>
  <c r="AL80" i="20"/>
  <c r="BJ80" i="20"/>
  <c r="CN80" i="20"/>
  <c r="DG80" i="20"/>
  <c r="AS80" i="20"/>
  <c r="CP80" i="20"/>
  <c r="AT80" i="20"/>
  <c r="CS80" i="20"/>
  <c r="BD80" i="20"/>
  <c r="DD80" i="20"/>
  <c r="AR80" i="20"/>
  <c r="BK80" i="20"/>
  <c r="BT80" i="20"/>
  <c r="BU80" i="20"/>
  <c r="CB80" i="20"/>
  <c r="X80" i="20"/>
  <c r="Z80" i="20"/>
  <c r="CO80" i="20"/>
  <c r="V222" i="20"/>
  <c r="AD222" i="20"/>
  <c r="AL222" i="20"/>
  <c r="AT222" i="20"/>
  <c r="BB222" i="20"/>
  <c r="BJ222" i="20"/>
  <c r="BR222" i="20"/>
  <c r="BZ222" i="20"/>
  <c r="CH222" i="20"/>
  <c r="CP222" i="20"/>
  <c r="CX222" i="20"/>
  <c r="DF222" i="20"/>
  <c r="S222" i="20"/>
  <c r="AB222" i="20"/>
  <c r="AK222" i="20"/>
  <c r="AU222" i="20"/>
  <c r="BD222" i="20"/>
  <c r="BM222" i="20"/>
  <c r="BV222" i="20"/>
  <c r="CE222" i="20"/>
  <c r="CN222" i="20"/>
  <c r="CW222" i="20"/>
  <c r="DG222" i="20"/>
  <c r="Q222" i="20"/>
  <c r="AA222" i="20"/>
  <c r="AM222" i="20"/>
  <c r="AW222" i="20"/>
  <c r="BG222" i="20"/>
  <c r="BQ222" i="20"/>
  <c r="CB222" i="20"/>
  <c r="CL222" i="20"/>
  <c r="CV222" i="20"/>
  <c r="DH222" i="20"/>
  <c r="R222" i="20"/>
  <c r="AC222" i="20"/>
  <c r="AN222" i="20"/>
  <c r="AX222" i="20"/>
  <c r="BH222" i="20"/>
  <c r="BS222" i="20"/>
  <c r="CC222" i="20"/>
  <c r="CM222" i="20"/>
  <c r="CY222" i="20"/>
  <c r="DI222" i="20"/>
  <c r="U222" i="20"/>
  <c r="AF222" i="20"/>
  <c r="AP222" i="20"/>
  <c r="AZ222" i="20"/>
  <c r="BK222" i="20"/>
  <c r="BU222" i="20"/>
  <c r="CF222" i="20"/>
  <c r="CQ222" i="20"/>
  <c r="DA222" i="20"/>
  <c r="DK222" i="20"/>
  <c r="Y222" i="20"/>
  <c r="AQ222" i="20"/>
  <c r="BF222" i="20"/>
  <c r="BX222" i="20"/>
  <c r="CO222" i="20"/>
  <c r="DD222" i="20"/>
  <c r="AE222" i="20"/>
  <c r="AS222" i="20"/>
  <c r="BL222" i="20"/>
  <c r="CA222" i="20"/>
  <c r="CS222" i="20"/>
  <c r="DJ222" i="20"/>
  <c r="AG222" i="20"/>
  <c r="AV222" i="20"/>
  <c r="BN222" i="20"/>
  <c r="CD222" i="20"/>
  <c r="CT222" i="20"/>
  <c r="DL222" i="20"/>
  <c r="AI222" i="20"/>
  <c r="BI222" i="20"/>
  <c r="CJ222" i="20"/>
  <c r="AJ222" i="20"/>
  <c r="BO222" i="20"/>
  <c r="CK222" i="20"/>
  <c r="T222" i="20"/>
  <c r="AR222" i="20"/>
  <c r="BT222" i="20"/>
  <c r="CU222" i="20"/>
  <c r="R217" i="20"/>
  <c r="Z217" i="20"/>
  <c r="AH217" i="20"/>
  <c r="AP217" i="20"/>
  <c r="AX217" i="20"/>
  <c r="BF217" i="20"/>
  <c r="BN217" i="20"/>
  <c r="BV217" i="20"/>
  <c r="CD217" i="20"/>
  <c r="CL217" i="20"/>
  <c r="CT217" i="20"/>
  <c r="DB217" i="20"/>
  <c r="DJ217" i="20"/>
  <c r="Y217" i="20"/>
  <c r="AI217" i="20"/>
  <c r="AR217" i="20"/>
  <c r="BA217" i="20"/>
  <c r="BJ217" i="20"/>
  <c r="BS217" i="20"/>
  <c r="CB217" i="20"/>
  <c r="CK217" i="20"/>
  <c r="CU217" i="20"/>
  <c r="DD217" i="20"/>
  <c r="Q217" i="20"/>
  <c r="AA217" i="20"/>
  <c r="AJ217" i="20"/>
  <c r="AS217" i="20"/>
  <c r="BB217" i="20"/>
  <c r="BK217" i="20"/>
  <c r="BT217" i="20"/>
  <c r="CC217" i="20"/>
  <c r="CM217" i="20"/>
  <c r="CV217" i="20"/>
  <c r="DE217" i="20"/>
  <c r="AC217" i="20"/>
  <c r="AN217" i="20"/>
  <c r="AZ217" i="20"/>
  <c r="BM217" i="20"/>
  <c r="BY217" i="20"/>
  <c r="CJ217" i="20"/>
  <c r="CX217" i="20"/>
  <c r="DI217" i="20"/>
  <c r="S217" i="20"/>
  <c r="AD217" i="20"/>
  <c r="AO217" i="20"/>
  <c r="BC217" i="20"/>
  <c r="BO217" i="20"/>
  <c r="BZ217" i="20"/>
  <c r="CN217" i="20"/>
  <c r="CY217" i="20"/>
  <c r="DK217" i="20"/>
  <c r="U217" i="20"/>
  <c r="AF217" i="20"/>
  <c r="AT217" i="20"/>
  <c r="BE217" i="20"/>
  <c r="BQ217" i="20"/>
  <c r="CE217" i="20"/>
  <c r="CP217" i="20"/>
  <c r="DA217" i="20"/>
  <c r="AB217" i="20"/>
  <c r="AV217" i="20"/>
  <c r="BP217" i="20"/>
  <c r="CH217" i="20"/>
  <c r="DC217" i="20"/>
  <c r="AG217" i="20"/>
  <c r="AY217" i="20"/>
  <c r="BU217" i="20"/>
  <c r="CO217" i="20"/>
  <c r="DG217" i="20"/>
  <c r="AK217" i="20"/>
  <c r="BD217" i="20"/>
  <c r="BW217" i="20"/>
  <c r="CQ217" i="20"/>
  <c r="DH217" i="20"/>
  <c r="W217" i="20"/>
  <c r="BG217" i="20"/>
  <c r="CG217" i="20"/>
  <c r="X217" i="20"/>
  <c r="BH217" i="20"/>
  <c r="CI217" i="20"/>
  <c r="AL217" i="20"/>
  <c r="BL217" i="20"/>
  <c r="CS217" i="20"/>
  <c r="AE217" i="20"/>
  <c r="CA217" i="20"/>
  <c r="S314" i="20"/>
  <c r="AA314" i="20"/>
  <c r="AI314" i="20"/>
  <c r="AQ314" i="20"/>
  <c r="AY314" i="20"/>
  <c r="BG314" i="20"/>
  <c r="BO314" i="20"/>
  <c r="BW314" i="20"/>
  <c r="CE314" i="20"/>
  <c r="CM314" i="20"/>
  <c r="CU314" i="20"/>
  <c r="DC314" i="20"/>
  <c r="DK314" i="20"/>
  <c r="T314" i="20"/>
  <c r="AB314" i="20"/>
  <c r="AJ314" i="20"/>
  <c r="AR314" i="20"/>
  <c r="AZ314" i="20"/>
  <c r="BH314" i="20"/>
  <c r="BP314" i="20"/>
  <c r="BX314" i="20"/>
  <c r="CF314" i="20"/>
  <c r="CN314" i="20"/>
  <c r="CV314" i="20"/>
  <c r="DD314" i="20"/>
  <c r="DL314" i="20"/>
  <c r="X314" i="20"/>
  <c r="AH314" i="20"/>
  <c r="AT314" i="20"/>
  <c r="BD314" i="20"/>
  <c r="BN314" i="20"/>
  <c r="BZ314" i="20"/>
  <c r="CJ314" i="20"/>
  <c r="CT314" i="20"/>
  <c r="DF314" i="20"/>
  <c r="Y314" i="20"/>
  <c r="AK314" i="20"/>
  <c r="AU314" i="20"/>
  <c r="BE314" i="20"/>
  <c r="BQ314" i="20"/>
  <c r="CA314" i="20"/>
  <c r="CK314" i="20"/>
  <c r="CW314" i="20"/>
  <c r="DG314" i="20"/>
  <c r="Q314" i="20"/>
  <c r="AC314" i="20"/>
  <c r="AM314" i="20"/>
  <c r="AW314" i="20"/>
  <c r="BI314" i="20"/>
  <c r="BS314" i="20"/>
  <c r="CC314" i="20"/>
  <c r="CO314" i="20"/>
  <c r="CY314" i="20"/>
  <c r="DI314" i="20"/>
  <c r="W325" i="20"/>
  <c r="AE325" i="20"/>
  <c r="AM325" i="20"/>
  <c r="AU325" i="20"/>
  <c r="BC325" i="20"/>
  <c r="BK325" i="20"/>
  <c r="BS325" i="20"/>
  <c r="CA325" i="20"/>
  <c r="CI325" i="20"/>
  <c r="CQ325" i="20"/>
  <c r="CY325" i="20"/>
  <c r="DG325" i="20"/>
  <c r="X325" i="20"/>
  <c r="AF325" i="20"/>
  <c r="AN325" i="20"/>
  <c r="AV325" i="20"/>
  <c r="BD325" i="20"/>
  <c r="BL325" i="20"/>
  <c r="BT325" i="20"/>
  <c r="CB325" i="20"/>
  <c r="CJ325" i="20"/>
  <c r="CR325" i="20"/>
  <c r="CZ325" i="20"/>
  <c r="DH325" i="20"/>
  <c r="Y325" i="20"/>
  <c r="AI325" i="20"/>
  <c r="AS325" i="20"/>
  <c r="BE325" i="20"/>
  <c r="BO325" i="20"/>
  <c r="BY325" i="20"/>
  <c r="CK325" i="20"/>
  <c r="CU325" i="20"/>
  <c r="DE325" i="20"/>
  <c r="Q325" i="20"/>
  <c r="AA325" i="20"/>
  <c r="AK325" i="20"/>
  <c r="AW325" i="20"/>
  <c r="BG325" i="20"/>
  <c r="BQ325" i="20"/>
  <c r="CC325" i="20"/>
  <c r="CM325" i="20"/>
  <c r="CW325" i="20"/>
  <c r="DI325" i="20"/>
  <c r="S36" i="20"/>
  <c r="AA36" i="20"/>
  <c r="AI36" i="20"/>
  <c r="AQ36" i="20"/>
  <c r="AY36" i="20"/>
  <c r="BG36" i="20"/>
  <c r="BO36" i="20"/>
  <c r="BW36" i="20"/>
  <c r="CE36" i="20"/>
  <c r="CM36" i="20"/>
  <c r="CU36" i="20"/>
  <c r="DC36" i="20"/>
  <c r="DK36" i="20"/>
  <c r="Q36" i="20"/>
  <c r="Z36" i="20"/>
  <c r="AJ36" i="20"/>
  <c r="AS36" i="20"/>
  <c r="BB36" i="20"/>
  <c r="BK36" i="20"/>
  <c r="BT36" i="20"/>
  <c r="CC36" i="20"/>
  <c r="CL36" i="20"/>
  <c r="CV36" i="20"/>
  <c r="DE36" i="20"/>
  <c r="R36" i="20"/>
  <c r="AB36" i="20"/>
  <c r="AK36" i="20"/>
  <c r="AT36" i="20"/>
  <c r="BC36" i="20"/>
  <c r="BL36" i="20"/>
  <c r="BU36" i="20"/>
  <c r="CD36" i="20"/>
  <c r="CN36" i="20"/>
  <c r="CW36" i="20"/>
  <c r="DF36" i="20"/>
  <c r="X36" i="20"/>
  <c r="AL36" i="20"/>
  <c r="AW36" i="20"/>
  <c r="BI36" i="20"/>
  <c r="BV36" i="20"/>
  <c r="CH36" i="20"/>
  <c r="CS36" i="20"/>
  <c r="DG36" i="20"/>
  <c r="AC36" i="20"/>
  <c r="AO36" i="20"/>
  <c r="BD36" i="20"/>
  <c r="BQ36" i="20"/>
  <c r="CF36" i="20"/>
  <c r="CR36" i="20"/>
  <c r="DH36" i="20"/>
  <c r="AD36" i="20"/>
  <c r="AP36" i="20"/>
  <c r="BE36" i="20"/>
  <c r="BR36" i="20"/>
  <c r="CG36" i="20"/>
  <c r="CT36" i="20"/>
  <c r="DI36" i="20"/>
  <c r="T36" i="20"/>
  <c r="AF36" i="20"/>
  <c r="AU36" i="20"/>
  <c r="BH36" i="20"/>
  <c r="BX36" i="20"/>
  <c r="CJ36" i="20"/>
  <c r="CY36" i="20"/>
  <c r="DL36" i="20"/>
  <c r="AM36" i="20"/>
  <c r="BJ36" i="20"/>
  <c r="CB36" i="20"/>
  <c r="DA36" i="20"/>
  <c r="AE36" i="20"/>
  <c r="AZ36" i="20"/>
  <c r="BY36" i="20"/>
  <c r="CQ36" i="20"/>
  <c r="Y36" i="20"/>
  <c r="BF36" i="20"/>
  <c r="CK36" i="20"/>
  <c r="AG36" i="20"/>
  <c r="BM36" i="20"/>
  <c r="CO36" i="20"/>
  <c r="AH36" i="20"/>
  <c r="BN36" i="20"/>
  <c r="CP36" i="20"/>
  <c r="AN36" i="20"/>
  <c r="BP36" i="20"/>
  <c r="CX36" i="20"/>
  <c r="AR36" i="20"/>
  <c r="CZ36" i="20"/>
  <c r="AV36" i="20"/>
  <c r="DB36" i="20"/>
  <c r="AX36" i="20"/>
  <c r="DD36" i="20"/>
  <c r="BA36" i="20"/>
  <c r="DJ36" i="20"/>
  <c r="BS36" i="20"/>
  <c r="CA36" i="20"/>
  <c r="CI36" i="20"/>
  <c r="U36" i="20"/>
  <c r="V36" i="20"/>
  <c r="W36" i="20"/>
  <c r="BZ36" i="20"/>
  <c r="K9" i="20"/>
  <c r="K328" i="20"/>
  <c r="K124" i="20"/>
  <c r="K197" i="20"/>
  <c r="K125" i="20"/>
  <c r="K126" i="20"/>
  <c r="K376" i="20"/>
  <c r="K121" i="20"/>
  <c r="K212" i="20"/>
  <c r="K230" i="20"/>
  <c r="K247" i="20"/>
  <c r="K175" i="20"/>
  <c r="K242" i="20"/>
  <c r="K111" i="20"/>
  <c r="K182" i="20"/>
  <c r="K77" i="20"/>
  <c r="DF2" i="20"/>
  <c r="CX2" i="20"/>
  <c r="CP2" i="20"/>
  <c r="CH2" i="20"/>
  <c r="BZ2" i="20"/>
  <c r="BR2" i="20"/>
  <c r="BJ2" i="20"/>
  <c r="BB2" i="20"/>
  <c r="AT2" i="20"/>
  <c r="AL2" i="20"/>
  <c r="AD2" i="20"/>
  <c r="DI417" i="20"/>
  <c r="DA417" i="20"/>
  <c r="CS417" i="20"/>
  <c r="CK417" i="20"/>
  <c r="CC417" i="20"/>
  <c r="BU417" i="20"/>
  <c r="BM417" i="20"/>
  <c r="BE417" i="20"/>
  <c r="AW417" i="20"/>
  <c r="AO417" i="20"/>
  <c r="AG417" i="20"/>
  <c r="Y417" i="20"/>
  <c r="DI409" i="20"/>
  <c r="DA409" i="20"/>
  <c r="CS409" i="20"/>
  <c r="CK409" i="20"/>
  <c r="CC409" i="20"/>
  <c r="BU409" i="20"/>
  <c r="BM409" i="20"/>
  <c r="BE409" i="20"/>
  <c r="AW409" i="20"/>
  <c r="AO409" i="20"/>
  <c r="AG409" i="20"/>
  <c r="Y409" i="20"/>
  <c r="DE404" i="20"/>
  <c r="CW404" i="20"/>
  <c r="CO404" i="20"/>
  <c r="CG404" i="20"/>
  <c r="BY404" i="20"/>
  <c r="BQ404" i="20"/>
  <c r="BI404" i="20"/>
  <c r="BA404" i="20"/>
  <c r="AS404" i="20"/>
  <c r="AK404" i="20"/>
  <c r="AC404" i="20"/>
  <c r="DI397" i="20"/>
  <c r="DA397" i="20"/>
  <c r="CS397" i="20"/>
  <c r="CK397" i="20"/>
  <c r="CC397" i="20"/>
  <c r="BU397" i="20"/>
  <c r="BM397" i="20"/>
  <c r="BE397" i="20"/>
  <c r="AW397" i="20"/>
  <c r="AO397" i="20"/>
  <c r="AG397" i="20"/>
  <c r="Y397" i="20"/>
  <c r="DI395" i="20"/>
  <c r="DA395" i="20"/>
  <c r="CS395" i="20"/>
  <c r="CK395" i="20"/>
  <c r="CC395" i="20"/>
  <c r="BU395" i="20"/>
  <c r="BM395" i="20"/>
  <c r="BE395" i="20"/>
  <c r="AW395" i="20"/>
  <c r="AO395" i="20"/>
  <c r="AG395" i="20"/>
  <c r="Y395" i="20"/>
  <c r="DI393" i="20"/>
  <c r="DA393" i="20"/>
  <c r="CS393" i="20"/>
  <c r="CK393" i="20"/>
  <c r="CC393" i="20"/>
  <c r="BU393" i="20"/>
  <c r="BM393" i="20"/>
  <c r="BE393" i="20"/>
  <c r="AW393" i="20"/>
  <c r="AO393" i="20"/>
  <c r="AG393" i="20"/>
  <c r="Y393" i="20"/>
  <c r="DL390" i="20"/>
  <c r="DC390" i="20"/>
  <c r="CT390" i="20"/>
  <c r="CJ390" i="20"/>
  <c r="CA390" i="20"/>
  <c r="BR390" i="20"/>
  <c r="BI390" i="20"/>
  <c r="AZ390" i="20"/>
  <c r="AQ390" i="20"/>
  <c r="AH390" i="20"/>
  <c r="X390" i="20"/>
  <c r="DK389" i="20"/>
  <c r="DB389" i="20"/>
  <c r="CS389" i="20"/>
  <c r="CJ389" i="20"/>
  <c r="CA389" i="20"/>
  <c r="BR389" i="20"/>
  <c r="BH389" i="20"/>
  <c r="AY389" i="20"/>
  <c r="AP389" i="20"/>
  <c r="AG389" i="20"/>
  <c r="X389" i="20"/>
  <c r="DI385" i="20"/>
  <c r="CZ385" i="20"/>
  <c r="CQ385" i="20"/>
  <c r="CH385" i="20"/>
  <c r="BX385" i="20"/>
  <c r="BO385" i="20"/>
  <c r="BF385" i="20"/>
  <c r="AW385" i="20"/>
  <c r="AN385" i="20"/>
  <c r="AE385" i="20"/>
  <c r="V385" i="20"/>
  <c r="DE378" i="20"/>
  <c r="CV378" i="20"/>
  <c r="CM378" i="20"/>
  <c r="CD378" i="20"/>
  <c r="BT378" i="20"/>
  <c r="BK378" i="20"/>
  <c r="BB378" i="20"/>
  <c r="AS378" i="20"/>
  <c r="AJ378" i="20"/>
  <c r="AA378" i="20"/>
  <c r="R378" i="20"/>
  <c r="DL375" i="20"/>
  <c r="DC375" i="20"/>
  <c r="CT375" i="20"/>
  <c r="CK375" i="20"/>
  <c r="CB375" i="20"/>
  <c r="BS375" i="20"/>
  <c r="BJ375" i="20"/>
  <c r="AZ375" i="20"/>
  <c r="AQ375" i="20"/>
  <c r="AH375" i="20"/>
  <c r="Y375" i="20"/>
  <c r="DK372" i="20"/>
  <c r="DB372" i="20"/>
  <c r="CR372" i="20"/>
  <c r="CI372" i="20"/>
  <c r="BZ372" i="20"/>
  <c r="BQ372" i="20"/>
  <c r="BH372" i="20"/>
  <c r="AY372" i="20"/>
  <c r="AP372" i="20"/>
  <c r="AF372" i="20"/>
  <c r="W372" i="20"/>
  <c r="DJ370" i="20"/>
  <c r="CZ370" i="20"/>
  <c r="CQ370" i="20"/>
  <c r="CH370" i="20"/>
  <c r="BY370" i="20"/>
  <c r="BP370" i="20"/>
  <c r="BG370" i="20"/>
  <c r="AX370" i="20"/>
  <c r="AN370" i="20"/>
  <c r="AE370" i="20"/>
  <c r="V370" i="20"/>
  <c r="DI369" i="20"/>
  <c r="CZ369" i="20"/>
  <c r="CQ369" i="20"/>
  <c r="CH369" i="20"/>
  <c r="BX369" i="20"/>
  <c r="BO369" i="20"/>
  <c r="BF369" i="20"/>
  <c r="AW369" i="20"/>
  <c r="AN369" i="20"/>
  <c r="AE369" i="20"/>
  <c r="V369" i="20"/>
  <c r="DH367" i="20"/>
  <c r="CY367" i="20"/>
  <c r="CP367" i="20"/>
  <c r="CF367" i="20"/>
  <c r="BW367" i="20"/>
  <c r="BN367" i="20"/>
  <c r="BE367" i="20"/>
  <c r="AV367" i="20"/>
  <c r="AM367" i="20"/>
  <c r="AD367" i="20"/>
  <c r="T367" i="20"/>
  <c r="DG365" i="20"/>
  <c r="CX365" i="20"/>
  <c r="CN365" i="20"/>
  <c r="CE365" i="20"/>
  <c r="BV365" i="20"/>
  <c r="BM365" i="20"/>
  <c r="BD365" i="20"/>
  <c r="AU365" i="20"/>
  <c r="AL365" i="20"/>
  <c r="AB365" i="20"/>
  <c r="S365" i="20"/>
  <c r="DF364" i="20"/>
  <c r="CW364" i="20"/>
  <c r="CN364" i="20"/>
  <c r="CE364" i="20"/>
  <c r="BV364" i="20"/>
  <c r="BL364" i="20"/>
  <c r="BC364" i="20"/>
  <c r="AT364" i="20"/>
  <c r="AK364" i="20"/>
  <c r="AB364" i="20"/>
  <c r="S364" i="20"/>
  <c r="DH360" i="20"/>
  <c r="CX360" i="20"/>
  <c r="CN360" i="20"/>
  <c r="CB360" i="20"/>
  <c r="BR360" i="20"/>
  <c r="BH360" i="20"/>
  <c r="AV360" i="20"/>
  <c r="AL360" i="20"/>
  <c r="AB360" i="20"/>
  <c r="DD353" i="20"/>
  <c r="CT353" i="20"/>
  <c r="CJ353" i="20"/>
  <c r="BX353" i="20"/>
  <c r="BN353" i="20"/>
  <c r="BD353" i="20"/>
  <c r="AR353" i="20"/>
  <c r="AH353" i="20"/>
  <c r="X353" i="20"/>
  <c r="DH352" i="20"/>
  <c r="CX352" i="20"/>
  <c r="CN352" i="20"/>
  <c r="CB352" i="20"/>
  <c r="BR352" i="20"/>
  <c r="BH352" i="20"/>
  <c r="AV352" i="20"/>
  <c r="AL352" i="20"/>
  <c r="AB352" i="20"/>
  <c r="DJ341" i="20"/>
  <c r="CZ341" i="20"/>
  <c r="CN341" i="20"/>
  <c r="CD341" i="20"/>
  <c r="BT341" i="20"/>
  <c r="BH341" i="20"/>
  <c r="AX341" i="20"/>
  <c r="AN341" i="20"/>
  <c r="AB341" i="20"/>
  <c r="R341" i="20"/>
  <c r="DD340" i="20"/>
  <c r="CR340" i="20"/>
  <c r="CH340" i="20"/>
  <c r="BX340" i="20"/>
  <c r="BL340" i="20"/>
  <c r="BB340" i="20"/>
  <c r="AR340" i="20"/>
  <c r="AF340" i="20"/>
  <c r="V340" i="20"/>
  <c r="DL335" i="20"/>
  <c r="DB335" i="20"/>
  <c r="CR335" i="20"/>
  <c r="CF335" i="20"/>
  <c r="BV335" i="20"/>
  <c r="BL335" i="20"/>
  <c r="AZ335" i="20"/>
  <c r="AP335" i="20"/>
  <c r="AF335" i="20"/>
  <c r="T335" i="20"/>
  <c r="DL330" i="20"/>
  <c r="CZ330" i="20"/>
  <c r="CP330" i="20"/>
  <c r="CF330" i="20"/>
  <c r="BT330" i="20"/>
  <c r="BJ330" i="20"/>
  <c r="AZ330" i="20"/>
  <c r="AN330" i="20"/>
  <c r="AD330" i="20"/>
  <c r="T330" i="20"/>
  <c r="DJ325" i="20"/>
  <c r="CT325" i="20"/>
  <c r="CF325" i="20"/>
  <c r="BR325" i="20"/>
  <c r="BB325" i="20"/>
  <c r="AP325" i="20"/>
  <c r="AB325" i="20"/>
  <c r="DJ323" i="20"/>
  <c r="CV323" i="20"/>
  <c r="CF323" i="20"/>
  <c r="BR323" i="20"/>
  <c r="BF323" i="20"/>
  <c r="AP323" i="20"/>
  <c r="AB323" i="20"/>
  <c r="DJ321" i="20"/>
  <c r="CV321" i="20"/>
  <c r="CH321" i="20"/>
  <c r="BR321" i="20"/>
  <c r="BF321" i="20"/>
  <c r="AR321" i="20"/>
  <c r="AB321" i="20"/>
  <c r="DL319" i="20"/>
  <c r="CV319" i="20"/>
  <c r="CH319" i="20"/>
  <c r="BV319" i="20"/>
  <c r="BF319" i="20"/>
  <c r="AR319" i="20"/>
  <c r="AD319" i="20"/>
  <c r="DJ318" i="20"/>
  <c r="CW318" i="20"/>
  <c r="CC318" i="20"/>
  <c r="BN318" i="20"/>
  <c r="AV318" i="20"/>
  <c r="AF318" i="20"/>
  <c r="DB314" i="20"/>
  <c r="CL314" i="20"/>
  <c r="BU314" i="20"/>
  <c r="BC314" i="20"/>
  <c r="AN314" i="20"/>
  <c r="V314" i="20"/>
  <c r="CY312" i="20"/>
  <c r="CG312" i="20"/>
  <c r="BR312" i="20"/>
  <c r="AX312" i="20"/>
  <c r="AH312" i="20"/>
  <c r="Q312" i="20"/>
  <c r="DJ309" i="20"/>
  <c r="CP309" i="20"/>
  <c r="BZ309" i="20"/>
  <c r="BI309" i="20"/>
  <c r="AQ309" i="20"/>
  <c r="AB309" i="20"/>
  <c r="DD307" i="20"/>
  <c r="CM307" i="20"/>
  <c r="BU307" i="20"/>
  <c r="BF307" i="20"/>
  <c r="AL307" i="20"/>
  <c r="V307" i="20"/>
  <c r="CW305" i="20"/>
  <c r="CH305" i="20"/>
  <c r="BP305" i="20"/>
  <c r="AZ305" i="20"/>
  <c r="AI305" i="20"/>
  <c r="Q305" i="20"/>
  <c r="DF301" i="20"/>
  <c r="CO301" i="20"/>
  <c r="BW301" i="20"/>
  <c r="BH301" i="20"/>
  <c r="AP301" i="20"/>
  <c r="Z301" i="20"/>
  <c r="DJ295" i="20"/>
  <c r="CS295" i="20"/>
  <c r="BX295" i="20"/>
  <c r="BF295" i="20"/>
  <c r="AL295" i="20"/>
  <c r="T295" i="20"/>
  <c r="CX293" i="20"/>
  <c r="CC293" i="20"/>
  <c r="BL293" i="20"/>
  <c r="AR293" i="20"/>
  <c r="Y293" i="20"/>
  <c r="DE282" i="20"/>
  <c r="CN282" i="20"/>
  <c r="BQ282" i="20"/>
  <c r="AY282" i="20"/>
  <c r="AF282" i="20"/>
  <c r="DL272" i="20"/>
  <c r="CR272" i="20"/>
  <c r="BY272" i="20"/>
  <c r="BF272" i="20"/>
  <c r="AI272" i="20"/>
  <c r="R272" i="20"/>
  <c r="DH265" i="20"/>
  <c r="CP265" i="20"/>
  <c r="BV265" i="20"/>
  <c r="BB265" i="20"/>
  <c r="AK265" i="20"/>
  <c r="CV263" i="20"/>
  <c r="CB263" i="20"/>
  <c r="BE263" i="20"/>
  <c r="AN263" i="20"/>
  <c r="T263" i="20"/>
  <c r="CW262" i="20"/>
  <c r="CD262" i="20"/>
  <c r="BI262" i="20"/>
  <c r="AR262" i="20"/>
  <c r="U262" i="20"/>
  <c r="CO252" i="20"/>
  <c r="BQ252" i="20"/>
  <c r="AN252" i="20"/>
  <c r="DJ251" i="20"/>
  <c r="CI251" i="20"/>
  <c r="BF251" i="20"/>
  <c r="AG251" i="20"/>
  <c r="DA248" i="20"/>
  <c r="BQ248" i="20"/>
  <c r="AQ248" i="20"/>
  <c r="BW229" i="20"/>
  <c r="Y229" i="20"/>
  <c r="CI222" i="20"/>
  <c r="AY222" i="20"/>
  <c r="CR217" i="20"/>
  <c r="AM217" i="20"/>
  <c r="CP213" i="20"/>
  <c r="AJ213" i="20"/>
  <c r="BV212" i="20"/>
  <c r="DB210" i="20"/>
  <c r="BC210" i="20"/>
  <c r="BY200" i="20"/>
  <c r="AN197" i="20"/>
  <c r="CA159" i="20"/>
  <c r="CY248" i="20"/>
  <c r="BP248" i="20"/>
  <c r="AK248" i="20"/>
  <c r="DD229" i="20"/>
  <c r="BT229" i="20"/>
  <c r="X229" i="20"/>
  <c r="CG222" i="20"/>
  <c r="AO222" i="20"/>
  <c r="CF217" i="20"/>
  <c r="V217" i="20"/>
  <c r="CM213" i="20"/>
  <c r="AC213" i="20"/>
  <c r="BU212" i="20"/>
  <c r="CT210" i="20"/>
  <c r="AQ210" i="20"/>
  <c r="BV200" i="20"/>
  <c r="DF197" i="20"/>
  <c r="X197" i="20"/>
  <c r="BG159" i="20"/>
  <c r="K378" i="20"/>
  <c r="K92" i="20"/>
  <c r="K86" i="20"/>
  <c r="K66" i="20"/>
  <c r="K407" i="20"/>
  <c r="K104" i="20"/>
  <c r="K55" i="20"/>
  <c r="K118" i="20"/>
  <c r="K263" i="20"/>
  <c r="K299" i="20"/>
  <c r="K310" i="20"/>
  <c r="K278" i="20"/>
  <c r="K12" i="20"/>
  <c r="K144" i="20"/>
  <c r="K291" i="20"/>
  <c r="K161" i="20"/>
  <c r="K375" i="20"/>
  <c r="K333" i="20"/>
  <c r="K213" i="20"/>
  <c r="K259" i="20"/>
  <c r="K277" i="20"/>
  <c r="K349" i="20"/>
  <c r="K303" i="20"/>
  <c r="K39" i="20"/>
  <c r="K10" i="20"/>
  <c r="K134" i="20"/>
  <c r="K7" i="20"/>
  <c r="K96" i="20"/>
  <c r="K33" i="20"/>
  <c r="K67" i="20"/>
  <c r="K100" i="20"/>
  <c r="K48" i="20"/>
  <c r="K75" i="20"/>
  <c r="K16" i="20"/>
  <c r="K395" i="20"/>
  <c r="K102" i="20"/>
  <c r="K201" i="20"/>
  <c r="K97" i="20"/>
  <c r="K260" i="20"/>
  <c r="K157" i="20"/>
  <c r="K353" i="20"/>
  <c r="K76" i="20"/>
  <c r="K265" i="20"/>
  <c r="K320" i="20"/>
  <c r="K190" i="20"/>
  <c r="K273" i="20"/>
  <c r="K74" i="20"/>
  <c r="K285" i="20"/>
  <c r="K354" i="20"/>
  <c r="K177" i="20"/>
  <c r="K341" i="20"/>
  <c r="K296" i="20"/>
  <c r="K268" i="20"/>
  <c r="K225" i="20"/>
  <c r="K270" i="20"/>
  <c r="K352" i="20"/>
  <c r="K382" i="20"/>
  <c r="K339" i="20"/>
  <c r="K24" i="20"/>
  <c r="K245" i="20"/>
  <c r="K79" i="20"/>
  <c r="K239" i="20"/>
  <c r="K269" i="20"/>
  <c r="K170" i="20"/>
  <c r="K267" i="20"/>
  <c r="K40" i="20"/>
  <c r="K94" i="20"/>
  <c r="K123" i="20"/>
  <c r="K57" i="20"/>
  <c r="K189" i="20"/>
  <c r="K106" i="20"/>
  <c r="K272" i="20"/>
  <c r="K317" i="20"/>
  <c r="K131" i="20"/>
  <c r="K27" i="20"/>
  <c r="K344" i="20"/>
  <c r="K362" i="20"/>
  <c r="K332" i="20"/>
  <c r="K345" i="20"/>
  <c r="K314" i="20"/>
  <c r="K306" i="20"/>
  <c r="K54" i="20"/>
  <c r="K366" i="20"/>
  <c r="K120" i="20"/>
  <c r="K196" i="20"/>
  <c r="K138" i="20"/>
  <c r="K202" i="20"/>
  <c r="K47" i="20"/>
  <c r="K392" i="20"/>
  <c r="K198" i="20"/>
  <c r="K338" i="20"/>
  <c r="K82" i="20"/>
  <c r="K116" i="20"/>
  <c r="K283" i="20"/>
  <c r="K351" i="20"/>
  <c r="K136" i="20"/>
  <c r="K234" i="20"/>
  <c r="K219" i="20"/>
  <c r="K365" i="20"/>
  <c r="K223" i="20"/>
  <c r="K64" i="20"/>
  <c r="K385" i="20"/>
  <c r="K133" i="20"/>
  <c r="K315" i="20"/>
  <c r="K348" i="20"/>
  <c r="K80" i="20"/>
  <c r="K258" i="20"/>
  <c r="K279" i="20"/>
  <c r="K2" i="20"/>
  <c r="K8" i="20"/>
  <c r="K410" i="20"/>
  <c r="K6" i="20"/>
  <c r="K146" i="20"/>
  <c r="K393" i="20"/>
  <c r="K231" i="20"/>
  <c r="K215" i="20"/>
  <c r="K368" i="20"/>
  <c r="K318" i="20"/>
  <c r="K184" i="20"/>
  <c r="K316" i="20"/>
  <c r="K224" i="20"/>
  <c r="K30" i="20"/>
  <c r="K203" i="20"/>
  <c r="K151" i="20"/>
  <c r="K70" i="20"/>
  <c r="K37" i="20"/>
  <c r="K153" i="20"/>
  <c r="K137" i="20"/>
  <c r="K309" i="20"/>
  <c r="K169" i="20"/>
  <c r="K340" i="20"/>
  <c r="K229" i="20"/>
  <c r="K369" i="20"/>
  <c r="K367" i="20"/>
  <c r="K211" i="20"/>
  <c r="K363" i="20"/>
  <c r="K164" i="20"/>
  <c r="K220" i="20"/>
  <c r="K417" i="20"/>
  <c r="K4" i="20"/>
  <c r="K5" i="20"/>
  <c r="K15" i="20"/>
  <c r="K397" i="20"/>
  <c r="K227" i="20"/>
  <c r="K294" i="20"/>
  <c r="K34" i="20"/>
  <c r="K388" i="20"/>
  <c r="K23" i="20"/>
  <c r="K342" i="20"/>
  <c r="K404" i="20"/>
  <c r="K356" i="20"/>
  <c r="K122" i="20"/>
  <c r="K371" i="20"/>
  <c r="K84" i="20"/>
  <c r="K149" i="20"/>
  <c r="K403" i="20"/>
  <c r="K58" i="20"/>
  <c r="K390" i="20"/>
  <c r="K346" i="20"/>
  <c r="K401" i="20"/>
  <c r="K394" i="20"/>
  <c r="K114" i="20"/>
  <c r="K88" i="20"/>
  <c r="K323" i="20"/>
  <c r="K26" i="20"/>
  <c r="K391" i="20"/>
  <c r="K117" i="20"/>
  <c r="K282" i="20"/>
  <c r="K71" i="20"/>
  <c r="K128" i="20"/>
  <c r="K158" i="20"/>
  <c r="K73" i="20"/>
  <c r="K208" i="20"/>
  <c r="K379" i="20"/>
  <c r="K56" i="20"/>
  <c r="K148" i="20"/>
  <c r="K156" i="20"/>
  <c r="K275" i="20"/>
  <c r="K191" i="20"/>
  <c r="K101" i="20"/>
  <c r="K281" i="20"/>
  <c r="K241" i="20"/>
  <c r="K288" i="20"/>
  <c r="K274" i="20"/>
  <c r="K218" i="20"/>
  <c r="K22" i="20"/>
  <c r="K298" i="20"/>
  <c r="K377" i="20"/>
  <c r="K192" i="20"/>
  <c r="K313" i="20"/>
  <c r="K194" i="20"/>
  <c r="K305" i="20"/>
  <c r="K251" i="20"/>
  <c r="K152" i="20"/>
  <c r="K206" i="20"/>
  <c r="K205" i="20"/>
  <c r="K95" i="20"/>
  <c r="K180" i="20"/>
  <c r="K312" i="20"/>
  <c r="K238" i="20"/>
  <c r="K168" i="20"/>
  <c r="K300" i="20"/>
  <c r="K29" i="20"/>
  <c r="K89" i="20"/>
  <c r="K17" i="20"/>
  <c r="K311" i="20"/>
  <c r="K287" i="20"/>
  <c r="K253" i="20"/>
  <c r="K226" i="20"/>
  <c r="K331" i="20"/>
  <c r="K373" i="20"/>
  <c r="K301" i="20"/>
  <c r="K264" i="20"/>
  <c r="K380" i="20"/>
  <c r="K262" i="20"/>
  <c r="K36" i="20"/>
  <c r="K217" i="20"/>
  <c r="K11" i="20"/>
  <c r="K414" i="20"/>
  <c r="K413" i="20"/>
  <c r="K322" i="20"/>
  <c r="K199" i="20"/>
  <c r="K358" i="20"/>
  <c r="K113" i="20"/>
  <c r="K383" i="20"/>
  <c r="K402" i="20"/>
  <c r="K396" i="20"/>
  <c r="K43" i="20"/>
  <c r="K221" i="20"/>
  <c r="K405" i="20"/>
  <c r="K51" i="20"/>
  <c r="K257" i="20"/>
  <c r="K409" i="20"/>
  <c r="K108" i="20"/>
  <c r="K399" i="20"/>
  <c r="K334" i="20"/>
  <c r="K107" i="20"/>
  <c r="K256" i="20"/>
  <c r="K360" i="20"/>
  <c r="K280" i="20"/>
  <c r="K141" i="20"/>
  <c r="K186" i="20"/>
  <c r="K21" i="20"/>
  <c r="K174" i="20"/>
  <c r="K78" i="20"/>
  <c r="K167" i="20"/>
  <c r="K160" i="20"/>
  <c r="K32" i="20"/>
  <c r="K244" i="20"/>
  <c r="K115" i="20"/>
  <c r="K110" i="20"/>
  <c r="K150" i="20"/>
  <c r="K276" i="20"/>
  <c r="K308" i="20"/>
  <c r="K85" i="20"/>
  <c r="K381" i="20"/>
  <c r="K173" i="20"/>
  <c r="K63" i="20"/>
  <c r="K105" i="20"/>
  <c r="K52" i="20"/>
  <c r="K176" i="20"/>
  <c r="K236" i="20"/>
  <c r="K336" i="20"/>
  <c r="K327" i="20"/>
  <c r="K233" i="20"/>
  <c r="K14" i="20"/>
  <c r="K53" i="20"/>
  <c r="K91" i="20"/>
  <c r="K386" i="20"/>
  <c r="K374" i="20"/>
  <c r="H3" i="19"/>
  <c r="H378" i="2"/>
  <c r="H242" i="2"/>
  <c r="J23" i="19"/>
  <c r="K23" i="19" s="1"/>
  <c r="I24" i="19"/>
  <c r="I10" i="15"/>
  <c r="I15" i="15"/>
  <c r="I18" i="16"/>
  <c r="L2" i="16" s="1"/>
  <c r="H9" i="19"/>
  <c r="I31" i="15"/>
  <c r="H5" i="19"/>
  <c r="K2" i="19"/>
  <c r="H359" i="2"/>
  <c r="H332" i="2"/>
  <c r="H258" i="2"/>
  <c r="H129" i="2"/>
  <c r="H124" i="2"/>
  <c r="H116" i="2"/>
  <c r="H370" i="2"/>
  <c r="H320" i="2"/>
  <c r="H386" i="2"/>
  <c r="H351" i="2"/>
  <c r="H218" i="2"/>
  <c r="H201" i="2"/>
  <c r="H93" i="2"/>
  <c r="I24" i="15"/>
  <c r="I29" i="15"/>
  <c r="I31" i="16"/>
  <c r="H61" i="2"/>
  <c r="I12" i="15"/>
  <c r="I22" i="16"/>
  <c r="I10" i="17"/>
  <c r="H13" i="19"/>
  <c r="H266" i="2"/>
  <c r="H145" i="2"/>
  <c r="H68" i="2"/>
  <c r="H153" i="2"/>
  <c r="H6" i="2"/>
  <c r="I28" i="15"/>
  <c r="I21" i="17"/>
  <c r="H25" i="19"/>
  <c r="H204" i="2"/>
  <c r="H156" i="2"/>
  <c r="H44" i="2"/>
  <c r="H270" i="2"/>
  <c r="I26" i="15"/>
  <c r="I6" i="16"/>
  <c r="I5" i="17"/>
  <c r="H276" i="2"/>
  <c r="H193" i="2"/>
  <c r="H188" i="2"/>
  <c r="H121" i="2"/>
  <c r="H77" i="2"/>
  <c r="H84" i="2"/>
  <c r="H76" i="2"/>
  <c r="H60" i="2"/>
  <c r="H17" i="2"/>
  <c r="I19" i="16"/>
  <c r="I23" i="17"/>
  <c r="I2" i="18"/>
  <c r="I11" i="18"/>
  <c r="H26" i="19"/>
  <c r="H12" i="19"/>
  <c r="H288" i="2"/>
  <c r="H169" i="2"/>
  <c r="H163" i="2"/>
  <c r="H147" i="2"/>
  <c r="H108" i="2"/>
  <c r="H101" i="2"/>
  <c r="H293" i="2"/>
  <c r="H209" i="2"/>
  <c r="I7" i="16"/>
  <c r="I15" i="17"/>
  <c r="I12" i="18"/>
  <c r="H366" i="2"/>
  <c r="H339" i="2"/>
  <c r="H305" i="2"/>
  <c r="H259" i="2"/>
  <c r="H230" i="2"/>
  <c r="H132" i="2"/>
  <c r="H296" i="2"/>
  <c r="I14" i="15"/>
  <c r="I18" i="17"/>
  <c r="I27" i="17"/>
  <c r="H179" i="2"/>
  <c r="H160" i="2"/>
  <c r="H85" i="2"/>
  <c r="I18" i="15"/>
  <c r="I9" i="17"/>
  <c r="I5" i="18"/>
  <c r="H383" i="2"/>
  <c r="H219" i="2"/>
  <c r="H245" i="2"/>
  <c r="H287" i="2"/>
  <c r="H202" i="2"/>
  <c r="K193" i="20"/>
  <c r="K326" i="20"/>
  <c r="K200" i="20"/>
  <c r="K361" i="20"/>
  <c r="K163" i="20"/>
  <c r="K237" i="20"/>
  <c r="K159" i="20"/>
  <c r="K249" i="20"/>
  <c r="H11" i="20"/>
  <c r="K179" i="20"/>
  <c r="K129" i="20"/>
  <c r="K284" i="20"/>
  <c r="K295" i="20"/>
  <c r="K357" i="20"/>
  <c r="K154" i="20"/>
  <c r="K93" i="20"/>
  <c r="K248" i="20"/>
  <c r="K46" i="20"/>
  <c r="K130" i="20"/>
  <c r="K350" i="20"/>
  <c r="K235" i="20"/>
  <c r="I6" i="2" l="1"/>
  <c r="J5" i="2"/>
  <c r="K5" i="2" s="1"/>
  <c r="L2" i="15"/>
  <c r="M3" i="20"/>
  <c r="K2" i="18"/>
  <c r="L2" i="17"/>
  <c r="I4" i="19"/>
  <c r="J3" i="19"/>
  <c r="K3" i="19" s="1"/>
  <c r="AL419" i="20"/>
  <c r="CH419" i="20"/>
  <c r="Y419" i="20"/>
  <c r="X419" i="20"/>
  <c r="CJ419" i="20"/>
  <c r="BV419" i="20"/>
  <c r="CV419" i="20"/>
  <c r="CL419" i="20"/>
  <c r="AC419" i="20"/>
  <c r="CC419" i="20"/>
  <c r="BS419" i="20"/>
  <c r="BN419" i="20"/>
  <c r="CF419" i="20"/>
  <c r="BB419" i="20"/>
  <c r="AF419" i="20"/>
  <c r="CR419" i="20"/>
  <c r="CG419" i="20"/>
  <c r="DI419" i="20"/>
  <c r="CW419" i="20"/>
  <c r="AP419" i="20"/>
  <c r="CN419" i="20"/>
  <c r="CE419" i="20"/>
  <c r="BC419" i="20"/>
  <c r="CS419" i="20"/>
  <c r="CO419" i="20"/>
  <c r="AS419" i="20"/>
  <c r="CX419" i="20"/>
  <c r="DF419" i="20"/>
  <c r="AN419" i="20"/>
  <c r="CZ419" i="20"/>
  <c r="CU419" i="20"/>
  <c r="AA419" i="20"/>
  <c r="DJ419" i="20"/>
  <c r="BA419" i="20"/>
  <c r="DA419" i="20"/>
  <c r="CQ419" i="20"/>
  <c r="AR419" i="20"/>
  <c r="DE419" i="20"/>
  <c r="AT419" i="20"/>
  <c r="BJ419" i="20"/>
  <c r="BR419" i="20"/>
  <c r="AV419" i="20"/>
  <c r="DH419" i="20"/>
  <c r="DG419" i="20"/>
  <c r="AM419" i="20"/>
  <c r="AB419" i="20"/>
  <c r="BO419" i="20"/>
  <c r="S419" i="20"/>
  <c r="DL419" i="20"/>
  <c r="DC419" i="20"/>
  <c r="AH419" i="20"/>
  <c r="BF419" i="20"/>
  <c r="BZ419" i="20"/>
  <c r="BD419" i="20"/>
  <c r="Z419" i="20"/>
  <c r="AY419" i="20"/>
  <c r="AO419" i="20"/>
  <c r="CA419" i="20"/>
  <c r="AE419" i="20"/>
  <c r="U419" i="20"/>
  <c r="DD419" i="20"/>
  <c r="W419" i="20"/>
  <c r="AJ419" i="20"/>
  <c r="DB419" i="20"/>
  <c r="BL419" i="20"/>
  <c r="AK419" i="20"/>
  <c r="BK419" i="20"/>
  <c r="AZ419" i="20"/>
  <c r="CM419" i="20"/>
  <c r="AQ419" i="20"/>
  <c r="AI419" i="20"/>
  <c r="CT419" i="20"/>
  <c r="V419" i="20"/>
  <c r="AW419" i="20"/>
  <c r="AD419" i="20"/>
  <c r="CP419" i="20"/>
  <c r="BT419" i="20"/>
  <c r="AX419" i="20"/>
  <c r="BW419" i="20"/>
  <c r="BM419" i="20"/>
  <c r="CY419" i="20"/>
  <c r="BE419" i="20"/>
  <c r="AU419" i="20"/>
  <c r="CI419" i="20"/>
  <c r="BH419" i="20"/>
  <c r="T419" i="20"/>
  <c r="BQ419" i="20"/>
  <c r="CB419" i="20"/>
  <c r="BI419" i="20"/>
  <c r="CK419" i="20"/>
  <c r="BY419" i="20"/>
  <c r="DK419" i="20"/>
  <c r="BP419" i="20"/>
  <c r="BG419" i="20"/>
  <c r="BX419" i="20"/>
  <c r="BU419" i="20"/>
  <c r="AG419" i="20"/>
  <c r="CD419" i="20"/>
  <c r="R419" i="20"/>
  <c r="DI421" i="20"/>
  <c r="AA421" i="20"/>
  <c r="DH421" i="20"/>
  <c r="CY421" i="20"/>
  <c r="AT421" i="20"/>
  <c r="AD421" i="20"/>
  <c r="AY421" i="20"/>
  <c r="T421" i="20"/>
  <c r="DA421" i="20"/>
  <c r="DG421" i="20"/>
  <c r="CJ421" i="20"/>
  <c r="BK421" i="20"/>
  <c r="AL421" i="20"/>
  <c r="DF421" i="20"/>
  <c r="BU421" i="20"/>
  <c r="BC421" i="20"/>
  <c r="Q421" i="20"/>
  <c r="X421" i="20"/>
  <c r="CW421" i="20"/>
  <c r="W421" i="20"/>
  <c r="AZ421" i="20"/>
  <c r="BJ421" i="20"/>
  <c r="AS421" i="20"/>
  <c r="AN421" i="20"/>
  <c r="CC421" i="20"/>
  <c r="BF421" i="20"/>
  <c r="DE421" i="20"/>
  <c r="BI421" i="20"/>
  <c r="CI421" i="20"/>
  <c r="AW421" i="20"/>
  <c r="CN421" i="20"/>
  <c r="CS421" i="20"/>
  <c r="AF421" i="20"/>
  <c r="AE421" i="20"/>
  <c r="CU421" i="20"/>
  <c r="R421" i="20"/>
  <c r="CH421" i="20"/>
  <c r="BN421" i="20"/>
  <c r="CT421" i="20"/>
  <c r="BZ421" i="20"/>
  <c r="AG421" i="20"/>
  <c r="CR421" i="20"/>
  <c r="AO421" i="20"/>
  <c r="CZ421" i="20"/>
  <c r="BA421" i="20"/>
  <c r="BS421" i="20"/>
  <c r="AC421" i="20"/>
  <c r="DC421" i="20"/>
  <c r="AH421" i="20"/>
  <c r="V421" i="20"/>
  <c r="CV421" i="20"/>
  <c r="AJ421" i="20"/>
  <c r="BL421" i="20"/>
  <c r="CE421" i="20"/>
  <c r="CA421" i="20"/>
  <c r="CB421" i="20"/>
  <c r="S421" i="20"/>
  <c r="DD421" i="20"/>
  <c r="Z421" i="20"/>
  <c r="CP421" i="20"/>
  <c r="BQ421" i="20"/>
  <c r="AX421" i="20"/>
  <c r="CX421" i="20"/>
  <c r="AR421" i="20"/>
  <c r="Q419" i="20"/>
  <c r="BH421" i="20"/>
  <c r="BG421" i="20"/>
  <c r="CM421" i="20"/>
  <c r="AU421" i="20"/>
  <c r="AK421" i="20"/>
  <c r="BE421" i="20"/>
  <c r="BY421" i="20"/>
  <c r="BR421" i="20"/>
  <c r="BB421" i="20"/>
  <c r="BW421" i="20"/>
  <c r="CK421" i="20"/>
  <c r="Y421" i="20"/>
  <c r="CQ421" i="20"/>
  <c r="AB421" i="20"/>
  <c r="BD421" i="20"/>
  <c r="DB421" i="20"/>
  <c r="BV421" i="20"/>
  <c r="CO421" i="20"/>
  <c r="BP421" i="20"/>
  <c r="AM421" i="20"/>
  <c r="CG421" i="20"/>
  <c r="AV421" i="20"/>
  <c r="AP421" i="20"/>
  <c r="CL421" i="20"/>
  <c r="DJ421" i="20"/>
  <c r="BM421" i="20"/>
  <c r="AI421" i="20"/>
  <c r="BO421" i="20"/>
  <c r="U421" i="20"/>
  <c r="DK421" i="20"/>
  <c r="CD421" i="20"/>
  <c r="BX421" i="20"/>
  <c r="CF421" i="20"/>
  <c r="AQ421" i="20"/>
  <c r="DL421" i="20"/>
  <c r="BT421" i="20"/>
  <c r="I25" i="19"/>
  <c r="J24" i="19"/>
  <c r="K24" i="19" s="1"/>
  <c r="I5" i="19" l="1"/>
  <c r="J4" i="19"/>
  <c r="K4" i="19" s="1"/>
  <c r="I7" i="2"/>
  <c r="J6" i="2"/>
  <c r="K6" i="2" s="1"/>
  <c r="P5" i="20"/>
  <c r="P6" i="20"/>
  <c r="P4" i="20"/>
  <c r="P7" i="20"/>
  <c r="J25" i="19"/>
  <c r="K25" i="19" s="1"/>
  <c r="I26" i="19"/>
  <c r="I8" i="2" l="1"/>
  <c r="J7" i="2"/>
  <c r="K7" i="2" s="1"/>
  <c r="J5" i="19"/>
  <c r="K5" i="19" s="1"/>
  <c r="I6" i="19"/>
  <c r="J26" i="19"/>
  <c r="K26" i="19" s="1"/>
  <c r="I27" i="19"/>
  <c r="I7" i="19" l="1"/>
  <c r="J6" i="19"/>
  <c r="K6" i="19" s="1"/>
  <c r="I9" i="2"/>
  <c r="J8" i="2"/>
  <c r="K8" i="2" s="1"/>
  <c r="J27" i="19"/>
  <c r="K27" i="19" s="1"/>
  <c r="I28" i="19"/>
  <c r="I10" i="2" l="1"/>
  <c r="J9" i="2"/>
  <c r="K9" i="2" s="1"/>
  <c r="I8" i="19"/>
  <c r="J7" i="19"/>
  <c r="K7" i="19" s="1"/>
  <c r="J28" i="19"/>
  <c r="K28" i="19" s="1"/>
  <c r="I29" i="19"/>
  <c r="I9" i="19" l="1"/>
  <c r="J8" i="19"/>
  <c r="K8" i="19" s="1"/>
  <c r="I11" i="2"/>
  <c r="J10" i="2"/>
  <c r="K10" i="2" s="1"/>
  <c r="I30" i="19"/>
  <c r="J29" i="19"/>
  <c r="K29" i="19" s="1"/>
  <c r="J11" i="2" l="1"/>
  <c r="K11" i="2" s="1"/>
  <c r="I12" i="2"/>
  <c r="I10" i="19"/>
  <c r="J9" i="19"/>
  <c r="K9" i="19" s="1"/>
  <c r="J30" i="19"/>
  <c r="K30" i="19" s="1"/>
  <c r="I31" i="19"/>
  <c r="J31" i="19" s="1"/>
  <c r="J10" i="19" l="1"/>
  <c r="K10" i="19" s="1"/>
  <c r="I11" i="19"/>
  <c r="I13" i="2"/>
  <c r="J12" i="2"/>
  <c r="K12" i="2" s="1"/>
  <c r="K31" i="19"/>
  <c r="I14" i="2" l="1"/>
  <c r="J13" i="2"/>
  <c r="K13" i="2" s="1"/>
  <c r="J11" i="19"/>
  <c r="K11" i="19" s="1"/>
  <c r="I12" i="19"/>
  <c r="J12" i="19" l="1"/>
  <c r="K12" i="19" s="1"/>
  <c r="I13" i="19"/>
  <c r="J14" i="2"/>
  <c r="K14" i="2" s="1"/>
  <c r="I15" i="2"/>
  <c r="I14" i="19" l="1"/>
  <c r="J13" i="19"/>
  <c r="K13" i="19" s="1"/>
  <c r="J15" i="2"/>
  <c r="K15" i="2" s="1"/>
  <c r="I16" i="2"/>
  <c r="J16" i="2" l="1"/>
  <c r="K16" i="2" s="1"/>
  <c r="I17" i="2"/>
  <c r="J14" i="19"/>
  <c r="K14" i="19" s="1"/>
  <c r="I15" i="19"/>
  <c r="J15" i="19" l="1"/>
  <c r="K15" i="19" s="1"/>
  <c r="I16" i="19"/>
  <c r="J17" i="2"/>
  <c r="K17" i="2" s="1"/>
  <c r="I18" i="2"/>
  <c r="J18" i="2" l="1"/>
  <c r="K18" i="2" s="1"/>
  <c r="I19" i="2"/>
  <c r="J16" i="19"/>
  <c r="K16" i="19" s="1"/>
  <c r="I17" i="19"/>
  <c r="I18" i="19" l="1"/>
  <c r="J17" i="19"/>
  <c r="K17" i="19" s="1"/>
  <c r="J19" i="2"/>
  <c r="K19" i="2" s="1"/>
  <c r="I20" i="2"/>
  <c r="I21" i="2" l="1"/>
  <c r="J20" i="2"/>
  <c r="K20" i="2" s="1"/>
  <c r="J18" i="19"/>
  <c r="K18" i="19" s="1"/>
  <c r="I19" i="19"/>
  <c r="I20" i="19" l="1"/>
  <c r="J19" i="19"/>
  <c r="J21" i="2"/>
  <c r="K21" i="2" s="1"/>
  <c r="I22" i="2"/>
  <c r="J22" i="2" l="1"/>
  <c r="K22" i="2" s="1"/>
  <c r="I23" i="2"/>
  <c r="K19" i="19"/>
  <c r="J20" i="19"/>
  <c r="K20" i="19" s="1"/>
  <c r="I21" i="19"/>
  <c r="J21" i="19" s="1"/>
  <c r="K21" i="19" s="1"/>
  <c r="N5" i="19" l="1"/>
  <c r="N4" i="19"/>
  <c r="I24" i="2"/>
  <c r="J23" i="2"/>
  <c r="K23" i="2" s="1"/>
  <c r="I25" i="2" l="1"/>
  <c r="J24" i="2"/>
  <c r="K24" i="2" s="1"/>
  <c r="I26" i="2" l="1"/>
  <c r="J25" i="2"/>
  <c r="K25" i="2" s="1"/>
  <c r="I27" i="2" l="1"/>
  <c r="J26" i="2"/>
  <c r="K26" i="2" s="1"/>
  <c r="I28" i="2" l="1"/>
  <c r="J27" i="2"/>
  <c r="K27" i="2" s="1"/>
  <c r="J28" i="2" l="1"/>
  <c r="K28" i="2" s="1"/>
  <c r="I29" i="2"/>
  <c r="J29" i="2" l="1"/>
  <c r="K29" i="2" s="1"/>
  <c r="I30" i="2"/>
  <c r="J30" i="2" l="1"/>
  <c r="K30" i="2" s="1"/>
  <c r="I31" i="2"/>
  <c r="J31" i="2" l="1"/>
  <c r="K31" i="2" s="1"/>
  <c r="I32" i="2"/>
  <c r="I33" i="2" l="1"/>
  <c r="J32" i="2"/>
  <c r="K32" i="2" s="1"/>
  <c r="I34" i="2" l="1"/>
  <c r="J33" i="2"/>
  <c r="K33" i="2" s="1"/>
  <c r="I35" i="2" l="1"/>
  <c r="J34" i="2"/>
  <c r="K34" i="2" s="1"/>
  <c r="J35" i="2" l="1"/>
  <c r="K35" i="2" s="1"/>
  <c r="I36" i="2"/>
  <c r="I37" i="2" l="1"/>
  <c r="J36" i="2"/>
  <c r="K36" i="2" s="1"/>
  <c r="J37" i="2" l="1"/>
  <c r="K37" i="2" s="1"/>
  <c r="I38" i="2"/>
  <c r="J38" i="2" l="1"/>
  <c r="K38" i="2" s="1"/>
  <c r="I39" i="2"/>
  <c r="I40" i="2" l="1"/>
  <c r="J39" i="2"/>
  <c r="K39" i="2" s="1"/>
  <c r="I41" i="2" l="1"/>
  <c r="J40" i="2"/>
  <c r="K40" i="2" s="1"/>
  <c r="I42" i="2" l="1"/>
  <c r="J41" i="2"/>
  <c r="K41" i="2" s="1"/>
  <c r="J42" i="2" l="1"/>
  <c r="K42" i="2" s="1"/>
  <c r="I43" i="2"/>
  <c r="J43" i="2" l="1"/>
  <c r="K43" i="2" s="1"/>
  <c r="I44" i="2"/>
  <c r="J44" i="2" l="1"/>
  <c r="K44" i="2" s="1"/>
  <c r="I45" i="2"/>
  <c r="I46" i="2" l="1"/>
  <c r="J45" i="2"/>
  <c r="K45" i="2" s="1"/>
  <c r="I47" i="2" l="1"/>
  <c r="J46" i="2"/>
  <c r="K46" i="2" s="1"/>
  <c r="I48" i="2" l="1"/>
  <c r="J47" i="2"/>
  <c r="K47" i="2" s="1"/>
  <c r="I49" i="2" l="1"/>
  <c r="J48" i="2"/>
  <c r="K48" i="2" s="1"/>
  <c r="J49" i="2" l="1"/>
  <c r="K49" i="2" s="1"/>
  <c r="I50" i="2"/>
  <c r="I51" i="2" l="1"/>
  <c r="J50" i="2"/>
  <c r="K50" i="2" s="1"/>
  <c r="I52" i="2" l="1"/>
  <c r="J51" i="2"/>
  <c r="K51" i="2" s="1"/>
  <c r="J52" i="2" l="1"/>
  <c r="K52" i="2" s="1"/>
  <c r="I53" i="2"/>
  <c r="I54" i="2" l="1"/>
  <c r="J53" i="2"/>
  <c r="K53" i="2" s="1"/>
  <c r="I55" i="2" l="1"/>
  <c r="J54" i="2"/>
  <c r="K54" i="2" s="1"/>
  <c r="I56" i="2" l="1"/>
  <c r="J55" i="2"/>
  <c r="K55" i="2" s="1"/>
  <c r="I57" i="2" l="1"/>
  <c r="J56" i="2"/>
  <c r="K56" i="2" s="1"/>
  <c r="J57" i="2" l="1"/>
  <c r="K57" i="2" s="1"/>
  <c r="I58" i="2"/>
  <c r="J58" i="2" l="1"/>
  <c r="K58" i="2" s="1"/>
  <c r="I59" i="2"/>
  <c r="I60" i="2" l="1"/>
  <c r="J59" i="2"/>
  <c r="K59" i="2" s="1"/>
  <c r="J60" i="2" l="1"/>
  <c r="K60" i="2" s="1"/>
  <c r="I61" i="2"/>
  <c r="J61" i="2" l="1"/>
  <c r="K61" i="2" s="1"/>
  <c r="I62" i="2"/>
  <c r="J62" i="2" l="1"/>
  <c r="K62" i="2" s="1"/>
  <c r="I63" i="2"/>
  <c r="I64" i="2" l="1"/>
  <c r="J63" i="2"/>
  <c r="K63" i="2" s="1"/>
  <c r="I65" i="2" l="1"/>
  <c r="J64" i="2"/>
  <c r="K64" i="2" s="1"/>
  <c r="J65" i="2" l="1"/>
  <c r="K65" i="2" s="1"/>
  <c r="I66" i="2"/>
  <c r="J66" i="2" l="1"/>
  <c r="K66" i="2" s="1"/>
  <c r="I67" i="2"/>
  <c r="J67" i="2" l="1"/>
  <c r="K67" i="2" s="1"/>
  <c r="I68" i="2"/>
  <c r="I69" i="2" l="1"/>
  <c r="J68" i="2"/>
  <c r="K68" i="2" s="1"/>
  <c r="I70" i="2" l="1"/>
  <c r="J69" i="2"/>
  <c r="K69" i="2" s="1"/>
  <c r="J70" i="2" l="1"/>
  <c r="K70" i="2" s="1"/>
  <c r="I71" i="2"/>
  <c r="J71" i="2" l="1"/>
  <c r="K71" i="2" s="1"/>
  <c r="I72" i="2"/>
  <c r="I73" i="2" l="1"/>
  <c r="J72" i="2"/>
  <c r="K72" i="2" s="1"/>
  <c r="J73" i="2" l="1"/>
  <c r="K73" i="2" s="1"/>
  <c r="I74" i="2"/>
  <c r="I75" i="2" l="1"/>
  <c r="J74" i="2"/>
  <c r="K74" i="2" s="1"/>
  <c r="I76" i="2" l="1"/>
  <c r="J75" i="2"/>
  <c r="K75" i="2" s="1"/>
  <c r="J76" i="2" l="1"/>
  <c r="K76" i="2" s="1"/>
  <c r="I77" i="2"/>
  <c r="I78" i="2" l="1"/>
  <c r="J77" i="2"/>
  <c r="K77" i="2" s="1"/>
  <c r="I79" i="2" l="1"/>
  <c r="J78" i="2"/>
  <c r="K78" i="2" s="1"/>
  <c r="I80" i="2" l="1"/>
  <c r="J79" i="2"/>
  <c r="K79" i="2" s="1"/>
  <c r="I81" i="2" l="1"/>
  <c r="J80" i="2"/>
  <c r="K80" i="2" s="1"/>
  <c r="J81" i="2" l="1"/>
  <c r="K81" i="2" s="1"/>
  <c r="I82" i="2"/>
  <c r="I83" i="2" l="1"/>
  <c r="J82" i="2"/>
  <c r="K82" i="2" s="1"/>
  <c r="J83" i="2" l="1"/>
  <c r="K83" i="2" s="1"/>
  <c r="I84" i="2"/>
  <c r="J84" i="2" l="1"/>
  <c r="K84" i="2" s="1"/>
  <c r="I85" i="2"/>
  <c r="J85" i="2" l="1"/>
  <c r="K85" i="2" s="1"/>
  <c r="I86" i="2"/>
  <c r="I87" i="2" l="1"/>
  <c r="J86" i="2"/>
  <c r="K86" i="2" s="1"/>
  <c r="I88" i="2" l="1"/>
  <c r="J87" i="2"/>
  <c r="K87" i="2" s="1"/>
  <c r="I89" i="2" l="1"/>
  <c r="J88" i="2"/>
  <c r="K88" i="2" s="1"/>
  <c r="I90" i="2" l="1"/>
  <c r="J89" i="2"/>
  <c r="K89" i="2" s="1"/>
  <c r="J90" i="2" l="1"/>
  <c r="K90" i="2" s="1"/>
  <c r="I91" i="2"/>
  <c r="I92" i="2" l="1"/>
  <c r="J91" i="2"/>
  <c r="K91" i="2" s="1"/>
  <c r="J92" i="2" l="1"/>
  <c r="K92" i="2" s="1"/>
  <c r="I93" i="2"/>
  <c r="J93" i="2" l="1"/>
  <c r="K93" i="2" s="1"/>
  <c r="I94" i="2"/>
  <c r="J94" i="2" l="1"/>
  <c r="K94" i="2" s="1"/>
  <c r="I95" i="2"/>
  <c r="I96" i="2" l="1"/>
  <c r="J95" i="2"/>
  <c r="K95" i="2" s="1"/>
  <c r="J96" i="2" l="1"/>
  <c r="K96" i="2" s="1"/>
  <c r="I97" i="2"/>
  <c r="I98" i="2" l="1"/>
  <c r="J97" i="2"/>
  <c r="K97" i="2" s="1"/>
  <c r="I99" i="2" l="1"/>
  <c r="J98" i="2"/>
  <c r="K98" i="2" s="1"/>
  <c r="I100" i="2" l="1"/>
  <c r="J99" i="2"/>
  <c r="K99" i="2" s="1"/>
  <c r="J100" i="2" l="1"/>
  <c r="K100" i="2" s="1"/>
  <c r="I101" i="2"/>
  <c r="J101" i="2" l="1"/>
  <c r="K101" i="2" s="1"/>
  <c r="I102" i="2"/>
  <c r="I103" i="2" l="1"/>
  <c r="J102" i="2"/>
  <c r="K102" i="2" s="1"/>
  <c r="J103" i="2" l="1"/>
  <c r="K103" i="2" s="1"/>
  <c r="I104" i="2"/>
  <c r="J104" i="2" l="1"/>
  <c r="K104" i="2" s="1"/>
  <c r="I105" i="2"/>
  <c r="J105" i="2" l="1"/>
  <c r="K105" i="2" s="1"/>
  <c r="I106" i="2"/>
  <c r="J106" i="2" l="1"/>
  <c r="K106" i="2" s="1"/>
  <c r="I107" i="2"/>
  <c r="J107" i="2" l="1"/>
  <c r="K107" i="2" s="1"/>
  <c r="I108" i="2"/>
  <c r="I109" i="2" l="1"/>
  <c r="J108" i="2"/>
  <c r="K108" i="2" s="1"/>
  <c r="J109" i="2" l="1"/>
  <c r="K109" i="2" s="1"/>
  <c r="I110" i="2"/>
  <c r="I111" i="2" l="1"/>
  <c r="J110" i="2"/>
  <c r="K110" i="2" s="1"/>
  <c r="I112" i="2" l="1"/>
  <c r="J111" i="2"/>
  <c r="K111" i="2" s="1"/>
  <c r="I113" i="2" l="1"/>
  <c r="J112" i="2"/>
  <c r="K112" i="2" s="1"/>
  <c r="I114" i="2" l="1"/>
  <c r="J113" i="2"/>
  <c r="K113" i="2" s="1"/>
  <c r="I115" i="2" l="1"/>
  <c r="J114" i="2"/>
  <c r="K114" i="2" s="1"/>
  <c r="J115" i="2" l="1"/>
  <c r="K115" i="2" s="1"/>
  <c r="I116" i="2"/>
  <c r="I117" i="2" l="1"/>
  <c r="J116" i="2"/>
  <c r="K116" i="2" s="1"/>
  <c r="J117" i="2" l="1"/>
  <c r="K117" i="2" s="1"/>
  <c r="I118" i="2"/>
  <c r="I119" i="2" l="1"/>
  <c r="J118" i="2"/>
  <c r="K118" i="2" s="1"/>
  <c r="J119" i="2" l="1"/>
  <c r="K119" i="2" s="1"/>
  <c r="I120" i="2"/>
  <c r="J120" i="2" l="1"/>
  <c r="K120" i="2" s="1"/>
  <c r="I121" i="2"/>
  <c r="J121" i="2" l="1"/>
  <c r="K121" i="2" s="1"/>
  <c r="I122" i="2"/>
  <c r="I123" i="2" l="1"/>
  <c r="J122" i="2"/>
  <c r="K122" i="2" s="1"/>
  <c r="I124" i="2" l="1"/>
  <c r="J123" i="2"/>
  <c r="K123" i="2" s="1"/>
  <c r="I125" i="2" l="1"/>
  <c r="J124" i="2"/>
  <c r="K124" i="2" s="1"/>
  <c r="I126" i="2" l="1"/>
  <c r="J125" i="2"/>
  <c r="K125" i="2" s="1"/>
  <c r="J126" i="2" l="1"/>
  <c r="K126" i="2" s="1"/>
  <c r="I127" i="2"/>
  <c r="I128" i="2" l="1"/>
  <c r="J127" i="2"/>
  <c r="K127" i="2" s="1"/>
  <c r="I129" i="2" l="1"/>
  <c r="J128" i="2"/>
  <c r="K128" i="2" s="1"/>
  <c r="I130" i="2" l="1"/>
  <c r="J129" i="2"/>
  <c r="K129" i="2" s="1"/>
  <c r="I131" i="2" l="1"/>
  <c r="J130" i="2"/>
  <c r="K130" i="2" s="1"/>
  <c r="J131" i="2" l="1"/>
  <c r="K131" i="2" s="1"/>
  <c r="I132" i="2"/>
  <c r="I133" i="2" l="1"/>
  <c r="J132" i="2"/>
  <c r="K132" i="2" s="1"/>
  <c r="J133" i="2" l="1"/>
  <c r="K133" i="2" s="1"/>
  <c r="I134" i="2"/>
  <c r="J134" i="2" l="1"/>
  <c r="K134" i="2" s="1"/>
  <c r="I135" i="2"/>
  <c r="I136" i="2" l="1"/>
  <c r="J135" i="2"/>
  <c r="K135" i="2" s="1"/>
  <c r="J136" i="2" l="1"/>
  <c r="K136" i="2" s="1"/>
  <c r="I137" i="2"/>
  <c r="J137" i="2" l="1"/>
  <c r="K137" i="2" s="1"/>
  <c r="I138" i="2"/>
  <c r="J138" i="2" l="1"/>
  <c r="K138" i="2" s="1"/>
  <c r="I139" i="2"/>
  <c r="I140" i="2" l="1"/>
  <c r="J139" i="2"/>
  <c r="K139" i="2" s="1"/>
  <c r="J140" i="2" l="1"/>
  <c r="K140" i="2" s="1"/>
  <c r="I141" i="2"/>
  <c r="I142" i="2" l="1"/>
  <c r="J141" i="2"/>
  <c r="K141" i="2" s="1"/>
  <c r="J142" i="2" l="1"/>
  <c r="K142" i="2" s="1"/>
  <c r="I143" i="2"/>
  <c r="I144" i="2" l="1"/>
  <c r="J143" i="2"/>
  <c r="K143" i="2" s="1"/>
  <c r="I145" i="2" l="1"/>
  <c r="J144" i="2"/>
  <c r="K144" i="2" s="1"/>
  <c r="I146" i="2" l="1"/>
  <c r="J145" i="2"/>
  <c r="K145" i="2" s="1"/>
  <c r="J146" i="2" l="1"/>
  <c r="K146" i="2" s="1"/>
  <c r="I147" i="2"/>
  <c r="I148" i="2" l="1"/>
  <c r="J147" i="2"/>
  <c r="K147" i="2" s="1"/>
  <c r="I149" i="2" l="1"/>
  <c r="J148" i="2"/>
  <c r="K148" i="2" s="1"/>
  <c r="J149" i="2" l="1"/>
  <c r="K149" i="2" s="1"/>
  <c r="I150" i="2"/>
  <c r="J150" i="2" l="1"/>
  <c r="K150" i="2" s="1"/>
  <c r="I151" i="2"/>
  <c r="J151" i="2" l="1"/>
  <c r="K151" i="2" s="1"/>
  <c r="I152" i="2"/>
  <c r="I153" i="2" l="1"/>
  <c r="J152" i="2"/>
  <c r="K152" i="2" s="1"/>
  <c r="J153" i="2" l="1"/>
  <c r="K153" i="2" s="1"/>
  <c r="I154" i="2"/>
  <c r="J154" i="2" l="1"/>
  <c r="K154" i="2" s="1"/>
  <c r="I155" i="2"/>
  <c r="J155" i="2" l="1"/>
  <c r="K155" i="2" s="1"/>
  <c r="I156" i="2"/>
  <c r="I157" i="2" l="1"/>
  <c r="J156" i="2"/>
  <c r="K156" i="2" s="1"/>
  <c r="J157" i="2" l="1"/>
  <c r="K157" i="2" s="1"/>
  <c r="I158" i="2"/>
  <c r="I159" i="2" l="1"/>
  <c r="J158" i="2"/>
  <c r="K158" i="2" s="1"/>
  <c r="J159" i="2" l="1"/>
  <c r="K159" i="2" s="1"/>
  <c r="I160" i="2"/>
  <c r="J160" i="2" l="1"/>
  <c r="K160" i="2" s="1"/>
  <c r="I161" i="2"/>
  <c r="J161" i="2" l="1"/>
  <c r="K161" i="2" s="1"/>
  <c r="I162" i="2"/>
  <c r="J162" i="2" l="1"/>
  <c r="K162" i="2" s="1"/>
  <c r="I163" i="2"/>
  <c r="J163" i="2" l="1"/>
  <c r="K163" i="2" s="1"/>
  <c r="I164" i="2"/>
  <c r="I165" i="2" l="1"/>
  <c r="J164" i="2"/>
  <c r="K164" i="2" s="1"/>
  <c r="I166" i="2" l="1"/>
  <c r="J165" i="2"/>
  <c r="K165" i="2" s="1"/>
  <c r="J166" i="2" l="1"/>
  <c r="K166" i="2" s="1"/>
  <c r="I167" i="2"/>
  <c r="J167" i="2" l="1"/>
  <c r="K167" i="2" s="1"/>
  <c r="I168" i="2"/>
  <c r="I169" i="2" l="1"/>
  <c r="J168" i="2"/>
  <c r="K168" i="2" s="1"/>
  <c r="J169" i="2" l="1"/>
  <c r="K169" i="2" s="1"/>
  <c r="I170" i="2"/>
  <c r="I171" i="2" l="1"/>
  <c r="J170" i="2"/>
  <c r="K170" i="2" s="1"/>
  <c r="I172" i="2" l="1"/>
  <c r="J171" i="2"/>
  <c r="K171" i="2" s="1"/>
  <c r="J172" i="2" l="1"/>
  <c r="K172" i="2" s="1"/>
  <c r="I173" i="2"/>
  <c r="I174" i="2" l="1"/>
  <c r="J173" i="2"/>
  <c r="K173" i="2" s="1"/>
  <c r="I175" i="2" l="1"/>
  <c r="J174" i="2"/>
  <c r="K174" i="2" s="1"/>
  <c r="I176" i="2" l="1"/>
  <c r="J175" i="2"/>
  <c r="K175" i="2" s="1"/>
  <c r="J176" i="2" l="1"/>
  <c r="K176" i="2" s="1"/>
  <c r="I177" i="2"/>
  <c r="I178" i="2" l="1"/>
  <c r="J177" i="2"/>
  <c r="K177" i="2" s="1"/>
  <c r="I179" i="2" l="1"/>
  <c r="J178" i="2"/>
  <c r="K178" i="2" s="1"/>
  <c r="I180" i="2" l="1"/>
  <c r="J179" i="2"/>
  <c r="K179" i="2" s="1"/>
  <c r="I181" i="2" l="1"/>
  <c r="J180" i="2"/>
  <c r="K180" i="2" s="1"/>
  <c r="I182" i="2" l="1"/>
  <c r="J181" i="2"/>
  <c r="K181" i="2" s="1"/>
  <c r="J182" i="2" l="1"/>
  <c r="K182" i="2" s="1"/>
  <c r="I183" i="2"/>
  <c r="J183" i="2" l="1"/>
  <c r="K183" i="2" s="1"/>
  <c r="I184" i="2"/>
  <c r="I185" i="2" l="1"/>
  <c r="J184" i="2"/>
  <c r="K184" i="2" s="1"/>
  <c r="I186" i="2" l="1"/>
  <c r="J185" i="2"/>
  <c r="K185" i="2" s="1"/>
  <c r="J186" i="2" l="1"/>
  <c r="K186" i="2" s="1"/>
  <c r="I187" i="2"/>
  <c r="I188" i="2" l="1"/>
  <c r="J187" i="2"/>
  <c r="K187" i="2" s="1"/>
  <c r="J188" i="2" l="1"/>
  <c r="K188" i="2" s="1"/>
  <c r="I189" i="2"/>
  <c r="J189" i="2" l="1"/>
  <c r="K189" i="2" s="1"/>
  <c r="I190" i="2"/>
  <c r="I191" i="2" l="1"/>
  <c r="J190" i="2"/>
  <c r="K190" i="2" s="1"/>
  <c r="J191" i="2" l="1"/>
  <c r="K191" i="2" s="1"/>
  <c r="I192" i="2"/>
  <c r="I193" i="2" l="1"/>
  <c r="J192" i="2"/>
  <c r="K192" i="2" s="1"/>
  <c r="J193" i="2" l="1"/>
  <c r="K193" i="2" s="1"/>
  <c r="I194" i="2"/>
  <c r="I195" i="2" l="1"/>
  <c r="J194" i="2"/>
  <c r="K194" i="2" s="1"/>
  <c r="I196" i="2" l="1"/>
  <c r="J195" i="2"/>
  <c r="K195" i="2" s="1"/>
  <c r="J196" i="2" l="1"/>
  <c r="K196" i="2" s="1"/>
  <c r="I197" i="2"/>
  <c r="I198" i="2" l="1"/>
  <c r="J197" i="2"/>
  <c r="K197" i="2" s="1"/>
  <c r="J198" i="2" l="1"/>
  <c r="K198" i="2" s="1"/>
  <c r="I199" i="2"/>
  <c r="I200" i="2" l="1"/>
  <c r="J199" i="2"/>
  <c r="K199" i="2" s="1"/>
  <c r="J200" i="2" l="1"/>
  <c r="K200" i="2" s="1"/>
  <c r="I201" i="2"/>
  <c r="I202" i="2" l="1"/>
  <c r="J201" i="2"/>
  <c r="K201" i="2" s="1"/>
  <c r="I203" i="2" l="1"/>
  <c r="J202" i="2"/>
  <c r="K202" i="2" s="1"/>
  <c r="I204" i="2" l="1"/>
  <c r="J203" i="2"/>
  <c r="K203" i="2" s="1"/>
  <c r="I205" i="2" l="1"/>
  <c r="J204" i="2"/>
  <c r="K204" i="2" s="1"/>
  <c r="J205" i="2" l="1"/>
  <c r="K205" i="2" s="1"/>
  <c r="I206" i="2"/>
  <c r="I207" i="2" l="1"/>
  <c r="J206" i="2"/>
  <c r="K206" i="2" s="1"/>
  <c r="J207" i="2" l="1"/>
  <c r="K207" i="2" s="1"/>
  <c r="I208" i="2"/>
  <c r="I209" i="2" l="1"/>
  <c r="J208" i="2"/>
  <c r="K208" i="2" s="1"/>
  <c r="I210" i="2" l="1"/>
  <c r="J209" i="2"/>
  <c r="K209" i="2" s="1"/>
  <c r="J210" i="2" l="1"/>
  <c r="K210" i="2" s="1"/>
  <c r="I211" i="2"/>
  <c r="J211" i="2" l="1"/>
  <c r="K211" i="2" s="1"/>
  <c r="I212" i="2"/>
  <c r="I213" i="2" l="1"/>
  <c r="J212" i="2"/>
  <c r="K212" i="2" s="1"/>
  <c r="I214" i="2" l="1"/>
  <c r="J213" i="2"/>
  <c r="K213" i="2" s="1"/>
  <c r="J214" i="2" l="1"/>
  <c r="K214" i="2" s="1"/>
  <c r="I215" i="2"/>
  <c r="J215" i="2" l="1"/>
  <c r="K215" i="2" s="1"/>
  <c r="I216" i="2"/>
  <c r="I217" i="2" l="1"/>
  <c r="J216" i="2"/>
  <c r="K216" i="2" s="1"/>
  <c r="I218" i="2" l="1"/>
  <c r="J217" i="2"/>
  <c r="K217" i="2" s="1"/>
  <c r="J218" i="2" l="1"/>
  <c r="K218" i="2" s="1"/>
  <c r="I219" i="2"/>
  <c r="J219" i="2" l="1"/>
  <c r="K219" i="2" s="1"/>
  <c r="I220" i="2"/>
  <c r="J220" i="2" l="1"/>
  <c r="K220" i="2" s="1"/>
  <c r="I221" i="2"/>
  <c r="I222" i="2" l="1"/>
  <c r="J221" i="2"/>
  <c r="K221" i="2" s="1"/>
  <c r="J222" i="2" l="1"/>
  <c r="K222" i="2" s="1"/>
  <c r="I223" i="2"/>
  <c r="J223" i="2" l="1"/>
  <c r="K223" i="2" s="1"/>
  <c r="I224" i="2"/>
  <c r="I225" i="2" l="1"/>
  <c r="J224" i="2"/>
  <c r="K224" i="2" s="1"/>
  <c r="J225" i="2" l="1"/>
  <c r="K225" i="2" s="1"/>
  <c r="I226" i="2"/>
  <c r="J226" i="2" l="1"/>
  <c r="K226" i="2" s="1"/>
  <c r="I227" i="2"/>
  <c r="J227" i="2" l="1"/>
  <c r="K227" i="2" s="1"/>
  <c r="I228" i="2"/>
  <c r="J228" i="2" l="1"/>
  <c r="K228" i="2" s="1"/>
  <c r="I229" i="2"/>
  <c r="I230" i="2" l="1"/>
  <c r="J229" i="2"/>
  <c r="K229" i="2" s="1"/>
  <c r="J230" i="2" l="1"/>
  <c r="K230" i="2" s="1"/>
  <c r="I231" i="2"/>
  <c r="J231" i="2" l="1"/>
  <c r="K231" i="2" s="1"/>
  <c r="I232" i="2"/>
  <c r="I233" i="2" l="1"/>
  <c r="J232" i="2"/>
  <c r="K232" i="2" s="1"/>
  <c r="J233" i="2" l="1"/>
  <c r="K233" i="2" s="1"/>
  <c r="I234" i="2"/>
  <c r="J234" i="2" l="1"/>
  <c r="K234" i="2" s="1"/>
  <c r="I235" i="2"/>
  <c r="I236" i="2" l="1"/>
  <c r="J235" i="2"/>
  <c r="K235" i="2" s="1"/>
  <c r="I237" i="2" l="1"/>
  <c r="J236" i="2"/>
  <c r="K236" i="2" s="1"/>
  <c r="J237" i="2" l="1"/>
  <c r="K237" i="2" s="1"/>
  <c r="I238" i="2"/>
  <c r="I239" i="2" l="1"/>
  <c r="J238" i="2"/>
  <c r="K238" i="2" s="1"/>
  <c r="J239" i="2" l="1"/>
  <c r="K239" i="2" s="1"/>
  <c r="I240" i="2"/>
  <c r="J240" i="2" l="1"/>
  <c r="K240" i="2" s="1"/>
  <c r="I241" i="2"/>
  <c r="J241" i="2" l="1"/>
  <c r="K241" i="2" s="1"/>
  <c r="I242" i="2"/>
  <c r="I243" i="2" l="1"/>
  <c r="J242" i="2"/>
  <c r="K242" i="2" s="1"/>
  <c r="I244" i="2" l="1"/>
  <c r="J243" i="2"/>
  <c r="K243" i="2" s="1"/>
  <c r="J244" i="2" l="1"/>
  <c r="K244" i="2" s="1"/>
  <c r="I245" i="2"/>
  <c r="I246" i="2" l="1"/>
  <c r="J245" i="2"/>
  <c r="K245" i="2" s="1"/>
  <c r="J246" i="2" l="1"/>
  <c r="K246" i="2" s="1"/>
  <c r="I247" i="2"/>
  <c r="J247" i="2" l="1"/>
  <c r="K247" i="2" s="1"/>
  <c r="I248" i="2"/>
  <c r="I249" i="2" l="1"/>
  <c r="J248" i="2"/>
  <c r="K248" i="2" s="1"/>
  <c r="J249" i="2" l="1"/>
  <c r="K249" i="2" s="1"/>
  <c r="I250" i="2"/>
  <c r="I251" i="2" l="1"/>
  <c r="J250" i="2"/>
  <c r="K250" i="2" s="1"/>
  <c r="I252" i="2" l="1"/>
  <c r="J251" i="2"/>
  <c r="K251" i="2" s="1"/>
  <c r="J252" i="2" l="1"/>
  <c r="K252" i="2" s="1"/>
  <c r="I253" i="2"/>
  <c r="J253" i="2" l="1"/>
  <c r="K253" i="2" s="1"/>
  <c r="I254" i="2"/>
  <c r="I255" i="2" l="1"/>
  <c r="J254" i="2"/>
  <c r="K254" i="2" s="1"/>
  <c r="J255" i="2" l="1"/>
  <c r="K255" i="2" s="1"/>
  <c r="I256" i="2"/>
  <c r="J256" i="2" l="1"/>
  <c r="K256" i="2" s="1"/>
  <c r="I257" i="2"/>
  <c r="I258" i="2" l="1"/>
  <c r="J257" i="2"/>
  <c r="K257" i="2" s="1"/>
  <c r="J258" i="2" l="1"/>
  <c r="K258" i="2" s="1"/>
  <c r="I259" i="2"/>
  <c r="I260" i="2" l="1"/>
  <c r="J259" i="2"/>
  <c r="K259" i="2" s="1"/>
  <c r="I261" i="2" l="1"/>
  <c r="J260" i="2"/>
  <c r="K260" i="2" s="1"/>
  <c r="I262" i="2" l="1"/>
  <c r="J261" i="2"/>
  <c r="K261" i="2" s="1"/>
  <c r="I263" i="2" l="1"/>
  <c r="J262" i="2"/>
  <c r="K262" i="2" s="1"/>
  <c r="J263" i="2" l="1"/>
  <c r="K263" i="2" s="1"/>
  <c r="I264" i="2"/>
  <c r="I265" i="2" l="1"/>
  <c r="J264" i="2"/>
  <c r="K264" i="2" s="1"/>
  <c r="I266" i="2" l="1"/>
  <c r="J265" i="2"/>
  <c r="K265" i="2" s="1"/>
  <c r="I267" i="2" l="1"/>
  <c r="J266" i="2"/>
  <c r="K266" i="2" s="1"/>
  <c r="I268" i="2" l="1"/>
  <c r="J267" i="2"/>
  <c r="K267" i="2" s="1"/>
  <c r="J268" i="2" l="1"/>
  <c r="K268" i="2" s="1"/>
  <c r="I269" i="2"/>
  <c r="I270" i="2" l="1"/>
  <c r="J269" i="2"/>
  <c r="K269" i="2" s="1"/>
  <c r="J270" i="2" l="1"/>
  <c r="K270" i="2" s="1"/>
  <c r="I271" i="2"/>
  <c r="I272" i="2" l="1"/>
  <c r="J271" i="2"/>
  <c r="K271" i="2" s="1"/>
  <c r="I273" i="2" l="1"/>
  <c r="J272" i="2"/>
  <c r="K272" i="2" s="1"/>
  <c r="J273" i="2" l="1"/>
  <c r="K273" i="2" s="1"/>
  <c r="I274" i="2"/>
  <c r="J274" i="2" l="1"/>
  <c r="K274" i="2" s="1"/>
  <c r="I275" i="2"/>
  <c r="J275" i="2" l="1"/>
  <c r="K275" i="2" s="1"/>
  <c r="I276" i="2"/>
  <c r="I277" i="2" l="1"/>
  <c r="J276" i="2"/>
  <c r="K276" i="2" s="1"/>
  <c r="J277" i="2" l="1"/>
  <c r="K277" i="2" s="1"/>
  <c r="I278" i="2"/>
  <c r="I279" i="2" l="1"/>
  <c r="J278" i="2"/>
  <c r="K278" i="2" s="1"/>
  <c r="J279" i="2" l="1"/>
  <c r="K279" i="2" s="1"/>
  <c r="I280" i="2"/>
  <c r="J280" i="2" l="1"/>
  <c r="K280" i="2" s="1"/>
  <c r="I281" i="2"/>
  <c r="I282" i="2" l="1"/>
  <c r="J281" i="2"/>
  <c r="K281" i="2" s="1"/>
  <c r="J282" i="2" l="1"/>
  <c r="K282" i="2" s="1"/>
  <c r="I283" i="2"/>
  <c r="J283" i="2" l="1"/>
  <c r="K283" i="2" s="1"/>
  <c r="I284" i="2"/>
  <c r="I285" i="2" l="1"/>
  <c r="J284" i="2"/>
  <c r="K284" i="2" s="1"/>
  <c r="J285" i="2" l="1"/>
  <c r="K285" i="2" s="1"/>
  <c r="I286" i="2"/>
  <c r="I287" i="2" l="1"/>
  <c r="J286" i="2"/>
  <c r="K286" i="2" s="1"/>
  <c r="I288" i="2" l="1"/>
  <c r="J287" i="2"/>
  <c r="K287" i="2" s="1"/>
  <c r="J288" i="2" l="1"/>
  <c r="K288" i="2" s="1"/>
  <c r="I289" i="2"/>
  <c r="I290" i="2" l="1"/>
  <c r="J289" i="2"/>
  <c r="K289" i="2" s="1"/>
  <c r="I291" i="2" l="1"/>
  <c r="J290" i="2"/>
  <c r="K290" i="2" s="1"/>
  <c r="J291" i="2" l="1"/>
  <c r="K291" i="2" s="1"/>
  <c r="I292" i="2"/>
  <c r="I293" i="2" l="1"/>
  <c r="J292" i="2"/>
  <c r="K292" i="2" s="1"/>
  <c r="I294" i="2" l="1"/>
  <c r="J293" i="2"/>
  <c r="K293" i="2" s="1"/>
  <c r="I295" i="2" l="1"/>
  <c r="J294" i="2"/>
  <c r="K294" i="2" s="1"/>
  <c r="J295" i="2" l="1"/>
  <c r="K295" i="2" s="1"/>
  <c r="I296" i="2"/>
  <c r="I297" i="2" l="1"/>
  <c r="J296" i="2"/>
  <c r="K296" i="2" s="1"/>
  <c r="J297" i="2" l="1"/>
  <c r="K297" i="2" s="1"/>
  <c r="I298" i="2"/>
  <c r="I299" i="2" l="1"/>
  <c r="J298" i="2"/>
  <c r="K298" i="2" s="1"/>
  <c r="I300" i="2" l="1"/>
  <c r="J299" i="2"/>
  <c r="K299" i="2" s="1"/>
  <c r="I301" i="2" l="1"/>
  <c r="J300" i="2"/>
  <c r="K300" i="2" s="1"/>
  <c r="I302" i="2" l="1"/>
  <c r="J301" i="2"/>
  <c r="K301" i="2" s="1"/>
  <c r="J302" i="2" l="1"/>
  <c r="K302" i="2" s="1"/>
  <c r="I303" i="2"/>
  <c r="J303" i="2" l="1"/>
  <c r="K303" i="2" s="1"/>
  <c r="I304" i="2"/>
  <c r="I305" i="2" l="1"/>
  <c r="J304" i="2"/>
  <c r="K304" i="2" s="1"/>
  <c r="I306" i="2" l="1"/>
  <c r="J305" i="2"/>
  <c r="K305" i="2" s="1"/>
  <c r="J306" i="2" l="1"/>
  <c r="K306" i="2" s="1"/>
  <c r="I307" i="2"/>
  <c r="J307" i="2" l="1"/>
  <c r="K307" i="2" s="1"/>
  <c r="I308" i="2"/>
  <c r="I309" i="2" l="1"/>
  <c r="J308" i="2"/>
  <c r="K308" i="2" s="1"/>
  <c r="I310" i="2" l="1"/>
  <c r="J309" i="2"/>
  <c r="K309" i="2" s="1"/>
  <c r="I311" i="2" l="1"/>
  <c r="J310" i="2"/>
  <c r="K310" i="2" s="1"/>
  <c r="J311" i="2" l="1"/>
  <c r="K311" i="2" s="1"/>
  <c r="I312" i="2"/>
  <c r="I313" i="2" l="1"/>
  <c r="J312" i="2"/>
  <c r="K312" i="2" s="1"/>
  <c r="I314" i="2" l="1"/>
  <c r="J313" i="2"/>
  <c r="K313" i="2" s="1"/>
  <c r="I315" i="2" l="1"/>
  <c r="J314" i="2"/>
  <c r="K314" i="2" s="1"/>
  <c r="J315" i="2" l="1"/>
  <c r="K315" i="2" s="1"/>
  <c r="I316" i="2"/>
  <c r="J316" i="2" l="1"/>
  <c r="K316" i="2" s="1"/>
  <c r="I317" i="2"/>
  <c r="I318" i="2" l="1"/>
  <c r="J317" i="2"/>
  <c r="K317" i="2" s="1"/>
  <c r="I319" i="2" l="1"/>
  <c r="J318" i="2"/>
  <c r="K318" i="2" s="1"/>
  <c r="J319" i="2" l="1"/>
  <c r="K319" i="2" s="1"/>
  <c r="I320" i="2"/>
  <c r="I321" i="2" l="1"/>
  <c r="J320" i="2"/>
  <c r="K320" i="2" s="1"/>
  <c r="I322" i="2" l="1"/>
  <c r="J321" i="2"/>
  <c r="K321" i="2" s="1"/>
  <c r="I323" i="2" l="1"/>
  <c r="J322" i="2"/>
  <c r="K322" i="2" s="1"/>
  <c r="J323" i="2" l="1"/>
  <c r="K323" i="2" s="1"/>
  <c r="I324" i="2"/>
  <c r="I325" i="2" l="1"/>
  <c r="J324" i="2"/>
  <c r="K324" i="2" s="1"/>
  <c r="I326" i="2" l="1"/>
  <c r="J325" i="2"/>
  <c r="K325" i="2" s="1"/>
  <c r="I327" i="2" l="1"/>
  <c r="J326" i="2"/>
  <c r="K326" i="2" s="1"/>
  <c r="J327" i="2" l="1"/>
  <c r="K327" i="2" s="1"/>
  <c r="I328" i="2"/>
  <c r="I329" i="2" l="1"/>
  <c r="J328" i="2"/>
  <c r="K328" i="2" s="1"/>
  <c r="J329" i="2" l="1"/>
  <c r="K329" i="2" s="1"/>
  <c r="I330" i="2"/>
  <c r="J330" i="2" l="1"/>
  <c r="K330" i="2" s="1"/>
  <c r="I331" i="2"/>
  <c r="J331" i="2" l="1"/>
  <c r="K331" i="2" s="1"/>
  <c r="I332" i="2"/>
  <c r="J332" i="2" l="1"/>
  <c r="K332" i="2" s="1"/>
  <c r="I333" i="2"/>
  <c r="I334" i="2" l="1"/>
  <c r="J333" i="2"/>
  <c r="K333" i="2" s="1"/>
  <c r="J334" i="2" l="1"/>
  <c r="K334" i="2" s="1"/>
  <c r="I335" i="2"/>
  <c r="J335" i="2" l="1"/>
  <c r="K335" i="2" s="1"/>
  <c r="I336" i="2"/>
  <c r="I337" i="2" l="1"/>
  <c r="J336" i="2"/>
  <c r="K336" i="2" s="1"/>
  <c r="J337" i="2" l="1"/>
  <c r="K337" i="2" s="1"/>
  <c r="I338" i="2"/>
  <c r="J338" i="2" l="1"/>
  <c r="K338" i="2" s="1"/>
  <c r="I339" i="2"/>
  <c r="I340" i="2" l="1"/>
  <c r="J339" i="2"/>
  <c r="K339" i="2" s="1"/>
  <c r="I341" i="2" l="1"/>
  <c r="J340" i="2"/>
  <c r="K340" i="2" s="1"/>
  <c r="I342" i="2" l="1"/>
  <c r="J341" i="2"/>
  <c r="K341" i="2" s="1"/>
  <c r="J342" i="2" l="1"/>
  <c r="K342" i="2" s="1"/>
  <c r="I343" i="2"/>
  <c r="J343" i="2" l="1"/>
  <c r="K343" i="2" s="1"/>
  <c r="I344" i="2"/>
  <c r="I345" i="2" l="1"/>
  <c r="J344" i="2"/>
  <c r="K344" i="2" s="1"/>
  <c r="I346" i="2" l="1"/>
  <c r="J345" i="2"/>
  <c r="K345" i="2" s="1"/>
  <c r="J346" i="2" l="1"/>
  <c r="K346" i="2" s="1"/>
  <c r="I347" i="2"/>
  <c r="I348" i="2" l="1"/>
  <c r="J347" i="2"/>
  <c r="K347" i="2" s="1"/>
  <c r="J348" i="2" l="1"/>
  <c r="K348" i="2" s="1"/>
  <c r="I349" i="2"/>
  <c r="J349" i="2" l="1"/>
  <c r="K349" i="2" s="1"/>
  <c r="I350" i="2"/>
  <c r="J350" i="2" l="1"/>
  <c r="K350" i="2" s="1"/>
  <c r="I351" i="2"/>
  <c r="J351" i="2" l="1"/>
  <c r="K351" i="2" s="1"/>
  <c r="I352" i="2"/>
  <c r="J352" i="2" l="1"/>
  <c r="K352" i="2" s="1"/>
  <c r="I353" i="2"/>
  <c r="I354" i="2" l="1"/>
  <c r="J353" i="2"/>
  <c r="K353" i="2" s="1"/>
  <c r="J354" i="2" l="1"/>
  <c r="K354" i="2" s="1"/>
  <c r="I355" i="2"/>
  <c r="J355" i="2" l="1"/>
  <c r="K355" i="2" s="1"/>
  <c r="I356" i="2"/>
  <c r="I357" i="2" l="1"/>
  <c r="J356" i="2"/>
  <c r="K356" i="2" s="1"/>
  <c r="J357" i="2" l="1"/>
  <c r="K357" i="2" s="1"/>
  <c r="I358" i="2"/>
  <c r="J358" i="2" l="1"/>
  <c r="K358" i="2" s="1"/>
  <c r="I359" i="2"/>
  <c r="J359" i="2" l="1"/>
  <c r="K359" i="2" s="1"/>
  <c r="I360" i="2"/>
  <c r="I361" i="2" l="1"/>
  <c r="J360" i="2"/>
  <c r="K360" i="2" s="1"/>
  <c r="J361" i="2" l="1"/>
  <c r="K361" i="2" s="1"/>
  <c r="I362" i="2"/>
  <c r="J362" i="2" l="1"/>
  <c r="K362" i="2" s="1"/>
  <c r="I363" i="2"/>
  <c r="J363" i="2" l="1"/>
  <c r="K363" i="2" s="1"/>
  <c r="I364" i="2"/>
  <c r="J364" i="2" l="1"/>
  <c r="K364" i="2" s="1"/>
  <c r="I365" i="2"/>
  <c r="I366" i="2" l="1"/>
  <c r="J365" i="2"/>
  <c r="K365" i="2" s="1"/>
  <c r="J366" i="2" l="1"/>
  <c r="K366" i="2" s="1"/>
  <c r="I367" i="2"/>
  <c r="I368" i="2" l="1"/>
  <c r="J367" i="2"/>
  <c r="K367" i="2" s="1"/>
  <c r="I369" i="2" l="1"/>
  <c r="J368" i="2"/>
  <c r="K368" i="2" s="1"/>
  <c r="I370" i="2" l="1"/>
  <c r="J369" i="2"/>
  <c r="K369" i="2" s="1"/>
  <c r="I371" i="2" l="1"/>
  <c r="J370" i="2"/>
  <c r="K370" i="2" s="1"/>
  <c r="I372" i="2" l="1"/>
  <c r="J371" i="2"/>
  <c r="K371" i="2" s="1"/>
  <c r="J372" i="2" l="1"/>
  <c r="K372" i="2" s="1"/>
  <c r="I373" i="2"/>
  <c r="I374" i="2" l="1"/>
  <c r="J373" i="2"/>
  <c r="K373" i="2" s="1"/>
  <c r="I375" i="2" l="1"/>
  <c r="J374" i="2"/>
  <c r="K374" i="2" s="1"/>
  <c r="J375" i="2" l="1"/>
  <c r="K375" i="2" s="1"/>
  <c r="I376" i="2"/>
  <c r="J376" i="2" l="1"/>
  <c r="K376" i="2" s="1"/>
  <c r="I377" i="2"/>
  <c r="I378" i="2" l="1"/>
  <c r="J377" i="2"/>
  <c r="K377" i="2" s="1"/>
  <c r="J378" i="2" l="1"/>
  <c r="K378" i="2" s="1"/>
  <c r="I379" i="2"/>
  <c r="I380" i="2" l="1"/>
  <c r="J379" i="2"/>
  <c r="K379" i="2" s="1"/>
  <c r="J380" i="2" l="1"/>
  <c r="K380" i="2" s="1"/>
  <c r="I381" i="2"/>
  <c r="I382" i="2" l="1"/>
  <c r="J381" i="2"/>
  <c r="K381" i="2" s="1"/>
  <c r="I383" i="2" l="1"/>
  <c r="J382" i="2"/>
  <c r="K382" i="2" s="1"/>
  <c r="J383" i="2" l="1"/>
  <c r="K383" i="2" s="1"/>
  <c r="I384" i="2"/>
  <c r="J384" i="2" l="1"/>
  <c r="K384" i="2" s="1"/>
  <c r="I385" i="2"/>
  <c r="I386" i="2" l="1"/>
  <c r="J385" i="2"/>
  <c r="K385" i="2" s="1"/>
  <c r="I387" i="2" l="1"/>
  <c r="J386" i="2"/>
  <c r="K386" i="2" s="1"/>
  <c r="J387" i="2" l="1"/>
  <c r="K387" i="2" s="1"/>
  <c r="I388" i="2"/>
  <c r="J388" i="2" l="1"/>
  <c r="K388" i="2" s="1"/>
  <c r="I389" i="2"/>
  <c r="I390" i="2" l="1"/>
  <c r="J389" i="2"/>
  <c r="K389" i="2" s="1"/>
  <c r="I391" i="2" l="1"/>
  <c r="J390" i="2"/>
  <c r="K390" i="2" s="1"/>
  <c r="J391" i="2" l="1"/>
  <c r="K391" i="2" s="1"/>
  <c r="I392" i="2"/>
  <c r="I393" i="2" l="1"/>
  <c r="J392" i="2"/>
  <c r="K392" i="2" s="1"/>
  <c r="J393" i="2" l="1"/>
  <c r="K393" i="2" s="1"/>
  <c r="I394" i="2"/>
  <c r="J394" i="2" l="1"/>
  <c r="K394" i="2" s="1"/>
  <c r="I395" i="2"/>
  <c r="I396" i="2" l="1"/>
  <c r="J395" i="2"/>
  <c r="K395" i="2" s="1"/>
  <c r="J396" i="2" l="1"/>
  <c r="K396" i="2" s="1"/>
  <c r="I397" i="2"/>
  <c r="I398" i="2" l="1"/>
  <c r="J397" i="2"/>
  <c r="K397" i="2" s="1"/>
  <c r="I399" i="2" l="1"/>
  <c r="J398" i="2"/>
  <c r="K398" i="2" s="1"/>
  <c r="I400" i="2" l="1"/>
  <c r="J399" i="2"/>
  <c r="K399" i="2" s="1"/>
  <c r="I401" i="2" l="1"/>
  <c r="J400" i="2"/>
  <c r="K400" i="2" s="1"/>
  <c r="J401" i="2" l="1"/>
  <c r="I402" i="2"/>
  <c r="I403" i="2" l="1"/>
  <c r="J402" i="2"/>
  <c r="K402" i="2" s="1"/>
  <c r="K401" i="2"/>
  <c r="N4" i="2"/>
  <c r="I404" i="2" l="1"/>
  <c r="J403" i="2"/>
  <c r="K403" i="2" s="1"/>
  <c r="J404" i="2" l="1"/>
  <c r="K404" i="2" s="1"/>
  <c r="I405" i="2"/>
  <c r="J405" i="2" l="1"/>
  <c r="K405" i="2" s="1"/>
  <c r="I406" i="2"/>
  <c r="I407" i="2" l="1"/>
  <c r="J406" i="2"/>
  <c r="K406" i="2" s="1"/>
  <c r="J407" i="2" l="1"/>
  <c r="K407" i="2" s="1"/>
  <c r="I408" i="2"/>
  <c r="I409" i="2" l="1"/>
  <c r="J408" i="2"/>
  <c r="K408" i="2" s="1"/>
  <c r="I410" i="2" l="1"/>
  <c r="J409" i="2"/>
  <c r="K409" i="2" s="1"/>
  <c r="I411" i="2" l="1"/>
  <c r="J410" i="2"/>
  <c r="K410" i="2" s="1"/>
  <c r="I412" i="2" l="1"/>
  <c r="J411" i="2"/>
  <c r="K411" i="2" s="1"/>
  <c r="I413" i="2" l="1"/>
  <c r="J412" i="2"/>
  <c r="K412" i="2" s="1"/>
  <c r="J413" i="2" l="1"/>
  <c r="K413" i="2" s="1"/>
  <c r="I414" i="2"/>
  <c r="J414" i="2" l="1"/>
  <c r="K414" i="2" s="1"/>
  <c r="I415" i="2"/>
  <c r="I416" i="2" l="1"/>
  <c r="J415" i="2"/>
  <c r="K415" i="2" s="1"/>
  <c r="J416" i="2" l="1"/>
  <c r="K416" i="2" s="1"/>
  <c r="I417" i="2"/>
  <c r="J417" i="2" s="1"/>
  <c r="K417" i="2" s="1"/>
  <c r="N3" i="2" s="1"/>
  <c r="J269" i="21"/>
  <c r="J357" i="21"/>
  <c r="J196" i="21"/>
  <c r="J83" i="21"/>
  <c r="J335" i="21"/>
  <c r="J194" i="21"/>
  <c r="J138" i="21"/>
  <c r="J15" i="21"/>
  <c r="J107" i="21"/>
  <c r="J294" i="21"/>
  <c r="J55" i="21"/>
  <c r="J290" i="21"/>
  <c r="J87" i="21"/>
  <c r="J103" i="21"/>
  <c r="J72" i="21"/>
  <c r="J222" i="21"/>
  <c r="J114" i="21"/>
  <c r="J245" i="21"/>
  <c r="J154" i="21"/>
  <c r="J346" i="21"/>
  <c r="J356" i="21"/>
  <c r="J116" i="21"/>
  <c r="J200" i="21"/>
  <c r="J158" i="21"/>
  <c r="J172" i="21"/>
  <c r="J191" i="21"/>
  <c r="J213" i="21"/>
  <c r="J214" i="21"/>
  <c r="J145" i="21"/>
  <c r="J300" i="21"/>
  <c r="J50" i="21"/>
  <c r="J355" i="21"/>
  <c r="J197" i="21"/>
  <c r="J287" i="21"/>
  <c r="J223" i="21"/>
  <c r="J353" i="21"/>
  <c r="J238" i="21"/>
  <c r="J59" i="21"/>
  <c r="J28" i="21"/>
  <c r="J142" i="21"/>
  <c r="J413" i="21"/>
  <c r="J185" i="21"/>
  <c r="J167" i="21"/>
  <c r="J77" i="21"/>
  <c r="J148" i="21"/>
  <c r="J260" i="21"/>
  <c r="J323" i="21"/>
  <c r="J314" i="21"/>
  <c r="J358" i="21"/>
  <c r="J391" i="21"/>
  <c r="J44" i="21"/>
  <c r="J387" i="21"/>
  <c r="J315" i="21"/>
  <c r="J94" i="21"/>
  <c r="J326" i="21"/>
  <c r="J39" i="21"/>
  <c r="J92" i="21"/>
  <c r="J82" i="21"/>
  <c r="J16" i="21"/>
  <c r="J292" i="21"/>
  <c r="J54" i="21"/>
  <c r="J367" i="21"/>
  <c r="J212" i="21"/>
  <c r="J263" i="21"/>
  <c r="J13" i="21"/>
  <c r="J368" i="21"/>
  <c r="J365" i="21"/>
  <c r="J11" i="21"/>
  <c r="J5" i="21"/>
  <c r="J305" i="21"/>
  <c r="J49" i="21"/>
  <c r="J360" i="21"/>
  <c r="J199" i="21"/>
  <c r="J104" i="21"/>
  <c r="J100" i="21"/>
  <c r="J180" i="21"/>
  <c r="J152" i="21"/>
  <c r="J230" i="21"/>
  <c r="J302" i="21"/>
  <c r="J325" i="21"/>
  <c r="J380" i="21"/>
  <c r="J89" i="21"/>
  <c r="J285" i="21"/>
  <c r="J234" i="21"/>
  <c r="J255" i="21"/>
  <c r="J179" i="21"/>
  <c r="J34" i="21"/>
  <c r="J400" i="21"/>
  <c r="J215" i="21"/>
  <c r="J190" i="21"/>
  <c r="J307" i="21"/>
  <c r="J416" i="21"/>
  <c r="J120" i="21"/>
  <c r="J348" i="21"/>
  <c r="J405" i="21"/>
  <c r="J377" i="21"/>
  <c r="J21" i="21"/>
  <c r="J410" i="21"/>
  <c r="J228" i="21"/>
  <c r="J166" i="21"/>
  <c r="J311" i="21"/>
  <c r="J6" i="21"/>
  <c r="J188" i="21"/>
  <c r="J340" i="21"/>
  <c r="J119" i="21"/>
  <c r="J149" i="21"/>
  <c r="J334" i="21"/>
  <c r="J267" i="21"/>
  <c r="J401" i="21"/>
  <c r="J271" i="21"/>
  <c r="J146" i="21"/>
  <c r="J274" i="21"/>
  <c r="J174" i="21"/>
  <c r="J349" i="21"/>
  <c r="J310" i="21"/>
  <c r="J396" i="21"/>
  <c r="J253" i="21"/>
  <c r="J79" i="21"/>
  <c r="J84" i="21"/>
  <c r="J42" i="21"/>
  <c r="J243" i="21"/>
  <c r="J19" i="21"/>
  <c r="J333" i="21"/>
  <c r="J123" i="21"/>
  <c r="J312" i="21"/>
  <c r="J379" i="21"/>
  <c r="J24" i="21"/>
  <c r="J18" i="21"/>
  <c r="J268" i="21"/>
  <c r="J246" i="21"/>
  <c r="J275" i="21"/>
  <c r="J80" i="21"/>
  <c r="J159" i="21"/>
  <c r="J81" i="21"/>
  <c r="J347" i="21"/>
  <c r="J58" i="21"/>
  <c r="J273" i="21"/>
  <c r="J157" i="21"/>
  <c r="J135" i="21"/>
  <c r="J176" i="21"/>
  <c r="J117" i="21"/>
  <c r="J375" i="21"/>
  <c r="J90" i="21"/>
  <c r="J236" i="21"/>
  <c r="J280" i="21"/>
  <c r="J298" i="21"/>
  <c r="J43" i="21"/>
  <c r="J88" i="21"/>
  <c r="J65" i="21"/>
  <c r="J60" i="21"/>
  <c r="J227" i="21"/>
  <c r="J404" i="21"/>
  <c r="J384" i="21"/>
  <c r="J318" i="21"/>
  <c r="J48" i="21"/>
  <c r="J181" i="21"/>
  <c r="J127" i="21"/>
  <c r="J397" i="21"/>
  <c r="J45" i="21"/>
  <c r="J270" i="21"/>
  <c r="J295" i="21"/>
  <c r="J216" i="21"/>
  <c r="J168" i="21"/>
  <c r="J350" i="21"/>
  <c r="J111" i="21"/>
  <c r="J75" i="21"/>
  <c r="J261" i="21"/>
  <c r="J205" i="21"/>
  <c r="J364" i="21"/>
  <c r="J293" i="21"/>
  <c r="J239" i="21"/>
  <c r="J133" i="21"/>
  <c r="J319" i="21"/>
  <c r="J299" i="21"/>
  <c r="J209" i="21"/>
  <c r="J178" i="21"/>
  <c r="J156" i="21"/>
  <c r="J85" i="21"/>
  <c r="J30" i="21"/>
  <c r="J241" i="21"/>
  <c r="J320" i="21"/>
  <c r="J153" i="21"/>
  <c r="J169" i="21"/>
  <c r="J251" i="21"/>
  <c r="J98" i="21"/>
  <c r="J313" i="21"/>
  <c r="J309" i="21"/>
  <c r="J161" i="21"/>
  <c r="J330" i="21"/>
  <c r="J352" i="21"/>
  <c r="J277" i="21"/>
  <c r="J296" i="21"/>
  <c r="J359" i="21"/>
  <c r="J96" i="21"/>
  <c r="J217" i="21"/>
  <c r="J283" i="21"/>
  <c r="J91" i="21"/>
  <c r="J369" i="21"/>
  <c r="J125" i="21"/>
  <c r="J393" i="21"/>
  <c r="J362" i="21"/>
  <c r="J74" i="21"/>
  <c r="J406" i="21"/>
  <c r="J17" i="21"/>
  <c r="J289" i="21"/>
  <c r="J204" i="21"/>
  <c r="J27" i="21"/>
  <c r="J51" i="21"/>
  <c r="J160" i="21"/>
  <c r="J9" i="21"/>
  <c r="J37" i="21"/>
  <c r="J308" i="21"/>
  <c r="J403" i="21"/>
  <c r="J408" i="21"/>
  <c r="J68" i="21"/>
  <c r="J244" i="21"/>
  <c r="J242" i="21"/>
  <c r="J192" i="21"/>
  <c r="J284" i="21"/>
  <c r="J121" i="21"/>
  <c r="J62" i="21"/>
  <c r="J303" i="21"/>
  <c r="J338" i="21"/>
  <c r="J210" i="21"/>
  <c r="J140" i="21"/>
  <c r="J61" i="21"/>
  <c r="J306" i="21"/>
  <c r="J186" i="21"/>
  <c r="J265" i="21"/>
  <c r="J264" i="21"/>
  <c r="J129" i="21"/>
  <c r="J339" i="21"/>
  <c r="J354" i="21"/>
  <c r="J202" i="21"/>
  <c r="J162" i="21"/>
  <c r="J291" i="21"/>
  <c r="J97" i="21"/>
  <c r="J341" i="21"/>
  <c r="J381" i="21"/>
  <c r="J279" i="21"/>
  <c r="J206" i="21"/>
  <c r="J370" i="21"/>
  <c r="J131" i="21"/>
  <c r="J233" i="21"/>
  <c r="J235" i="21"/>
  <c r="J415" i="21"/>
  <c r="J41" i="21"/>
  <c r="J4" i="21"/>
  <c r="J67" i="21"/>
  <c r="J29" i="21"/>
  <c r="J386" i="21"/>
  <c r="J373" i="21"/>
  <c r="J276" i="21"/>
  <c r="J208" i="21"/>
  <c r="J70" i="21"/>
  <c r="J141" i="21"/>
  <c r="J112" i="21"/>
  <c r="J86" i="21"/>
  <c r="J343" i="21"/>
  <c r="J12" i="21"/>
  <c r="J262" i="21"/>
  <c r="J297" i="21"/>
  <c r="J374" i="21"/>
  <c r="J351" i="21"/>
  <c r="J220" i="21"/>
  <c r="J46" i="21"/>
  <c r="J383" i="21"/>
  <c r="J33" i="21"/>
  <c r="J385" i="21"/>
  <c r="J7" i="21"/>
  <c r="J390" i="21"/>
  <c r="J109" i="21"/>
  <c r="J122" i="21"/>
  <c r="J23" i="21"/>
  <c r="J231" i="21"/>
  <c r="J69" i="21"/>
  <c r="J301" i="21"/>
  <c r="J252" i="21"/>
  <c r="J257" i="21"/>
  <c r="J8" i="21"/>
  <c r="J38" i="21"/>
  <c r="J57" i="21"/>
  <c r="J144" i="21"/>
  <c r="J336" i="21"/>
  <c r="J398" i="21"/>
  <c r="J110" i="21"/>
  <c r="J25" i="21"/>
  <c r="J221" i="21"/>
  <c r="J40" i="21"/>
  <c r="J78" i="21"/>
  <c r="J66" i="21"/>
  <c r="J329" i="21"/>
  <c r="J281" i="21"/>
  <c r="J134" i="21"/>
  <c r="J170" i="21"/>
  <c r="J76" i="21"/>
  <c r="J247" i="21"/>
  <c r="J99" i="21"/>
  <c r="J342" i="21"/>
  <c r="J288" i="21"/>
  <c r="J165" i="21"/>
  <c r="J126" i="21"/>
  <c r="J187" i="21"/>
  <c r="J324" i="21"/>
  <c r="J195" i="21"/>
  <c r="J177" i="21"/>
  <c r="J147" i="21"/>
  <c r="J361" i="21"/>
  <c r="J113" i="21"/>
  <c r="J225" i="21"/>
  <c r="J237" i="21"/>
  <c r="J392" i="21"/>
  <c r="J327" i="21"/>
  <c r="J3" i="21"/>
  <c r="J106" i="21"/>
  <c r="J118" i="21"/>
  <c r="J389" i="21"/>
  <c r="J412" i="21"/>
  <c r="J378" i="21"/>
  <c r="J229" i="21"/>
  <c r="J150" i="21"/>
  <c r="J64" i="21"/>
  <c r="J322" i="21"/>
  <c r="J332" i="21"/>
  <c r="J130" i="21"/>
  <c r="J143" i="21"/>
  <c r="J399" i="21"/>
  <c r="J36" i="21"/>
  <c r="J240" i="21"/>
  <c r="J26" i="21"/>
  <c r="J417" i="21"/>
  <c r="J102" i="21"/>
  <c r="J409" i="21"/>
  <c r="J128" i="21"/>
  <c r="J139" i="21"/>
  <c r="J395" i="21"/>
  <c r="J248" i="21"/>
  <c r="J163" i="21"/>
  <c r="J278" i="21"/>
  <c r="J282" i="21"/>
  <c r="J56" i="21"/>
  <c r="J317" i="21"/>
  <c r="J337" i="21"/>
  <c r="J407" i="21"/>
  <c r="J388" i="21"/>
  <c r="J363" i="21"/>
  <c r="J151" i="21"/>
  <c r="J136" i="21"/>
  <c r="J198" i="21"/>
  <c r="J411" i="21"/>
  <c r="J316" i="21"/>
  <c r="J183" i="21"/>
  <c r="J224" i="21"/>
  <c r="J184" i="21"/>
  <c r="J175" i="21"/>
  <c r="J321" i="21"/>
  <c r="J211" i="21"/>
  <c r="J35" i="21"/>
  <c r="J259" i="21"/>
  <c r="J286" i="21"/>
  <c r="J414" i="21"/>
  <c r="J182" i="21"/>
  <c r="J108" i="21"/>
  <c r="J207" i="21"/>
  <c r="J137" i="21"/>
  <c r="J258" i="21"/>
  <c r="J328" i="21"/>
  <c r="J254" i="21"/>
  <c r="J155" i="21"/>
  <c r="J124" i="21"/>
  <c r="J218" i="21"/>
  <c r="J382" i="21"/>
  <c r="J115" i="21"/>
  <c r="J14" i="21"/>
  <c r="J164" i="21"/>
  <c r="J171" i="21"/>
  <c r="J249" i="21"/>
  <c r="J132" i="21"/>
  <c r="J272" i="21"/>
  <c r="J371" i="21"/>
  <c r="J32" i="21"/>
  <c r="J256" i="21"/>
  <c r="J20" i="21"/>
  <c r="J105" i="21"/>
  <c r="J101" i="21"/>
  <c r="J366" i="21"/>
  <c r="J52" i="21"/>
  <c r="J266" i="21"/>
  <c r="J173" i="21"/>
  <c r="J201" i="21"/>
  <c r="J402" i="21"/>
  <c r="J345" i="21"/>
  <c r="J22" i="21"/>
  <c r="J226" i="21"/>
  <c r="J95" i="21"/>
  <c r="J47" i="21"/>
  <c r="J31" i="21"/>
  <c r="J93" i="21"/>
  <c r="J193" i="21"/>
  <c r="J394" i="21"/>
  <c r="J203" i="21"/>
  <c r="J189" i="21"/>
  <c r="J53" i="21"/>
  <c r="J73" i="21"/>
  <c r="J250" i="21"/>
  <c r="J219" i="21"/>
  <c r="J232" i="21"/>
  <c r="J372" i="21"/>
  <c r="J10" i="21"/>
  <c r="J304" i="21"/>
  <c r="J344" i="21"/>
  <c r="J331" i="21"/>
  <c r="J2" i="21"/>
  <c r="J376" i="21"/>
</calcChain>
</file>

<file path=xl/sharedStrings.xml><?xml version="1.0" encoding="utf-8"?>
<sst xmlns="http://schemas.openxmlformats.org/spreadsheetml/2006/main" count="248" uniqueCount="171">
  <si>
    <t>Part num</t>
  </si>
  <si>
    <t>Part Size (Ft^3)</t>
  </si>
  <si>
    <t>Part cost</t>
  </si>
  <si>
    <t>Annual Use</t>
  </si>
  <si>
    <t>Avg Annual Use</t>
  </si>
  <si>
    <t>Inventory holding cost</t>
  </si>
  <si>
    <t xml:space="preserve">Technician random revisit cost </t>
  </si>
  <si>
    <t xml:space="preserve">Average demand per replenishment cycle </t>
  </si>
  <si>
    <t>Decision</t>
  </si>
  <si>
    <t>space used</t>
  </si>
  <si>
    <t xml:space="preserve">Sum of total cost </t>
  </si>
  <si>
    <t>Total cost of part</t>
  </si>
  <si>
    <t>&lt;=</t>
  </si>
  <si>
    <t>50 cu ft</t>
  </si>
  <si>
    <t>Total cost</t>
  </si>
  <si>
    <t>Space used</t>
  </si>
  <si>
    <t>Heuristic 1: Stocks parts with the smallest size first until 50 ft³ limit is reached. Decision column shows which parts are selected. Total cost and space used are calculated.</t>
  </si>
  <si>
    <t xml:space="preserve">	Heuristic 2: Stocks parts with the lowest cost first. Sorted by part cost (ascending), then parts are added until 50 ft³ limit is reached. Decision, total cost, and space used are shown.</t>
  </si>
  <si>
    <t>Heuristic 3: Stocks parts based on highest annual usage first. Sorted by usage (descending), then parts are selected until 50 ft³ limit is reached. Decision and cost columns included.</t>
  </si>
  <si>
    <t>Benefit Value</t>
  </si>
  <si>
    <t>Cumulative Size</t>
  </si>
  <si>
    <t>Total Cost (Custom Heuristic)</t>
  </si>
  <si>
    <t>Size used</t>
  </si>
  <si>
    <t>Heuristic 4: Stocks parts based on highest benefit per cubic foot. Sorted by the formula ( Revisit Cost-Inventory Holding Cost ) ÷ Part Size in descending order. Parts are selected until the 50 ft³ limit is reached. Includes decision column, cumulative size, and total cost.</t>
  </si>
  <si>
    <t>Final dataset with 400 parts. Applies the custom heuristic to rank parts using ( Revisit Cost-Holding Cost ) ÷ Part Size. Tracks cumulative truck space and selects parts to stock within the 500 ft³ limit. Includes final decision (1/0) and total cost calculation.</t>
  </si>
  <si>
    <t>Fix at first %</t>
  </si>
  <si>
    <t>Total cost (Simulation)</t>
  </si>
  <si>
    <t>Simulation 5</t>
  </si>
  <si>
    <t>Simulation 4</t>
  </si>
  <si>
    <t>Simulation 3</t>
  </si>
  <si>
    <t>Simulation 2</t>
  </si>
  <si>
    <t>Simulation 1</t>
  </si>
  <si>
    <t xml:space="preserve">Total cost </t>
  </si>
  <si>
    <t>Technician random revisit cost</t>
  </si>
  <si>
    <t>Average demand per replenishment cycle</t>
  </si>
  <si>
    <t>Simulation 6</t>
  </si>
  <si>
    <t>Simulation 7</t>
  </si>
  <si>
    <t>Simulation 8</t>
  </si>
  <si>
    <t>Simulation 9</t>
  </si>
  <si>
    <t>Simulation 10</t>
  </si>
  <si>
    <t>Simulation 11</t>
  </si>
  <si>
    <t>Simulation 12</t>
  </si>
  <si>
    <t>Simulation 13</t>
  </si>
  <si>
    <t>Simulation 14</t>
  </si>
  <si>
    <t>Simulation 15</t>
  </si>
  <si>
    <t>Simulation 16</t>
  </si>
  <si>
    <t>Simulation 17</t>
  </si>
  <si>
    <t>Simulation 18</t>
  </si>
  <si>
    <t>Simulation 19</t>
  </si>
  <si>
    <t>Simulation 20</t>
  </si>
  <si>
    <t>Simulation 21</t>
  </si>
  <si>
    <t>Simulation 22</t>
  </si>
  <si>
    <t>Simulation 23</t>
  </si>
  <si>
    <t>Simulation 24</t>
  </si>
  <si>
    <t>Simulation 25</t>
  </si>
  <si>
    <t>Simulation 26</t>
  </si>
  <si>
    <t>Simulation 27</t>
  </si>
  <si>
    <t>Simulation 28</t>
  </si>
  <si>
    <t>Simulation 29</t>
  </si>
  <si>
    <t>Simulation 30</t>
  </si>
  <si>
    <t>Simulation 31</t>
  </si>
  <si>
    <t>Simulation 32</t>
  </si>
  <si>
    <t>Simulation 33</t>
  </si>
  <si>
    <t>Simulation 34</t>
  </si>
  <si>
    <t>Simulation 35</t>
  </si>
  <si>
    <t>Simulation 36</t>
  </si>
  <si>
    <t>Simulation 37</t>
  </si>
  <si>
    <t>Simulation 38</t>
  </si>
  <si>
    <t>Simulation 39</t>
  </si>
  <si>
    <t>Simulation 40</t>
  </si>
  <si>
    <t>Simulation 41</t>
  </si>
  <si>
    <t>Simulation 42</t>
  </si>
  <si>
    <t>Simulation 43</t>
  </si>
  <si>
    <t>Simulation 44</t>
  </si>
  <si>
    <t>Simulation 45</t>
  </si>
  <si>
    <t>Simulation 46</t>
  </si>
  <si>
    <t>Simulation 47</t>
  </si>
  <si>
    <t>Simulation 48</t>
  </si>
  <si>
    <t>Simulation 49</t>
  </si>
  <si>
    <t>Simulation 50</t>
  </si>
  <si>
    <t>Simulation 51</t>
  </si>
  <si>
    <t>Simulation 52</t>
  </si>
  <si>
    <t>Simulation 53</t>
  </si>
  <si>
    <t>Simulation 54</t>
  </si>
  <si>
    <t>Simulation 55</t>
  </si>
  <si>
    <t>Simulation 56</t>
  </si>
  <si>
    <t>Simulation 57</t>
  </si>
  <si>
    <t>Simulation 58</t>
  </si>
  <si>
    <t>Simulation 59</t>
  </si>
  <si>
    <t>Simulation 60</t>
  </si>
  <si>
    <t>Simulation 61</t>
  </si>
  <si>
    <t>Simulation 62</t>
  </si>
  <si>
    <t>Simulation 63</t>
  </si>
  <si>
    <t>Simulation 64</t>
  </si>
  <si>
    <t>Simulation 65</t>
  </si>
  <si>
    <t>Simulation 66</t>
  </si>
  <si>
    <t>Simulation 67</t>
  </si>
  <si>
    <t>Simulation 68</t>
  </si>
  <si>
    <t>Simulation 69</t>
  </si>
  <si>
    <t>Simulation 70</t>
  </si>
  <si>
    <t>Simulation 71</t>
  </si>
  <si>
    <t>Simulation 72</t>
  </si>
  <si>
    <t>Simulation 73</t>
  </si>
  <si>
    <t>Simulation 74</t>
  </si>
  <si>
    <t>Simulation 75</t>
  </si>
  <si>
    <t>Simulation 76</t>
  </si>
  <si>
    <t>Simulation 77</t>
  </si>
  <si>
    <t>Simulation 78</t>
  </si>
  <si>
    <t>Simulation 79</t>
  </si>
  <si>
    <t>Simulation 80</t>
  </si>
  <si>
    <t>Simulation 81</t>
  </si>
  <si>
    <t>Simulation 82</t>
  </si>
  <si>
    <t>Simulation 83</t>
  </si>
  <si>
    <t>Simulation 84</t>
  </si>
  <si>
    <t>Simulation 85</t>
  </si>
  <si>
    <t>Simulation 86</t>
  </si>
  <si>
    <t>Simulation 87</t>
  </si>
  <si>
    <t>Simulation 88</t>
  </si>
  <si>
    <t>Simulation 89</t>
  </si>
  <si>
    <t>Simulation 90</t>
  </si>
  <si>
    <t>Simulation 91</t>
  </si>
  <si>
    <t>Simulation 92</t>
  </si>
  <si>
    <t>Simulation 93</t>
  </si>
  <si>
    <t>Simulation 94</t>
  </si>
  <si>
    <t>Simulation 95</t>
  </si>
  <si>
    <t>Simulation 96</t>
  </si>
  <si>
    <t>Simulation 97</t>
  </si>
  <si>
    <t>Simulation 98</t>
  </si>
  <si>
    <t>Simulation 99</t>
  </si>
  <si>
    <t>Simulation 100</t>
  </si>
  <si>
    <t>Avg Sum of total cost</t>
  </si>
  <si>
    <t>Stocked Parts</t>
  </si>
  <si>
    <t>Size Used (&lt;=500 Cubic ft)</t>
  </si>
  <si>
    <t>Sum Of Total Cost</t>
  </si>
  <si>
    <t>For 100 Simulation</t>
  </si>
  <si>
    <t>Avg. Fix at first  %</t>
  </si>
  <si>
    <t xml:space="preserve">Min of total cost </t>
  </si>
  <si>
    <t xml:space="preserve">Max of total cost </t>
  </si>
  <si>
    <t>Histogram of total demand across all 100 simulations.</t>
  </si>
  <si>
    <t>Histogram of Fix at First % across all 100 simulations</t>
  </si>
  <si>
    <t>One frequency table for all 416 parts and the other for 185 parts that are recommended</t>
  </si>
  <si>
    <t xml:space="preserve"> &gt;</t>
  </si>
  <si>
    <t xml:space="preserve">Simulation </t>
  </si>
  <si>
    <t>Part_Stock</t>
  </si>
  <si>
    <t>z</t>
  </si>
  <si>
    <t>IF(AND(SUMPRODUCT($J$1:J2,$B$1:B2)&lt;500,SUM(B2,SUMPRODUCT($J$1:J2,$B$1:B2))&lt;500),1,0)</t>
  </si>
  <si>
    <t>occurance %</t>
  </si>
  <si>
    <t>RecordTrails</t>
  </si>
  <si>
    <t>Bins</t>
  </si>
  <si>
    <t>Frequnency Bucket</t>
  </si>
  <si>
    <t>1 to 10</t>
  </si>
  <si>
    <t>11 to 20</t>
  </si>
  <si>
    <t>21 to 30</t>
  </si>
  <si>
    <t>31 to 40</t>
  </si>
  <si>
    <t>41 to 50</t>
  </si>
  <si>
    <t>51 to 60</t>
  </si>
  <si>
    <t>61 to 70</t>
  </si>
  <si>
    <t>71 to 80</t>
  </si>
  <si>
    <t>81 to 90</t>
  </si>
  <si>
    <t>91 to 100</t>
  </si>
  <si>
    <t>Total</t>
  </si>
  <si>
    <t>% of Total</t>
  </si>
  <si>
    <t xml:space="preserve">ABC Category </t>
  </si>
  <si>
    <t>Frequency( High to low)</t>
  </si>
  <si>
    <t>A</t>
  </si>
  <si>
    <t>B</t>
  </si>
  <si>
    <t>C</t>
  </si>
  <si>
    <t>B Category: Moderate frequency bins (next 20%).</t>
  </si>
  <si>
    <t>C Category: Low-frequency bins may be edge cases, but they make up the smallest portion of the total count.</t>
  </si>
  <si>
    <t>Summary</t>
  </si>
  <si>
    <t xml:space="preserve"> A Category: The highest frequency focus bins, which make up about 66% of the total.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</si>
</sst>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[$$-409]* #,##0.00_);_([$$-409]* \(#,##0.00\);_([$$-409]* &quot;-&quot;??_);_(@_)"/>
    <numFmt numFmtId="165" formatCode="&quot;$&quot;#,##0.00"/>
  </numFmts>
  <fonts count="1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Calibri"/>
      <family val="2"/>
      <scheme val="minor"/>
    </font>
    <font>
      <b/>
      <sz val="13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BFBFBF"/>
        <bgColor rgb="FFBFBFBF"/>
      </patternFill>
    </fill>
    <fill>
      <patternFill patternType="solid">
        <fgColor rgb="FFF4B084"/>
        <bgColor rgb="FFF4B084"/>
      </patternFill>
    </fill>
    <fill>
      <patternFill patternType="solid">
        <fgColor theme="1" tint="0.499984740745262"/>
        <bgColor rgb="FFBFBFBF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8">
    <xf numFmtId="0" fontId="0" fillId="0" borderId="0" xfId="0"/>
    <xf numFmtId="43" fontId="0" fillId="0" borderId="0" xfId="1" applyFont="1"/>
    <xf numFmtId="44" fontId="0" fillId="0" borderId="0" xfId="0" applyNumberFormat="1"/>
    <xf numFmtId="43" fontId="0" fillId="0" borderId="0" xfId="0" applyNumberFormat="1"/>
    <xf numFmtId="0" fontId="0" fillId="2" borderId="0" xfId="0" applyFill="1"/>
    <xf numFmtId="43" fontId="0" fillId="2" borderId="0" xfId="1" applyFont="1" applyFill="1"/>
    <xf numFmtId="44" fontId="0" fillId="2" borderId="0" xfId="2" applyFont="1" applyFill="1"/>
    <xf numFmtId="44" fontId="0" fillId="0" borderId="0" xfId="2" applyFont="1" applyFill="1"/>
    <xf numFmtId="43" fontId="0" fillId="0" borderId="0" xfId="1" applyFont="1" applyFill="1"/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0" fillId="3" borderId="0" xfId="0" applyNumberFormat="1" applyFill="1"/>
    <xf numFmtId="0" fontId="0" fillId="3" borderId="0" xfId="0" applyFill="1"/>
    <xf numFmtId="2" fontId="0" fillId="0" borderId="0" xfId="0" applyNumberFormat="1"/>
    <xf numFmtId="0" fontId="0" fillId="4" borderId="0" xfId="0" applyFill="1"/>
    <xf numFmtId="2" fontId="0" fillId="3" borderId="0" xfId="0" applyNumberFormat="1" applyFill="1"/>
    <xf numFmtId="0" fontId="3" fillId="0" borderId="0" xfId="0" applyFont="1"/>
    <xf numFmtId="0" fontId="3" fillId="5" borderId="0" xfId="0" applyFont="1" applyFill="1"/>
    <xf numFmtId="0" fontId="3" fillId="3" borderId="0" xfId="0" applyFont="1" applyFill="1"/>
    <xf numFmtId="0" fontId="3" fillId="6" borderId="0" xfId="0" applyFont="1" applyFill="1"/>
    <xf numFmtId="0" fontId="3" fillId="7" borderId="0" xfId="0" applyFont="1" applyFill="1"/>
    <xf numFmtId="0" fontId="3" fillId="2" borderId="0" xfId="0" applyFont="1" applyFill="1"/>
    <xf numFmtId="43" fontId="0" fillId="2" borderId="0" xfId="0" applyNumberFormat="1" applyFill="1"/>
    <xf numFmtId="43" fontId="3" fillId="0" borderId="0" xfId="0" applyNumberFormat="1" applyFont="1"/>
    <xf numFmtId="44" fontId="3" fillId="0" borderId="0" xfId="0" applyNumberFormat="1" applyFont="1"/>
    <xf numFmtId="0" fontId="4" fillId="0" borderId="0" xfId="3"/>
    <xf numFmtId="0" fontId="5" fillId="0" borderId="9" xfId="3" applyFont="1" applyBorder="1"/>
    <xf numFmtId="0" fontId="5" fillId="0" borderId="0" xfId="3" applyFont="1"/>
    <xf numFmtId="0" fontId="6" fillId="0" borderId="0" xfId="3" applyFont="1"/>
    <xf numFmtId="0" fontId="4" fillId="0" borderId="9" xfId="3" applyBorder="1"/>
    <xf numFmtId="165" fontId="6" fillId="0" borderId="0" xfId="3" applyNumberFormat="1" applyFont="1"/>
    <xf numFmtId="0" fontId="6" fillId="0" borderId="0" xfId="3" applyFont="1" applyAlignment="1">
      <alignment horizontal="right"/>
    </xf>
    <xf numFmtId="0" fontId="6" fillId="9" borderId="0" xfId="3" applyFont="1" applyFill="1" applyAlignment="1">
      <alignment horizontal="right"/>
    </xf>
    <xf numFmtId="2" fontId="6" fillId="10" borderId="0" xfId="3" applyNumberFormat="1" applyFont="1" applyFill="1"/>
    <xf numFmtId="2" fontId="6" fillId="0" borderId="0" xfId="3" applyNumberFormat="1" applyFont="1"/>
    <xf numFmtId="165" fontId="6" fillId="0" borderId="0" xfId="3" applyNumberFormat="1" applyFont="1" applyAlignment="1">
      <alignment horizontal="center"/>
    </xf>
    <xf numFmtId="0" fontId="7" fillId="0" borderId="9" xfId="3" applyFont="1" applyBorder="1"/>
    <xf numFmtId="0" fontId="7" fillId="11" borderId="0" xfId="3" applyFont="1" applyFill="1"/>
    <xf numFmtId="44" fontId="6" fillId="0" borderId="0" xfId="2" applyFont="1"/>
    <xf numFmtId="165" fontId="5" fillId="3" borderId="9" xfId="3" applyNumberFormat="1" applyFont="1" applyFill="1" applyBorder="1"/>
    <xf numFmtId="0" fontId="5" fillId="3" borderId="9" xfId="3" applyFont="1" applyFill="1" applyBorder="1"/>
    <xf numFmtId="44" fontId="5" fillId="3" borderId="9" xfId="3" applyNumberFormat="1" applyFont="1" applyFill="1" applyBorder="1"/>
    <xf numFmtId="9" fontId="7" fillId="3" borderId="9" xfId="6" applyFont="1" applyFill="1" applyBorder="1"/>
    <xf numFmtId="0" fontId="7" fillId="5" borderId="9" xfId="3" applyFont="1" applyFill="1" applyBorder="1"/>
    <xf numFmtId="0" fontId="7" fillId="5" borderId="0" xfId="3" applyFont="1" applyFill="1"/>
    <xf numFmtId="0" fontId="7" fillId="12" borderId="0" xfId="3" applyFont="1" applyFill="1"/>
    <xf numFmtId="0" fontId="7" fillId="13" borderId="0" xfId="3" applyFont="1" applyFill="1"/>
    <xf numFmtId="165" fontId="5" fillId="0" borderId="9" xfId="3" applyNumberFormat="1" applyFont="1" applyBorder="1"/>
    <xf numFmtId="0" fontId="5" fillId="5" borderId="9" xfId="3" applyFont="1" applyFill="1" applyBorder="1"/>
    <xf numFmtId="0" fontId="5" fillId="13" borderId="9" xfId="3" applyFont="1" applyFill="1" applyBorder="1"/>
    <xf numFmtId="9" fontId="3" fillId="8" borderId="0" xfId="4" applyFont="1" applyFill="1"/>
    <xf numFmtId="44" fontId="5" fillId="3" borderId="9" xfId="2" applyFont="1" applyFill="1" applyBorder="1"/>
    <xf numFmtId="165" fontId="5" fillId="0" borderId="0" xfId="3" applyNumberFormat="1" applyFont="1"/>
    <xf numFmtId="0" fontId="7" fillId="0" borderId="0" xfId="3" applyFont="1"/>
    <xf numFmtId="165" fontId="7" fillId="0" borderId="0" xfId="3" applyNumberFormat="1" applyFont="1"/>
    <xf numFmtId="165" fontId="9" fillId="0" borderId="0" xfId="3" applyNumberFormat="1" applyFont="1"/>
    <xf numFmtId="165" fontId="6" fillId="0" borderId="0" xfId="3" applyNumberFormat="1" applyFont="1" applyAlignment="1">
      <alignment horizontal="right"/>
    </xf>
    <xf numFmtId="0" fontId="6" fillId="0" borderId="0" xfId="3" applyFont="1" applyAlignment="1">
      <alignment horizontal="center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6" fillId="2" borderId="0" xfId="3" applyFont="1" applyFill="1" applyAlignment="1">
      <alignment horizontal="right"/>
    </xf>
    <xf numFmtId="9" fontId="0" fillId="0" borderId="0" xfId="6" applyFont="1"/>
    <xf numFmtId="0" fontId="1" fillId="0" borderId="0" xfId="0" applyFont="1"/>
    <xf numFmtId="0" fontId="0" fillId="0" borderId="9" xfId="0" applyBorder="1"/>
    <xf numFmtId="0" fontId="0" fillId="13" borderId="9" xfId="0" applyFill="1" applyBorder="1"/>
    <xf numFmtId="0" fontId="0" fillId="0" borderId="9" xfId="0" applyBorder="1" applyAlignment="1">
      <alignment horizontal="center"/>
    </xf>
    <xf numFmtId="0" fontId="0" fillId="14" borderId="9" xfId="0" applyFill="1" applyBorder="1"/>
    <xf numFmtId="0" fontId="0" fillId="13" borderId="0" xfId="0" applyFill="1"/>
    <xf numFmtId="10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</cellXfs>
  <cellStyles count="7">
    <cellStyle name="Comma" xfId="1" builtinId="3"/>
    <cellStyle name="Currency" xfId="2" builtinId="4"/>
    <cellStyle name="Currency 2" xfId="5" xr:uid="{2E4F9BE1-9694-4BFF-9E53-BB77BFABEBB6}"/>
    <cellStyle name="Normal" xfId="0" builtinId="0"/>
    <cellStyle name="Normal 2" xfId="3" xr:uid="{D0EE98D0-B9F5-4984-9F0C-E486119E4FB4}"/>
    <cellStyle name="Percent" xfId="6" builtinId="5"/>
    <cellStyle name="Percent 2" xfId="4" xr:uid="{A27D61A0-549C-4D25-B485-E128C40A736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3849300087489065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'Solution(Macros)'!$O$1</c:f>
              <c:strCache>
                <c:ptCount val="1"/>
                <c:pt idx="0">
                  <c:v>Frequnency Bucket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'Solution(Macros)'!$N$2:$N$12</c:f>
              <c:strCache>
                <c:ptCount val="11"/>
                <c:pt idx="0">
                  <c:v>0</c:v>
                </c:pt>
                <c:pt idx="1">
                  <c:v>1 to 10</c:v>
                </c:pt>
                <c:pt idx="2">
                  <c:v>11 to 20</c:v>
                </c:pt>
                <c:pt idx="3">
                  <c:v>21 to 30</c:v>
                </c:pt>
                <c:pt idx="4">
                  <c:v>31 to 40</c:v>
                </c:pt>
                <c:pt idx="5">
                  <c:v>41 to 50</c:v>
                </c:pt>
                <c:pt idx="6">
                  <c:v>51 to 60</c:v>
                </c:pt>
                <c:pt idx="7">
                  <c:v>61 to 70</c:v>
                </c:pt>
                <c:pt idx="8">
                  <c:v>71 to 80</c:v>
                </c:pt>
                <c:pt idx="9">
                  <c:v>81 to 90</c:v>
                </c:pt>
                <c:pt idx="10">
                  <c:v>91 to 100</c:v>
                </c:pt>
              </c:strCache>
            </c:strRef>
          </c:cat>
          <c:val>
            <c:numRef>
              <c:f>'Solution(Macros)'!$O$2:$O$12</c:f>
              <c:numCache>
                <c:formatCode>General</c:formatCode>
                <c:ptCount val="11"/>
                <c:pt idx="0">
                  <c:v>6</c:v>
                </c:pt>
                <c:pt idx="1">
                  <c:v>54</c:v>
                </c:pt>
                <c:pt idx="2">
                  <c:v>60</c:v>
                </c:pt>
                <c:pt idx="3">
                  <c:v>62</c:v>
                </c:pt>
                <c:pt idx="4">
                  <c:v>45</c:v>
                </c:pt>
                <c:pt idx="5">
                  <c:v>48</c:v>
                </c:pt>
                <c:pt idx="6">
                  <c:v>49</c:v>
                </c:pt>
                <c:pt idx="7">
                  <c:v>40</c:v>
                </c:pt>
                <c:pt idx="8">
                  <c:v>34</c:v>
                </c:pt>
                <c:pt idx="9">
                  <c:v>10</c:v>
                </c:pt>
                <c:pt idx="1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A0-7A46-A456-386DD8943F8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259024288"/>
        <c:axId val="1258928832"/>
      </c:barChart>
      <c:catAx>
        <c:axId val="125902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8928832"/>
        <c:crosses val="autoZero"/>
        <c:auto val="1"/>
        <c:lblAlgn val="ctr"/>
        <c:lblOffset val="100"/>
        <c:noMultiLvlLbl val="0"/>
      </c:catAx>
      <c:valAx>
        <c:axId val="125892883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25902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 dir="row">_xlchart.v1.0</cx:f>
      </cx:numDim>
    </cx:data>
  </cx:chartData>
  <cx:chart>
    <cx:title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GB" sz="1800" b="1" i="0" u="none" strike="noStrike" baseline="0">
            <a:solidFill>
              <a:sysClr val="windowText" lastClr="000000">
                <a:lumMod val="75000"/>
                <a:lumOff val="25000"/>
              </a:sysClr>
            </a:solidFill>
            <a:latin typeface="Calibri" panose="020F0502020204030204"/>
          </a:endParaRPr>
        </a:p>
      </cx:txPr>
    </cx:title>
    <cx:plotArea>
      <cx:plotAreaRegion>
        <cx:series layoutId="clusteredColumn" uniqueId="{0ADE4449-AC59-0D46-88AC-70C422CF209C}" formatIdx="0">
          <cx:dataLabels pos="inEnd">
            <cx:visibility seriesName="0" categoryName="0" value="1"/>
          </cx:dataLabels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 hidden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 dir="row">_xlchart.v1.1</cx:f>
      </cx:numDim>
    </cx:data>
  </cx:chartData>
  <cx:chart>
    <cx:title pos="t" align="ctr" overlay="0">
      <cx:tx>
        <cx:txData>
          <cx:v> 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GB" sz="1800" b="1" i="0" u="none" strike="noStrike" baseline="0">
              <a:solidFill>
                <a:sysClr val="windowText" lastClr="000000">
                  <a:lumMod val="75000"/>
                  <a:lumOff val="25000"/>
                </a:sysClr>
              </a:solidFill>
              <a:latin typeface="Calibri" panose="020F0502020204030204"/>
            </a:rPr>
            <a:t> </a:t>
          </a:r>
        </a:p>
      </cx:txPr>
    </cx:title>
    <cx:plotArea>
      <cx:plotAreaRegion>
        <cx:series layoutId="clusteredColumn" uniqueId="{9505CE49-AB30-004F-96C8-8B3EBC5B0D75}">
          <cx:dataLabels pos="inEnd">
            <cx:visibility seriesName="0" categoryName="0" value="1"/>
          </cx:dataLabels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 hidden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dk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dk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10</xdr:row>
      <xdr:rowOff>114300</xdr:rowOff>
    </xdr:from>
    <xdr:to>
      <xdr:col>14</xdr:col>
      <xdr:colOff>1479550</xdr:colOff>
      <xdr:row>24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48C55DC0-E9C8-FDD9-0E5C-C4B4424C37A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415770" y="1981200"/>
              <a:ext cx="4178300" cy="25412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19050</xdr:colOff>
      <xdr:row>26</xdr:row>
      <xdr:rowOff>107950</xdr:rowOff>
    </xdr:from>
    <xdr:to>
      <xdr:col>14</xdr:col>
      <xdr:colOff>1492250</xdr:colOff>
      <xdr:row>41</xdr:row>
      <xdr:rowOff>127000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7E12626E-0DBE-395E-B7DE-D6620109866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428470" y="4939030"/>
              <a:ext cx="4163060" cy="2762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95250</xdr:colOff>
      <xdr:row>18</xdr:row>
      <xdr:rowOff>6350</xdr:rowOff>
    </xdr:from>
    <xdr:to>
      <xdr:col>18</xdr:col>
      <xdr:colOff>203200</xdr:colOff>
      <xdr:row>36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64F0C8D-F200-5560-C31D-064A54CB61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0454A-6721-4FDA-A435-49F5A350D371}">
  <sheetPr codeName="Sheet3">
    <outlinePr summaryBelow="0" summaryRight="0"/>
  </sheetPr>
  <dimension ref="A1:DL513"/>
  <sheetViews>
    <sheetView topLeftCell="F1" zoomScaleNormal="100" workbookViewId="0">
      <selection activeCell="Q2" sqref="Q2:Q417"/>
    </sheetView>
  </sheetViews>
  <sheetFormatPr defaultColWidth="12.6640625" defaultRowHeight="15.75" customHeight="1" x14ac:dyDescent="0.3"/>
  <cols>
    <col min="1" max="4" width="12.6640625" style="25"/>
    <col min="5" max="5" width="32.33203125" style="25" customWidth="1"/>
    <col min="6" max="6" width="12.6640625" style="25"/>
    <col min="7" max="7" width="27.109375" style="25" bestFit="1" customWidth="1"/>
    <col min="8" max="8" width="12.6640625" style="25"/>
    <col min="9" max="9" width="14.33203125" style="25" bestFit="1" customWidth="1"/>
    <col min="10" max="10" width="19.6640625" style="25" bestFit="1" customWidth="1"/>
    <col min="11" max="11" width="20.33203125" style="25" bestFit="1" customWidth="1"/>
    <col min="12" max="15" width="20.33203125" style="25" customWidth="1"/>
    <col min="16" max="16" width="20.33203125" style="25" bestFit="1" customWidth="1"/>
    <col min="17" max="17" width="12.109375" style="25" customWidth="1"/>
    <col min="18" max="21" width="12.6640625" style="25"/>
    <col min="22" max="22" width="13" style="25" customWidth="1"/>
    <col min="23" max="16384" width="12.6640625" style="25"/>
  </cols>
  <sheetData>
    <row r="1" spans="1:116" ht="14.4" x14ac:dyDescent="0.3">
      <c r="A1" s="44" t="s">
        <v>0</v>
      </c>
      <c r="B1" s="44" t="s">
        <v>1</v>
      </c>
      <c r="C1" s="44" t="s">
        <v>2</v>
      </c>
      <c r="D1" s="44" t="s">
        <v>4</v>
      </c>
      <c r="E1" s="37" t="s">
        <v>34</v>
      </c>
      <c r="F1" s="37" t="s">
        <v>5</v>
      </c>
      <c r="G1" s="37" t="s">
        <v>33</v>
      </c>
      <c r="H1" s="45" t="s">
        <v>19</v>
      </c>
      <c r="I1" s="37" t="s">
        <v>20</v>
      </c>
      <c r="J1" s="37" t="s">
        <v>131</v>
      </c>
      <c r="K1" s="46" t="s">
        <v>32</v>
      </c>
      <c r="L1" s="53"/>
      <c r="M1" s="53"/>
      <c r="N1" s="53"/>
      <c r="O1" s="53"/>
      <c r="Q1" s="43" t="s">
        <v>31</v>
      </c>
      <c r="R1" s="43" t="s">
        <v>30</v>
      </c>
      <c r="S1" s="43" t="s">
        <v>29</v>
      </c>
      <c r="T1" s="43" t="s">
        <v>28</v>
      </c>
      <c r="U1" s="43" t="s">
        <v>27</v>
      </c>
      <c r="V1" s="43" t="s">
        <v>35</v>
      </c>
      <c r="W1" s="43" t="s">
        <v>36</v>
      </c>
      <c r="X1" s="43" t="s">
        <v>37</v>
      </c>
      <c r="Y1" s="43" t="s">
        <v>38</v>
      </c>
      <c r="Z1" s="43" t="s">
        <v>39</v>
      </c>
      <c r="AA1" s="43" t="s">
        <v>40</v>
      </c>
      <c r="AB1" s="43" t="s">
        <v>41</v>
      </c>
      <c r="AC1" s="43" t="s">
        <v>42</v>
      </c>
      <c r="AD1" s="43" t="s">
        <v>43</v>
      </c>
      <c r="AE1" s="43" t="s">
        <v>44</v>
      </c>
      <c r="AF1" s="43" t="s">
        <v>45</v>
      </c>
      <c r="AG1" s="43" t="s">
        <v>46</v>
      </c>
      <c r="AH1" s="43" t="s">
        <v>47</v>
      </c>
      <c r="AI1" s="43" t="s">
        <v>48</v>
      </c>
      <c r="AJ1" s="43" t="s">
        <v>49</v>
      </c>
      <c r="AK1" s="43" t="s">
        <v>50</v>
      </c>
      <c r="AL1" s="43" t="s">
        <v>51</v>
      </c>
      <c r="AM1" s="43" t="s">
        <v>52</v>
      </c>
      <c r="AN1" s="43" t="s">
        <v>53</v>
      </c>
      <c r="AO1" s="43" t="s">
        <v>54</v>
      </c>
      <c r="AP1" s="43" t="s">
        <v>55</v>
      </c>
      <c r="AQ1" s="43" t="s">
        <v>56</v>
      </c>
      <c r="AR1" s="43" t="s">
        <v>57</v>
      </c>
      <c r="AS1" s="43" t="s">
        <v>58</v>
      </c>
      <c r="AT1" s="43" t="s">
        <v>59</v>
      </c>
      <c r="AU1" s="43" t="s">
        <v>60</v>
      </c>
      <c r="AV1" s="43" t="s">
        <v>61</v>
      </c>
      <c r="AW1" s="43" t="s">
        <v>62</v>
      </c>
      <c r="AX1" s="43" t="s">
        <v>63</v>
      </c>
      <c r="AY1" s="43" t="s">
        <v>64</v>
      </c>
      <c r="AZ1" s="43" t="s">
        <v>65</v>
      </c>
      <c r="BA1" s="43" t="s">
        <v>66</v>
      </c>
      <c r="BB1" s="43" t="s">
        <v>67</v>
      </c>
      <c r="BC1" s="43" t="s">
        <v>68</v>
      </c>
      <c r="BD1" s="43" t="s">
        <v>69</v>
      </c>
      <c r="BE1" s="43" t="s">
        <v>70</v>
      </c>
      <c r="BF1" s="43" t="s">
        <v>71</v>
      </c>
      <c r="BG1" s="43" t="s">
        <v>72</v>
      </c>
      <c r="BH1" s="43" t="s">
        <v>73</v>
      </c>
      <c r="BI1" s="43" t="s">
        <v>74</v>
      </c>
      <c r="BJ1" s="43" t="s">
        <v>75</v>
      </c>
      <c r="BK1" s="43" t="s">
        <v>76</v>
      </c>
      <c r="BL1" s="43" t="s">
        <v>77</v>
      </c>
      <c r="BM1" s="43" t="s">
        <v>78</v>
      </c>
      <c r="BN1" s="43" t="s">
        <v>79</v>
      </c>
      <c r="BO1" s="43" t="s">
        <v>80</v>
      </c>
      <c r="BP1" s="43" t="s">
        <v>81</v>
      </c>
      <c r="BQ1" s="43" t="s">
        <v>82</v>
      </c>
      <c r="BR1" s="43" t="s">
        <v>83</v>
      </c>
      <c r="BS1" s="43" t="s">
        <v>84</v>
      </c>
      <c r="BT1" s="43" t="s">
        <v>85</v>
      </c>
      <c r="BU1" s="43" t="s">
        <v>86</v>
      </c>
      <c r="BV1" s="43" t="s">
        <v>87</v>
      </c>
      <c r="BW1" s="43" t="s">
        <v>88</v>
      </c>
      <c r="BX1" s="43" t="s">
        <v>89</v>
      </c>
      <c r="BY1" s="43" t="s">
        <v>90</v>
      </c>
      <c r="BZ1" s="43" t="s">
        <v>91</v>
      </c>
      <c r="CA1" s="43" t="s">
        <v>92</v>
      </c>
      <c r="CB1" s="43" t="s">
        <v>93</v>
      </c>
      <c r="CC1" s="43" t="s">
        <v>94</v>
      </c>
      <c r="CD1" s="43" t="s">
        <v>95</v>
      </c>
      <c r="CE1" s="43" t="s">
        <v>96</v>
      </c>
      <c r="CF1" s="43" t="s">
        <v>97</v>
      </c>
      <c r="CG1" s="43" t="s">
        <v>98</v>
      </c>
      <c r="CH1" s="43" t="s">
        <v>99</v>
      </c>
      <c r="CI1" s="43" t="s">
        <v>100</v>
      </c>
      <c r="CJ1" s="43" t="s">
        <v>101</v>
      </c>
      <c r="CK1" s="43" t="s">
        <v>102</v>
      </c>
      <c r="CL1" s="43" t="s">
        <v>103</v>
      </c>
      <c r="CM1" s="43" t="s">
        <v>104</v>
      </c>
      <c r="CN1" s="43" t="s">
        <v>105</v>
      </c>
      <c r="CO1" s="43" t="s">
        <v>106</v>
      </c>
      <c r="CP1" s="43" t="s">
        <v>107</v>
      </c>
      <c r="CQ1" s="43" t="s">
        <v>108</v>
      </c>
      <c r="CR1" s="43" t="s">
        <v>109</v>
      </c>
      <c r="CS1" s="43" t="s">
        <v>110</v>
      </c>
      <c r="CT1" s="43" t="s">
        <v>111</v>
      </c>
      <c r="CU1" s="43" t="s">
        <v>112</v>
      </c>
      <c r="CV1" s="43" t="s">
        <v>113</v>
      </c>
      <c r="CW1" s="43" t="s">
        <v>114</v>
      </c>
      <c r="CX1" s="43" t="s">
        <v>115</v>
      </c>
      <c r="CY1" s="43" t="s">
        <v>116</v>
      </c>
      <c r="CZ1" s="43" t="s">
        <v>117</v>
      </c>
      <c r="DA1" s="43" t="s">
        <v>118</v>
      </c>
      <c r="DB1" s="43" t="s">
        <v>119</v>
      </c>
      <c r="DC1" s="43" t="s">
        <v>120</v>
      </c>
      <c r="DD1" s="43" t="s">
        <v>121</v>
      </c>
      <c r="DE1" s="43" t="s">
        <v>122</v>
      </c>
      <c r="DF1" s="43" t="s">
        <v>123</v>
      </c>
      <c r="DG1" s="43" t="s">
        <v>124</v>
      </c>
      <c r="DH1" s="43" t="s">
        <v>125</v>
      </c>
      <c r="DI1" s="43" t="s">
        <v>126</v>
      </c>
      <c r="DJ1" s="43" t="s">
        <v>127</v>
      </c>
      <c r="DK1" s="43" t="s">
        <v>128</v>
      </c>
      <c r="DL1" s="43" t="s">
        <v>129</v>
      </c>
    </row>
    <row r="2" spans="1:116" ht="14.4" x14ac:dyDescent="0.3">
      <c r="A2" s="31">
        <v>423</v>
      </c>
      <c r="B2" s="28">
        <v>0.34</v>
      </c>
      <c r="C2" s="30">
        <v>57.7</v>
      </c>
      <c r="D2" s="28">
        <v>2.9</v>
      </c>
      <c r="E2" s="34">
        <f t="shared" ref="E2:E65" si="0">D2/50</f>
        <v>5.7999999999999996E-2</v>
      </c>
      <c r="F2" s="35">
        <f t="shared" ref="F2:F65" si="1">0.25*C2</f>
        <v>14.425000000000001</v>
      </c>
      <c r="G2" s="34">
        <f t="shared" ref="G2:G65" si="2">25*D2</f>
        <v>72.5</v>
      </c>
      <c r="H2" s="33">
        <f>(G2-F2)/B2</f>
        <v>170.80882352941177</v>
      </c>
      <c r="I2" s="28">
        <f>B2</f>
        <v>0.34</v>
      </c>
      <c r="J2" s="32">
        <v>1</v>
      </c>
      <c r="K2" s="30">
        <f t="shared" ref="K2:K65" si="3">J2*F2+(1-J2)*G2</f>
        <v>14.425000000000001</v>
      </c>
      <c r="L2" s="30"/>
      <c r="M2" s="30"/>
      <c r="N2" s="30"/>
      <c r="Q2" s="29">
        <f t="shared" ref="Q2:Q65" ca="1" si="4">_xlfn.BINOM.INV(50,$E2,RAND())</f>
        <v>3</v>
      </c>
      <c r="R2" s="29">
        <f t="shared" ref="R2:CC5" ca="1" si="5">_xlfn.BINOM.INV(50,$E2,RAND())</f>
        <v>2</v>
      </c>
      <c r="S2" s="29">
        <f t="shared" ca="1" si="5"/>
        <v>4</v>
      </c>
      <c r="T2" s="29">
        <f t="shared" ca="1" si="5"/>
        <v>3</v>
      </c>
      <c r="U2" s="29">
        <f t="shared" ca="1" si="5"/>
        <v>3</v>
      </c>
      <c r="V2" s="29">
        <f t="shared" ca="1" si="5"/>
        <v>2</v>
      </c>
      <c r="W2" s="29">
        <f t="shared" ca="1" si="5"/>
        <v>4</v>
      </c>
      <c r="X2" s="29">
        <f t="shared" ca="1" si="5"/>
        <v>2</v>
      </c>
      <c r="Y2" s="29">
        <f t="shared" ca="1" si="5"/>
        <v>5</v>
      </c>
      <c r="Z2" s="29">
        <f t="shared" ca="1" si="5"/>
        <v>6</v>
      </c>
      <c r="AA2" s="29">
        <f t="shared" ca="1" si="5"/>
        <v>3</v>
      </c>
      <c r="AB2" s="29">
        <f t="shared" ca="1" si="5"/>
        <v>1</v>
      </c>
      <c r="AC2" s="29">
        <f t="shared" ca="1" si="5"/>
        <v>0</v>
      </c>
      <c r="AD2" s="29">
        <f t="shared" ca="1" si="5"/>
        <v>2</v>
      </c>
      <c r="AE2" s="29">
        <f t="shared" ca="1" si="5"/>
        <v>2</v>
      </c>
      <c r="AF2" s="29">
        <f t="shared" ca="1" si="5"/>
        <v>4</v>
      </c>
      <c r="AG2" s="29">
        <f t="shared" ca="1" si="5"/>
        <v>1</v>
      </c>
      <c r="AH2" s="29">
        <f t="shared" ca="1" si="5"/>
        <v>7</v>
      </c>
      <c r="AI2" s="29">
        <f t="shared" ca="1" si="5"/>
        <v>1</v>
      </c>
      <c r="AJ2" s="29">
        <f t="shared" ca="1" si="5"/>
        <v>4</v>
      </c>
      <c r="AK2" s="29">
        <f t="shared" ca="1" si="5"/>
        <v>1</v>
      </c>
      <c r="AL2" s="29">
        <f t="shared" ca="1" si="5"/>
        <v>2</v>
      </c>
      <c r="AM2" s="29">
        <f t="shared" ca="1" si="5"/>
        <v>4</v>
      </c>
      <c r="AN2" s="29">
        <f t="shared" ca="1" si="5"/>
        <v>4</v>
      </c>
      <c r="AO2" s="29">
        <f t="shared" ca="1" si="5"/>
        <v>5</v>
      </c>
      <c r="AP2" s="29">
        <f t="shared" ca="1" si="5"/>
        <v>1</v>
      </c>
      <c r="AQ2" s="29">
        <f t="shared" ca="1" si="5"/>
        <v>2</v>
      </c>
      <c r="AR2" s="29">
        <f t="shared" ca="1" si="5"/>
        <v>2</v>
      </c>
      <c r="AS2" s="29">
        <f t="shared" ca="1" si="5"/>
        <v>4</v>
      </c>
      <c r="AT2" s="29">
        <f t="shared" ca="1" si="5"/>
        <v>9</v>
      </c>
      <c r="AU2" s="29">
        <f t="shared" ca="1" si="5"/>
        <v>4</v>
      </c>
      <c r="AV2" s="29">
        <f t="shared" ca="1" si="5"/>
        <v>4</v>
      </c>
      <c r="AW2" s="29">
        <f t="shared" ca="1" si="5"/>
        <v>2</v>
      </c>
      <c r="AX2" s="29">
        <f t="shared" ca="1" si="5"/>
        <v>1</v>
      </c>
      <c r="AY2" s="29">
        <f t="shared" ca="1" si="5"/>
        <v>4</v>
      </c>
      <c r="AZ2" s="29">
        <f t="shared" ca="1" si="5"/>
        <v>2</v>
      </c>
      <c r="BA2" s="29">
        <f t="shared" ca="1" si="5"/>
        <v>2</v>
      </c>
      <c r="BB2" s="29">
        <f t="shared" ca="1" si="5"/>
        <v>2</v>
      </c>
      <c r="BC2" s="29">
        <f t="shared" ca="1" si="5"/>
        <v>7</v>
      </c>
      <c r="BD2" s="29">
        <f t="shared" ca="1" si="5"/>
        <v>1</v>
      </c>
      <c r="BE2" s="29">
        <f t="shared" ca="1" si="5"/>
        <v>0</v>
      </c>
      <c r="BF2" s="29">
        <f t="shared" ca="1" si="5"/>
        <v>5</v>
      </c>
      <c r="BG2" s="29">
        <f t="shared" ca="1" si="5"/>
        <v>5</v>
      </c>
      <c r="BH2" s="29">
        <f t="shared" ca="1" si="5"/>
        <v>4</v>
      </c>
      <c r="BI2" s="29">
        <f t="shared" ca="1" si="5"/>
        <v>4</v>
      </c>
      <c r="BJ2" s="29">
        <f t="shared" ca="1" si="5"/>
        <v>2</v>
      </c>
      <c r="BK2" s="29">
        <f t="shared" ca="1" si="5"/>
        <v>4</v>
      </c>
      <c r="BL2" s="29">
        <f t="shared" ca="1" si="5"/>
        <v>2</v>
      </c>
      <c r="BM2" s="29">
        <f t="shared" ca="1" si="5"/>
        <v>3</v>
      </c>
      <c r="BN2" s="29">
        <f t="shared" ca="1" si="5"/>
        <v>3</v>
      </c>
      <c r="BO2" s="29">
        <f t="shared" ca="1" si="5"/>
        <v>4</v>
      </c>
      <c r="BP2" s="29">
        <f t="shared" ca="1" si="5"/>
        <v>0</v>
      </c>
      <c r="BQ2" s="29">
        <f t="shared" ca="1" si="5"/>
        <v>4</v>
      </c>
      <c r="BR2" s="29">
        <f t="shared" ca="1" si="5"/>
        <v>1</v>
      </c>
      <c r="BS2" s="29">
        <f t="shared" ca="1" si="5"/>
        <v>1</v>
      </c>
      <c r="BT2" s="29">
        <f t="shared" ca="1" si="5"/>
        <v>3</v>
      </c>
      <c r="BU2" s="29">
        <f t="shared" ca="1" si="5"/>
        <v>2</v>
      </c>
      <c r="BV2" s="29">
        <f t="shared" ca="1" si="5"/>
        <v>2</v>
      </c>
      <c r="BW2" s="29">
        <f t="shared" ca="1" si="5"/>
        <v>2</v>
      </c>
      <c r="BX2" s="29">
        <f t="shared" ca="1" si="5"/>
        <v>2</v>
      </c>
      <c r="BY2" s="29">
        <f t="shared" ca="1" si="5"/>
        <v>1</v>
      </c>
      <c r="BZ2" s="29">
        <f t="shared" ca="1" si="5"/>
        <v>4</v>
      </c>
      <c r="CA2" s="29">
        <f t="shared" ca="1" si="5"/>
        <v>0</v>
      </c>
      <c r="CB2" s="29">
        <f t="shared" ca="1" si="5"/>
        <v>4</v>
      </c>
      <c r="CC2" s="29">
        <f t="shared" ca="1" si="5"/>
        <v>4</v>
      </c>
      <c r="CD2" s="29">
        <f t="shared" ref="CD2:DL9" ca="1" si="6">_xlfn.BINOM.INV(50,$E2,RAND())</f>
        <v>2</v>
      </c>
      <c r="CE2" s="29">
        <f t="shared" ca="1" si="6"/>
        <v>2</v>
      </c>
      <c r="CF2" s="29">
        <f t="shared" ca="1" si="6"/>
        <v>2</v>
      </c>
      <c r="CG2" s="29">
        <f t="shared" ca="1" si="6"/>
        <v>2</v>
      </c>
      <c r="CH2" s="29">
        <f t="shared" ca="1" si="6"/>
        <v>3</v>
      </c>
      <c r="CI2" s="29">
        <f t="shared" ca="1" si="6"/>
        <v>2</v>
      </c>
      <c r="CJ2" s="29">
        <f t="shared" ca="1" si="6"/>
        <v>4</v>
      </c>
      <c r="CK2" s="29">
        <f t="shared" ca="1" si="6"/>
        <v>2</v>
      </c>
      <c r="CL2" s="29">
        <f t="shared" ca="1" si="6"/>
        <v>4</v>
      </c>
      <c r="CM2" s="29">
        <f t="shared" ca="1" si="6"/>
        <v>4</v>
      </c>
      <c r="CN2" s="29">
        <f t="shared" ca="1" si="6"/>
        <v>4</v>
      </c>
      <c r="CO2" s="29">
        <f t="shared" ca="1" si="6"/>
        <v>4</v>
      </c>
      <c r="CP2" s="29">
        <f t="shared" ca="1" si="6"/>
        <v>1</v>
      </c>
      <c r="CQ2" s="29">
        <f t="shared" ca="1" si="6"/>
        <v>1</v>
      </c>
      <c r="CR2" s="29">
        <f t="shared" ca="1" si="6"/>
        <v>2</v>
      </c>
      <c r="CS2" s="29">
        <f t="shared" ca="1" si="6"/>
        <v>4</v>
      </c>
      <c r="CT2" s="29">
        <f t="shared" ca="1" si="6"/>
        <v>2</v>
      </c>
      <c r="CU2" s="29">
        <f t="shared" ca="1" si="6"/>
        <v>1</v>
      </c>
      <c r="CV2" s="29">
        <f t="shared" ca="1" si="6"/>
        <v>3</v>
      </c>
      <c r="CW2" s="29">
        <f t="shared" ca="1" si="6"/>
        <v>1</v>
      </c>
      <c r="CX2" s="29">
        <f t="shared" ca="1" si="6"/>
        <v>4</v>
      </c>
      <c r="CY2" s="29">
        <f t="shared" ca="1" si="6"/>
        <v>3</v>
      </c>
      <c r="CZ2" s="29">
        <f t="shared" ca="1" si="6"/>
        <v>2</v>
      </c>
      <c r="DA2" s="29">
        <f t="shared" ca="1" si="6"/>
        <v>1</v>
      </c>
      <c r="DB2" s="29">
        <f t="shared" ca="1" si="6"/>
        <v>2</v>
      </c>
      <c r="DC2" s="29">
        <f t="shared" ca="1" si="6"/>
        <v>3</v>
      </c>
      <c r="DD2" s="29">
        <f t="shared" ca="1" si="6"/>
        <v>4</v>
      </c>
      <c r="DE2" s="29">
        <f t="shared" ca="1" si="6"/>
        <v>4</v>
      </c>
      <c r="DF2" s="29">
        <f t="shared" ca="1" si="6"/>
        <v>3</v>
      </c>
      <c r="DG2" s="29">
        <f t="shared" ca="1" si="6"/>
        <v>3</v>
      </c>
      <c r="DH2" s="29">
        <f t="shared" ca="1" si="6"/>
        <v>2</v>
      </c>
      <c r="DI2" s="29">
        <f t="shared" ca="1" si="6"/>
        <v>5</v>
      </c>
      <c r="DJ2" s="29">
        <f t="shared" ca="1" si="6"/>
        <v>2</v>
      </c>
      <c r="DK2" s="29">
        <f t="shared" ca="1" si="6"/>
        <v>3</v>
      </c>
      <c r="DL2" s="29">
        <f t="shared" ca="1" si="6"/>
        <v>1</v>
      </c>
    </row>
    <row r="3" spans="1:116" ht="14.4" x14ac:dyDescent="0.3">
      <c r="A3" s="31">
        <v>86</v>
      </c>
      <c r="B3" s="28">
        <v>0.44</v>
      </c>
      <c r="C3" s="30">
        <v>78.180000000000007</v>
      </c>
      <c r="D3" s="28">
        <v>2.75</v>
      </c>
      <c r="E3" s="34">
        <f t="shared" si="0"/>
        <v>5.5E-2</v>
      </c>
      <c r="F3" s="35">
        <f t="shared" si="1"/>
        <v>19.545000000000002</v>
      </c>
      <c r="G3" s="34">
        <f t="shared" si="2"/>
        <v>68.75</v>
      </c>
      <c r="H3" s="33">
        <f t="shared" ref="H3:H65" si="7">(G3-F3)/B3</f>
        <v>111.82954545454545</v>
      </c>
      <c r="I3" s="28">
        <f>B3+I2</f>
        <v>0.78</v>
      </c>
      <c r="J3" s="32">
        <v>1</v>
      </c>
      <c r="K3" s="30">
        <f t="shared" si="3"/>
        <v>19.545000000000002</v>
      </c>
      <c r="L3" s="26" t="s">
        <v>133</v>
      </c>
      <c r="M3" s="39">
        <f>SUM(K2:K417)</f>
        <v>11718.289999999999</v>
      </c>
      <c r="N3" s="52"/>
      <c r="O3" s="48" t="s">
        <v>134</v>
      </c>
      <c r="Q3" s="29">
        <f t="shared" ca="1" si="4"/>
        <v>3</v>
      </c>
      <c r="R3" s="29">
        <f t="shared" ca="1" si="5"/>
        <v>1</v>
      </c>
      <c r="S3" s="29">
        <f t="shared" ca="1" si="5"/>
        <v>3</v>
      </c>
      <c r="T3" s="29">
        <f t="shared" ca="1" si="5"/>
        <v>2</v>
      </c>
      <c r="U3" s="29">
        <f t="shared" ca="1" si="5"/>
        <v>1</v>
      </c>
      <c r="V3" s="29">
        <f t="shared" ca="1" si="5"/>
        <v>3</v>
      </c>
      <c r="W3" s="29">
        <f t="shared" ca="1" si="5"/>
        <v>6</v>
      </c>
      <c r="X3" s="29">
        <f t="shared" ca="1" si="5"/>
        <v>4</v>
      </c>
      <c r="Y3" s="29">
        <f t="shared" ca="1" si="5"/>
        <v>4</v>
      </c>
      <c r="Z3" s="29">
        <f t="shared" ca="1" si="5"/>
        <v>2</v>
      </c>
      <c r="AA3" s="29">
        <f t="shared" ca="1" si="5"/>
        <v>1</v>
      </c>
      <c r="AB3" s="29">
        <f t="shared" ca="1" si="5"/>
        <v>3</v>
      </c>
      <c r="AC3" s="29">
        <f t="shared" ca="1" si="5"/>
        <v>3</v>
      </c>
      <c r="AD3" s="29">
        <f t="shared" ca="1" si="5"/>
        <v>4</v>
      </c>
      <c r="AE3" s="29">
        <f t="shared" ca="1" si="5"/>
        <v>3</v>
      </c>
      <c r="AF3" s="29">
        <f t="shared" ca="1" si="5"/>
        <v>3</v>
      </c>
      <c r="AG3" s="29">
        <f t="shared" ca="1" si="5"/>
        <v>3</v>
      </c>
      <c r="AH3" s="29">
        <f t="shared" ca="1" si="5"/>
        <v>2</v>
      </c>
      <c r="AI3" s="29">
        <f t="shared" ca="1" si="5"/>
        <v>0</v>
      </c>
      <c r="AJ3" s="29">
        <f t="shared" ca="1" si="5"/>
        <v>2</v>
      </c>
      <c r="AK3" s="29">
        <f t="shared" ca="1" si="5"/>
        <v>3</v>
      </c>
      <c r="AL3" s="29">
        <f t="shared" ca="1" si="5"/>
        <v>5</v>
      </c>
      <c r="AM3" s="29">
        <f t="shared" ca="1" si="5"/>
        <v>5</v>
      </c>
      <c r="AN3" s="29">
        <f t="shared" ca="1" si="5"/>
        <v>5</v>
      </c>
      <c r="AO3" s="29">
        <f t="shared" ca="1" si="5"/>
        <v>1</v>
      </c>
      <c r="AP3" s="29">
        <f t="shared" ca="1" si="5"/>
        <v>2</v>
      </c>
      <c r="AQ3" s="29">
        <f t="shared" ca="1" si="5"/>
        <v>1</v>
      </c>
      <c r="AR3" s="29">
        <f t="shared" ca="1" si="5"/>
        <v>3</v>
      </c>
      <c r="AS3" s="29">
        <f t="shared" ca="1" si="5"/>
        <v>2</v>
      </c>
      <c r="AT3" s="29">
        <f t="shared" ca="1" si="5"/>
        <v>2</v>
      </c>
      <c r="AU3" s="29">
        <f t="shared" ca="1" si="5"/>
        <v>3</v>
      </c>
      <c r="AV3" s="29">
        <f t="shared" ca="1" si="5"/>
        <v>4</v>
      </c>
      <c r="AW3" s="29">
        <f t="shared" ca="1" si="5"/>
        <v>3</v>
      </c>
      <c r="AX3" s="29">
        <f t="shared" ca="1" si="5"/>
        <v>3</v>
      </c>
      <c r="AY3" s="29">
        <f t="shared" ca="1" si="5"/>
        <v>4</v>
      </c>
      <c r="AZ3" s="29">
        <f t="shared" ca="1" si="5"/>
        <v>1</v>
      </c>
      <c r="BA3" s="29">
        <f t="shared" ca="1" si="5"/>
        <v>0</v>
      </c>
      <c r="BB3" s="29">
        <f t="shared" ca="1" si="5"/>
        <v>4</v>
      </c>
      <c r="BC3" s="29">
        <f t="shared" ca="1" si="5"/>
        <v>5</v>
      </c>
      <c r="BD3" s="29">
        <f t="shared" ca="1" si="5"/>
        <v>1</v>
      </c>
      <c r="BE3" s="29">
        <f t="shared" ca="1" si="5"/>
        <v>4</v>
      </c>
      <c r="BF3" s="29">
        <f t="shared" ca="1" si="5"/>
        <v>1</v>
      </c>
      <c r="BG3" s="29">
        <f t="shared" ca="1" si="5"/>
        <v>4</v>
      </c>
      <c r="BH3" s="29">
        <f t="shared" ca="1" si="5"/>
        <v>4</v>
      </c>
      <c r="BI3" s="29">
        <f t="shared" ca="1" si="5"/>
        <v>8</v>
      </c>
      <c r="BJ3" s="29">
        <f t="shared" ca="1" si="5"/>
        <v>1</v>
      </c>
      <c r="BK3" s="29">
        <f t="shared" ca="1" si="5"/>
        <v>3</v>
      </c>
      <c r="BL3" s="29">
        <f t="shared" ca="1" si="5"/>
        <v>0</v>
      </c>
      <c r="BM3" s="29">
        <f t="shared" ca="1" si="5"/>
        <v>6</v>
      </c>
      <c r="BN3" s="29">
        <f t="shared" ca="1" si="5"/>
        <v>0</v>
      </c>
      <c r="BO3" s="29">
        <f t="shared" ca="1" si="5"/>
        <v>3</v>
      </c>
      <c r="BP3" s="29">
        <f t="shared" ca="1" si="5"/>
        <v>2</v>
      </c>
      <c r="BQ3" s="29">
        <f t="shared" ca="1" si="5"/>
        <v>2</v>
      </c>
      <c r="BR3" s="29">
        <f t="shared" ca="1" si="5"/>
        <v>2</v>
      </c>
      <c r="BS3" s="29">
        <f t="shared" ca="1" si="5"/>
        <v>0</v>
      </c>
      <c r="BT3" s="29">
        <f t="shared" ca="1" si="5"/>
        <v>2</v>
      </c>
      <c r="BU3" s="29">
        <f t="shared" ca="1" si="5"/>
        <v>3</v>
      </c>
      <c r="BV3" s="29">
        <f t="shared" ca="1" si="5"/>
        <v>2</v>
      </c>
      <c r="BW3" s="29">
        <f t="shared" ca="1" si="5"/>
        <v>4</v>
      </c>
      <c r="BX3" s="29">
        <f t="shared" ca="1" si="5"/>
        <v>4</v>
      </c>
      <c r="BY3" s="29">
        <f t="shared" ca="1" si="5"/>
        <v>4</v>
      </c>
      <c r="BZ3" s="29">
        <f t="shared" ca="1" si="5"/>
        <v>2</v>
      </c>
      <c r="CA3" s="29">
        <f t="shared" ca="1" si="5"/>
        <v>2</v>
      </c>
      <c r="CB3" s="29">
        <f t="shared" ca="1" si="5"/>
        <v>0</v>
      </c>
      <c r="CC3" s="29">
        <f t="shared" ca="1" si="5"/>
        <v>2</v>
      </c>
      <c r="CD3" s="29">
        <f t="shared" ca="1" si="6"/>
        <v>2</v>
      </c>
      <c r="CE3" s="29">
        <f t="shared" ca="1" si="6"/>
        <v>1</v>
      </c>
      <c r="CF3" s="29">
        <f t="shared" ca="1" si="6"/>
        <v>2</v>
      </c>
      <c r="CG3" s="29">
        <f t="shared" ca="1" si="6"/>
        <v>1</v>
      </c>
      <c r="CH3" s="29">
        <f t="shared" ca="1" si="6"/>
        <v>1</v>
      </c>
      <c r="CI3" s="29">
        <f t="shared" ca="1" si="6"/>
        <v>1</v>
      </c>
      <c r="CJ3" s="29">
        <f t="shared" ca="1" si="6"/>
        <v>2</v>
      </c>
      <c r="CK3" s="29">
        <f t="shared" ca="1" si="6"/>
        <v>4</v>
      </c>
      <c r="CL3" s="29">
        <f t="shared" ca="1" si="6"/>
        <v>2</v>
      </c>
      <c r="CM3" s="29">
        <f t="shared" ca="1" si="6"/>
        <v>1</v>
      </c>
      <c r="CN3" s="29">
        <f t="shared" ca="1" si="6"/>
        <v>3</v>
      </c>
      <c r="CO3" s="29">
        <f t="shared" ca="1" si="6"/>
        <v>0</v>
      </c>
      <c r="CP3" s="29">
        <f t="shared" ca="1" si="6"/>
        <v>3</v>
      </c>
      <c r="CQ3" s="29">
        <f t="shared" ca="1" si="6"/>
        <v>3</v>
      </c>
      <c r="CR3" s="29">
        <f t="shared" ca="1" si="6"/>
        <v>1</v>
      </c>
      <c r="CS3" s="29">
        <f t="shared" ca="1" si="6"/>
        <v>3</v>
      </c>
      <c r="CT3" s="29">
        <f t="shared" ca="1" si="6"/>
        <v>5</v>
      </c>
      <c r="CU3" s="29">
        <f t="shared" ca="1" si="6"/>
        <v>3</v>
      </c>
      <c r="CV3" s="29">
        <f t="shared" ca="1" si="6"/>
        <v>3</v>
      </c>
      <c r="CW3" s="29">
        <f t="shared" ca="1" si="6"/>
        <v>3</v>
      </c>
      <c r="CX3" s="29">
        <f t="shared" ca="1" si="6"/>
        <v>1</v>
      </c>
      <c r="CY3" s="29">
        <f t="shared" ca="1" si="6"/>
        <v>2</v>
      </c>
      <c r="CZ3" s="29">
        <f t="shared" ca="1" si="6"/>
        <v>1</v>
      </c>
      <c r="DA3" s="29">
        <f t="shared" ca="1" si="6"/>
        <v>5</v>
      </c>
      <c r="DB3" s="29">
        <f t="shared" ca="1" si="6"/>
        <v>6</v>
      </c>
      <c r="DC3" s="29">
        <f t="shared" ca="1" si="6"/>
        <v>2</v>
      </c>
      <c r="DD3" s="29">
        <f t="shared" ca="1" si="6"/>
        <v>1</v>
      </c>
      <c r="DE3" s="29">
        <f t="shared" ca="1" si="6"/>
        <v>1</v>
      </c>
      <c r="DF3" s="29">
        <f t="shared" ca="1" si="6"/>
        <v>3</v>
      </c>
      <c r="DG3" s="29">
        <f t="shared" ca="1" si="6"/>
        <v>2</v>
      </c>
      <c r="DH3" s="29">
        <f t="shared" ca="1" si="6"/>
        <v>0</v>
      </c>
      <c r="DI3" s="29">
        <f t="shared" ca="1" si="6"/>
        <v>4</v>
      </c>
      <c r="DJ3" s="29">
        <f t="shared" ca="1" si="6"/>
        <v>3</v>
      </c>
      <c r="DK3" s="29">
        <f t="shared" ca="1" si="6"/>
        <v>4</v>
      </c>
      <c r="DL3" s="29">
        <f t="shared" ca="1" si="6"/>
        <v>5</v>
      </c>
    </row>
    <row r="4" spans="1:116" ht="14.4" x14ac:dyDescent="0.3">
      <c r="A4" s="31">
        <v>170</v>
      </c>
      <c r="B4" s="28">
        <v>0.56000000000000005</v>
      </c>
      <c r="C4" s="30">
        <v>84.3</v>
      </c>
      <c r="D4" s="28">
        <v>2.65</v>
      </c>
      <c r="E4" s="34">
        <f t="shared" si="0"/>
        <v>5.2999999999999999E-2</v>
      </c>
      <c r="F4" s="35">
        <f t="shared" si="1"/>
        <v>21.074999999999999</v>
      </c>
      <c r="G4" s="34">
        <f t="shared" si="2"/>
        <v>66.25</v>
      </c>
      <c r="H4" s="33">
        <f t="shared" si="7"/>
        <v>80.669642857142847</v>
      </c>
      <c r="I4" s="28">
        <f t="shared" ref="I4:I67" si="8">B4+I3</f>
        <v>1.34</v>
      </c>
      <c r="J4" s="32">
        <v>1</v>
      </c>
      <c r="K4" s="30">
        <f t="shared" si="3"/>
        <v>21.074999999999999</v>
      </c>
      <c r="L4" s="29"/>
      <c r="M4" s="47"/>
      <c r="N4" s="52"/>
      <c r="O4" s="26" t="s">
        <v>136</v>
      </c>
      <c r="P4" s="51">
        <f ca="1">MIN(Q419:DL419)</f>
        <v>10215.039999999999</v>
      </c>
      <c r="Q4" s="29">
        <f t="shared" ca="1" si="4"/>
        <v>1</v>
      </c>
      <c r="R4" s="29">
        <f t="shared" ca="1" si="5"/>
        <v>3</v>
      </c>
      <c r="S4" s="29">
        <f t="shared" ca="1" si="5"/>
        <v>2</v>
      </c>
      <c r="T4" s="29">
        <f t="shared" ca="1" si="5"/>
        <v>4</v>
      </c>
      <c r="U4" s="29">
        <f t="shared" ca="1" si="5"/>
        <v>4</v>
      </c>
      <c r="V4" s="29">
        <f t="shared" ca="1" si="5"/>
        <v>2</v>
      </c>
      <c r="W4" s="29">
        <f t="shared" ca="1" si="5"/>
        <v>2</v>
      </c>
      <c r="X4" s="29">
        <f t="shared" ca="1" si="5"/>
        <v>1</v>
      </c>
      <c r="Y4" s="29">
        <f t="shared" ca="1" si="5"/>
        <v>4</v>
      </c>
      <c r="Z4" s="29">
        <f t="shared" ca="1" si="5"/>
        <v>2</v>
      </c>
      <c r="AA4" s="29">
        <f t="shared" ca="1" si="5"/>
        <v>3</v>
      </c>
      <c r="AB4" s="29">
        <f t="shared" ca="1" si="5"/>
        <v>1</v>
      </c>
      <c r="AC4" s="29">
        <f t="shared" ca="1" si="5"/>
        <v>1</v>
      </c>
      <c r="AD4" s="29">
        <f t="shared" ca="1" si="5"/>
        <v>3</v>
      </c>
      <c r="AE4" s="29">
        <f t="shared" ca="1" si="5"/>
        <v>2</v>
      </c>
      <c r="AF4" s="29">
        <f t="shared" ca="1" si="5"/>
        <v>3</v>
      </c>
      <c r="AG4" s="29">
        <f t="shared" ca="1" si="5"/>
        <v>0</v>
      </c>
      <c r="AH4" s="29">
        <f t="shared" ca="1" si="5"/>
        <v>2</v>
      </c>
      <c r="AI4" s="29">
        <f t="shared" ca="1" si="5"/>
        <v>4</v>
      </c>
      <c r="AJ4" s="29">
        <f t="shared" ca="1" si="5"/>
        <v>3</v>
      </c>
      <c r="AK4" s="29">
        <f t="shared" ca="1" si="5"/>
        <v>2</v>
      </c>
      <c r="AL4" s="29">
        <f t="shared" ca="1" si="5"/>
        <v>5</v>
      </c>
      <c r="AM4" s="29">
        <f t="shared" ca="1" si="5"/>
        <v>3</v>
      </c>
      <c r="AN4" s="29">
        <f t="shared" ca="1" si="5"/>
        <v>4</v>
      </c>
      <c r="AO4" s="29">
        <f t="shared" ca="1" si="5"/>
        <v>1</v>
      </c>
      <c r="AP4" s="29">
        <f t="shared" ca="1" si="5"/>
        <v>1</v>
      </c>
      <c r="AQ4" s="29">
        <f t="shared" ca="1" si="5"/>
        <v>5</v>
      </c>
      <c r="AR4" s="29">
        <f t="shared" ca="1" si="5"/>
        <v>3</v>
      </c>
      <c r="AS4" s="29">
        <f t="shared" ca="1" si="5"/>
        <v>4</v>
      </c>
      <c r="AT4" s="29">
        <f t="shared" ca="1" si="5"/>
        <v>2</v>
      </c>
      <c r="AU4" s="29">
        <f t="shared" ca="1" si="5"/>
        <v>3</v>
      </c>
      <c r="AV4" s="29">
        <f t="shared" ca="1" si="5"/>
        <v>2</v>
      </c>
      <c r="AW4" s="29">
        <f t="shared" ca="1" si="5"/>
        <v>3</v>
      </c>
      <c r="AX4" s="29">
        <f t="shared" ca="1" si="5"/>
        <v>1</v>
      </c>
      <c r="AY4" s="29">
        <f t="shared" ca="1" si="5"/>
        <v>3</v>
      </c>
      <c r="AZ4" s="29">
        <f t="shared" ca="1" si="5"/>
        <v>2</v>
      </c>
      <c r="BA4" s="29">
        <f t="shared" ca="1" si="5"/>
        <v>1</v>
      </c>
      <c r="BB4" s="29">
        <f t="shared" ca="1" si="5"/>
        <v>1</v>
      </c>
      <c r="BC4" s="29">
        <f t="shared" ca="1" si="5"/>
        <v>4</v>
      </c>
      <c r="BD4" s="29">
        <f t="shared" ca="1" si="5"/>
        <v>6</v>
      </c>
      <c r="BE4" s="29">
        <f t="shared" ca="1" si="5"/>
        <v>3</v>
      </c>
      <c r="BF4" s="29">
        <f t="shared" ca="1" si="5"/>
        <v>3</v>
      </c>
      <c r="BG4" s="29">
        <f t="shared" ca="1" si="5"/>
        <v>2</v>
      </c>
      <c r="BH4" s="29">
        <f t="shared" ca="1" si="5"/>
        <v>1</v>
      </c>
      <c r="BI4" s="29">
        <f t="shared" ca="1" si="5"/>
        <v>3</v>
      </c>
      <c r="BJ4" s="29">
        <f t="shared" ca="1" si="5"/>
        <v>1</v>
      </c>
      <c r="BK4" s="29">
        <f t="shared" ca="1" si="5"/>
        <v>3</v>
      </c>
      <c r="BL4" s="29">
        <f t="shared" ca="1" si="5"/>
        <v>1</v>
      </c>
      <c r="BM4" s="29">
        <f t="shared" ca="1" si="5"/>
        <v>3</v>
      </c>
      <c r="BN4" s="29">
        <f t="shared" ca="1" si="5"/>
        <v>1</v>
      </c>
      <c r="BO4" s="29">
        <f t="shared" ca="1" si="5"/>
        <v>3</v>
      </c>
      <c r="BP4" s="29">
        <f t="shared" ca="1" si="5"/>
        <v>3</v>
      </c>
      <c r="BQ4" s="29">
        <f t="shared" ca="1" si="5"/>
        <v>5</v>
      </c>
      <c r="BR4" s="29">
        <f t="shared" ca="1" si="5"/>
        <v>7</v>
      </c>
      <c r="BS4" s="29">
        <f t="shared" ca="1" si="5"/>
        <v>3</v>
      </c>
      <c r="BT4" s="29">
        <f t="shared" ca="1" si="5"/>
        <v>5</v>
      </c>
      <c r="BU4" s="29">
        <f t="shared" ca="1" si="5"/>
        <v>2</v>
      </c>
      <c r="BV4" s="29">
        <f t="shared" ca="1" si="5"/>
        <v>3</v>
      </c>
      <c r="BW4" s="29">
        <f t="shared" ca="1" si="5"/>
        <v>4</v>
      </c>
      <c r="BX4" s="29">
        <f t="shared" ca="1" si="5"/>
        <v>5</v>
      </c>
      <c r="BY4" s="29">
        <f t="shared" ca="1" si="5"/>
        <v>2</v>
      </c>
      <c r="BZ4" s="29">
        <f t="shared" ca="1" si="5"/>
        <v>0</v>
      </c>
      <c r="CA4" s="29">
        <f t="shared" ca="1" si="5"/>
        <v>8</v>
      </c>
      <c r="CB4" s="29">
        <f t="shared" ca="1" si="5"/>
        <v>4</v>
      </c>
      <c r="CC4" s="29">
        <f t="shared" ca="1" si="5"/>
        <v>1</v>
      </c>
      <c r="CD4" s="29">
        <f t="shared" ca="1" si="6"/>
        <v>1</v>
      </c>
      <c r="CE4" s="29">
        <f t="shared" ca="1" si="6"/>
        <v>5</v>
      </c>
      <c r="CF4" s="29">
        <f t="shared" ca="1" si="6"/>
        <v>6</v>
      </c>
      <c r="CG4" s="29">
        <f t="shared" ca="1" si="6"/>
        <v>0</v>
      </c>
      <c r="CH4" s="29">
        <f t="shared" ca="1" si="6"/>
        <v>1</v>
      </c>
      <c r="CI4" s="29">
        <f t="shared" ca="1" si="6"/>
        <v>4</v>
      </c>
      <c r="CJ4" s="29">
        <f t="shared" ca="1" si="6"/>
        <v>5</v>
      </c>
      <c r="CK4" s="29">
        <f t="shared" ca="1" si="6"/>
        <v>0</v>
      </c>
      <c r="CL4" s="29">
        <f t="shared" ca="1" si="6"/>
        <v>5</v>
      </c>
      <c r="CM4" s="29">
        <f t="shared" ca="1" si="6"/>
        <v>1</v>
      </c>
      <c r="CN4" s="29">
        <f t="shared" ca="1" si="6"/>
        <v>3</v>
      </c>
      <c r="CO4" s="29">
        <f t="shared" ca="1" si="6"/>
        <v>3</v>
      </c>
      <c r="CP4" s="29">
        <f t="shared" ca="1" si="6"/>
        <v>2</v>
      </c>
      <c r="CQ4" s="29">
        <f t="shared" ca="1" si="6"/>
        <v>4</v>
      </c>
      <c r="CR4" s="29">
        <f t="shared" ca="1" si="6"/>
        <v>5</v>
      </c>
      <c r="CS4" s="29">
        <f t="shared" ca="1" si="6"/>
        <v>2</v>
      </c>
      <c r="CT4" s="29">
        <f t="shared" ca="1" si="6"/>
        <v>5</v>
      </c>
      <c r="CU4" s="29">
        <f t="shared" ca="1" si="6"/>
        <v>3</v>
      </c>
      <c r="CV4" s="29">
        <f t="shared" ca="1" si="6"/>
        <v>1</v>
      </c>
      <c r="CW4" s="29">
        <f t="shared" ca="1" si="6"/>
        <v>2</v>
      </c>
      <c r="CX4" s="29">
        <f t="shared" ca="1" si="6"/>
        <v>1</v>
      </c>
      <c r="CY4" s="29">
        <f t="shared" ca="1" si="6"/>
        <v>1</v>
      </c>
      <c r="CZ4" s="29">
        <f t="shared" ca="1" si="6"/>
        <v>3</v>
      </c>
      <c r="DA4" s="29">
        <f t="shared" ca="1" si="6"/>
        <v>2</v>
      </c>
      <c r="DB4" s="29">
        <f t="shared" ca="1" si="6"/>
        <v>0</v>
      </c>
      <c r="DC4" s="29">
        <f t="shared" ca="1" si="6"/>
        <v>5</v>
      </c>
      <c r="DD4" s="29">
        <f t="shared" ca="1" si="6"/>
        <v>3</v>
      </c>
      <c r="DE4" s="29">
        <f t="shared" ca="1" si="6"/>
        <v>1</v>
      </c>
      <c r="DF4" s="29">
        <f t="shared" ca="1" si="6"/>
        <v>1</v>
      </c>
      <c r="DG4" s="29">
        <f t="shared" ca="1" si="6"/>
        <v>1</v>
      </c>
      <c r="DH4" s="29">
        <f t="shared" ca="1" si="6"/>
        <v>7</v>
      </c>
      <c r="DI4" s="29">
        <f t="shared" ca="1" si="6"/>
        <v>2</v>
      </c>
      <c r="DJ4" s="29">
        <f t="shared" ca="1" si="6"/>
        <v>3</v>
      </c>
      <c r="DK4" s="29">
        <f t="shared" ca="1" si="6"/>
        <v>3</v>
      </c>
      <c r="DL4" s="29">
        <f t="shared" ca="1" si="6"/>
        <v>3</v>
      </c>
    </row>
    <row r="5" spans="1:116" ht="14.4" x14ac:dyDescent="0.3">
      <c r="A5" s="31">
        <v>570</v>
      </c>
      <c r="B5" s="28">
        <v>0.56000000000000005</v>
      </c>
      <c r="C5" s="30">
        <v>64.569999999999993</v>
      </c>
      <c r="D5" s="28">
        <v>2.39</v>
      </c>
      <c r="E5" s="34">
        <f t="shared" si="0"/>
        <v>4.7800000000000002E-2</v>
      </c>
      <c r="F5" s="35">
        <f t="shared" si="1"/>
        <v>16.142499999999998</v>
      </c>
      <c r="G5" s="34">
        <f t="shared" si="2"/>
        <v>59.75</v>
      </c>
      <c r="H5" s="33">
        <f t="shared" si="7"/>
        <v>77.870535714285708</v>
      </c>
      <c r="I5" s="28">
        <f t="shared" si="8"/>
        <v>1.9000000000000001</v>
      </c>
      <c r="J5" s="32">
        <v>1</v>
      </c>
      <c r="K5" s="30">
        <f t="shared" si="3"/>
        <v>16.142499999999998</v>
      </c>
      <c r="L5" s="26" t="s">
        <v>132</v>
      </c>
      <c r="M5" s="40">
        <f>SUMPRODUCT(J2:J417,B2:B417)</f>
        <v>497.51000000000022</v>
      </c>
      <c r="N5" s="27"/>
      <c r="O5" s="26" t="s">
        <v>130</v>
      </c>
      <c r="P5" s="41">
        <f ca="1">AVERAGE(Q419:DL419)</f>
        <v>11703.290000000015</v>
      </c>
      <c r="Q5" s="29">
        <f t="shared" ca="1" si="4"/>
        <v>3</v>
      </c>
      <c r="R5" s="29">
        <f t="shared" ca="1" si="5"/>
        <v>4</v>
      </c>
      <c r="S5" s="29">
        <f t="shared" ca="1" si="5"/>
        <v>0</v>
      </c>
      <c r="T5" s="29">
        <f t="shared" ca="1" si="5"/>
        <v>4</v>
      </c>
      <c r="U5" s="29">
        <f t="shared" ca="1" si="5"/>
        <v>2</v>
      </c>
      <c r="V5" s="29">
        <f t="shared" ca="1" si="5"/>
        <v>3</v>
      </c>
      <c r="W5" s="29">
        <f t="shared" ca="1" si="5"/>
        <v>3</v>
      </c>
      <c r="X5" s="29">
        <f t="shared" ca="1" si="5"/>
        <v>2</v>
      </c>
      <c r="Y5" s="29">
        <f t="shared" ca="1" si="5"/>
        <v>1</v>
      </c>
      <c r="Z5" s="29">
        <f t="shared" ca="1" si="5"/>
        <v>1</v>
      </c>
      <c r="AA5" s="29">
        <f t="shared" ca="1" si="5"/>
        <v>2</v>
      </c>
      <c r="AB5" s="29">
        <f t="shared" ca="1" si="5"/>
        <v>1</v>
      </c>
      <c r="AC5" s="29">
        <f t="shared" ca="1" si="5"/>
        <v>4</v>
      </c>
      <c r="AD5" s="29">
        <f t="shared" ca="1" si="5"/>
        <v>1</v>
      </c>
      <c r="AE5" s="29">
        <f t="shared" ca="1" si="5"/>
        <v>2</v>
      </c>
      <c r="AF5" s="29">
        <f t="shared" ca="1" si="5"/>
        <v>3</v>
      </c>
      <c r="AG5" s="29">
        <f t="shared" ca="1" si="5"/>
        <v>1</v>
      </c>
      <c r="AH5" s="29">
        <f t="shared" ca="1" si="5"/>
        <v>1</v>
      </c>
      <c r="AI5" s="29">
        <f t="shared" ca="1" si="5"/>
        <v>2</v>
      </c>
      <c r="AJ5" s="29">
        <f t="shared" ca="1" si="5"/>
        <v>3</v>
      </c>
      <c r="AK5" s="29">
        <f t="shared" ca="1" si="5"/>
        <v>6</v>
      </c>
      <c r="AL5" s="29">
        <f t="shared" ca="1" si="5"/>
        <v>3</v>
      </c>
      <c r="AM5" s="29">
        <f t="shared" ca="1" si="5"/>
        <v>1</v>
      </c>
      <c r="AN5" s="29">
        <f t="shared" ca="1" si="5"/>
        <v>1</v>
      </c>
      <c r="AO5" s="29">
        <f t="shared" ca="1" si="5"/>
        <v>1</v>
      </c>
      <c r="AP5" s="29">
        <f t="shared" ca="1" si="5"/>
        <v>2</v>
      </c>
      <c r="AQ5" s="29">
        <f t="shared" ca="1" si="5"/>
        <v>2</v>
      </c>
      <c r="AR5" s="29">
        <f t="shared" ca="1" si="5"/>
        <v>3</v>
      </c>
      <c r="AS5" s="29">
        <f t="shared" ca="1" si="5"/>
        <v>3</v>
      </c>
      <c r="AT5" s="29">
        <f t="shared" ca="1" si="5"/>
        <v>2</v>
      </c>
      <c r="AU5" s="29">
        <f t="shared" ca="1" si="5"/>
        <v>2</v>
      </c>
      <c r="AV5" s="29">
        <f t="shared" ca="1" si="5"/>
        <v>5</v>
      </c>
      <c r="AW5" s="29">
        <f t="shared" ca="1" si="5"/>
        <v>2</v>
      </c>
      <c r="AX5" s="29">
        <f t="shared" ca="1" si="5"/>
        <v>6</v>
      </c>
      <c r="AY5" s="29">
        <f t="shared" ca="1" si="5"/>
        <v>1</v>
      </c>
      <c r="AZ5" s="29">
        <f t="shared" ca="1" si="5"/>
        <v>3</v>
      </c>
      <c r="BA5" s="29">
        <f t="shared" ca="1" si="5"/>
        <v>5</v>
      </c>
      <c r="BB5" s="29">
        <f t="shared" ca="1" si="5"/>
        <v>5</v>
      </c>
      <c r="BC5" s="29">
        <f t="shared" ca="1" si="5"/>
        <v>1</v>
      </c>
      <c r="BD5" s="29">
        <f t="shared" ca="1" si="5"/>
        <v>1</v>
      </c>
      <c r="BE5" s="29">
        <f t="shared" ca="1" si="5"/>
        <v>2</v>
      </c>
      <c r="BF5" s="29">
        <f t="shared" ca="1" si="5"/>
        <v>5</v>
      </c>
      <c r="BG5" s="29">
        <f t="shared" ca="1" si="5"/>
        <v>1</v>
      </c>
      <c r="BH5" s="29">
        <f t="shared" ca="1" si="5"/>
        <v>1</v>
      </c>
      <c r="BI5" s="29">
        <f t="shared" ca="1" si="5"/>
        <v>4</v>
      </c>
      <c r="BJ5" s="29">
        <f t="shared" ca="1" si="5"/>
        <v>1</v>
      </c>
      <c r="BK5" s="29">
        <f t="shared" ca="1" si="5"/>
        <v>1</v>
      </c>
      <c r="BL5" s="29">
        <f t="shared" ca="1" si="5"/>
        <v>4</v>
      </c>
      <c r="BM5" s="29">
        <f t="shared" ca="1" si="5"/>
        <v>3</v>
      </c>
      <c r="BN5" s="29">
        <f t="shared" ca="1" si="5"/>
        <v>1</v>
      </c>
      <c r="BO5" s="29">
        <f t="shared" ca="1" si="5"/>
        <v>3</v>
      </c>
      <c r="BP5" s="29">
        <f t="shared" ca="1" si="5"/>
        <v>4</v>
      </c>
      <c r="BQ5" s="29">
        <f t="shared" ca="1" si="5"/>
        <v>2</v>
      </c>
      <c r="BR5" s="29">
        <f t="shared" ca="1" si="5"/>
        <v>4</v>
      </c>
      <c r="BS5" s="29">
        <f t="shared" ca="1" si="5"/>
        <v>1</v>
      </c>
      <c r="BT5" s="29">
        <f t="shared" ca="1" si="5"/>
        <v>1</v>
      </c>
      <c r="BU5" s="29">
        <f t="shared" ca="1" si="5"/>
        <v>1</v>
      </c>
      <c r="BV5" s="29">
        <f t="shared" ca="1" si="5"/>
        <v>0</v>
      </c>
      <c r="BW5" s="29">
        <f t="shared" ca="1" si="5"/>
        <v>1</v>
      </c>
      <c r="BX5" s="29">
        <f t="shared" ca="1" si="5"/>
        <v>4</v>
      </c>
      <c r="BY5" s="29">
        <f t="shared" ca="1" si="5"/>
        <v>4</v>
      </c>
      <c r="BZ5" s="29">
        <f t="shared" ca="1" si="5"/>
        <v>2</v>
      </c>
      <c r="CA5" s="29">
        <f t="shared" ca="1" si="5"/>
        <v>2</v>
      </c>
      <c r="CB5" s="29">
        <f t="shared" ca="1" si="5"/>
        <v>3</v>
      </c>
      <c r="CC5" s="29">
        <f t="shared" ref="R5:CC9" ca="1" si="9">_xlfn.BINOM.INV(50,$E5,RAND())</f>
        <v>1</v>
      </c>
      <c r="CD5" s="29">
        <f t="shared" ca="1" si="6"/>
        <v>4</v>
      </c>
      <c r="CE5" s="29">
        <f t="shared" ca="1" si="6"/>
        <v>3</v>
      </c>
      <c r="CF5" s="29">
        <f t="shared" ca="1" si="6"/>
        <v>2</v>
      </c>
      <c r="CG5" s="29">
        <f t="shared" ca="1" si="6"/>
        <v>2</v>
      </c>
      <c r="CH5" s="29">
        <f t="shared" ca="1" si="6"/>
        <v>1</v>
      </c>
      <c r="CI5" s="29">
        <f t="shared" ca="1" si="6"/>
        <v>3</v>
      </c>
      <c r="CJ5" s="29">
        <f t="shared" ca="1" si="6"/>
        <v>3</v>
      </c>
      <c r="CK5" s="29">
        <f t="shared" ca="1" si="6"/>
        <v>4</v>
      </c>
      <c r="CL5" s="29">
        <f t="shared" ca="1" si="6"/>
        <v>3</v>
      </c>
      <c r="CM5" s="29">
        <f t="shared" ca="1" si="6"/>
        <v>2</v>
      </c>
      <c r="CN5" s="29">
        <f t="shared" ca="1" si="6"/>
        <v>3</v>
      </c>
      <c r="CO5" s="29">
        <f t="shared" ca="1" si="6"/>
        <v>2</v>
      </c>
      <c r="CP5" s="29">
        <f t="shared" ca="1" si="6"/>
        <v>3</v>
      </c>
      <c r="CQ5" s="29">
        <f t="shared" ca="1" si="6"/>
        <v>4</v>
      </c>
      <c r="CR5" s="29">
        <f t="shared" ca="1" si="6"/>
        <v>5</v>
      </c>
      <c r="CS5" s="29">
        <f t="shared" ca="1" si="6"/>
        <v>1</v>
      </c>
      <c r="CT5" s="29">
        <f t="shared" ca="1" si="6"/>
        <v>4</v>
      </c>
      <c r="CU5" s="29">
        <f t="shared" ca="1" si="6"/>
        <v>0</v>
      </c>
      <c r="CV5" s="29">
        <f t="shared" ca="1" si="6"/>
        <v>2</v>
      </c>
      <c r="CW5" s="29">
        <f t="shared" ca="1" si="6"/>
        <v>3</v>
      </c>
      <c r="CX5" s="29">
        <f t="shared" ca="1" si="6"/>
        <v>2</v>
      </c>
      <c r="CY5" s="29">
        <f t="shared" ca="1" si="6"/>
        <v>2</v>
      </c>
      <c r="CZ5" s="29">
        <f t="shared" ca="1" si="6"/>
        <v>5</v>
      </c>
      <c r="DA5" s="29">
        <f t="shared" ca="1" si="6"/>
        <v>1</v>
      </c>
      <c r="DB5" s="29">
        <f t="shared" ca="1" si="6"/>
        <v>1</v>
      </c>
      <c r="DC5" s="29">
        <f t="shared" ca="1" si="6"/>
        <v>2</v>
      </c>
      <c r="DD5" s="29">
        <f t="shared" ca="1" si="6"/>
        <v>2</v>
      </c>
      <c r="DE5" s="29">
        <f t="shared" ca="1" si="6"/>
        <v>1</v>
      </c>
      <c r="DF5" s="29">
        <f t="shared" ca="1" si="6"/>
        <v>3</v>
      </c>
      <c r="DG5" s="29">
        <f t="shared" ca="1" si="6"/>
        <v>3</v>
      </c>
      <c r="DH5" s="29">
        <f t="shared" ca="1" si="6"/>
        <v>3</v>
      </c>
      <c r="DI5" s="29">
        <f t="shared" ca="1" si="6"/>
        <v>4</v>
      </c>
      <c r="DJ5" s="29">
        <f t="shared" ca="1" si="6"/>
        <v>4</v>
      </c>
      <c r="DK5" s="29">
        <f t="shared" ca="1" si="6"/>
        <v>6</v>
      </c>
      <c r="DL5" s="29">
        <f t="shared" ca="1" si="6"/>
        <v>2</v>
      </c>
    </row>
    <row r="6" spans="1:116" ht="14.4" x14ac:dyDescent="0.3">
      <c r="A6" s="31">
        <v>189</v>
      </c>
      <c r="B6" s="28">
        <v>0.69</v>
      </c>
      <c r="C6" s="30">
        <v>45.49</v>
      </c>
      <c r="D6" s="28">
        <v>2.5099999999999998</v>
      </c>
      <c r="E6" s="34">
        <f t="shared" si="0"/>
        <v>5.0199999999999995E-2</v>
      </c>
      <c r="F6" s="35">
        <f t="shared" si="1"/>
        <v>11.3725</v>
      </c>
      <c r="G6" s="34">
        <f t="shared" si="2"/>
        <v>62.749999999999993</v>
      </c>
      <c r="H6" s="33">
        <f t="shared" si="7"/>
        <v>74.46014492753622</v>
      </c>
      <c r="I6" s="28">
        <f t="shared" si="8"/>
        <v>2.59</v>
      </c>
      <c r="J6" s="32">
        <v>1</v>
      </c>
      <c r="K6" s="30">
        <f t="shared" si="3"/>
        <v>11.3725</v>
      </c>
      <c r="L6" s="30"/>
      <c r="M6" s="30"/>
      <c r="N6" s="30"/>
      <c r="O6" s="26" t="s">
        <v>137</v>
      </c>
      <c r="P6" s="41">
        <f ca="1">MAX(Q419:DL419)</f>
        <v>12865.039999999999</v>
      </c>
      <c r="Q6" s="29">
        <f t="shared" ca="1" si="4"/>
        <v>1</v>
      </c>
      <c r="R6" s="29">
        <f t="shared" ca="1" si="9"/>
        <v>2</v>
      </c>
      <c r="S6" s="29">
        <f t="shared" ca="1" si="9"/>
        <v>4</v>
      </c>
      <c r="T6" s="29">
        <f t="shared" ca="1" si="9"/>
        <v>3</v>
      </c>
      <c r="U6" s="29">
        <f t="shared" ca="1" si="9"/>
        <v>1</v>
      </c>
      <c r="V6" s="29">
        <f t="shared" ca="1" si="9"/>
        <v>2</v>
      </c>
      <c r="W6" s="29">
        <f t="shared" ca="1" si="9"/>
        <v>1</v>
      </c>
      <c r="X6" s="29">
        <f t="shared" ca="1" si="9"/>
        <v>3</v>
      </c>
      <c r="Y6" s="29">
        <f t="shared" ca="1" si="9"/>
        <v>3</v>
      </c>
      <c r="Z6" s="29">
        <f t="shared" ca="1" si="9"/>
        <v>1</v>
      </c>
      <c r="AA6" s="29">
        <f t="shared" ca="1" si="9"/>
        <v>4</v>
      </c>
      <c r="AB6" s="29">
        <f t="shared" ca="1" si="9"/>
        <v>3</v>
      </c>
      <c r="AC6" s="29">
        <f t="shared" ca="1" si="9"/>
        <v>2</v>
      </c>
      <c r="AD6" s="29">
        <f t="shared" ca="1" si="9"/>
        <v>1</v>
      </c>
      <c r="AE6" s="29">
        <f t="shared" ca="1" si="9"/>
        <v>5</v>
      </c>
      <c r="AF6" s="29">
        <f t="shared" ca="1" si="9"/>
        <v>3</v>
      </c>
      <c r="AG6" s="29">
        <f t="shared" ca="1" si="9"/>
        <v>1</v>
      </c>
      <c r="AH6" s="29">
        <f t="shared" ca="1" si="9"/>
        <v>2</v>
      </c>
      <c r="AI6" s="29">
        <f t="shared" ca="1" si="9"/>
        <v>1</v>
      </c>
      <c r="AJ6" s="29">
        <f t="shared" ca="1" si="9"/>
        <v>2</v>
      </c>
      <c r="AK6" s="29">
        <f t="shared" ca="1" si="9"/>
        <v>1</v>
      </c>
      <c r="AL6" s="29">
        <f t="shared" ca="1" si="9"/>
        <v>5</v>
      </c>
      <c r="AM6" s="29">
        <f t="shared" ca="1" si="9"/>
        <v>4</v>
      </c>
      <c r="AN6" s="29">
        <f t="shared" ca="1" si="9"/>
        <v>1</v>
      </c>
      <c r="AO6" s="29">
        <f t="shared" ca="1" si="9"/>
        <v>1</v>
      </c>
      <c r="AP6" s="29">
        <f t="shared" ca="1" si="9"/>
        <v>2</v>
      </c>
      <c r="AQ6" s="29">
        <f t="shared" ca="1" si="9"/>
        <v>3</v>
      </c>
      <c r="AR6" s="29">
        <f t="shared" ca="1" si="9"/>
        <v>2</v>
      </c>
      <c r="AS6" s="29">
        <f t="shared" ca="1" si="9"/>
        <v>2</v>
      </c>
      <c r="AT6" s="29">
        <f t="shared" ca="1" si="9"/>
        <v>2</v>
      </c>
      <c r="AU6" s="29">
        <f t="shared" ca="1" si="9"/>
        <v>2</v>
      </c>
      <c r="AV6" s="29">
        <f t="shared" ca="1" si="9"/>
        <v>1</v>
      </c>
      <c r="AW6" s="29">
        <f t="shared" ca="1" si="9"/>
        <v>2</v>
      </c>
      <c r="AX6" s="29">
        <f t="shared" ca="1" si="9"/>
        <v>3</v>
      </c>
      <c r="AY6" s="29">
        <f t="shared" ca="1" si="9"/>
        <v>3</v>
      </c>
      <c r="AZ6" s="29">
        <f t="shared" ca="1" si="9"/>
        <v>4</v>
      </c>
      <c r="BA6" s="29">
        <f t="shared" ca="1" si="9"/>
        <v>1</v>
      </c>
      <c r="BB6" s="29">
        <f t="shared" ca="1" si="9"/>
        <v>2</v>
      </c>
      <c r="BC6" s="29">
        <f t="shared" ca="1" si="9"/>
        <v>1</v>
      </c>
      <c r="BD6" s="29">
        <f t="shared" ca="1" si="9"/>
        <v>2</v>
      </c>
      <c r="BE6" s="29">
        <f t="shared" ca="1" si="9"/>
        <v>5</v>
      </c>
      <c r="BF6" s="29">
        <f t="shared" ca="1" si="9"/>
        <v>1</v>
      </c>
      <c r="BG6" s="29">
        <f t="shared" ca="1" si="9"/>
        <v>3</v>
      </c>
      <c r="BH6" s="29">
        <f t="shared" ca="1" si="9"/>
        <v>2</v>
      </c>
      <c r="BI6" s="29">
        <f t="shared" ca="1" si="9"/>
        <v>3</v>
      </c>
      <c r="BJ6" s="29">
        <f t="shared" ca="1" si="9"/>
        <v>4</v>
      </c>
      <c r="BK6" s="29">
        <f t="shared" ca="1" si="9"/>
        <v>1</v>
      </c>
      <c r="BL6" s="29">
        <f t="shared" ca="1" si="9"/>
        <v>0</v>
      </c>
      <c r="BM6" s="29">
        <f t="shared" ca="1" si="9"/>
        <v>2</v>
      </c>
      <c r="BN6" s="29">
        <f t="shared" ca="1" si="9"/>
        <v>4</v>
      </c>
      <c r="BO6" s="29">
        <f t="shared" ca="1" si="9"/>
        <v>2</v>
      </c>
      <c r="BP6" s="29">
        <f t="shared" ca="1" si="9"/>
        <v>0</v>
      </c>
      <c r="BQ6" s="29">
        <f t="shared" ca="1" si="9"/>
        <v>2</v>
      </c>
      <c r="BR6" s="29">
        <f t="shared" ca="1" si="9"/>
        <v>4</v>
      </c>
      <c r="BS6" s="29">
        <f t="shared" ca="1" si="9"/>
        <v>7</v>
      </c>
      <c r="BT6" s="29">
        <f t="shared" ca="1" si="9"/>
        <v>5</v>
      </c>
      <c r="BU6" s="29">
        <f t="shared" ca="1" si="9"/>
        <v>2</v>
      </c>
      <c r="BV6" s="29">
        <f t="shared" ca="1" si="9"/>
        <v>1</v>
      </c>
      <c r="BW6" s="29">
        <f t="shared" ca="1" si="9"/>
        <v>2</v>
      </c>
      <c r="BX6" s="29">
        <f t="shared" ca="1" si="9"/>
        <v>1</v>
      </c>
      <c r="BY6" s="29">
        <f t="shared" ca="1" si="9"/>
        <v>4</v>
      </c>
      <c r="BZ6" s="29">
        <f t="shared" ca="1" si="9"/>
        <v>1</v>
      </c>
      <c r="CA6" s="29">
        <f t="shared" ca="1" si="9"/>
        <v>2</v>
      </c>
      <c r="CB6" s="29">
        <f t="shared" ca="1" si="9"/>
        <v>0</v>
      </c>
      <c r="CC6" s="29">
        <f t="shared" ca="1" si="9"/>
        <v>2</v>
      </c>
      <c r="CD6" s="29">
        <f t="shared" ca="1" si="6"/>
        <v>1</v>
      </c>
      <c r="CE6" s="29">
        <f t="shared" ca="1" si="6"/>
        <v>3</v>
      </c>
      <c r="CF6" s="29">
        <f t="shared" ca="1" si="6"/>
        <v>3</v>
      </c>
      <c r="CG6" s="29">
        <f t="shared" ca="1" si="6"/>
        <v>2</v>
      </c>
      <c r="CH6" s="29">
        <f t="shared" ca="1" si="6"/>
        <v>0</v>
      </c>
      <c r="CI6" s="29">
        <f t="shared" ca="1" si="6"/>
        <v>2</v>
      </c>
      <c r="CJ6" s="29">
        <f t="shared" ca="1" si="6"/>
        <v>5</v>
      </c>
      <c r="CK6" s="29">
        <f t="shared" ca="1" si="6"/>
        <v>1</v>
      </c>
      <c r="CL6" s="29">
        <f t="shared" ca="1" si="6"/>
        <v>2</v>
      </c>
      <c r="CM6" s="29">
        <f t="shared" ca="1" si="6"/>
        <v>3</v>
      </c>
      <c r="CN6" s="29">
        <f t="shared" ca="1" si="6"/>
        <v>1</v>
      </c>
      <c r="CO6" s="29">
        <f t="shared" ca="1" si="6"/>
        <v>6</v>
      </c>
      <c r="CP6" s="29">
        <f t="shared" ca="1" si="6"/>
        <v>2</v>
      </c>
      <c r="CQ6" s="29">
        <f t="shared" ca="1" si="6"/>
        <v>1</v>
      </c>
      <c r="CR6" s="29">
        <f t="shared" ca="1" si="6"/>
        <v>1</v>
      </c>
      <c r="CS6" s="29">
        <f t="shared" ca="1" si="6"/>
        <v>3</v>
      </c>
      <c r="CT6" s="29">
        <f t="shared" ca="1" si="6"/>
        <v>1</v>
      </c>
      <c r="CU6" s="29">
        <f t="shared" ca="1" si="6"/>
        <v>1</v>
      </c>
      <c r="CV6" s="29">
        <f t="shared" ca="1" si="6"/>
        <v>3</v>
      </c>
      <c r="CW6" s="29">
        <f t="shared" ca="1" si="6"/>
        <v>2</v>
      </c>
      <c r="CX6" s="29">
        <f t="shared" ca="1" si="6"/>
        <v>3</v>
      </c>
      <c r="CY6" s="29">
        <f t="shared" ca="1" si="6"/>
        <v>1</v>
      </c>
      <c r="CZ6" s="29">
        <f t="shared" ca="1" si="6"/>
        <v>5</v>
      </c>
      <c r="DA6" s="29">
        <f t="shared" ca="1" si="6"/>
        <v>3</v>
      </c>
      <c r="DB6" s="29">
        <f t="shared" ca="1" si="6"/>
        <v>4</v>
      </c>
      <c r="DC6" s="29">
        <f t="shared" ca="1" si="6"/>
        <v>2</v>
      </c>
      <c r="DD6" s="29">
        <f t="shared" ca="1" si="6"/>
        <v>3</v>
      </c>
      <c r="DE6" s="29">
        <f t="shared" ca="1" si="6"/>
        <v>3</v>
      </c>
      <c r="DF6" s="29">
        <f t="shared" ca="1" si="6"/>
        <v>5</v>
      </c>
      <c r="DG6" s="29">
        <f t="shared" ca="1" si="6"/>
        <v>2</v>
      </c>
      <c r="DH6" s="29">
        <f t="shared" ca="1" si="6"/>
        <v>2</v>
      </c>
      <c r="DI6" s="29">
        <f t="shared" ca="1" si="6"/>
        <v>2</v>
      </c>
      <c r="DJ6" s="29">
        <f t="shared" ca="1" si="6"/>
        <v>1</v>
      </c>
      <c r="DK6" s="29">
        <f t="shared" ca="1" si="6"/>
        <v>4</v>
      </c>
      <c r="DL6" s="29">
        <f t="shared" ca="1" si="6"/>
        <v>3</v>
      </c>
    </row>
    <row r="7" spans="1:116" ht="14.4" x14ac:dyDescent="0.3">
      <c r="A7" s="31">
        <v>1109</v>
      </c>
      <c r="B7" s="28">
        <v>0.81</v>
      </c>
      <c r="C7" s="30">
        <v>44.21</v>
      </c>
      <c r="D7" s="28">
        <v>2.72</v>
      </c>
      <c r="E7" s="34">
        <f t="shared" si="0"/>
        <v>5.4400000000000004E-2</v>
      </c>
      <c r="F7" s="35">
        <f t="shared" si="1"/>
        <v>11.0525</v>
      </c>
      <c r="G7" s="34">
        <f t="shared" si="2"/>
        <v>68</v>
      </c>
      <c r="H7" s="33">
        <f t="shared" si="7"/>
        <v>70.305555555555543</v>
      </c>
      <c r="I7" s="28">
        <f t="shared" si="8"/>
        <v>3.4</v>
      </c>
      <c r="J7" s="32">
        <v>1</v>
      </c>
      <c r="K7" s="30">
        <f t="shared" si="3"/>
        <v>11.0525</v>
      </c>
      <c r="L7" s="30"/>
      <c r="M7" s="30"/>
      <c r="N7" s="30"/>
      <c r="O7" s="36" t="s">
        <v>135</v>
      </c>
      <c r="P7" s="42">
        <f ca="1">AVERAGE(Q421:DL421)</f>
        <v>0.52624368852369163</v>
      </c>
      <c r="Q7" s="29">
        <f t="shared" ca="1" si="4"/>
        <v>2</v>
      </c>
      <c r="R7" s="29">
        <f t="shared" ca="1" si="9"/>
        <v>3</v>
      </c>
      <c r="S7" s="29">
        <f t="shared" ca="1" si="9"/>
        <v>0</v>
      </c>
      <c r="T7" s="29">
        <f t="shared" ca="1" si="9"/>
        <v>4</v>
      </c>
      <c r="U7" s="29">
        <f t="shared" ca="1" si="9"/>
        <v>1</v>
      </c>
      <c r="V7" s="29">
        <f t="shared" ca="1" si="9"/>
        <v>4</v>
      </c>
      <c r="W7" s="29">
        <f t="shared" ca="1" si="9"/>
        <v>0</v>
      </c>
      <c r="X7" s="29">
        <f t="shared" ca="1" si="9"/>
        <v>3</v>
      </c>
      <c r="Y7" s="29">
        <f t="shared" ca="1" si="9"/>
        <v>3</v>
      </c>
      <c r="Z7" s="29">
        <f t="shared" ca="1" si="9"/>
        <v>0</v>
      </c>
      <c r="AA7" s="29">
        <f t="shared" ca="1" si="9"/>
        <v>2</v>
      </c>
      <c r="AB7" s="29">
        <f t="shared" ca="1" si="9"/>
        <v>1</v>
      </c>
      <c r="AC7" s="29">
        <f t="shared" ca="1" si="9"/>
        <v>2</v>
      </c>
      <c r="AD7" s="29">
        <f t="shared" ca="1" si="9"/>
        <v>1</v>
      </c>
      <c r="AE7" s="29">
        <f t="shared" ca="1" si="9"/>
        <v>3</v>
      </c>
      <c r="AF7" s="29">
        <f t="shared" ca="1" si="9"/>
        <v>3</v>
      </c>
      <c r="AG7" s="29">
        <f t="shared" ca="1" si="9"/>
        <v>3</v>
      </c>
      <c r="AH7" s="29">
        <f t="shared" ca="1" si="9"/>
        <v>2</v>
      </c>
      <c r="AI7" s="29">
        <f t="shared" ca="1" si="9"/>
        <v>5</v>
      </c>
      <c r="AJ7" s="29">
        <f t="shared" ca="1" si="9"/>
        <v>1</v>
      </c>
      <c r="AK7" s="29">
        <f t="shared" ca="1" si="9"/>
        <v>5</v>
      </c>
      <c r="AL7" s="29">
        <f t="shared" ca="1" si="9"/>
        <v>3</v>
      </c>
      <c r="AM7" s="29">
        <f t="shared" ca="1" si="9"/>
        <v>4</v>
      </c>
      <c r="AN7" s="29">
        <f t="shared" ca="1" si="9"/>
        <v>3</v>
      </c>
      <c r="AO7" s="29">
        <f t="shared" ca="1" si="9"/>
        <v>1</v>
      </c>
      <c r="AP7" s="29">
        <f t="shared" ca="1" si="9"/>
        <v>3</v>
      </c>
      <c r="AQ7" s="29">
        <f t="shared" ca="1" si="9"/>
        <v>5</v>
      </c>
      <c r="AR7" s="29">
        <f t="shared" ca="1" si="9"/>
        <v>1</v>
      </c>
      <c r="AS7" s="29">
        <f t="shared" ca="1" si="9"/>
        <v>1</v>
      </c>
      <c r="AT7" s="29">
        <f t="shared" ca="1" si="9"/>
        <v>2</v>
      </c>
      <c r="AU7" s="29">
        <f t="shared" ca="1" si="9"/>
        <v>4</v>
      </c>
      <c r="AV7" s="29">
        <f t="shared" ca="1" si="9"/>
        <v>2</v>
      </c>
      <c r="AW7" s="29">
        <f t="shared" ca="1" si="9"/>
        <v>2</v>
      </c>
      <c r="AX7" s="29">
        <f t="shared" ca="1" si="9"/>
        <v>1</v>
      </c>
      <c r="AY7" s="29">
        <f t="shared" ca="1" si="9"/>
        <v>2</v>
      </c>
      <c r="AZ7" s="29">
        <f t="shared" ca="1" si="9"/>
        <v>2</v>
      </c>
      <c r="BA7" s="29">
        <f t="shared" ca="1" si="9"/>
        <v>2</v>
      </c>
      <c r="BB7" s="29">
        <f t="shared" ca="1" si="9"/>
        <v>2</v>
      </c>
      <c r="BC7" s="29">
        <f t="shared" ca="1" si="9"/>
        <v>7</v>
      </c>
      <c r="BD7" s="29">
        <f t="shared" ca="1" si="9"/>
        <v>1</v>
      </c>
      <c r="BE7" s="29">
        <f t="shared" ca="1" si="9"/>
        <v>3</v>
      </c>
      <c r="BF7" s="29">
        <f t="shared" ca="1" si="9"/>
        <v>6</v>
      </c>
      <c r="BG7" s="29">
        <f t="shared" ca="1" si="9"/>
        <v>6</v>
      </c>
      <c r="BH7" s="29">
        <f t="shared" ca="1" si="9"/>
        <v>4</v>
      </c>
      <c r="BI7" s="29">
        <f t="shared" ca="1" si="9"/>
        <v>1</v>
      </c>
      <c r="BJ7" s="29">
        <f t="shared" ca="1" si="9"/>
        <v>1</v>
      </c>
      <c r="BK7" s="29">
        <f t="shared" ca="1" si="9"/>
        <v>5</v>
      </c>
      <c r="BL7" s="29">
        <f t="shared" ca="1" si="9"/>
        <v>2</v>
      </c>
      <c r="BM7" s="29">
        <f t="shared" ca="1" si="9"/>
        <v>2</v>
      </c>
      <c r="BN7" s="29">
        <f t="shared" ca="1" si="9"/>
        <v>2</v>
      </c>
      <c r="BO7" s="29">
        <f t="shared" ca="1" si="9"/>
        <v>1</v>
      </c>
      <c r="BP7" s="29">
        <f t="shared" ca="1" si="9"/>
        <v>1</v>
      </c>
      <c r="BQ7" s="29">
        <f t="shared" ca="1" si="9"/>
        <v>1</v>
      </c>
      <c r="BR7" s="29">
        <f t="shared" ca="1" si="9"/>
        <v>4</v>
      </c>
      <c r="BS7" s="29">
        <f t="shared" ca="1" si="9"/>
        <v>5</v>
      </c>
      <c r="BT7" s="29">
        <f t="shared" ca="1" si="9"/>
        <v>1</v>
      </c>
      <c r="BU7" s="29">
        <f t="shared" ca="1" si="9"/>
        <v>4</v>
      </c>
      <c r="BV7" s="29">
        <f t="shared" ca="1" si="9"/>
        <v>4</v>
      </c>
      <c r="BW7" s="29">
        <f t="shared" ca="1" si="9"/>
        <v>0</v>
      </c>
      <c r="BX7" s="29">
        <f t="shared" ca="1" si="9"/>
        <v>3</v>
      </c>
      <c r="BY7" s="29">
        <f t="shared" ca="1" si="9"/>
        <v>2</v>
      </c>
      <c r="BZ7" s="29">
        <f t="shared" ca="1" si="9"/>
        <v>4</v>
      </c>
      <c r="CA7" s="29">
        <f t="shared" ca="1" si="9"/>
        <v>5</v>
      </c>
      <c r="CB7" s="29">
        <f t="shared" ca="1" si="9"/>
        <v>2</v>
      </c>
      <c r="CC7" s="29">
        <f t="shared" ca="1" si="9"/>
        <v>2</v>
      </c>
      <c r="CD7" s="29">
        <f t="shared" ca="1" si="6"/>
        <v>2</v>
      </c>
      <c r="CE7" s="29">
        <f t="shared" ca="1" si="6"/>
        <v>2</v>
      </c>
      <c r="CF7" s="29">
        <f t="shared" ca="1" si="6"/>
        <v>2</v>
      </c>
      <c r="CG7" s="29">
        <f t="shared" ca="1" si="6"/>
        <v>6</v>
      </c>
      <c r="CH7" s="29">
        <f t="shared" ca="1" si="6"/>
        <v>3</v>
      </c>
      <c r="CI7" s="29">
        <f t="shared" ca="1" si="6"/>
        <v>4</v>
      </c>
      <c r="CJ7" s="29">
        <f t="shared" ca="1" si="6"/>
        <v>1</v>
      </c>
      <c r="CK7" s="29">
        <f t="shared" ca="1" si="6"/>
        <v>4</v>
      </c>
      <c r="CL7" s="29">
        <f t="shared" ca="1" si="6"/>
        <v>3</v>
      </c>
      <c r="CM7" s="29">
        <f t="shared" ca="1" si="6"/>
        <v>1</v>
      </c>
      <c r="CN7" s="29">
        <f t="shared" ca="1" si="6"/>
        <v>5</v>
      </c>
      <c r="CO7" s="29">
        <f t="shared" ca="1" si="6"/>
        <v>6</v>
      </c>
      <c r="CP7" s="29">
        <f t="shared" ca="1" si="6"/>
        <v>1</v>
      </c>
      <c r="CQ7" s="29">
        <f t="shared" ca="1" si="6"/>
        <v>0</v>
      </c>
      <c r="CR7" s="29">
        <f t="shared" ca="1" si="6"/>
        <v>1</v>
      </c>
      <c r="CS7" s="29">
        <f t="shared" ca="1" si="6"/>
        <v>3</v>
      </c>
      <c r="CT7" s="29">
        <f t="shared" ca="1" si="6"/>
        <v>2</v>
      </c>
      <c r="CU7" s="29">
        <f t="shared" ca="1" si="6"/>
        <v>2</v>
      </c>
      <c r="CV7" s="29">
        <f t="shared" ca="1" si="6"/>
        <v>3</v>
      </c>
      <c r="CW7" s="29">
        <f t="shared" ca="1" si="6"/>
        <v>5</v>
      </c>
      <c r="CX7" s="29">
        <f t="shared" ca="1" si="6"/>
        <v>4</v>
      </c>
      <c r="CY7" s="29">
        <f t="shared" ca="1" si="6"/>
        <v>1</v>
      </c>
      <c r="CZ7" s="29">
        <f t="shared" ca="1" si="6"/>
        <v>6</v>
      </c>
      <c r="DA7" s="29">
        <f t="shared" ca="1" si="6"/>
        <v>5</v>
      </c>
      <c r="DB7" s="29">
        <f t="shared" ca="1" si="6"/>
        <v>3</v>
      </c>
      <c r="DC7" s="29">
        <f t="shared" ca="1" si="6"/>
        <v>0</v>
      </c>
      <c r="DD7" s="29">
        <f t="shared" ca="1" si="6"/>
        <v>4</v>
      </c>
      <c r="DE7" s="29">
        <f t="shared" ca="1" si="6"/>
        <v>4</v>
      </c>
      <c r="DF7" s="29">
        <f t="shared" ca="1" si="6"/>
        <v>0</v>
      </c>
      <c r="DG7" s="29">
        <f t="shared" ca="1" si="6"/>
        <v>2</v>
      </c>
      <c r="DH7" s="29">
        <f t="shared" ca="1" si="6"/>
        <v>2</v>
      </c>
      <c r="DI7" s="29">
        <f t="shared" ca="1" si="6"/>
        <v>2</v>
      </c>
      <c r="DJ7" s="29">
        <f t="shared" ca="1" si="6"/>
        <v>2</v>
      </c>
      <c r="DK7" s="29">
        <f t="shared" ca="1" si="6"/>
        <v>2</v>
      </c>
      <c r="DL7" s="29">
        <f t="shared" ca="1" si="6"/>
        <v>4</v>
      </c>
    </row>
    <row r="8" spans="1:116" ht="14.4" x14ac:dyDescent="0.3">
      <c r="A8" s="31">
        <v>697</v>
      </c>
      <c r="B8" s="28">
        <v>0.34</v>
      </c>
      <c r="C8" s="30">
        <v>47.44</v>
      </c>
      <c r="D8" s="28">
        <v>1.4</v>
      </c>
      <c r="E8" s="34">
        <f t="shared" si="0"/>
        <v>2.7999999999999997E-2</v>
      </c>
      <c r="F8" s="35">
        <f t="shared" si="1"/>
        <v>11.86</v>
      </c>
      <c r="G8" s="34">
        <f t="shared" si="2"/>
        <v>35</v>
      </c>
      <c r="H8" s="33">
        <f t="shared" si="7"/>
        <v>68.058823529411768</v>
      </c>
      <c r="I8" s="28">
        <f t="shared" si="8"/>
        <v>3.7399999999999998</v>
      </c>
      <c r="J8" s="32">
        <v>1</v>
      </c>
      <c r="K8" s="30">
        <f t="shared" si="3"/>
        <v>11.86</v>
      </c>
      <c r="L8" s="30"/>
      <c r="M8" s="30"/>
      <c r="N8" s="30"/>
      <c r="O8" s="30"/>
      <c r="Q8" s="29">
        <f t="shared" ca="1" si="4"/>
        <v>2</v>
      </c>
      <c r="R8" s="29">
        <f t="shared" ca="1" si="9"/>
        <v>2</v>
      </c>
      <c r="S8" s="29">
        <f t="shared" ca="1" si="9"/>
        <v>1</v>
      </c>
      <c r="T8" s="29">
        <f t="shared" ca="1" si="9"/>
        <v>3</v>
      </c>
      <c r="U8" s="29">
        <f t="shared" ca="1" si="9"/>
        <v>1</v>
      </c>
      <c r="V8" s="29">
        <f t="shared" ca="1" si="9"/>
        <v>1</v>
      </c>
      <c r="W8" s="29">
        <f t="shared" ca="1" si="9"/>
        <v>2</v>
      </c>
      <c r="X8" s="29">
        <f t="shared" ca="1" si="9"/>
        <v>1</v>
      </c>
      <c r="Y8" s="29">
        <f t="shared" ca="1" si="9"/>
        <v>0</v>
      </c>
      <c r="Z8" s="29">
        <f t="shared" ca="1" si="9"/>
        <v>3</v>
      </c>
      <c r="AA8" s="29">
        <f t="shared" ca="1" si="9"/>
        <v>2</v>
      </c>
      <c r="AB8" s="29">
        <f t="shared" ca="1" si="9"/>
        <v>2</v>
      </c>
      <c r="AC8" s="29">
        <f t="shared" ca="1" si="9"/>
        <v>5</v>
      </c>
      <c r="AD8" s="29">
        <f t="shared" ca="1" si="9"/>
        <v>3</v>
      </c>
      <c r="AE8" s="29">
        <f t="shared" ca="1" si="9"/>
        <v>3</v>
      </c>
      <c r="AF8" s="29">
        <f t="shared" ca="1" si="9"/>
        <v>1</v>
      </c>
      <c r="AG8" s="29">
        <f t="shared" ca="1" si="9"/>
        <v>1</v>
      </c>
      <c r="AH8" s="29">
        <f t="shared" ca="1" si="9"/>
        <v>4</v>
      </c>
      <c r="AI8" s="29">
        <f t="shared" ca="1" si="9"/>
        <v>2</v>
      </c>
      <c r="AJ8" s="29">
        <f t="shared" ca="1" si="9"/>
        <v>0</v>
      </c>
      <c r="AK8" s="29">
        <f t="shared" ca="1" si="9"/>
        <v>2</v>
      </c>
      <c r="AL8" s="29">
        <f t="shared" ca="1" si="9"/>
        <v>2</v>
      </c>
      <c r="AM8" s="29">
        <f t="shared" ca="1" si="9"/>
        <v>1</v>
      </c>
      <c r="AN8" s="29">
        <f t="shared" ca="1" si="9"/>
        <v>1</v>
      </c>
      <c r="AO8" s="29">
        <f t="shared" ca="1" si="9"/>
        <v>4</v>
      </c>
      <c r="AP8" s="29">
        <f t="shared" ca="1" si="9"/>
        <v>1</v>
      </c>
      <c r="AQ8" s="29">
        <f t="shared" ca="1" si="9"/>
        <v>2</v>
      </c>
      <c r="AR8" s="29">
        <f t="shared" ca="1" si="9"/>
        <v>0</v>
      </c>
      <c r="AS8" s="29">
        <f t="shared" ca="1" si="9"/>
        <v>3</v>
      </c>
      <c r="AT8" s="29">
        <f t="shared" ca="1" si="9"/>
        <v>0</v>
      </c>
      <c r="AU8" s="29">
        <f t="shared" ca="1" si="9"/>
        <v>0</v>
      </c>
      <c r="AV8" s="29">
        <f t="shared" ca="1" si="9"/>
        <v>2</v>
      </c>
      <c r="AW8" s="29">
        <f t="shared" ca="1" si="9"/>
        <v>0</v>
      </c>
      <c r="AX8" s="29">
        <f t="shared" ca="1" si="9"/>
        <v>2</v>
      </c>
      <c r="AY8" s="29">
        <f t="shared" ca="1" si="9"/>
        <v>1</v>
      </c>
      <c r="AZ8" s="29">
        <f t="shared" ca="1" si="9"/>
        <v>2</v>
      </c>
      <c r="BA8" s="29">
        <f t="shared" ca="1" si="9"/>
        <v>1</v>
      </c>
      <c r="BB8" s="29">
        <f t="shared" ca="1" si="9"/>
        <v>2</v>
      </c>
      <c r="BC8" s="29">
        <f t="shared" ca="1" si="9"/>
        <v>1</v>
      </c>
      <c r="BD8" s="29">
        <f t="shared" ca="1" si="9"/>
        <v>1</v>
      </c>
      <c r="BE8" s="29">
        <f t="shared" ca="1" si="9"/>
        <v>1</v>
      </c>
      <c r="BF8" s="29">
        <f t="shared" ca="1" si="9"/>
        <v>2</v>
      </c>
      <c r="BG8" s="29">
        <f t="shared" ca="1" si="9"/>
        <v>1</v>
      </c>
      <c r="BH8" s="29">
        <f t="shared" ca="1" si="9"/>
        <v>2</v>
      </c>
      <c r="BI8" s="29">
        <f t="shared" ca="1" si="9"/>
        <v>0</v>
      </c>
      <c r="BJ8" s="29">
        <f t="shared" ca="1" si="9"/>
        <v>2</v>
      </c>
      <c r="BK8" s="29">
        <f t="shared" ca="1" si="9"/>
        <v>1</v>
      </c>
      <c r="BL8" s="29">
        <f t="shared" ca="1" si="9"/>
        <v>0</v>
      </c>
      <c r="BM8" s="29">
        <f t="shared" ca="1" si="9"/>
        <v>2</v>
      </c>
      <c r="BN8" s="29">
        <f t="shared" ca="1" si="9"/>
        <v>2</v>
      </c>
      <c r="BO8" s="29">
        <f t="shared" ca="1" si="9"/>
        <v>1</v>
      </c>
      <c r="BP8" s="29">
        <f t="shared" ca="1" si="9"/>
        <v>2</v>
      </c>
      <c r="BQ8" s="29">
        <f t="shared" ca="1" si="9"/>
        <v>1</v>
      </c>
      <c r="BR8" s="29">
        <f t="shared" ca="1" si="9"/>
        <v>3</v>
      </c>
      <c r="BS8" s="29">
        <f t="shared" ca="1" si="9"/>
        <v>0</v>
      </c>
      <c r="BT8" s="29">
        <f t="shared" ca="1" si="9"/>
        <v>0</v>
      </c>
      <c r="BU8" s="29">
        <f t="shared" ca="1" si="9"/>
        <v>0</v>
      </c>
      <c r="BV8" s="29">
        <f t="shared" ca="1" si="9"/>
        <v>1</v>
      </c>
      <c r="BW8" s="29">
        <f t="shared" ca="1" si="9"/>
        <v>0</v>
      </c>
      <c r="BX8" s="29">
        <f t="shared" ca="1" si="9"/>
        <v>1</v>
      </c>
      <c r="BY8" s="29">
        <f t="shared" ca="1" si="9"/>
        <v>2</v>
      </c>
      <c r="BZ8" s="29">
        <f t="shared" ca="1" si="9"/>
        <v>1</v>
      </c>
      <c r="CA8" s="29">
        <f t="shared" ca="1" si="9"/>
        <v>2</v>
      </c>
      <c r="CB8" s="29">
        <f t="shared" ca="1" si="9"/>
        <v>0</v>
      </c>
      <c r="CC8" s="29">
        <f t="shared" ca="1" si="9"/>
        <v>4</v>
      </c>
      <c r="CD8" s="29">
        <f t="shared" ca="1" si="6"/>
        <v>1</v>
      </c>
      <c r="CE8" s="29">
        <f t="shared" ca="1" si="6"/>
        <v>4</v>
      </c>
      <c r="CF8" s="29">
        <f t="shared" ca="1" si="6"/>
        <v>1</v>
      </c>
      <c r="CG8" s="29">
        <f t="shared" ca="1" si="6"/>
        <v>1</v>
      </c>
      <c r="CH8" s="29">
        <f t="shared" ca="1" si="6"/>
        <v>3</v>
      </c>
      <c r="CI8" s="29">
        <f t="shared" ca="1" si="6"/>
        <v>3</v>
      </c>
      <c r="CJ8" s="29">
        <f t="shared" ca="1" si="6"/>
        <v>1</v>
      </c>
      <c r="CK8" s="29">
        <f t="shared" ca="1" si="6"/>
        <v>2</v>
      </c>
      <c r="CL8" s="29">
        <f t="shared" ca="1" si="6"/>
        <v>1</v>
      </c>
      <c r="CM8" s="29">
        <f t="shared" ca="1" si="6"/>
        <v>0</v>
      </c>
      <c r="CN8" s="29">
        <f t="shared" ca="1" si="6"/>
        <v>0</v>
      </c>
      <c r="CO8" s="29">
        <f t="shared" ca="1" si="6"/>
        <v>0</v>
      </c>
      <c r="CP8" s="29">
        <f t="shared" ca="1" si="6"/>
        <v>0</v>
      </c>
      <c r="CQ8" s="29">
        <f t="shared" ca="1" si="6"/>
        <v>2</v>
      </c>
      <c r="CR8" s="29">
        <f t="shared" ca="1" si="6"/>
        <v>2</v>
      </c>
      <c r="CS8" s="29">
        <f t="shared" ca="1" si="6"/>
        <v>1</v>
      </c>
      <c r="CT8" s="29">
        <f t="shared" ca="1" si="6"/>
        <v>2</v>
      </c>
      <c r="CU8" s="29">
        <f t="shared" ca="1" si="6"/>
        <v>0</v>
      </c>
      <c r="CV8" s="29">
        <f t="shared" ca="1" si="6"/>
        <v>0</v>
      </c>
      <c r="CW8" s="29">
        <f t="shared" ca="1" si="6"/>
        <v>1</v>
      </c>
      <c r="CX8" s="29">
        <f t="shared" ca="1" si="6"/>
        <v>2</v>
      </c>
      <c r="CY8" s="29">
        <f t="shared" ca="1" si="6"/>
        <v>1</v>
      </c>
      <c r="CZ8" s="29">
        <f t="shared" ca="1" si="6"/>
        <v>1</v>
      </c>
      <c r="DA8" s="29">
        <f t="shared" ca="1" si="6"/>
        <v>2</v>
      </c>
      <c r="DB8" s="29">
        <f t="shared" ca="1" si="6"/>
        <v>1</v>
      </c>
      <c r="DC8" s="29">
        <f t="shared" ca="1" si="6"/>
        <v>2</v>
      </c>
      <c r="DD8" s="29">
        <f t="shared" ca="1" si="6"/>
        <v>2</v>
      </c>
      <c r="DE8" s="29">
        <f t="shared" ca="1" si="6"/>
        <v>0</v>
      </c>
      <c r="DF8" s="29">
        <f t="shared" ca="1" si="6"/>
        <v>1</v>
      </c>
      <c r="DG8" s="29">
        <f t="shared" ca="1" si="6"/>
        <v>3</v>
      </c>
      <c r="DH8" s="29">
        <f t="shared" ca="1" si="6"/>
        <v>2</v>
      </c>
      <c r="DI8" s="29">
        <f t="shared" ca="1" si="6"/>
        <v>2</v>
      </c>
      <c r="DJ8" s="29">
        <f t="shared" ca="1" si="6"/>
        <v>0</v>
      </c>
      <c r="DK8" s="29">
        <f t="shared" ca="1" si="6"/>
        <v>2</v>
      </c>
      <c r="DL8" s="29">
        <f t="shared" ca="1" si="6"/>
        <v>1</v>
      </c>
    </row>
    <row r="9" spans="1:116" ht="14.4" x14ac:dyDescent="0.3">
      <c r="A9" s="31">
        <v>790</v>
      </c>
      <c r="B9" s="28">
        <v>0.8</v>
      </c>
      <c r="C9" s="30">
        <v>30.11</v>
      </c>
      <c r="D9" s="28">
        <v>2.41</v>
      </c>
      <c r="E9" s="34">
        <f t="shared" si="0"/>
        <v>4.82E-2</v>
      </c>
      <c r="F9" s="35">
        <f t="shared" si="1"/>
        <v>7.5274999999999999</v>
      </c>
      <c r="G9" s="34">
        <f t="shared" si="2"/>
        <v>60.25</v>
      </c>
      <c r="H9" s="33">
        <f t="shared" si="7"/>
        <v>65.903124999999989</v>
      </c>
      <c r="I9" s="28">
        <f t="shared" si="8"/>
        <v>4.54</v>
      </c>
      <c r="J9" s="32">
        <v>1</v>
      </c>
      <c r="K9" s="30">
        <f t="shared" si="3"/>
        <v>7.5274999999999999</v>
      </c>
      <c r="L9" s="30"/>
      <c r="M9" s="30"/>
      <c r="N9" s="30"/>
      <c r="O9" s="30"/>
      <c r="Q9" s="29">
        <f t="shared" ca="1" si="4"/>
        <v>1</v>
      </c>
      <c r="R9" s="29">
        <f t="shared" ca="1" si="9"/>
        <v>1</v>
      </c>
      <c r="S9" s="29">
        <f t="shared" ca="1" si="9"/>
        <v>2</v>
      </c>
      <c r="T9" s="29">
        <f t="shared" ca="1" si="9"/>
        <v>2</v>
      </c>
      <c r="U9" s="29">
        <f t="shared" ca="1" si="9"/>
        <v>3</v>
      </c>
      <c r="V9" s="29">
        <f t="shared" ca="1" si="9"/>
        <v>3</v>
      </c>
      <c r="W9" s="29">
        <f t="shared" ca="1" si="9"/>
        <v>0</v>
      </c>
      <c r="X9" s="29">
        <f t="shared" ca="1" si="9"/>
        <v>1</v>
      </c>
      <c r="Y9" s="29">
        <f t="shared" ca="1" si="9"/>
        <v>3</v>
      </c>
      <c r="Z9" s="29">
        <f t="shared" ca="1" si="9"/>
        <v>1</v>
      </c>
      <c r="AA9" s="29">
        <f t="shared" ca="1" si="9"/>
        <v>1</v>
      </c>
      <c r="AB9" s="29">
        <f t="shared" ca="1" si="9"/>
        <v>2</v>
      </c>
      <c r="AC9" s="29">
        <f t="shared" ca="1" si="9"/>
        <v>2</v>
      </c>
      <c r="AD9" s="29">
        <f t="shared" ca="1" si="9"/>
        <v>2</v>
      </c>
      <c r="AE9" s="29">
        <f t="shared" ca="1" si="9"/>
        <v>2</v>
      </c>
      <c r="AF9" s="29">
        <f t="shared" ca="1" si="9"/>
        <v>3</v>
      </c>
      <c r="AG9" s="29">
        <f t="shared" ca="1" si="9"/>
        <v>2</v>
      </c>
      <c r="AH9" s="29">
        <f t="shared" ca="1" si="9"/>
        <v>3</v>
      </c>
      <c r="AI9" s="29">
        <f t="shared" ca="1" si="9"/>
        <v>5</v>
      </c>
      <c r="AJ9" s="29">
        <f t="shared" ca="1" si="9"/>
        <v>3</v>
      </c>
      <c r="AK9" s="29">
        <f t="shared" ca="1" si="9"/>
        <v>1</v>
      </c>
      <c r="AL9" s="29">
        <f t="shared" ca="1" si="9"/>
        <v>3</v>
      </c>
      <c r="AM9" s="29">
        <f t="shared" ca="1" si="9"/>
        <v>2</v>
      </c>
      <c r="AN9" s="29">
        <f t="shared" ca="1" si="9"/>
        <v>3</v>
      </c>
      <c r="AO9" s="29">
        <f t="shared" ca="1" si="9"/>
        <v>1</v>
      </c>
      <c r="AP9" s="29">
        <f t="shared" ca="1" si="9"/>
        <v>2</v>
      </c>
      <c r="AQ9" s="29">
        <f t="shared" ca="1" si="9"/>
        <v>0</v>
      </c>
      <c r="AR9" s="29">
        <f t="shared" ca="1" si="9"/>
        <v>3</v>
      </c>
      <c r="AS9" s="29">
        <f t="shared" ca="1" si="9"/>
        <v>0</v>
      </c>
      <c r="AT9" s="29">
        <f t="shared" ca="1" si="9"/>
        <v>3</v>
      </c>
      <c r="AU9" s="29">
        <f t="shared" ca="1" si="9"/>
        <v>1</v>
      </c>
      <c r="AV9" s="29">
        <f t="shared" ca="1" si="9"/>
        <v>2</v>
      </c>
      <c r="AW9" s="29">
        <f t="shared" ca="1" si="9"/>
        <v>5</v>
      </c>
      <c r="AX9" s="29">
        <f t="shared" ca="1" si="9"/>
        <v>2</v>
      </c>
      <c r="AY9" s="29">
        <f t="shared" ca="1" si="9"/>
        <v>1</v>
      </c>
      <c r="AZ9" s="29">
        <f t="shared" ca="1" si="9"/>
        <v>2</v>
      </c>
      <c r="BA9" s="29">
        <f t="shared" ca="1" si="9"/>
        <v>3</v>
      </c>
      <c r="BB9" s="29">
        <f t="shared" ca="1" si="9"/>
        <v>3</v>
      </c>
      <c r="BC9" s="29">
        <f t="shared" ca="1" si="9"/>
        <v>0</v>
      </c>
      <c r="BD9" s="29">
        <f t="shared" ca="1" si="9"/>
        <v>2</v>
      </c>
      <c r="BE9" s="29">
        <f t="shared" ca="1" si="9"/>
        <v>4</v>
      </c>
      <c r="BF9" s="29">
        <f t="shared" ca="1" si="9"/>
        <v>3</v>
      </c>
      <c r="BG9" s="29">
        <f t="shared" ca="1" si="9"/>
        <v>3</v>
      </c>
      <c r="BH9" s="29">
        <f t="shared" ca="1" si="9"/>
        <v>4</v>
      </c>
      <c r="BI9" s="29">
        <f t="shared" ca="1" si="9"/>
        <v>4</v>
      </c>
      <c r="BJ9" s="29">
        <f t="shared" ca="1" si="9"/>
        <v>5</v>
      </c>
      <c r="BK9" s="29">
        <f t="shared" ca="1" si="9"/>
        <v>2</v>
      </c>
      <c r="BL9" s="29">
        <f t="shared" ca="1" si="9"/>
        <v>3</v>
      </c>
      <c r="BM9" s="29">
        <f t="shared" ca="1" si="9"/>
        <v>2</v>
      </c>
      <c r="BN9" s="29">
        <f t="shared" ca="1" si="9"/>
        <v>3</v>
      </c>
      <c r="BO9" s="29">
        <f t="shared" ca="1" si="9"/>
        <v>3</v>
      </c>
      <c r="BP9" s="29">
        <f t="shared" ca="1" si="9"/>
        <v>0</v>
      </c>
      <c r="BQ9" s="29">
        <f t="shared" ca="1" si="9"/>
        <v>3</v>
      </c>
      <c r="BR9" s="29">
        <f t="shared" ca="1" si="9"/>
        <v>1</v>
      </c>
      <c r="BS9" s="29">
        <f t="shared" ca="1" si="9"/>
        <v>7</v>
      </c>
      <c r="BT9" s="29">
        <f t="shared" ca="1" si="9"/>
        <v>3</v>
      </c>
      <c r="BU9" s="29">
        <f t="shared" ca="1" si="9"/>
        <v>2</v>
      </c>
      <c r="BV9" s="29">
        <f t="shared" ca="1" si="9"/>
        <v>2</v>
      </c>
      <c r="BW9" s="29">
        <f t="shared" ca="1" si="9"/>
        <v>6</v>
      </c>
      <c r="BX9" s="29">
        <f t="shared" ca="1" si="9"/>
        <v>2</v>
      </c>
      <c r="BY9" s="29">
        <f t="shared" ca="1" si="9"/>
        <v>3</v>
      </c>
      <c r="BZ9" s="29">
        <f t="shared" ca="1" si="9"/>
        <v>2</v>
      </c>
      <c r="CA9" s="29">
        <f t="shared" ca="1" si="9"/>
        <v>3</v>
      </c>
      <c r="CB9" s="29">
        <f t="shared" ref="CB9:CQ26" ca="1" si="10">_xlfn.BINOM.INV(50,$E9,RAND())</f>
        <v>3</v>
      </c>
      <c r="CC9" s="29">
        <f t="shared" ca="1" si="10"/>
        <v>1</v>
      </c>
      <c r="CD9" s="29">
        <f t="shared" ca="1" si="6"/>
        <v>3</v>
      </c>
      <c r="CE9" s="29">
        <f t="shared" ca="1" si="6"/>
        <v>2</v>
      </c>
      <c r="CF9" s="29">
        <f t="shared" ca="1" si="6"/>
        <v>1</v>
      </c>
      <c r="CG9" s="29">
        <f t="shared" ca="1" si="6"/>
        <v>6</v>
      </c>
      <c r="CH9" s="29">
        <f t="shared" ca="1" si="6"/>
        <v>1</v>
      </c>
      <c r="CI9" s="29">
        <f t="shared" ca="1" si="6"/>
        <v>2</v>
      </c>
      <c r="CJ9" s="29">
        <f t="shared" ca="1" si="6"/>
        <v>4</v>
      </c>
      <c r="CK9" s="29">
        <f t="shared" ca="1" si="6"/>
        <v>4</v>
      </c>
      <c r="CL9" s="29">
        <f t="shared" ca="1" si="6"/>
        <v>3</v>
      </c>
      <c r="CM9" s="29">
        <f t="shared" ca="1" si="6"/>
        <v>4</v>
      </c>
      <c r="CN9" s="29">
        <f t="shared" ref="CN9:DC25" ca="1" si="11">_xlfn.BINOM.INV(50,$E9,RAND())</f>
        <v>0</v>
      </c>
      <c r="CO9" s="29">
        <f t="shared" ca="1" si="11"/>
        <v>4</v>
      </c>
      <c r="CP9" s="29">
        <f t="shared" ca="1" si="11"/>
        <v>4</v>
      </c>
      <c r="CQ9" s="29">
        <f t="shared" ca="1" si="11"/>
        <v>4</v>
      </c>
      <c r="CR9" s="29">
        <f t="shared" ca="1" si="11"/>
        <v>3</v>
      </c>
      <c r="CS9" s="29">
        <f t="shared" ca="1" si="11"/>
        <v>3</v>
      </c>
      <c r="CT9" s="29">
        <f t="shared" ca="1" si="11"/>
        <v>1</v>
      </c>
      <c r="CU9" s="29">
        <f t="shared" ca="1" si="11"/>
        <v>2</v>
      </c>
      <c r="CV9" s="29">
        <f t="shared" ca="1" si="11"/>
        <v>5</v>
      </c>
      <c r="CW9" s="29">
        <f t="shared" ca="1" si="11"/>
        <v>1</v>
      </c>
      <c r="CX9" s="29">
        <f t="shared" ca="1" si="11"/>
        <v>2</v>
      </c>
      <c r="CY9" s="29">
        <f t="shared" ca="1" si="11"/>
        <v>1</v>
      </c>
      <c r="CZ9" s="29">
        <f t="shared" ca="1" si="11"/>
        <v>2</v>
      </c>
      <c r="DA9" s="29">
        <f t="shared" ca="1" si="11"/>
        <v>4</v>
      </c>
      <c r="DB9" s="29">
        <f t="shared" ca="1" si="11"/>
        <v>1</v>
      </c>
      <c r="DC9" s="29">
        <f t="shared" ca="1" si="11"/>
        <v>2</v>
      </c>
      <c r="DD9" s="29">
        <f t="shared" ref="DD9:DL40" ca="1" si="12">_xlfn.BINOM.INV(50,$E9,RAND())</f>
        <v>1</v>
      </c>
      <c r="DE9" s="29">
        <f t="shared" ca="1" si="12"/>
        <v>2</v>
      </c>
      <c r="DF9" s="29">
        <f t="shared" ca="1" si="12"/>
        <v>3</v>
      </c>
      <c r="DG9" s="29">
        <f t="shared" ca="1" si="12"/>
        <v>0</v>
      </c>
      <c r="DH9" s="29">
        <f t="shared" ca="1" si="12"/>
        <v>1</v>
      </c>
      <c r="DI9" s="29">
        <f t="shared" ca="1" si="12"/>
        <v>1</v>
      </c>
      <c r="DJ9" s="29">
        <f t="shared" ca="1" si="12"/>
        <v>4</v>
      </c>
      <c r="DK9" s="29">
        <f t="shared" ca="1" si="12"/>
        <v>2</v>
      </c>
      <c r="DL9" s="29">
        <f t="shared" ca="1" si="12"/>
        <v>3</v>
      </c>
    </row>
    <row r="10" spans="1:116" ht="17.399999999999999" x14ac:dyDescent="0.35">
      <c r="A10" s="31">
        <v>1014</v>
      </c>
      <c r="B10" s="28">
        <v>0.87</v>
      </c>
      <c r="C10" s="30">
        <v>98.25</v>
      </c>
      <c r="D10" s="28">
        <v>3.2</v>
      </c>
      <c r="E10" s="34">
        <f t="shared" si="0"/>
        <v>6.4000000000000001E-2</v>
      </c>
      <c r="F10" s="35">
        <f t="shared" si="1"/>
        <v>24.5625</v>
      </c>
      <c r="G10" s="34">
        <f t="shared" si="2"/>
        <v>80</v>
      </c>
      <c r="H10" s="33">
        <f t="shared" si="7"/>
        <v>63.72126436781609</v>
      </c>
      <c r="I10" s="28">
        <f t="shared" si="8"/>
        <v>5.41</v>
      </c>
      <c r="J10" s="32">
        <v>1</v>
      </c>
      <c r="K10" s="30">
        <f t="shared" si="3"/>
        <v>24.5625</v>
      </c>
      <c r="L10" s="30"/>
      <c r="M10" s="55" t="s">
        <v>138</v>
      </c>
      <c r="N10" s="30"/>
      <c r="O10" s="30"/>
      <c r="Q10" s="29">
        <f t="shared" ca="1" si="4"/>
        <v>2</v>
      </c>
      <c r="R10" s="29">
        <f t="shared" ref="R10:AF25" ca="1" si="13">_xlfn.BINOM.INV(50,$E10,RAND())</f>
        <v>2</v>
      </c>
      <c r="S10" s="29">
        <f t="shared" ca="1" si="13"/>
        <v>2</v>
      </c>
      <c r="T10" s="29">
        <f t="shared" ca="1" si="13"/>
        <v>2</v>
      </c>
      <c r="U10" s="29">
        <f t="shared" ca="1" si="13"/>
        <v>2</v>
      </c>
      <c r="V10" s="29">
        <f t="shared" ca="1" si="13"/>
        <v>2</v>
      </c>
      <c r="W10" s="29">
        <f t="shared" ca="1" si="13"/>
        <v>5</v>
      </c>
      <c r="X10" s="29">
        <f t="shared" ca="1" si="13"/>
        <v>2</v>
      </c>
      <c r="Y10" s="29">
        <f t="shared" ca="1" si="13"/>
        <v>8</v>
      </c>
      <c r="Z10" s="29">
        <f t="shared" ca="1" si="13"/>
        <v>2</v>
      </c>
      <c r="AA10" s="29">
        <f t="shared" ca="1" si="13"/>
        <v>2</v>
      </c>
      <c r="AB10" s="29">
        <f t="shared" ca="1" si="13"/>
        <v>4</v>
      </c>
      <c r="AC10" s="29">
        <f t="shared" ca="1" si="13"/>
        <v>2</v>
      </c>
      <c r="AD10" s="29">
        <f t="shared" ca="1" si="13"/>
        <v>5</v>
      </c>
      <c r="AE10" s="29">
        <f t="shared" ca="1" si="13"/>
        <v>2</v>
      </c>
      <c r="AF10" s="29">
        <f t="shared" ca="1" si="13"/>
        <v>1</v>
      </c>
      <c r="AG10" s="29">
        <f t="shared" ref="AG10:AV26" ca="1" si="14">_xlfn.BINOM.INV(50,$E10,RAND())</f>
        <v>6</v>
      </c>
      <c r="AH10" s="29">
        <f t="shared" ca="1" si="14"/>
        <v>4</v>
      </c>
      <c r="AI10" s="29">
        <f t="shared" ca="1" si="14"/>
        <v>0</v>
      </c>
      <c r="AJ10" s="29">
        <f t="shared" ca="1" si="14"/>
        <v>2</v>
      </c>
      <c r="AK10" s="29">
        <f t="shared" ca="1" si="14"/>
        <v>3</v>
      </c>
      <c r="AL10" s="29">
        <f t="shared" ca="1" si="14"/>
        <v>5</v>
      </c>
      <c r="AM10" s="29">
        <f t="shared" ca="1" si="14"/>
        <v>1</v>
      </c>
      <c r="AN10" s="29">
        <f t="shared" ca="1" si="14"/>
        <v>3</v>
      </c>
      <c r="AO10" s="29">
        <f t="shared" ca="1" si="14"/>
        <v>1</v>
      </c>
      <c r="AP10" s="29">
        <f t="shared" ca="1" si="14"/>
        <v>8</v>
      </c>
      <c r="AQ10" s="29">
        <f t="shared" ca="1" si="14"/>
        <v>2</v>
      </c>
      <c r="AR10" s="29">
        <f t="shared" ca="1" si="14"/>
        <v>4</v>
      </c>
      <c r="AS10" s="29">
        <f t="shared" ca="1" si="14"/>
        <v>2</v>
      </c>
      <c r="AT10" s="29">
        <f t="shared" ca="1" si="14"/>
        <v>4</v>
      </c>
      <c r="AU10" s="29">
        <f t="shared" ca="1" si="14"/>
        <v>4</v>
      </c>
      <c r="AV10" s="29">
        <f t="shared" ca="1" si="14"/>
        <v>1</v>
      </c>
      <c r="AW10" s="29">
        <f t="shared" ref="AW10:BL25" ca="1" si="15">_xlfn.BINOM.INV(50,$E10,RAND())</f>
        <v>3</v>
      </c>
      <c r="AX10" s="29">
        <f t="shared" ca="1" si="15"/>
        <v>3</v>
      </c>
      <c r="AY10" s="29">
        <f t="shared" ca="1" si="15"/>
        <v>2</v>
      </c>
      <c r="AZ10" s="29">
        <f t="shared" ca="1" si="15"/>
        <v>2</v>
      </c>
      <c r="BA10" s="29">
        <f t="shared" ca="1" si="15"/>
        <v>2</v>
      </c>
      <c r="BB10" s="29">
        <f t="shared" ca="1" si="15"/>
        <v>3</v>
      </c>
      <c r="BC10" s="29">
        <f t="shared" ca="1" si="15"/>
        <v>3</v>
      </c>
      <c r="BD10" s="29">
        <f t="shared" ca="1" si="15"/>
        <v>3</v>
      </c>
      <c r="BE10" s="29">
        <f t="shared" ca="1" si="15"/>
        <v>1</v>
      </c>
      <c r="BF10" s="29">
        <f t="shared" ca="1" si="15"/>
        <v>2</v>
      </c>
      <c r="BG10" s="29">
        <f t="shared" ca="1" si="15"/>
        <v>3</v>
      </c>
      <c r="BH10" s="29">
        <f t="shared" ca="1" si="15"/>
        <v>1</v>
      </c>
      <c r="BI10" s="29">
        <f t="shared" ca="1" si="15"/>
        <v>4</v>
      </c>
      <c r="BJ10" s="29">
        <f t="shared" ca="1" si="15"/>
        <v>1</v>
      </c>
      <c r="BK10" s="29">
        <f t="shared" ca="1" si="15"/>
        <v>1</v>
      </c>
      <c r="BL10" s="29">
        <f t="shared" ca="1" si="15"/>
        <v>2</v>
      </c>
      <c r="BM10" s="29">
        <f t="shared" ref="BM10:CB39" ca="1" si="16">_xlfn.BINOM.INV(50,$E10,RAND())</f>
        <v>6</v>
      </c>
      <c r="BN10" s="29">
        <f t="shared" ca="1" si="16"/>
        <v>0</v>
      </c>
      <c r="BO10" s="29">
        <f t="shared" ca="1" si="16"/>
        <v>4</v>
      </c>
      <c r="BP10" s="29">
        <f t="shared" ca="1" si="16"/>
        <v>3</v>
      </c>
      <c r="BQ10" s="29">
        <f t="shared" ca="1" si="16"/>
        <v>4</v>
      </c>
      <c r="BR10" s="29">
        <f t="shared" ca="1" si="16"/>
        <v>5</v>
      </c>
      <c r="BS10" s="29">
        <f t="shared" ca="1" si="16"/>
        <v>5</v>
      </c>
      <c r="BT10" s="29">
        <f t="shared" ca="1" si="16"/>
        <v>4</v>
      </c>
      <c r="BU10" s="29">
        <f t="shared" ca="1" si="16"/>
        <v>3</v>
      </c>
      <c r="BV10" s="29">
        <f t="shared" ca="1" si="16"/>
        <v>4</v>
      </c>
      <c r="BW10" s="29">
        <f t="shared" ca="1" si="16"/>
        <v>2</v>
      </c>
      <c r="BX10" s="29">
        <f t="shared" ca="1" si="16"/>
        <v>2</v>
      </c>
      <c r="BY10" s="29">
        <f t="shared" ca="1" si="16"/>
        <v>4</v>
      </c>
      <c r="BZ10" s="29">
        <f t="shared" ca="1" si="16"/>
        <v>2</v>
      </c>
      <c r="CA10" s="29">
        <f t="shared" ca="1" si="16"/>
        <v>4</v>
      </c>
      <c r="CB10" s="29">
        <f t="shared" ca="1" si="16"/>
        <v>3</v>
      </c>
      <c r="CC10" s="29">
        <f t="shared" ca="1" si="10"/>
        <v>3</v>
      </c>
      <c r="CD10" s="29">
        <f t="shared" ca="1" si="10"/>
        <v>5</v>
      </c>
      <c r="CE10" s="29">
        <f t="shared" ca="1" si="10"/>
        <v>4</v>
      </c>
      <c r="CF10" s="29">
        <f t="shared" ca="1" si="10"/>
        <v>7</v>
      </c>
      <c r="CG10" s="29">
        <f t="shared" ca="1" si="10"/>
        <v>2</v>
      </c>
      <c r="CH10" s="29">
        <f t="shared" ca="1" si="10"/>
        <v>2</v>
      </c>
      <c r="CI10" s="29">
        <f t="shared" ca="1" si="10"/>
        <v>4</v>
      </c>
      <c r="CJ10" s="29">
        <f t="shared" ca="1" si="10"/>
        <v>1</v>
      </c>
      <c r="CK10" s="29">
        <f t="shared" ca="1" si="10"/>
        <v>1</v>
      </c>
      <c r="CL10" s="29">
        <f t="shared" ca="1" si="10"/>
        <v>5</v>
      </c>
      <c r="CM10" s="29">
        <f t="shared" ca="1" si="10"/>
        <v>6</v>
      </c>
      <c r="CN10" s="29">
        <f t="shared" ca="1" si="10"/>
        <v>3</v>
      </c>
      <c r="CO10" s="29">
        <f t="shared" ca="1" si="10"/>
        <v>0</v>
      </c>
      <c r="CP10" s="29">
        <f t="shared" ca="1" si="10"/>
        <v>9</v>
      </c>
      <c r="CQ10" s="29">
        <f t="shared" ca="1" si="10"/>
        <v>3</v>
      </c>
      <c r="CR10" s="29">
        <f t="shared" ca="1" si="11"/>
        <v>3</v>
      </c>
      <c r="CS10" s="29">
        <f t="shared" ca="1" si="11"/>
        <v>0</v>
      </c>
      <c r="CT10" s="29">
        <f t="shared" ca="1" si="11"/>
        <v>2</v>
      </c>
      <c r="CU10" s="29">
        <f t="shared" ca="1" si="11"/>
        <v>3</v>
      </c>
      <c r="CV10" s="29">
        <f t="shared" ca="1" si="11"/>
        <v>3</v>
      </c>
      <c r="CW10" s="29">
        <f t="shared" ca="1" si="11"/>
        <v>2</v>
      </c>
      <c r="CX10" s="29">
        <f t="shared" ca="1" si="11"/>
        <v>2</v>
      </c>
      <c r="CY10" s="29">
        <f t="shared" ca="1" si="11"/>
        <v>2</v>
      </c>
      <c r="CZ10" s="29">
        <f t="shared" ca="1" si="11"/>
        <v>1</v>
      </c>
      <c r="DA10" s="29">
        <f t="shared" ca="1" si="11"/>
        <v>2</v>
      </c>
      <c r="DB10" s="29">
        <f t="shared" ca="1" si="11"/>
        <v>5</v>
      </c>
      <c r="DC10" s="29">
        <f t="shared" ca="1" si="11"/>
        <v>1</v>
      </c>
      <c r="DD10" s="29">
        <f t="shared" ca="1" si="12"/>
        <v>2</v>
      </c>
      <c r="DE10" s="29">
        <f t="shared" ca="1" si="12"/>
        <v>4</v>
      </c>
      <c r="DF10" s="29">
        <f t="shared" ca="1" si="12"/>
        <v>2</v>
      </c>
      <c r="DG10" s="29">
        <f t="shared" ca="1" si="12"/>
        <v>2</v>
      </c>
      <c r="DH10" s="29">
        <f t="shared" ca="1" si="12"/>
        <v>4</v>
      </c>
      <c r="DI10" s="29">
        <f t="shared" ca="1" si="12"/>
        <v>2</v>
      </c>
      <c r="DJ10" s="29">
        <f t="shared" ca="1" si="12"/>
        <v>6</v>
      </c>
      <c r="DK10" s="29">
        <f t="shared" ca="1" si="12"/>
        <v>4</v>
      </c>
      <c r="DL10" s="29">
        <f t="shared" ca="1" si="12"/>
        <v>2</v>
      </c>
    </row>
    <row r="11" spans="1:116" ht="14.4" x14ac:dyDescent="0.3">
      <c r="A11" s="31">
        <v>1035</v>
      </c>
      <c r="B11" s="28">
        <v>1.39</v>
      </c>
      <c r="C11" s="30">
        <v>1.23</v>
      </c>
      <c r="D11" s="28">
        <v>3.21</v>
      </c>
      <c r="E11" s="34">
        <f t="shared" si="0"/>
        <v>6.4199999999999993E-2</v>
      </c>
      <c r="F11" s="35">
        <f t="shared" si="1"/>
        <v>0.3075</v>
      </c>
      <c r="G11" s="34">
        <f t="shared" si="2"/>
        <v>80.25</v>
      </c>
      <c r="H11" s="33">
        <f t="shared" si="7"/>
        <v>57.512589928057558</v>
      </c>
      <c r="I11" s="28">
        <f t="shared" si="8"/>
        <v>6.8</v>
      </c>
      <c r="J11" s="32">
        <v>1</v>
      </c>
      <c r="K11" s="30">
        <f t="shared" si="3"/>
        <v>0.3075</v>
      </c>
      <c r="L11" s="30"/>
      <c r="M11" s="30"/>
      <c r="N11" s="30"/>
      <c r="O11" s="30"/>
      <c r="Q11" s="29">
        <f t="shared" ca="1" si="4"/>
        <v>3</v>
      </c>
      <c r="R11" s="29">
        <f t="shared" ca="1" si="13"/>
        <v>4</v>
      </c>
      <c r="S11" s="29">
        <f t="shared" ca="1" si="13"/>
        <v>1</v>
      </c>
      <c r="T11" s="29">
        <f t="shared" ca="1" si="13"/>
        <v>3</v>
      </c>
      <c r="U11" s="29">
        <f t="shared" ca="1" si="13"/>
        <v>2</v>
      </c>
      <c r="V11" s="29">
        <f t="shared" ca="1" si="13"/>
        <v>4</v>
      </c>
      <c r="W11" s="29">
        <f t="shared" ca="1" si="13"/>
        <v>4</v>
      </c>
      <c r="X11" s="29">
        <f t="shared" ca="1" si="13"/>
        <v>3</v>
      </c>
      <c r="Y11" s="29">
        <f t="shared" ca="1" si="13"/>
        <v>1</v>
      </c>
      <c r="Z11" s="29">
        <f t="shared" ca="1" si="13"/>
        <v>6</v>
      </c>
      <c r="AA11" s="29">
        <f t="shared" ca="1" si="13"/>
        <v>7</v>
      </c>
      <c r="AB11" s="29">
        <f t="shared" ca="1" si="13"/>
        <v>3</v>
      </c>
      <c r="AC11" s="29">
        <f t="shared" ca="1" si="13"/>
        <v>2</v>
      </c>
      <c r="AD11" s="29">
        <f t="shared" ca="1" si="13"/>
        <v>4</v>
      </c>
      <c r="AE11" s="29">
        <f t="shared" ca="1" si="13"/>
        <v>1</v>
      </c>
      <c r="AF11" s="29">
        <f t="shared" ca="1" si="13"/>
        <v>1</v>
      </c>
      <c r="AG11" s="29">
        <f t="shared" ca="1" si="14"/>
        <v>3</v>
      </c>
      <c r="AH11" s="29">
        <f t="shared" ca="1" si="14"/>
        <v>4</v>
      </c>
      <c r="AI11" s="29">
        <f t="shared" ca="1" si="14"/>
        <v>4</v>
      </c>
      <c r="AJ11" s="29">
        <f t="shared" ca="1" si="14"/>
        <v>4</v>
      </c>
      <c r="AK11" s="29">
        <f t="shared" ca="1" si="14"/>
        <v>2</v>
      </c>
      <c r="AL11" s="29">
        <f t="shared" ca="1" si="14"/>
        <v>5</v>
      </c>
      <c r="AM11" s="29">
        <f t="shared" ca="1" si="14"/>
        <v>2</v>
      </c>
      <c r="AN11" s="29">
        <f t="shared" ca="1" si="14"/>
        <v>5</v>
      </c>
      <c r="AO11" s="29">
        <f t="shared" ca="1" si="14"/>
        <v>3</v>
      </c>
      <c r="AP11" s="29">
        <f t="shared" ca="1" si="14"/>
        <v>3</v>
      </c>
      <c r="AQ11" s="29">
        <f t="shared" ca="1" si="14"/>
        <v>4</v>
      </c>
      <c r="AR11" s="29">
        <f t="shared" ca="1" si="14"/>
        <v>4</v>
      </c>
      <c r="AS11" s="29">
        <f t="shared" ca="1" si="14"/>
        <v>5</v>
      </c>
      <c r="AT11" s="29">
        <f t="shared" ca="1" si="14"/>
        <v>3</v>
      </c>
      <c r="AU11" s="29">
        <f t="shared" ca="1" si="14"/>
        <v>4</v>
      </c>
      <c r="AV11" s="29">
        <f t="shared" ca="1" si="14"/>
        <v>2</v>
      </c>
      <c r="AW11" s="29">
        <f t="shared" ca="1" si="15"/>
        <v>2</v>
      </c>
      <c r="AX11" s="29">
        <f t="shared" ca="1" si="15"/>
        <v>2</v>
      </c>
      <c r="AY11" s="29">
        <f t="shared" ca="1" si="15"/>
        <v>2</v>
      </c>
      <c r="AZ11" s="29">
        <f t="shared" ca="1" si="15"/>
        <v>3</v>
      </c>
      <c r="BA11" s="29">
        <f t="shared" ca="1" si="15"/>
        <v>0</v>
      </c>
      <c r="BB11" s="29">
        <f t="shared" ca="1" si="15"/>
        <v>4</v>
      </c>
      <c r="BC11" s="29">
        <f t="shared" ca="1" si="15"/>
        <v>5</v>
      </c>
      <c r="BD11" s="29">
        <f t="shared" ca="1" si="15"/>
        <v>3</v>
      </c>
      <c r="BE11" s="29">
        <f t="shared" ca="1" si="15"/>
        <v>2</v>
      </c>
      <c r="BF11" s="29">
        <f t="shared" ca="1" si="15"/>
        <v>3</v>
      </c>
      <c r="BG11" s="29">
        <f t="shared" ca="1" si="15"/>
        <v>8</v>
      </c>
      <c r="BH11" s="29">
        <f t="shared" ca="1" si="15"/>
        <v>4</v>
      </c>
      <c r="BI11" s="29">
        <f t="shared" ca="1" si="15"/>
        <v>2</v>
      </c>
      <c r="BJ11" s="29">
        <f t="shared" ca="1" si="15"/>
        <v>5</v>
      </c>
      <c r="BK11" s="29">
        <f t="shared" ca="1" si="15"/>
        <v>3</v>
      </c>
      <c r="BL11" s="29">
        <f t="shared" ca="1" si="15"/>
        <v>2</v>
      </c>
      <c r="BM11" s="29">
        <f t="shared" ca="1" si="16"/>
        <v>1</v>
      </c>
      <c r="BN11" s="29">
        <f t="shared" ca="1" si="16"/>
        <v>4</v>
      </c>
      <c r="BO11" s="29">
        <f t="shared" ca="1" si="16"/>
        <v>4</v>
      </c>
      <c r="BP11" s="29">
        <f t="shared" ca="1" si="16"/>
        <v>3</v>
      </c>
      <c r="BQ11" s="29">
        <f t="shared" ca="1" si="16"/>
        <v>4</v>
      </c>
      <c r="BR11" s="29">
        <f t="shared" ca="1" si="16"/>
        <v>5</v>
      </c>
      <c r="BS11" s="29">
        <f t="shared" ca="1" si="16"/>
        <v>3</v>
      </c>
      <c r="BT11" s="29">
        <f t="shared" ca="1" si="16"/>
        <v>2</v>
      </c>
      <c r="BU11" s="29">
        <f t="shared" ca="1" si="16"/>
        <v>4</v>
      </c>
      <c r="BV11" s="29">
        <f t="shared" ca="1" si="16"/>
        <v>6</v>
      </c>
      <c r="BW11" s="29">
        <f t="shared" ca="1" si="16"/>
        <v>5</v>
      </c>
      <c r="BX11" s="29">
        <f t="shared" ca="1" si="16"/>
        <v>5</v>
      </c>
      <c r="BY11" s="29">
        <f t="shared" ca="1" si="16"/>
        <v>3</v>
      </c>
      <c r="BZ11" s="29">
        <f t="shared" ca="1" si="16"/>
        <v>3</v>
      </c>
      <c r="CA11" s="29">
        <f t="shared" ca="1" si="16"/>
        <v>3</v>
      </c>
      <c r="CB11" s="29">
        <f t="shared" ca="1" si="16"/>
        <v>3</v>
      </c>
      <c r="CC11" s="29">
        <f t="shared" ca="1" si="10"/>
        <v>2</v>
      </c>
      <c r="CD11" s="29">
        <f t="shared" ca="1" si="10"/>
        <v>1</v>
      </c>
      <c r="CE11" s="29">
        <f t="shared" ca="1" si="10"/>
        <v>3</v>
      </c>
      <c r="CF11" s="29">
        <f t="shared" ca="1" si="10"/>
        <v>2</v>
      </c>
      <c r="CG11" s="29">
        <f t="shared" ca="1" si="10"/>
        <v>6</v>
      </c>
      <c r="CH11" s="29">
        <f t="shared" ca="1" si="10"/>
        <v>3</v>
      </c>
      <c r="CI11" s="29">
        <f t="shared" ca="1" si="10"/>
        <v>6</v>
      </c>
      <c r="CJ11" s="29">
        <f t="shared" ca="1" si="10"/>
        <v>2</v>
      </c>
      <c r="CK11" s="29">
        <f t="shared" ca="1" si="10"/>
        <v>4</v>
      </c>
      <c r="CL11" s="29">
        <f t="shared" ca="1" si="10"/>
        <v>2</v>
      </c>
      <c r="CM11" s="29">
        <f t="shared" ca="1" si="10"/>
        <v>6</v>
      </c>
      <c r="CN11" s="29">
        <f t="shared" ca="1" si="10"/>
        <v>1</v>
      </c>
      <c r="CO11" s="29">
        <f t="shared" ca="1" si="10"/>
        <v>3</v>
      </c>
      <c r="CP11" s="29">
        <f t="shared" ca="1" si="10"/>
        <v>5</v>
      </c>
      <c r="CQ11" s="29">
        <f t="shared" ca="1" si="10"/>
        <v>3</v>
      </c>
      <c r="CR11" s="29">
        <f t="shared" ca="1" si="11"/>
        <v>3</v>
      </c>
      <c r="CS11" s="29">
        <f t="shared" ca="1" si="11"/>
        <v>8</v>
      </c>
      <c r="CT11" s="29">
        <f t="shared" ca="1" si="11"/>
        <v>1</v>
      </c>
      <c r="CU11" s="29">
        <f t="shared" ca="1" si="11"/>
        <v>5</v>
      </c>
      <c r="CV11" s="29">
        <f t="shared" ca="1" si="11"/>
        <v>4</v>
      </c>
      <c r="CW11" s="29">
        <f t="shared" ca="1" si="11"/>
        <v>1</v>
      </c>
      <c r="CX11" s="29">
        <f t="shared" ca="1" si="11"/>
        <v>2</v>
      </c>
      <c r="CY11" s="29">
        <f t="shared" ca="1" si="11"/>
        <v>3</v>
      </c>
      <c r="CZ11" s="29">
        <f t="shared" ca="1" si="11"/>
        <v>1</v>
      </c>
      <c r="DA11" s="29">
        <f t="shared" ca="1" si="11"/>
        <v>6</v>
      </c>
      <c r="DB11" s="29">
        <f t="shared" ca="1" si="11"/>
        <v>1</v>
      </c>
      <c r="DC11" s="29">
        <f t="shared" ca="1" si="11"/>
        <v>2</v>
      </c>
      <c r="DD11" s="29">
        <f t="shared" ca="1" si="12"/>
        <v>2</v>
      </c>
      <c r="DE11" s="29">
        <f t="shared" ca="1" si="12"/>
        <v>1</v>
      </c>
      <c r="DF11" s="29">
        <f t="shared" ca="1" si="12"/>
        <v>3</v>
      </c>
      <c r="DG11" s="29">
        <f t="shared" ca="1" si="12"/>
        <v>3</v>
      </c>
      <c r="DH11" s="29">
        <f t="shared" ca="1" si="12"/>
        <v>0</v>
      </c>
      <c r="DI11" s="29">
        <f t="shared" ca="1" si="12"/>
        <v>2</v>
      </c>
      <c r="DJ11" s="29">
        <f t="shared" ca="1" si="12"/>
        <v>4</v>
      </c>
      <c r="DK11" s="29">
        <f t="shared" ca="1" si="12"/>
        <v>3</v>
      </c>
      <c r="DL11" s="29">
        <f t="shared" ca="1" si="12"/>
        <v>1</v>
      </c>
    </row>
    <row r="12" spans="1:116" ht="14.4" x14ac:dyDescent="0.3">
      <c r="A12" s="31">
        <v>836</v>
      </c>
      <c r="B12" s="28">
        <v>1.39</v>
      </c>
      <c r="C12" s="30">
        <v>14.51</v>
      </c>
      <c r="D12" s="28">
        <v>2.8</v>
      </c>
      <c r="E12" s="34">
        <f t="shared" si="0"/>
        <v>5.5999999999999994E-2</v>
      </c>
      <c r="F12" s="35">
        <f t="shared" si="1"/>
        <v>3.6274999999999999</v>
      </c>
      <c r="G12" s="34">
        <f t="shared" si="2"/>
        <v>70</v>
      </c>
      <c r="H12" s="33">
        <f t="shared" si="7"/>
        <v>47.750000000000007</v>
      </c>
      <c r="I12" s="28">
        <f t="shared" si="8"/>
        <v>8.19</v>
      </c>
      <c r="J12" s="32">
        <v>1</v>
      </c>
      <c r="K12" s="30">
        <f t="shared" si="3"/>
        <v>3.6274999999999999</v>
      </c>
      <c r="L12" s="30"/>
      <c r="M12" s="30"/>
      <c r="N12" s="30"/>
      <c r="O12" s="30"/>
      <c r="Q12" s="29">
        <f t="shared" ca="1" si="4"/>
        <v>2</v>
      </c>
      <c r="R12" s="29">
        <f t="shared" ca="1" si="13"/>
        <v>3</v>
      </c>
      <c r="S12" s="29">
        <f t="shared" ca="1" si="13"/>
        <v>5</v>
      </c>
      <c r="T12" s="29">
        <f t="shared" ca="1" si="13"/>
        <v>2</v>
      </c>
      <c r="U12" s="29">
        <f t="shared" ca="1" si="13"/>
        <v>5</v>
      </c>
      <c r="V12" s="29">
        <f t="shared" ca="1" si="13"/>
        <v>1</v>
      </c>
      <c r="W12" s="29">
        <f t="shared" ca="1" si="13"/>
        <v>4</v>
      </c>
      <c r="X12" s="29">
        <f t="shared" ca="1" si="13"/>
        <v>1</v>
      </c>
      <c r="Y12" s="29">
        <f t="shared" ca="1" si="13"/>
        <v>3</v>
      </c>
      <c r="Z12" s="29">
        <f t="shared" ca="1" si="13"/>
        <v>4</v>
      </c>
      <c r="AA12" s="29">
        <f t="shared" ca="1" si="13"/>
        <v>2</v>
      </c>
      <c r="AB12" s="29">
        <f t="shared" ca="1" si="13"/>
        <v>4</v>
      </c>
      <c r="AC12" s="29">
        <f t="shared" ca="1" si="13"/>
        <v>3</v>
      </c>
      <c r="AD12" s="29">
        <f t="shared" ca="1" si="13"/>
        <v>1</v>
      </c>
      <c r="AE12" s="29">
        <f t="shared" ca="1" si="13"/>
        <v>3</v>
      </c>
      <c r="AF12" s="29">
        <f t="shared" ca="1" si="13"/>
        <v>4</v>
      </c>
      <c r="AG12" s="29">
        <f t="shared" ca="1" si="14"/>
        <v>2</v>
      </c>
      <c r="AH12" s="29">
        <f t="shared" ca="1" si="14"/>
        <v>3</v>
      </c>
      <c r="AI12" s="29">
        <f t="shared" ca="1" si="14"/>
        <v>2</v>
      </c>
      <c r="AJ12" s="29">
        <f t="shared" ca="1" si="14"/>
        <v>5</v>
      </c>
      <c r="AK12" s="29">
        <f t="shared" ca="1" si="14"/>
        <v>1</v>
      </c>
      <c r="AL12" s="29">
        <f t="shared" ca="1" si="14"/>
        <v>1</v>
      </c>
      <c r="AM12" s="29">
        <f t="shared" ca="1" si="14"/>
        <v>3</v>
      </c>
      <c r="AN12" s="29">
        <f t="shared" ca="1" si="14"/>
        <v>4</v>
      </c>
      <c r="AO12" s="29">
        <f t="shared" ca="1" si="14"/>
        <v>4</v>
      </c>
      <c r="AP12" s="29">
        <f t="shared" ca="1" si="14"/>
        <v>3</v>
      </c>
      <c r="AQ12" s="29">
        <f t="shared" ca="1" si="14"/>
        <v>0</v>
      </c>
      <c r="AR12" s="29">
        <f t="shared" ca="1" si="14"/>
        <v>1</v>
      </c>
      <c r="AS12" s="29">
        <f t="shared" ca="1" si="14"/>
        <v>3</v>
      </c>
      <c r="AT12" s="29">
        <f t="shared" ca="1" si="14"/>
        <v>0</v>
      </c>
      <c r="AU12" s="29">
        <f t="shared" ca="1" si="14"/>
        <v>3</v>
      </c>
      <c r="AV12" s="29">
        <f t="shared" ca="1" si="14"/>
        <v>1</v>
      </c>
      <c r="AW12" s="29">
        <f t="shared" ca="1" si="15"/>
        <v>0</v>
      </c>
      <c r="AX12" s="29">
        <f t="shared" ca="1" si="15"/>
        <v>2</v>
      </c>
      <c r="AY12" s="29">
        <f t="shared" ca="1" si="15"/>
        <v>6</v>
      </c>
      <c r="AZ12" s="29">
        <f t="shared" ca="1" si="15"/>
        <v>4</v>
      </c>
      <c r="BA12" s="29">
        <f t="shared" ca="1" si="15"/>
        <v>3</v>
      </c>
      <c r="BB12" s="29">
        <f t="shared" ca="1" si="15"/>
        <v>2</v>
      </c>
      <c r="BC12" s="29">
        <f t="shared" ca="1" si="15"/>
        <v>1</v>
      </c>
      <c r="BD12" s="29">
        <f t="shared" ca="1" si="15"/>
        <v>3</v>
      </c>
      <c r="BE12" s="29">
        <f t="shared" ca="1" si="15"/>
        <v>3</v>
      </c>
      <c r="BF12" s="29">
        <f t="shared" ca="1" si="15"/>
        <v>3</v>
      </c>
      <c r="BG12" s="29">
        <f t="shared" ca="1" si="15"/>
        <v>1</v>
      </c>
      <c r="BH12" s="29">
        <f t="shared" ca="1" si="15"/>
        <v>6</v>
      </c>
      <c r="BI12" s="29">
        <f t="shared" ca="1" si="15"/>
        <v>3</v>
      </c>
      <c r="BJ12" s="29">
        <f t="shared" ca="1" si="15"/>
        <v>9</v>
      </c>
      <c r="BK12" s="29">
        <f t="shared" ca="1" si="15"/>
        <v>3</v>
      </c>
      <c r="BL12" s="29">
        <f t="shared" ca="1" si="15"/>
        <v>3</v>
      </c>
      <c r="BM12" s="29">
        <f t="shared" ca="1" si="16"/>
        <v>5</v>
      </c>
      <c r="BN12" s="29">
        <f t="shared" ca="1" si="16"/>
        <v>4</v>
      </c>
      <c r="BO12" s="29">
        <f t="shared" ca="1" si="16"/>
        <v>1</v>
      </c>
      <c r="BP12" s="29">
        <f t="shared" ca="1" si="16"/>
        <v>3</v>
      </c>
      <c r="BQ12" s="29">
        <f t="shared" ca="1" si="16"/>
        <v>2</v>
      </c>
      <c r="BR12" s="29">
        <f t="shared" ca="1" si="16"/>
        <v>2</v>
      </c>
      <c r="BS12" s="29">
        <f t="shared" ca="1" si="16"/>
        <v>4</v>
      </c>
      <c r="BT12" s="29">
        <f t="shared" ca="1" si="16"/>
        <v>4</v>
      </c>
      <c r="BU12" s="29">
        <f t="shared" ca="1" si="16"/>
        <v>4</v>
      </c>
      <c r="BV12" s="29">
        <f t="shared" ca="1" si="16"/>
        <v>3</v>
      </c>
      <c r="BW12" s="29">
        <f t="shared" ca="1" si="16"/>
        <v>0</v>
      </c>
      <c r="BX12" s="29">
        <f t="shared" ca="1" si="16"/>
        <v>1</v>
      </c>
      <c r="BY12" s="29">
        <f t="shared" ca="1" si="16"/>
        <v>1</v>
      </c>
      <c r="BZ12" s="29">
        <f t="shared" ca="1" si="16"/>
        <v>2</v>
      </c>
      <c r="CA12" s="29">
        <f t="shared" ca="1" si="16"/>
        <v>4</v>
      </c>
      <c r="CB12" s="29">
        <f t="shared" ca="1" si="16"/>
        <v>5</v>
      </c>
      <c r="CC12" s="29">
        <f t="shared" ca="1" si="10"/>
        <v>3</v>
      </c>
      <c r="CD12" s="29">
        <f t="shared" ca="1" si="10"/>
        <v>2</v>
      </c>
      <c r="CE12" s="29">
        <f t="shared" ca="1" si="10"/>
        <v>2</v>
      </c>
      <c r="CF12" s="29">
        <f t="shared" ca="1" si="10"/>
        <v>0</v>
      </c>
      <c r="CG12" s="29">
        <f t="shared" ca="1" si="10"/>
        <v>4</v>
      </c>
      <c r="CH12" s="29">
        <f t="shared" ca="1" si="10"/>
        <v>7</v>
      </c>
      <c r="CI12" s="29">
        <f t="shared" ca="1" si="10"/>
        <v>2</v>
      </c>
      <c r="CJ12" s="29">
        <f t="shared" ca="1" si="10"/>
        <v>2</v>
      </c>
      <c r="CK12" s="29">
        <f t="shared" ca="1" si="10"/>
        <v>6</v>
      </c>
      <c r="CL12" s="29">
        <f t="shared" ca="1" si="10"/>
        <v>1</v>
      </c>
      <c r="CM12" s="29">
        <f t="shared" ca="1" si="10"/>
        <v>1</v>
      </c>
      <c r="CN12" s="29">
        <f t="shared" ca="1" si="10"/>
        <v>3</v>
      </c>
      <c r="CO12" s="29">
        <f t="shared" ca="1" si="10"/>
        <v>3</v>
      </c>
      <c r="CP12" s="29">
        <f t="shared" ca="1" si="10"/>
        <v>4</v>
      </c>
      <c r="CQ12" s="29">
        <f t="shared" ca="1" si="10"/>
        <v>7</v>
      </c>
      <c r="CR12" s="29">
        <f t="shared" ca="1" si="11"/>
        <v>3</v>
      </c>
      <c r="CS12" s="29">
        <f t="shared" ca="1" si="11"/>
        <v>4</v>
      </c>
      <c r="CT12" s="29">
        <f t="shared" ca="1" si="11"/>
        <v>2</v>
      </c>
      <c r="CU12" s="29">
        <f t="shared" ca="1" si="11"/>
        <v>3</v>
      </c>
      <c r="CV12" s="29">
        <f t="shared" ca="1" si="11"/>
        <v>2</v>
      </c>
      <c r="CW12" s="29">
        <f t="shared" ca="1" si="11"/>
        <v>3</v>
      </c>
      <c r="CX12" s="29">
        <f t="shared" ca="1" si="11"/>
        <v>2</v>
      </c>
      <c r="CY12" s="29">
        <f t="shared" ca="1" si="11"/>
        <v>1</v>
      </c>
      <c r="CZ12" s="29">
        <f t="shared" ca="1" si="11"/>
        <v>2</v>
      </c>
      <c r="DA12" s="29">
        <f t="shared" ca="1" si="11"/>
        <v>3</v>
      </c>
      <c r="DB12" s="29">
        <f t="shared" ca="1" si="11"/>
        <v>2</v>
      </c>
      <c r="DC12" s="29">
        <f t="shared" ca="1" si="11"/>
        <v>2</v>
      </c>
      <c r="DD12" s="29">
        <f t="shared" ca="1" si="12"/>
        <v>2</v>
      </c>
      <c r="DE12" s="29">
        <f t="shared" ca="1" si="12"/>
        <v>3</v>
      </c>
      <c r="DF12" s="29">
        <f t="shared" ca="1" si="12"/>
        <v>1</v>
      </c>
      <c r="DG12" s="29">
        <f t="shared" ca="1" si="12"/>
        <v>4</v>
      </c>
      <c r="DH12" s="29">
        <f t="shared" ca="1" si="12"/>
        <v>2</v>
      </c>
      <c r="DI12" s="29">
        <f t="shared" ca="1" si="12"/>
        <v>2</v>
      </c>
      <c r="DJ12" s="29">
        <f t="shared" ca="1" si="12"/>
        <v>2</v>
      </c>
      <c r="DK12" s="29">
        <f t="shared" ca="1" si="12"/>
        <v>3</v>
      </c>
      <c r="DL12" s="29">
        <f t="shared" ca="1" si="12"/>
        <v>2</v>
      </c>
    </row>
    <row r="13" spans="1:116" ht="14.4" x14ac:dyDescent="0.3">
      <c r="A13" s="31">
        <v>694</v>
      </c>
      <c r="B13" s="28">
        <v>0.93</v>
      </c>
      <c r="C13" s="30">
        <v>88.66</v>
      </c>
      <c r="D13" s="28">
        <v>2.66</v>
      </c>
      <c r="E13" s="34">
        <f t="shared" si="0"/>
        <v>5.3200000000000004E-2</v>
      </c>
      <c r="F13" s="35">
        <f t="shared" si="1"/>
        <v>22.164999999999999</v>
      </c>
      <c r="G13" s="34">
        <f t="shared" si="2"/>
        <v>66.5</v>
      </c>
      <c r="H13" s="33">
        <f t="shared" si="7"/>
        <v>47.672043010752688</v>
      </c>
      <c r="I13" s="28">
        <f t="shared" si="8"/>
        <v>9.1199999999999992</v>
      </c>
      <c r="J13" s="32">
        <v>1</v>
      </c>
      <c r="K13" s="30">
        <f t="shared" si="3"/>
        <v>22.164999999999999</v>
      </c>
      <c r="L13" s="30"/>
      <c r="M13" s="30"/>
      <c r="N13" s="30"/>
      <c r="O13" s="30"/>
      <c r="Q13" s="29">
        <f t="shared" ca="1" si="4"/>
        <v>1</v>
      </c>
      <c r="R13" s="29">
        <f t="shared" ca="1" si="13"/>
        <v>1</v>
      </c>
      <c r="S13" s="29">
        <f t="shared" ca="1" si="13"/>
        <v>2</v>
      </c>
      <c r="T13" s="29">
        <f t="shared" ca="1" si="13"/>
        <v>3</v>
      </c>
      <c r="U13" s="29">
        <f t="shared" ca="1" si="13"/>
        <v>4</v>
      </c>
      <c r="V13" s="29">
        <f t="shared" ca="1" si="13"/>
        <v>2</v>
      </c>
      <c r="W13" s="29">
        <f t="shared" ca="1" si="13"/>
        <v>2</v>
      </c>
      <c r="X13" s="29">
        <f t="shared" ca="1" si="13"/>
        <v>2</v>
      </c>
      <c r="Y13" s="29">
        <f t="shared" ca="1" si="13"/>
        <v>2</v>
      </c>
      <c r="Z13" s="29">
        <f t="shared" ca="1" si="13"/>
        <v>2</v>
      </c>
      <c r="AA13" s="29">
        <f t="shared" ca="1" si="13"/>
        <v>1</v>
      </c>
      <c r="AB13" s="29">
        <f t="shared" ca="1" si="13"/>
        <v>4</v>
      </c>
      <c r="AC13" s="29">
        <f t="shared" ca="1" si="13"/>
        <v>3</v>
      </c>
      <c r="AD13" s="29">
        <f t="shared" ca="1" si="13"/>
        <v>3</v>
      </c>
      <c r="AE13" s="29">
        <f t="shared" ca="1" si="13"/>
        <v>1</v>
      </c>
      <c r="AF13" s="29">
        <f t="shared" ca="1" si="13"/>
        <v>0</v>
      </c>
      <c r="AG13" s="29">
        <f t="shared" ca="1" si="14"/>
        <v>2</v>
      </c>
      <c r="AH13" s="29">
        <f t="shared" ca="1" si="14"/>
        <v>3</v>
      </c>
      <c r="AI13" s="29">
        <f t="shared" ca="1" si="14"/>
        <v>1</v>
      </c>
      <c r="AJ13" s="29">
        <f t="shared" ca="1" si="14"/>
        <v>1</v>
      </c>
      <c r="AK13" s="29">
        <f t="shared" ca="1" si="14"/>
        <v>0</v>
      </c>
      <c r="AL13" s="29">
        <f t="shared" ca="1" si="14"/>
        <v>3</v>
      </c>
      <c r="AM13" s="29">
        <f t="shared" ca="1" si="14"/>
        <v>2</v>
      </c>
      <c r="AN13" s="29">
        <f t="shared" ca="1" si="14"/>
        <v>0</v>
      </c>
      <c r="AO13" s="29">
        <f t="shared" ca="1" si="14"/>
        <v>3</v>
      </c>
      <c r="AP13" s="29">
        <f t="shared" ca="1" si="14"/>
        <v>7</v>
      </c>
      <c r="AQ13" s="29">
        <f t="shared" ca="1" si="14"/>
        <v>5</v>
      </c>
      <c r="AR13" s="29">
        <f t="shared" ca="1" si="14"/>
        <v>4</v>
      </c>
      <c r="AS13" s="29">
        <f t="shared" ca="1" si="14"/>
        <v>4</v>
      </c>
      <c r="AT13" s="29">
        <f t="shared" ca="1" si="14"/>
        <v>3</v>
      </c>
      <c r="AU13" s="29">
        <f t="shared" ca="1" si="14"/>
        <v>3</v>
      </c>
      <c r="AV13" s="29">
        <f t="shared" ca="1" si="14"/>
        <v>3</v>
      </c>
      <c r="AW13" s="29">
        <f t="shared" ca="1" si="15"/>
        <v>4</v>
      </c>
      <c r="AX13" s="29">
        <f t="shared" ca="1" si="15"/>
        <v>3</v>
      </c>
      <c r="AY13" s="29">
        <f t="shared" ca="1" si="15"/>
        <v>2</v>
      </c>
      <c r="AZ13" s="29">
        <f t="shared" ca="1" si="15"/>
        <v>2</v>
      </c>
      <c r="BA13" s="29">
        <f t="shared" ca="1" si="15"/>
        <v>5</v>
      </c>
      <c r="BB13" s="29">
        <f t="shared" ca="1" si="15"/>
        <v>2</v>
      </c>
      <c r="BC13" s="29">
        <f t="shared" ca="1" si="15"/>
        <v>4</v>
      </c>
      <c r="BD13" s="29">
        <f t="shared" ca="1" si="15"/>
        <v>3</v>
      </c>
      <c r="BE13" s="29">
        <f t="shared" ca="1" si="15"/>
        <v>3</v>
      </c>
      <c r="BF13" s="29">
        <f t="shared" ca="1" si="15"/>
        <v>2</v>
      </c>
      <c r="BG13" s="29">
        <f t="shared" ca="1" si="15"/>
        <v>4</v>
      </c>
      <c r="BH13" s="29">
        <f t="shared" ca="1" si="15"/>
        <v>1</v>
      </c>
      <c r="BI13" s="29">
        <f t="shared" ca="1" si="15"/>
        <v>3</v>
      </c>
      <c r="BJ13" s="29">
        <f t="shared" ca="1" si="15"/>
        <v>3</v>
      </c>
      <c r="BK13" s="29">
        <f t="shared" ca="1" si="15"/>
        <v>3</v>
      </c>
      <c r="BL13" s="29">
        <f t="shared" ca="1" si="15"/>
        <v>0</v>
      </c>
      <c r="BM13" s="29">
        <f t="shared" ca="1" si="16"/>
        <v>3</v>
      </c>
      <c r="BN13" s="29">
        <f t="shared" ca="1" si="16"/>
        <v>3</v>
      </c>
      <c r="BO13" s="29">
        <f t="shared" ca="1" si="16"/>
        <v>4</v>
      </c>
      <c r="BP13" s="29">
        <f t="shared" ca="1" si="16"/>
        <v>0</v>
      </c>
      <c r="BQ13" s="29">
        <f t="shared" ca="1" si="16"/>
        <v>2</v>
      </c>
      <c r="BR13" s="29">
        <f t="shared" ca="1" si="16"/>
        <v>6</v>
      </c>
      <c r="BS13" s="29">
        <f t="shared" ca="1" si="16"/>
        <v>4</v>
      </c>
      <c r="BT13" s="29">
        <f t="shared" ca="1" si="16"/>
        <v>2</v>
      </c>
      <c r="BU13" s="29">
        <f t="shared" ca="1" si="16"/>
        <v>4</v>
      </c>
      <c r="BV13" s="29">
        <f t="shared" ca="1" si="16"/>
        <v>2</v>
      </c>
      <c r="BW13" s="29">
        <f t="shared" ca="1" si="16"/>
        <v>2</v>
      </c>
      <c r="BX13" s="29">
        <f t="shared" ca="1" si="16"/>
        <v>2</v>
      </c>
      <c r="BY13" s="29">
        <f t="shared" ca="1" si="16"/>
        <v>2</v>
      </c>
      <c r="BZ13" s="29">
        <f t="shared" ca="1" si="16"/>
        <v>2</v>
      </c>
      <c r="CA13" s="29">
        <f t="shared" ca="1" si="16"/>
        <v>3</v>
      </c>
      <c r="CB13" s="29">
        <f t="shared" ca="1" si="16"/>
        <v>1</v>
      </c>
      <c r="CC13" s="29">
        <f t="shared" ca="1" si="10"/>
        <v>6</v>
      </c>
      <c r="CD13" s="29">
        <f t="shared" ca="1" si="10"/>
        <v>4</v>
      </c>
      <c r="CE13" s="29">
        <f t="shared" ca="1" si="10"/>
        <v>4</v>
      </c>
      <c r="CF13" s="29">
        <f t="shared" ca="1" si="10"/>
        <v>3</v>
      </c>
      <c r="CG13" s="29">
        <f t="shared" ca="1" si="10"/>
        <v>2</v>
      </c>
      <c r="CH13" s="29">
        <f t="shared" ca="1" si="10"/>
        <v>2</v>
      </c>
      <c r="CI13" s="29">
        <f t="shared" ca="1" si="10"/>
        <v>3</v>
      </c>
      <c r="CJ13" s="29">
        <f t="shared" ca="1" si="10"/>
        <v>2</v>
      </c>
      <c r="CK13" s="29">
        <f t="shared" ca="1" si="10"/>
        <v>2</v>
      </c>
      <c r="CL13" s="29">
        <f t="shared" ca="1" si="10"/>
        <v>4</v>
      </c>
      <c r="CM13" s="29">
        <f t="shared" ca="1" si="10"/>
        <v>3</v>
      </c>
      <c r="CN13" s="29">
        <f t="shared" ca="1" si="10"/>
        <v>3</v>
      </c>
      <c r="CO13" s="29">
        <f t="shared" ca="1" si="10"/>
        <v>1</v>
      </c>
      <c r="CP13" s="29">
        <f t="shared" ca="1" si="10"/>
        <v>3</v>
      </c>
      <c r="CQ13" s="29">
        <f t="shared" ca="1" si="10"/>
        <v>2</v>
      </c>
      <c r="CR13" s="29">
        <f t="shared" ca="1" si="11"/>
        <v>4</v>
      </c>
      <c r="CS13" s="29">
        <f t="shared" ca="1" si="11"/>
        <v>2</v>
      </c>
      <c r="CT13" s="29">
        <f t="shared" ca="1" si="11"/>
        <v>5</v>
      </c>
      <c r="CU13" s="29">
        <f t="shared" ca="1" si="11"/>
        <v>2</v>
      </c>
      <c r="CV13" s="29">
        <f t="shared" ca="1" si="11"/>
        <v>3</v>
      </c>
      <c r="CW13" s="29">
        <f t="shared" ca="1" si="11"/>
        <v>2</v>
      </c>
      <c r="CX13" s="29">
        <f t="shared" ca="1" si="11"/>
        <v>4</v>
      </c>
      <c r="CY13" s="29">
        <f t="shared" ca="1" si="11"/>
        <v>2</v>
      </c>
      <c r="CZ13" s="29">
        <f t="shared" ca="1" si="11"/>
        <v>2</v>
      </c>
      <c r="DA13" s="29">
        <f t="shared" ca="1" si="11"/>
        <v>2</v>
      </c>
      <c r="DB13" s="29">
        <f t="shared" ca="1" si="11"/>
        <v>2</v>
      </c>
      <c r="DC13" s="29">
        <f t="shared" ca="1" si="11"/>
        <v>6</v>
      </c>
      <c r="DD13" s="29">
        <f t="shared" ca="1" si="12"/>
        <v>2</v>
      </c>
      <c r="DE13" s="29">
        <f t="shared" ca="1" si="12"/>
        <v>4</v>
      </c>
      <c r="DF13" s="29">
        <f t="shared" ca="1" si="12"/>
        <v>1</v>
      </c>
      <c r="DG13" s="29">
        <f t="shared" ca="1" si="12"/>
        <v>1</v>
      </c>
      <c r="DH13" s="29">
        <f t="shared" ca="1" si="12"/>
        <v>3</v>
      </c>
      <c r="DI13" s="29">
        <f t="shared" ca="1" si="12"/>
        <v>2</v>
      </c>
      <c r="DJ13" s="29">
        <f t="shared" ca="1" si="12"/>
        <v>2</v>
      </c>
      <c r="DK13" s="29">
        <f t="shared" ca="1" si="12"/>
        <v>3</v>
      </c>
      <c r="DL13" s="29">
        <f t="shared" ca="1" si="12"/>
        <v>3</v>
      </c>
    </row>
    <row r="14" spans="1:116" ht="14.4" x14ac:dyDescent="0.3">
      <c r="A14" s="31">
        <v>185</v>
      </c>
      <c r="B14" s="28">
        <v>0.91</v>
      </c>
      <c r="C14" s="30">
        <v>1.69</v>
      </c>
      <c r="D14" s="28">
        <v>1.75</v>
      </c>
      <c r="E14" s="34">
        <f t="shared" si="0"/>
        <v>3.5000000000000003E-2</v>
      </c>
      <c r="F14" s="35">
        <f t="shared" si="1"/>
        <v>0.42249999999999999</v>
      </c>
      <c r="G14" s="34">
        <f t="shared" si="2"/>
        <v>43.75</v>
      </c>
      <c r="H14" s="33">
        <f t="shared" si="7"/>
        <v>47.612637362637365</v>
      </c>
      <c r="I14" s="28">
        <f t="shared" si="8"/>
        <v>10.029999999999999</v>
      </c>
      <c r="J14" s="32">
        <v>1</v>
      </c>
      <c r="K14" s="30">
        <f t="shared" si="3"/>
        <v>0.42249999999999999</v>
      </c>
      <c r="L14" s="30"/>
      <c r="M14" s="30"/>
      <c r="N14" s="30"/>
      <c r="O14" s="30"/>
      <c r="Q14" s="29">
        <f t="shared" ca="1" si="4"/>
        <v>2</v>
      </c>
      <c r="R14" s="29">
        <f t="shared" ca="1" si="13"/>
        <v>4</v>
      </c>
      <c r="S14" s="29">
        <f t="shared" ca="1" si="13"/>
        <v>3</v>
      </c>
      <c r="T14" s="29">
        <f t="shared" ca="1" si="13"/>
        <v>3</v>
      </c>
      <c r="U14" s="29">
        <f t="shared" ca="1" si="13"/>
        <v>1</v>
      </c>
      <c r="V14" s="29">
        <f t="shared" ca="1" si="13"/>
        <v>1</v>
      </c>
      <c r="W14" s="29">
        <f t="shared" ca="1" si="13"/>
        <v>4</v>
      </c>
      <c r="X14" s="29">
        <f t="shared" ca="1" si="13"/>
        <v>2</v>
      </c>
      <c r="Y14" s="29">
        <f t="shared" ca="1" si="13"/>
        <v>2</v>
      </c>
      <c r="Z14" s="29">
        <f t="shared" ca="1" si="13"/>
        <v>1</v>
      </c>
      <c r="AA14" s="29">
        <f t="shared" ca="1" si="13"/>
        <v>1</v>
      </c>
      <c r="AB14" s="29">
        <f t="shared" ca="1" si="13"/>
        <v>1</v>
      </c>
      <c r="AC14" s="29">
        <f t="shared" ca="1" si="13"/>
        <v>1</v>
      </c>
      <c r="AD14" s="29">
        <f t="shared" ca="1" si="13"/>
        <v>1</v>
      </c>
      <c r="AE14" s="29">
        <f t="shared" ca="1" si="13"/>
        <v>1</v>
      </c>
      <c r="AF14" s="29">
        <f t="shared" ca="1" si="13"/>
        <v>3</v>
      </c>
      <c r="AG14" s="29">
        <f t="shared" ca="1" si="14"/>
        <v>2</v>
      </c>
      <c r="AH14" s="29">
        <f t="shared" ca="1" si="14"/>
        <v>2</v>
      </c>
      <c r="AI14" s="29">
        <f t="shared" ca="1" si="14"/>
        <v>2</v>
      </c>
      <c r="AJ14" s="29">
        <f t="shared" ca="1" si="14"/>
        <v>1</v>
      </c>
      <c r="AK14" s="29">
        <f t="shared" ca="1" si="14"/>
        <v>5</v>
      </c>
      <c r="AL14" s="29">
        <f t="shared" ca="1" si="14"/>
        <v>5</v>
      </c>
      <c r="AM14" s="29">
        <f t="shared" ca="1" si="14"/>
        <v>2</v>
      </c>
      <c r="AN14" s="29">
        <f t="shared" ca="1" si="14"/>
        <v>2</v>
      </c>
      <c r="AO14" s="29">
        <f t="shared" ca="1" si="14"/>
        <v>0</v>
      </c>
      <c r="AP14" s="29">
        <f t="shared" ca="1" si="14"/>
        <v>1</v>
      </c>
      <c r="AQ14" s="29">
        <f t="shared" ca="1" si="14"/>
        <v>1</v>
      </c>
      <c r="AR14" s="29">
        <f t="shared" ca="1" si="14"/>
        <v>3</v>
      </c>
      <c r="AS14" s="29">
        <f t="shared" ca="1" si="14"/>
        <v>0</v>
      </c>
      <c r="AT14" s="29">
        <f t="shared" ca="1" si="14"/>
        <v>3</v>
      </c>
      <c r="AU14" s="29">
        <f t="shared" ca="1" si="14"/>
        <v>0</v>
      </c>
      <c r="AV14" s="29">
        <f t="shared" ca="1" si="14"/>
        <v>3</v>
      </c>
      <c r="AW14" s="29">
        <f t="shared" ca="1" si="15"/>
        <v>2</v>
      </c>
      <c r="AX14" s="29">
        <f t="shared" ca="1" si="15"/>
        <v>1</v>
      </c>
      <c r="AY14" s="29">
        <f t="shared" ca="1" si="15"/>
        <v>1</v>
      </c>
      <c r="AZ14" s="29">
        <f t="shared" ca="1" si="15"/>
        <v>4</v>
      </c>
      <c r="BA14" s="29">
        <f t="shared" ca="1" si="15"/>
        <v>0</v>
      </c>
      <c r="BB14" s="29">
        <f t="shared" ca="1" si="15"/>
        <v>2</v>
      </c>
      <c r="BC14" s="29">
        <f t="shared" ca="1" si="15"/>
        <v>1</v>
      </c>
      <c r="BD14" s="29">
        <f t="shared" ca="1" si="15"/>
        <v>0</v>
      </c>
      <c r="BE14" s="29">
        <f t="shared" ca="1" si="15"/>
        <v>2</v>
      </c>
      <c r="BF14" s="29">
        <f t="shared" ca="1" si="15"/>
        <v>7</v>
      </c>
      <c r="BG14" s="29">
        <f t="shared" ca="1" si="15"/>
        <v>3</v>
      </c>
      <c r="BH14" s="29">
        <f t="shared" ca="1" si="15"/>
        <v>1</v>
      </c>
      <c r="BI14" s="29">
        <f t="shared" ca="1" si="15"/>
        <v>3</v>
      </c>
      <c r="BJ14" s="29">
        <f t="shared" ca="1" si="15"/>
        <v>1</v>
      </c>
      <c r="BK14" s="29">
        <f t="shared" ca="1" si="15"/>
        <v>0</v>
      </c>
      <c r="BL14" s="29">
        <f t="shared" ca="1" si="15"/>
        <v>3</v>
      </c>
      <c r="BM14" s="29">
        <f t="shared" ca="1" si="16"/>
        <v>3</v>
      </c>
      <c r="BN14" s="29">
        <f t="shared" ca="1" si="16"/>
        <v>3</v>
      </c>
      <c r="BO14" s="29">
        <f t="shared" ca="1" si="16"/>
        <v>1</v>
      </c>
      <c r="BP14" s="29">
        <f t="shared" ca="1" si="16"/>
        <v>3</v>
      </c>
      <c r="BQ14" s="29">
        <f t="shared" ca="1" si="16"/>
        <v>2</v>
      </c>
      <c r="BR14" s="29">
        <f t="shared" ca="1" si="16"/>
        <v>3</v>
      </c>
      <c r="BS14" s="29">
        <f t="shared" ca="1" si="16"/>
        <v>0</v>
      </c>
      <c r="BT14" s="29">
        <f t="shared" ca="1" si="16"/>
        <v>1</v>
      </c>
      <c r="BU14" s="29">
        <f t="shared" ca="1" si="16"/>
        <v>3</v>
      </c>
      <c r="BV14" s="29">
        <f t="shared" ca="1" si="16"/>
        <v>0</v>
      </c>
      <c r="BW14" s="29">
        <f t="shared" ca="1" si="16"/>
        <v>0</v>
      </c>
      <c r="BX14" s="29">
        <f t="shared" ca="1" si="16"/>
        <v>2</v>
      </c>
      <c r="BY14" s="29">
        <f t="shared" ca="1" si="16"/>
        <v>0</v>
      </c>
      <c r="BZ14" s="29">
        <f t="shared" ca="1" si="16"/>
        <v>1</v>
      </c>
      <c r="CA14" s="29">
        <f t="shared" ca="1" si="16"/>
        <v>1</v>
      </c>
      <c r="CB14" s="29">
        <f t="shared" ca="1" si="16"/>
        <v>2</v>
      </c>
      <c r="CC14" s="29">
        <f t="shared" ca="1" si="10"/>
        <v>1</v>
      </c>
      <c r="CD14" s="29">
        <f t="shared" ca="1" si="10"/>
        <v>1</v>
      </c>
      <c r="CE14" s="29">
        <f t="shared" ca="1" si="10"/>
        <v>1</v>
      </c>
      <c r="CF14" s="29">
        <f t="shared" ca="1" si="10"/>
        <v>1</v>
      </c>
      <c r="CG14" s="29">
        <f t="shared" ca="1" si="10"/>
        <v>0</v>
      </c>
      <c r="CH14" s="29">
        <f t="shared" ca="1" si="10"/>
        <v>2</v>
      </c>
      <c r="CI14" s="29">
        <f t="shared" ca="1" si="10"/>
        <v>2</v>
      </c>
      <c r="CJ14" s="29">
        <f t="shared" ca="1" si="10"/>
        <v>1</v>
      </c>
      <c r="CK14" s="29">
        <f t="shared" ca="1" si="10"/>
        <v>1</v>
      </c>
      <c r="CL14" s="29">
        <f t="shared" ca="1" si="10"/>
        <v>3</v>
      </c>
      <c r="CM14" s="29">
        <f t="shared" ca="1" si="10"/>
        <v>2</v>
      </c>
      <c r="CN14" s="29">
        <f t="shared" ca="1" si="10"/>
        <v>3</v>
      </c>
      <c r="CO14" s="29">
        <f t="shared" ca="1" si="10"/>
        <v>2</v>
      </c>
      <c r="CP14" s="29">
        <f t="shared" ca="1" si="10"/>
        <v>1</v>
      </c>
      <c r="CQ14" s="29">
        <f t="shared" ca="1" si="10"/>
        <v>4</v>
      </c>
      <c r="CR14" s="29">
        <f t="shared" ca="1" si="11"/>
        <v>0</v>
      </c>
      <c r="CS14" s="29">
        <f t="shared" ca="1" si="11"/>
        <v>0</v>
      </c>
      <c r="CT14" s="29">
        <f t="shared" ca="1" si="11"/>
        <v>2</v>
      </c>
      <c r="CU14" s="29">
        <f t="shared" ca="1" si="11"/>
        <v>0</v>
      </c>
      <c r="CV14" s="29">
        <f t="shared" ca="1" si="11"/>
        <v>1</v>
      </c>
      <c r="CW14" s="29">
        <f t="shared" ca="1" si="11"/>
        <v>3</v>
      </c>
      <c r="CX14" s="29">
        <f t="shared" ca="1" si="11"/>
        <v>2</v>
      </c>
      <c r="CY14" s="29">
        <f t="shared" ca="1" si="11"/>
        <v>0</v>
      </c>
      <c r="CZ14" s="29">
        <f t="shared" ca="1" si="11"/>
        <v>4</v>
      </c>
      <c r="DA14" s="29">
        <f t="shared" ca="1" si="11"/>
        <v>2</v>
      </c>
      <c r="DB14" s="29">
        <f t="shared" ca="1" si="11"/>
        <v>2</v>
      </c>
      <c r="DC14" s="29">
        <f t="shared" ca="1" si="11"/>
        <v>1</v>
      </c>
      <c r="DD14" s="29">
        <f t="shared" ca="1" si="12"/>
        <v>2</v>
      </c>
      <c r="DE14" s="29">
        <f t="shared" ca="1" si="12"/>
        <v>0</v>
      </c>
      <c r="DF14" s="29">
        <f t="shared" ca="1" si="12"/>
        <v>2</v>
      </c>
      <c r="DG14" s="29">
        <f t="shared" ca="1" si="12"/>
        <v>1</v>
      </c>
      <c r="DH14" s="29">
        <f t="shared" ca="1" si="12"/>
        <v>1</v>
      </c>
      <c r="DI14" s="29">
        <f t="shared" ca="1" si="12"/>
        <v>3</v>
      </c>
      <c r="DJ14" s="29">
        <f t="shared" ca="1" si="12"/>
        <v>1</v>
      </c>
      <c r="DK14" s="29">
        <f t="shared" ca="1" si="12"/>
        <v>4</v>
      </c>
      <c r="DL14" s="29">
        <f t="shared" ca="1" si="12"/>
        <v>3</v>
      </c>
    </row>
    <row r="15" spans="1:116" ht="14.4" x14ac:dyDescent="0.3">
      <c r="A15" s="31">
        <v>631</v>
      </c>
      <c r="B15" s="28">
        <v>0.88</v>
      </c>
      <c r="C15" s="30">
        <v>88.76</v>
      </c>
      <c r="D15" s="28">
        <v>2.5099999999999998</v>
      </c>
      <c r="E15" s="34">
        <f t="shared" si="0"/>
        <v>5.0199999999999995E-2</v>
      </c>
      <c r="F15" s="35">
        <f t="shared" si="1"/>
        <v>22.19</v>
      </c>
      <c r="G15" s="34">
        <f t="shared" si="2"/>
        <v>62.749999999999993</v>
      </c>
      <c r="H15" s="33">
        <f t="shared" si="7"/>
        <v>46.090909090909079</v>
      </c>
      <c r="I15" s="28">
        <f t="shared" si="8"/>
        <v>10.91</v>
      </c>
      <c r="J15" s="32">
        <v>1</v>
      </c>
      <c r="K15" s="30">
        <f t="shared" si="3"/>
        <v>22.19</v>
      </c>
      <c r="L15" s="30"/>
      <c r="M15" s="30"/>
      <c r="N15" s="30"/>
      <c r="O15" s="30"/>
      <c r="Q15" s="29">
        <f t="shared" ca="1" si="4"/>
        <v>4</v>
      </c>
      <c r="R15" s="29">
        <f t="shared" ca="1" si="13"/>
        <v>1</v>
      </c>
      <c r="S15" s="29">
        <f t="shared" ca="1" si="13"/>
        <v>2</v>
      </c>
      <c r="T15" s="29">
        <f t="shared" ca="1" si="13"/>
        <v>0</v>
      </c>
      <c r="U15" s="29">
        <f t="shared" ca="1" si="13"/>
        <v>4</v>
      </c>
      <c r="V15" s="29">
        <f t="shared" ca="1" si="13"/>
        <v>3</v>
      </c>
      <c r="W15" s="29">
        <f t="shared" ca="1" si="13"/>
        <v>3</v>
      </c>
      <c r="X15" s="29">
        <f t="shared" ca="1" si="13"/>
        <v>1</v>
      </c>
      <c r="Y15" s="29">
        <f t="shared" ca="1" si="13"/>
        <v>0</v>
      </c>
      <c r="Z15" s="29">
        <f t="shared" ca="1" si="13"/>
        <v>1</v>
      </c>
      <c r="AA15" s="29">
        <f t="shared" ca="1" si="13"/>
        <v>2</v>
      </c>
      <c r="AB15" s="29">
        <f t="shared" ca="1" si="13"/>
        <v>2</v>
      </c>
      <c r="AC15" s="29">
        <f t="shared" ca="1" si="13"/>
        <v>1</v>
      </c>
      <c r="AD15" s="29">
        <f t="shared" ca="1" si="13"/>
        <v>3</v>
      </c>
      <c r="AE15" s="29">
        <f t="shared" ca="1" si="13"/>
        <v>3</v>
      </c>
      <c r="AF15" s="29">
        <f t="shared" ca="1" si="13"/>
        <v>1</v>
      </c>
      <c r="AG15" s="29">
        <f t="shared" ca="1" si="14"/>
        <v>6</v>
      </c>
      <c r="AH15" s="29">
        <f t="shared" ca="1" si="14"/>
        <v>3</v>
      </c>
      <c r="AI15" s="29">
        <f t="shared" ca="1" si="14"/>
        <v>1</v>
      </c>
      <c r="AJ15" s="29">
        <f t="shared" ca="1" si="14"/>
        <v>3</v>
      </c>
      <c r="AK15" s="29">
        <f t="shared" ca="1" si="14"/>
        <v>3</v>
      </c>
      <c r="AL15" s="29">
        <f t="shared" ca="1" si="14"/>
        <v>3</v>
      </c>
      <c r="AM15" s="29">
        <f t="shared" ca="1" si="14"/>
        <v>2</v>
      </c>
      <c r="AN15" s="29">
        <f t="shared" ca="1" si="14"/>
        <v>3</v>
      </c>
      <c r="AO15" s="29">
        <f t="shared" ca="1" si="14"/>
        <v>1</v>
      </c>
      <c r="AP15" s="29">
        <f t="shared" ca="1" si="14"/>
        <v>4</v>
      </c>
      <c r="AQ15" s="29">
        <f t="shared" ca="1" si="14"/>
        <v>1</v>
      </c>
      <c r="AR15" s="29">
        <f t="shared" ca="1" si="14"/>
        <v>2</v>
      </c>
      <c r="AS15" s="29">
        <f t="shared" ca="1" si="14"/>
        <v>2</v>
      </c>
      <c r="AT15" s="29">
        <f t="shared" ca="1" si="14"/>
        <v>2</v>
      </c>
      <c r="AU15" s="29">
        <f t="shared" ca="1" si="14"/>
        <v>5</v>
      </c>
      <c r="AV15" s="29">
        <f t="shared" ca="1" si="14"/>
        <v>4</v>
      </c>
      <c r="AW15" s="29">
        <f t="shared" ca="1" si="15"/>
        <v>3</v>
      </c>
      <c r="AX15" s="29">
        <f t="shared" ca="1" si="15"/>
        <v>2</v>
      </c>
      <c r="AY15" s="29">
        <f t="shared" ca="1" si="15"/>
        <v>2</v>
      </c>
      <c r="AZ15" s="29">
        <f t="shared" ca="1" si="15"/>
        <v>3</v>
      </c>
      <c r="BA15" s="29">
        <f t="shared" ca="1" si="15"/>
        <v>4</v>
      </c>
      <c r="BB15" s="29">
        <f t="shared" ca="1" si="15"/>
        <v>2</v>
      </c>
      <c r="BC15" s="29">
        <f t="shared" ca="1" si="15"/>
        <v>3</v>
      </c>
      <c r="BD15" s="29">
        <f t="shared" ca="1" si="15"/>
        <v>1</v>
      </c>
      <c r="BE15" s="29">
        <f t="shared" ca="1" si="15"/>
        <v>4</v>
      </c>
      <c r="BF15" s="29">
        <f t="shared" ca="1" si="15"/>
        <v>3</v>
      </c>
      <c r="BG15" s="29">
        <f t="shared" ca="1" si="15"/>
        <v>0</v>
      </c>
      <c r="BH15" s="29">
        <f t="shared" ca="1" si="15"/>
        <v>3</v>
      </c>
      <c r="BI15" s="29">
        <f t="shared" ca="1" si="15"/>
        <v>4</v>
      </c>
      <c r="BJ15" s="29">
        <f t="shared" ca="1" si="15"/>
        <v>4</v>
      </c>
      <c r="BK15" s="29">
        <f t="shared" ca="1" si="15"/>
        <v>1</v>
      </c>
      <c r="BL15" s="29">
        <f t="shared" ca="1" si="15"/>
        <v>5</v>
      </c>
      <c r="BM15" s="29">
        <f t="shared" ca="1" si="16"/>
        <v>2</v>
      </c>
      <c r="BN15" s="29">
        <f t="shared" ca="1" si="16"/>
        <v>2</v>
      </c>
      <c r="BO15" s="29">
        <f t="shared" ca="1" si="16"/>
        <v>2</v>
      </c>
      <c r="BP15" s="29">
        <f t="shared" ca="1" si="16"/>
        <v>4</v>
      </c>
      <c r="BQ15" s="29">
        <f t="shared" ca="1" si="16"/>
        <v>1</v>
      </c>
      <c r="BR15" s="29">
        <f t="shared" ca="1" si="16"/>
        <v>0</v>
      </c>
      <c r="BS15" s="29">
        <f t="shared" ca="1" si="16"/>
        <v>0</v>
      </c>
      <c r="BT15" s="29">
        <f t="shared" ca="1" si="16"/>
        <v>2</v>
      </c>
      <c r="BU15" s="29">
        <f t="shared" ca="1" si="16"/>
        <v>0</v>
      </c>
      <c r="BV15" s="29">
        <f t="shared" ca="1" si="16"/>
        <v>5</v>
      </c>
      <c r="BW15" s="29">
        <f t="shared" ca="1" si="16"/>
        <v>3</v>
      </c>
      <c r="BX15" s="29">
        <f t="shared" ca="1" si="16"/>
        <v>1</v>
      </c>
      <c r="BY15" s="29">
        <f t="shared" ca="1" si="16"/>
        <v>3</v>
      </c>
      <c r="BZ15" s="29">
        <f t="shared" ca="1" si="16"/>
        <v>0</v>
      </c>
      <c r="CA15" s="29">
        <f t="shared" ca="1" si="16"/>
        <v>1</v>
      </c>
      <c r="CB15" s="29">
        <f t="shared" ca="1" si="16"/>
        <v>1</v>
      </c>
      <c r="CC15" s="29">
        <f t="shared" ca="1" si="10"/>
        <v>4</v>
      </c>
      <c r="CD15" s="29">
        <f t="shared" ca="1" si="10"/>
        <v>6</v>
      </c>
      <c r="CE15" s="29">
        <f t="shared" ca="1" si="10"/>
        <v>3</v>
      </c>
      <c r="CF15" s="29">
        <f t="shared" ca="1" si="10"/>
        <v>3</v>
      </c>
      <c r="CG15" s="29">
        <f t="shared" ca="1" si="10"/>
        <v>2</v>
      </c>
      <c r="CH15" s="29">
        <f t="shared" ca="1" si="10"/>
        <v>0</v>
      </c>
      <c r="CI15" s="29">
        <f t="shared" ca="1" si="10"/>
        <v>3</v>
      </c>
      <c r="CJ15" s="29">
        <f t="shared" ca="1" si="10"/>
        <v>1</v>
      </c>
      <c r="CK15" s="29">
        <f t="shared" ca="1" si="10"/>
        <v>1</v>
      </c>
      <c r="CL15" s="29">
        <f t="shared" ca="1" si="10"/>
        <v>2</v>
      </c>
      <c r="CM15" s="29">
        <f t="shared" ca="1" si="10"/>
        <v>1</v>
      </c>
      <c r="CN15" s="29">
        <f t="shared" ca="1" si="10"/>
        <v>4</v>
      </c>
      <c r="CO15" s="29">
        <f t="shared" ca="1" si="10"/>
        <v>5</v>
      </c>
      <c r="CP15" s="29">
        <f t="shared" ca="1" si="10"/>
        <v>3</v>
      </c>
      <c r="CQ15" s="29">
        <f t="shared" ca="1" si="10"/>
        <v>2</v>
      </c>
      <c r="CR15" s="29">
        <f t="shared" ca="1" si="11"/>
        <v>4</v>
      </c>
      <c r="CS15" s="29">
        <f t="shared" ca="1" si="11"/>
        <v>0</v>
      </c>
      <c r="CT15" s="29">
        <f t="shared" ca="1" si="11"/>
        <v>6</v>
      </c>
      <c r="CU15" s="29">
        <f t="shared" ca="1" si="11"/>
        <v>2</v>
      </c>
      <c r="CV15" s="29">
        <f t="shared" ca="1" si="11"/>
        <v>5</v>
      </c>
      <c r="CW15" s="29">
        <f t="shared" ca="1" si="11"/>
        <v>2</v>
      </c>
      <c r="CX15" s="29">
        <f t="shared" ca="1" si="11"/>
        <v>1</v>
      </c>
      <c r="CY15" s="29">
        <f t="shared" ca="1" si="11"/>
        <v>5</v>
      </c>
      <c r="CZ15" s="29">
        <f t="shared" ca="1" si="11"/>
        <v>0</v>
      </c>
      <c r="DA15" s="29">
        <f t="shared" ca="1" si="11"/>
        <v>3</v>
      </c>
      <c r="DB15" s="29">
        <f t="shared" ca="1" si="11"/>
        <v>4</v>
      </c>
      <c r="DC15" s="29">
        <f t="shared" ca="1" si="11"/>
        <v>4</v>
      </c>
      <c r="DD15" s="29">
        <f t="shared" ca="1" si="12"/>
        <v>0</v>
      </c>
      <c r="DE15" s="29">
        <f t="shared" ca="1" si="12"/>
        <v>4</v>
      </c>
      <c r="DF15" s="29">
        <f t="shared" ca="1" si="12"/>
        <v>4</v>
      </c>
      <c r="DG15" s="29">
        <f t="shared" ca="1" si="12"/>
        <v>2</v>
      </c>
      <c r="DH15" s="29">
        <f t="shared" ca="1" si="12"/>
        <v>1</v>
      </c>
      <c r="DI15" s="29">
        <f t="shared" ca="1" si="12"/>
        <v>3</v>
      </c>
      <c r="DJ15" s="29">
        <f t="shared" ca="1" si="12"/>
        <v>4</v>
      </c>
      <c r="DK15" s="29">
        <f t="shared" ca="1" si="12"/>
        <v>2</v>
      </c>
      <c r="DL15" s="29">
        <f t="shared" ca="1" si="12"/>
        <v>2</v>
      </c>
    </row>
    <row r="16" spans="1:116" ht="14.4" x14ac:dyDescent="0.3">
      <c r="A16" s="31">
        <v>727</v>
      </c>
      <c r="B16" s="28">
        <v>1.53</v>
      </c>
      <c r="C16" s="30">
        <v>36.46</v>
      </c>
      <c r="D16" s="28">
        <v>2.97</v>
      </c>
      <c r="E16" s="34">
        <f t="shared" si="0"/>
        <v>5.9400000000000001E-2</v>
      </c>
      <c r="F16" s="35">
        <f t="shared" si="1"/>
        <v>9.1150000000000002</v>
      </c>
      <c r="G16" s="34">
        <f t="shared" si="2"/>
        <v>74.25</v>
      </c>
      <c r="H16" s="33">
        <f t="shared" si="7"/>
        <v>42.571895424836605</v>
      </c>
      <c r="I16" s="28">
        <f t="shared" si="8"/>
        <v>12.44</v>
      </c>
      <c r="J16" s="32">
        <v>1</v>
      </c>
      <c r="K16" s="30">
        <f t="shared" si="3"/>
        <v>9.1150000000000002</v>
      </c>
      <c r="L16" s="30"/>
      <c r="M16" s="30"/>
      <c r="N16" s="30"/>
      <c r="O16" s="30"/>
      <c r="Q16" s="29">
        <f t="shared" ca="1" si="4"/>
        <v>3</v>
      </c>
      <c r="R16" s="29">
        <f t="shared" ca="1" si="13"/>
        <v>3</v>
      </c>
      <c r="S16" s="29">
        <f t="shared" ca="1" si="13"/>
        <v>2</v>
      </c>
      <c r="T16" s="29">
        <f t="shared" ca="1" si="13"/>
        <v>2</v>
      </c>
      <c r="U16" s="29">
        <f t="shared" ca="1" si="13"/>
        <v>6</v>
      </c>
      <c r="V16" s="29">
        <f t="shared" ca="1" si="13"/>
        <v>1</v>
      </c>
      <c r="W16" s="29">
        <f t="shared" ca="1" si="13"/>
        <v>0</v>
      </c>
      <c r="X16" s="29">
        <f t="shared" ca="1" si="13"/>
        <v>4</v>
      </c>
      <c r="Y16" s="29">
        <f t="shared" ca="1" si="13"/>
        <v>2</v>
      </c>
      <c r="Z16" s="29">
        <f t="shared" ca="1" si="13"/>
        <v>2</v>
      </c>
      <c r="AA16" s="29">
        <f t="shared" ca="1" si="13"/>
        <v>5</v>
      </c>
      <c r="AB16" s="29">
        <f t="shared" ca="1" si="13"/>
        <v>6</v>
      </c>
      <c r="AC16" s="29">
        <f t="shared" ca="1" si="13"/>
        <v>5</v>
      </c>
      <c r="AD16" s="29">
        <f t="shared" ca="1" si="13"/>
        <v>4</v>
      </c>
      <c r="AE16" s="29">
        <f t="shared" ca="1" si="13"/>
        <v>5</v>
      </c>
      <c r="AF16" s="29">
        <f t="shared" ca="1" si="13"/>
        <v>1</v>
      </c>
      <c r="AG16" s="29">
        <f t="shared" ca="1" si="14"/>
        <v>3</v>
      </c>
      <c r="AH16" s="29">
        <f t="shared" ca="1" si="14"/>
        <v>2</v>
      </c>
      <c r="AI16" s="29">
        <f t="shared" ca="1" si="14"/>
        <v>3</v>
      </c>
      <c r="AJ16" s="29">
        <f t="shared" ca="1" si="14"/>
        <v>2</v>
      </c>
      <c r="AK16" s="29">
        <f t="shared" ca="1" si="14"/>
        <v>0</v>
      </c>
      <c r="AL16" s="29">
        <f t="shared" ca="1" si="14"/>
        <v>2</v>
      </c>
      <c r="AM16" s="29">
        <f t="shared" ca="1" si="14"/>
        <v>4</v>
      </c>
      <c r="AN16" s="29">
        <f t="shared" ca="1" si="14"/>
        <v>5</v>
      </c>
      <c r="AO16" s="29">
        <f t="shared" ca="1" si="14"/>
        <v>7</v>
      </c>
      <c r="AP16" s="29">
        <f t="shared" ca="1" si="14"/>
        <v>4</v>
      </c>
      <c r="AQ16" s="29">
        <f t="shared" ca="1" si="14"/>
        <v>3</v>
      </c>
      <c r="AR16" s="29">
        <f t="shared" ca="1" si="14"/>
        <v>4</v>
      </c>
      <c r="AS16" s="29">
        <f t="shared" ca="1" si="14"/>
        <v>2</v>
      </c>
      <c r="AT16" s="29">
        <f t="shared" ca="1" si="14"/>
        <v>2</v>
      </c>
      <c r="AU16" s="29">
        <f t="shared" ca="1" si="14"/>
        <v>1</v>
      </c>
      <c r="AV16" s="29">
        <f t="shared" ca="1" si="14"/>
        <v>2</v>
      </c>
      <c r="AW16" s="29">
        <f t="shared" ca="1" si="15"/>
        <v>2</v>
      </c>
      <c r="AX16" s="29">
        <f t="shared" ca="1" si="15"/>
        <v>0</v>
      </c>
      <c r="AY16" s="29">
        <f t="shared" ca="1" si="15"/>
        <v>3</v>
      </c>
      <c r="AZ16" s="29">
        <f t="shared" ca="1" si="15"/>
        <v>2</v>
      </c>
      <c r="BA16" s="29">
        <f t="shared" ca="1" si="15"/>
        <v>4</v>
      </c>
      <c r="BB16" s="29">
        <f t="shared" ca="1" si="15"/>
        <v>4</v>
      </c>
      <c r="BC16" s="29">
        <f t="shared" ca="1" si="15"/>
        <v>1</v>
      </c>
      <c r="BD16" s="29">
        <f t="shared" ca="1" si="15"/>
        <v>1</v>
      </c>
      <c r="BE16" s="29">
        <f t="shared" ca="1" si="15"/>
        <v>2</v>
      </c>
      <c r="BF16" s="29">
        <f t="shared" ca="1" si="15"/>
        <v>4</v>
      </c>
      <c r="BG16" s="29">
        <f t="shared" ca="1" si="15"/>
        <v>2</v>
      </c>
      <c r="BH16" s="29">
        <f t="shared" ca="1" si="15"/>
        <v>1</v>
      </c>
      <c r="BI16" s="29">
        <f t="shared" ca="1" si="15"/>
        <v>2</v>
      </c>
      <c r="BJ16" s="29">
        <f t="shared" ca="1" si="15"/>
        <v>3</v>
      </c>
      <c r="BK16" s="29">
        <f t="shared" ca="1" si="15"/>
        <v>3</v>
      </c>
      <c r="BL16" s="29">
        <f t="shared" ca="1" si="15"/>
        <v>4</v>
      </c>
      <c r="BM16" s="29">
        <f t="shared" ca="1" si="16"/>
        <v>1</v>
      </c>
      <c r="BN16" s="29">
        <f t="shared" ca="1" si="16"/>
        <v>6</v>
      </c>
      <c r="BO16" s="29">
        <f t="shared" ca="1" si="16"/>
        <v>3</v>
      </c>
      <c r="BP16" s="29">
        <f t="shared" ca="1" si="16"/>
        <v>4</v>
      </c>
      <c r="BQ16" s="29">
        <f t="shared" ca="1" si="16"/>
        <v>4</v>
      </c>
      <c r="BR16" s="29">
        <f t="shared" ca="1" si="16"/>
        <v>1</v>
      </c>
      <c r="BS16" s="29">
        <f t="shared" ca="1" si="16"/>
        <v>2</v>
      </c>
      <c r="BT16" s="29">
        <f t="shared" ca="1" si="16"/>
        <v>4</v>
      </c>
      <c r="BU16" s="29">
        <f t="shared" ca="1" si="16"/>
        <v>6</v>
      </c>
      <c r="BV16" s="29">
        <f t="shared" ca="1" si="16"/>
        <v>5</v>
      </c>
      <c r="BW16" s="29">
        <f t="shared" ca="1" si="16"/>
        <v>8</v>
      </c>
      <c r="BX16" s="29">
        <f t="shared" ca="1" si="16"/>
        <v>2</v>
      </c>
      <c r="BY16" s="29">
        <f t="shared" ca="1" si="16"/>
        <v>2</v>
      </c>
      <c r="BZ16" s="29">
        <f t="shared" ca="1" si="16"/>
        <v>4</v>
      </c>
      <c r="CA16" s="29">
        <f t="shared" ca="1" si="16"/>
        <v>1</v>
      </c>
      <c r="CB16" s="29">
        <f t="shared" ca="1" si="16"/>
        <v>4</v>
      </c>
      <c r="CC16" s="29">
        <f t="shared" ca="1" si="10"/>
        <v>3</v>
      </c>
      <c r="CD16" s="29">
        <f t="shared" ca="1" si="10"/>
        <v>7</v>
      </c>
      <c r="CE16" s="29">
        <f t="shared" ca="1" si="10"/>
        <v>3</v>
      </c>
      <c r="CF16" s="29">
        <f t="shared" ca="1" si="10"/>
        <v>3</v>
      </c>
      <c r="CG16" s="29">
        <f t="shared" ca="1" si="10"/>
        <v>5</v>
      </c>
      <c r="CH16" s="29">
        <f t="shared" ca="1" si="10"/>
        <v>3</v>
      </c>
      <c r="CI16" s="29">
        <f t="shared" ca="1" si="10"/>
        <v>5</v>
      </c>
      <c r="CJ16" s="29">
        <f t="shared" ca="1" si="10"/>
        <v>4</v>
      </c>
      <c r="CK16" s="29">
        <f t="shared" ca="1" si="10"/>
        <v>2</v>
      </c>
      <c r="CL16" s="29">
        <f t="shared" ca="1" si="10"/>
        <v>3</v>
      </c>
      <c r="CM16" s="29">
        <f t="shared" ca="1" si="10"/>
        <v>1</v>
      </c>
      <c r="CN16" s="29">
        <f t="shared" ca="1" si="10"/>
        <v>3</v>
      </c>
      <c r="CO16" s="29">
        <f t="shared" ca="1" si="10"/>
        <v>1</v>
      </c>
      <c r="CP16" s="29">
        <f t="shared" ca="1" si="10"/>
        <v>1</v>
      </c>
      <c r="CQ16" s="29">
        <f t="shared" ca="1" si="10"/>
        <v>7</v>
      </c>
      <c r="CR16" s="29">
        <f t="shared" ca="1" si="11"/>
        <v>1</v>
      </c>
      <c r="CS16" s="29">
        <f t="shared" ca="1" si="11"/>
        <v>2</v>
      </c>
      <c r="CT16" s="29">
        <f t="shared" ca="1" si="11"/>
        <v>4</v>
      </c>
      <c r="CU16" s="29">
        <f t="shared" ca="1" si="11"/>
        <v>5</v>
      </c>
      <c r="CV16" s="29">
        <f t="shared" ca="1" si="11"/>
        <v>1</v>
      </c>
      <c r="CW16" s="29">
        <f t="shared" ca="1" si="11"/>
        <v>4</v>
      </c>
      <c r="CX16" s="29">
        <f t="shared" ca="1" si="11"/>
        <v>1</v>
      </c>
      <c r="CY16" s="29">
        <f t="shared" ca="1" si="11"/>
        <v>1</v>
      </c>
      <c r="CZ16" s="29">
        <f t="shared" ca="1" si="11"/>
        <v>2</v>
      </c>
      <c r="DA16" s="29">
        <f t="shared" ca="1" si="11"/>
        <v>2</v>
      </c>
      <c r="DB16" s="29">
        <f t="shared" ca="1" si="11"/>
        <v>3</v>
      </c>
      <c r="DC16" s="29">
        <f t="shared" ca="1" si="11"/>
        <v>2</v>
      </c>
      <c r="DD16" s="29">
        <f t="shared" ca="1" si="12"/>
        <v>0</v>
      </c>
      <c r="DE16" s="29">
        <f t="shared" ca="1" si="12"/>
        <v>3</v>
      </c>
      <c r="DF16" s="29">
        <f t="shared" ca="1" si="12"/>
        <v>3</v>
      </c>
      <c r="DG16" s="29">
        <f t="shared" ca="1" si="12"/>
        <v>2</v>
      </c>
      <c r="DH16" s="29">
        <f t="shared" ca="1" si="12"/>
        <v>6</v>
      </c>
      <c r="DI16" s="29">
        <f t="shared" ca="1" si="12"/>
        <v>1</v>
      </c>
      <c r="DJ16" s="29">
        <f t="shared" ca="1" si="12"/>
        <v>5</v>
      </c>
      <c r="DK16" s="29">
        <f t="shared" ca="1" si="12"/>
        <v>5</v>
      </c>
      <c r="DL16" s="29">
        <f t="shared" ca="1" si="12"/>
        <v>6</v>
      </c>
    </row>
    <row r="17" spans="1:116" ht="14.4" x14ac:dyDescent="0.3">
      <c r="A17" s="31">
        <v>802</v>
      </c>
      <c r="B17" s="28">
        <v>1.49</v>
      </c>
      <c r="C17" s="30">
        <v>15.72</v>
      </c>
      <c r="D17" s="28">
        <v>2.66</v>
      </c>
      <c r="E17" s="34">
        <f t="shared" si="0"/>
        <v>5.3200000000000004E-2</v>
      </c>
      <c r="F17" s="35">
        <f t="shared" si="1"/>
        <v>3.93</v>
      </c>
      <c r="G17" s="34">
        <f t="shared" si="2"/>
        <v>66.5</v>
      </c>
      <c r="H17" s="33">
        <f t="shared" si="7"/>
        <v>41.993288590604024</v>
      </c>
      <c r="I17" s="28">
        <f t="shared" si="8"/>
        <v>13.93</v>
      </c>
      <c r="J17" s="32">
        <v>1</v>
      </c>
      <c r="K17" s="30">
        <f t="shared" si="3"/>
        <v>3.93</v>
      </c>
      <c r="L17" s="30"/>
      <c r="M17" s="30"/>
      <c r="N17" s="30"/>
      <c r="O17" s="30"/>
      <c r="Q17" s="29">
        <f t="shared" ca="1" si="4"/>
        <v>3</v>
      </c>
      <c r="R17" s="29">
        <f t="shared" ca="1" si="13"/>
        <v>2</v>
      </c>
      <c r="S17" s="29">
        <f t="shared" ca="1" si="13"/>
        <v>1</v>
      </c>
      <c r="T17" s="29">
        <f t="shared" ca="1" si="13"/>
        <v>4</v>
      </c>
      <c r="U17" s="29">
        <f t="shared" ca="1" si="13"/>
        <v>1</v>
      </c>
      <c r="V17" s="29">
        <f t="shared" ca="1" si="13"/>
        <v>2</v>
      </c>
      <c r="W17" s="29">
        <f t="shared" ca="1" si="13"/>
        <v>1</v>
      </c>
      <c r="X17" s="29">
        <f t="shared" ca="1" si="13"/>
        <v>1</v>
      </c>
      <c r="Y17" s="29">
        <f t="shared" ca="1" si="13"/>
        <v>2</v>
      </c>
      <c r="Z17" s="29">
        <f t="shared" ca="1" si="13"/>
        <v>4</v>
      </c>
      <c r="AA17" s="29">
        <f t="shared" ca="1" si="13"/>
        <v>3</v>
      </c>
      <c r="AB17" s="29">
        <f t="shared" ca="1" si="13"/>
        <v>5</v>
      </c>
      <c r="AC17" s="29">
        <f t="shared" ca="1" si="13"/>
        <v>5</v>
      </c>
      <c r="AD17" s="29">
        <f t="shared" ca="1" si="13"/>
        <v>5</v>
      </c>
      <c r="AE17" s="29">
        <f t="shared" ca="1" si="13"/>
        <v>2</v>
      </c>
      <c r="AF17" s="29">
        <f t="shared" ca="1" si="13"/>
        <v>4</v>
      </c>
      <c r="AG17" s="29">
        <f t="shared" ca="1" si="14"/>
        <v>3</v>
      </c>
      <c r="AH17" s="29">
        <f t="shared" ca="1" si="14"/>
        <v>3</v>
      </c>
      <c r="AI17" s="29">
        <f t="shared" ca="1" si="14"/>
        <v>1</v>
      </c>
      <c r="AJ17" s="29">
        <f t="shared" ca="1" si="14"/>
        <v>3</v>
      </c>
      <c r="AK17" s="29">
        <f t="shared" ca="1" si="14"/>
        <v>3</v>
      </c>
      <c r="AL17" s="29">
        <f t="shared" ca="1" si="14"/>
        <v>5</v>
      </c>
      <c r="AM17" s="29">
        <f t="shared" ca="1" si="14"/>
        <v>0</v>
      </c>
      <c r="AN17" s="29">
        <f t="shared" ca="1" si="14"/>
        <v>2</v>
      </c>
      <c r="AO17" s="29">
        <f t="shared" ca="1" si="14"/>
        <v>1</v>
      </c>
      <c r="AP17" s="29">
        <f t="shared" ca="1" si="14"/>
        <v>1</v>
      </c>
      <c r="AQ17" s="29">
        <f t="shared" ca="1" si="14"/>
        <v>5</v>
      </c>
      <c r="AR17" s="29">
        <f t="shared" ca="1" si="14"/>
        <v>3</v>
      </c>
      <c r="AS17" s="29">
        <f t="shared" ca="1" si="14"/>
        <v>4</v>
      </c>
      <c r="AT17" s="29">
        <f t="shared" ca="1" si="14"/>
        <v>2</v>
      </c>
      <c r="AU17" s="29">
        <f t="shared" ca="1" si="14"/>
        <v>1</v>
      </c>
      <c r="AV17" s="29">
        <f t="shared" ca="1" si="14"/>
        <v>1</v>
      </c>
      <c r="AW17" s="29">
        <f t="shared" ca="1" si="15"/>
        <v>3</v>
      </c>
      <c r="AX17" s="29">
        <f t="shared" ca="1" si="15"/>
        <v>2</v>
      </c>
      <c r="AY17" s="29">
        <f t="shared" ca="1" si="15"/>
        <v>1</v>
      </c>
      <c r="AZ17" s="29">
        <f t="shared" ca="1" si="15"/>
        <v>4</v>
      </c>
      <c r="BA17" s="29">
        <f t="shared" ca="1" si="15"/>
        <v>2</v>
      </c>
      <c r="BB17" s="29">
        <f t="shared" ca="1" si="15"/>
        <v>1</v>
      </c>
      <c r="BC17" s="29">
        <f t="shared" ca="1" si="15"/>
        <v>5</v>
      </c>
      <c r="BD17" s="29">
        <f t="shared" ca="1" si="15"/>
        <v>1</v>
      </c>
      <c r="BE17" s="29">
        <f t="shared" ca="1" si="15"/>
        <v>3</v>
      </c>
      <c r="BF17" s="29">
        <f t="shared" ca="1" si="15"/>
        <v>1</v>
      </c>
      <c r="BG17" s="29">
        <f t="shared" ca="1" si="15"/>
        <v>3</v>
      </c>
      <c r="BH17" s="29">
        <f t="shared" ca="1" si="15"/>
        <v>2</v>
      </c>
      <c r="BI17" s="29">
        <f t="shared" ca="1" si="15"/>
        <v>1</v>
      </c>
      <c r="BJ17" s="29">
        <f t="shared" ca="1" si="15"/>
        <v>3</v>
      </c>
      <c r="BK17" s="29">
        <f t="shared" ca="1" si="15"/>
        <v>1</v>
      </c>
      <c r="BL17" s="29">
        <f t="shared" ca="1" si="15"/>
        <v>3</v>
      </c>
      <c r="BM17" s="29">
        <f t="shared" ca="1" si="16"/>
        <v>1</v>
      </c>
      <c r="BN17" s="29">
        <f t="shared" ca="1" si="16"/>
        <v>3</v>
      </c>
      <c r="BO17" s="29">
        <f t="shared" ca="1" si="16"/>
        <v>4</v>
      </c>
      <c r="BP17" s="29">
        <f t="shared" ca="1" si="16"/>
        <v>3</v>
      </c>
      <c r="BQ17" s="29">
        <f t="shared" ca="1" si="16"/>
        <v>2</v>
      </c>
      <c r="BR17" s="29">
        <f t="shared" ca="1" si="16"/>
        <v>1</v>
      </c>
      <c r="BS17" s="29">
        <f t="shared" ca="1" si="16"/>
        <v>2</v>
      </c>
      <c r="BT17" s="29">
        <f t="shared" ca="1" si="16"/>
        <v>3</v>
      </c>
      <c r="BU17" s="29">
        <f t="shared" ca="1" si="16"/>
        <v>2</v>
      </c>
      <c r="BV17" s="29">
        <f t="shared" ca="1" si="16"/>
        <v>1</v>
      </c>
      <c r="BW17" s="29">
        <f t="shared" ca="1" si="16"/>
        <v>1</v>
      </c>
      <c r="BX17" s="29">
        <f t="shared" ca="1" si="16"/>
        <v>4</v>
      </c>
      <c r="BY17" s="29">
        <f t="shared" ca="1" si="16"/>
        <v>1</v>
      </c>
      <c r="BZ17" s="29">
        <f t="shared" ca="1" si="16"/>
        <v>2</v>
      </c>
      <c r="CA17" s="29">
        <f t="shared" ca="1" si="16"/>
        <v>3</v>
      </c>
      <c r="CB17" s="29">
        <f t="shared" ca="1" si="16"/>
        <v>6</v>
      </c>
      <c r="CC17" s="29">
        <f t="shared" ca="1" si="10"/>
        <v>1</v>
      </c>
      <c r="CD17" s="29">
        <f t="shared" ca="1" si="10"/>
        <v>1</v>
      </c>
      <c r="CE17" s="29">
        <f t="shared" ca="1" si="10"/>
        <v>3</v>
      </c>
      <c r="CF17" s="29">
        <f t="shared" ca="1" si="10"/>
        <v>3</v>
      </c>
      <c r="CG17" s="29">
        <f t="shared" ca="1" si="10"/>
        <v>2</v>
      </c>
      <c r="CH17" s="29">
        <f t="shared" ca="1" si="10"/>
        <v>2</v>
      </c>
      <c r="CI17" s="29">
        <f t="shared" ca="1" si="10"/>
        <v>2</v>
      </c>
      <c r="CJ17" s="29">
        <f t="shared" ca="1" si="10"/>
        <v>1</v>
      </c>
      <c r="CK17" s="29">
        <f t="shared" ca="1" si="10"/>
        <v>2</v>
      </c>
      <c r="CL17" s="29">
        <f t="shared" ca="1" si="10"/>
        <v>1</v>
      </c>
      <c r="CM17" s="29">
        <f t="shared" ca="1" si="10"/>
        <v>3</v>
      </c>
      <c r="CN17" s="29">
        <f t="shared" ca="1" si="10"/>
        <v>3</v>
      </c>
      <c r="CO17" s="29">
        <f t="shared" ca="1" si="10"/>
        <v>4</v>
      </c>
      <c r="CP17" s="29">
        <f t="shared" ca="1" si="10"/>
        <v>2</v>
      </c>
      <c r="CQ17" s="29">
        <f t="shared" ca="1" si="10"/>
        <v>3</v>
      </c>
      <c r="CR17" s="29">
        <f t="shared" ca="1" si="11"/>
        <v>3</v>
      </c>
      <c r="CS17" s="29">
        <f t="shared" ca="1" si="11"/>
        <v>1</v>
      </c>
      <c r="CT17" s="29">
        <f t="shared" ca="1" si="11"/>
        <v>2</v>
      </c>
      <c r="CU17" s="29">
        <f t="shared" ca="1" si="11"/>
        <v>3</v>
      </c>
      <c r="CV17" s="29">
        <f t="shared" ca="1" si="11"/>
        <v>2</v>
      </c>
      <c r="CW17" s="29">
        <f t="shared" ca="1" si="11"/>
        <v>0</v>
      </c>
      <c r="CX17" s="29">
        <f t="shared" ca="1" si="11"/>
        <v>1</v>
      </c>
      <c r="CY17" s="29">
        <f t="shared" ca="1" si="11"/>
        <v>2</v>
      </c>
      <c r="CZ17" s="29">
        <f t="shared" ca="1" si="11"/>
        <v>0</v>
      </c>
      <c r="DA17" s="29">
        <f t="shared" ca="1" si="11"/>
        <v>2</v>
      </c>
      <c r="DB17" s="29">
        <f t="shared" ca="1" si="11"/>
        <v>3</v>
      </c>
      <c r="DC17" s="29">
        <f t="shared" ca="1" si="11"/>
        <v>1</v>
      </c>
      <c r="DD17" s="29">
        <f t="shared" ca="1" si="12"/>
        <v>2</v>
      </c>
      <c r="DE17" s="29">
        <f t="shared" ca="1" si="12"/>
        <v>5</v>
      </c>
      <c r="DF17" s="29">
        <f t="shared" ca="1" si="12"/>
        <v>1</v>
      </c>
      <c r="DG17" s="29">
        <f t="shared" ca="1" si="12"/>
        <v>3</v>
      </c>
      <c r="DH17" s="29">
        <f t="shared" ca="1" si="12"/>
        <v>3</v>
      </c>
      <c r="DI17" s="29">
        <f t="shared" ca="1" si="12"/>
        <v>2</v>
      </c>
      <c r="DJ17" s="29">
        <f t="shared" ca="1" si="12"/>
        <v>2</v>
      </c>
      <c r="DK17" s="29">
        <f t="shared" ca="1" si="12"/>
        <v>0</v>
      </c>
      <c r="DL17" s="29">
        <f t="shared" ca="1" si="12"/>
        <v>4</v>
      </c>
    </row>
    <row r="18" spans="1:116" ht="14.4" x14ac:dyDescent="0.3">
      <c r="A18" s="31">
        <v>464</v>
      </c>
      <c r="B18" s="28">
        <v>1.18</v>
      </c>
      <c r="C18" s="30">
        <v>61</v>
      </c>
      <c r="D18" s="28">
        <v>2.46</v>
      </c>
      <c r="E18" s="34">
        <f t="shared" si="0"/>
        <v>4.9200000000000001E-2</v>
      </c>
      <c r="F18" s="35">
        <f t="shared" si="1"/>
        <v>15.25</v>
      </c>
      <c r="G18" s="34">
        <f t="shared" si="2"/>
        <v>61.5</v>
      </c>
      <c r="H18" s="33">
        <f t="shared" si="7"/>
        <v>39.194915254237287</v>
      </c>
      <c r="I18" s="28">
        <f t="shared" si="8"/>
        <v>15.11</v>
      </c>
      <c r="J18" s="32">
        <v>1</v>
      </c>
      <c r="K18" s="30">
        <f t="shared" si="3"/>
        <v>15.25</v>
      </c>
      <c r="L18" s="30"/>
      <c r="M18" s="30"/>
      <c r="N18" s="30"/>
      <c r="O18" s="30"/>
      <c r="Q18" s="29">
        <f t="shared" ca="1" si="4"/>
        <v>1</v>
      </c>
      <c r="R18" s="29">
        <f t="shared" ca="1" si="13"/>
        <v>1</v>
      </c>
      <c r="S18" s="29">
        <f t="shared" ca="1" si="13"/>
        <v>2</v>
      </c>
      <c r="T18" s="29">
        <f t="shared" ca="1" si="13"/>
        <v>3</v>
      </c>
      <c r="U18" s="29">
        <f t="shared" ca="1" si="13"/>
        <v>3</v>
      </c>
      <c r="V18" s="29">
        <f t="shared" ca="1" si="13"/>
        <v>3</v>
      </c>
      <c r="W18" s="29">
        <f t="shared" ca="1" si="13"/>
        <v>4</v>
      </c>
      <c r="X18" s="29">
        <f t="shared" ca="1" si="13"/>
        <v>1</v>
      </c>
      <c r="Y18" s="29">
        <f t="shared" ca="1" si="13"/>
        <v>1</v>
      </c>
      <c r="Z18" s="29">
        <f t="shared" ca="1" si="13"/>
        <v>2</v>
      </c>
      <c r="AA18" s="29">
        <f t="shared" ca="1" si="13"/>
        <v>2</v>
      </c>
      <c r="AB18" s="29">
        <f t="shared" ca="1" si="13"/>
        <v>1</v>
      </c>
      <c r="AC18" s="29">
        <f t="shared" ca="1" si="13"/>
        <v>2</v>
      </c>
      <c r="AD18" s="29">
        <f t="shared" ca="1" si="13"/>
        <v>2</v>
      </c>
      <c r="AE18" s="29">
        <f t="shared" ca="1" si="13"/>
        <v>0</v>
      </c>
      <c r="AF18" s="29">
        <f t="shared" ca="1" si="13"/>
        <v>2</v>
      </c>
      <c r="AG18" s="29">
        <f t="shared" ca="1" si="14"/>
        <v>1</v>
      </c>
      <c r="AH18" s="29">
        <f t="shared" ca="1" si="14"/>
        <v>2</v>
      </c>
      <c r="AI18" s="29">
        <f t="shared" ca="1" si="14"/>
        <v>0</v>
      </c>
      <c r="AJ18" s="29">
        <f t="shared" ca="1" si="14"/>
        <v>2</v>
      </c>
      <c r="AK18" s="29">
        <f t="shared" ca="1" si="14"/>
        <v>3</v>
      </c>
      <c r="AL18" s="29">
        <f t="shared" ca="1" si="14"/>
        <v>3</v>
      </c>
      <c r="AM18" s="29">
        <f t="shared" ca="1" si="14"/>
        <v>4</v>
      </c>
      <c r="AN18" s="29">
        <f t="shared" ca="1" si="14"/>
        <v>5</v>
      </c>
      <c r="AO18" s="29">
        <f t="shared" ca="1" si="14"/>
        <v>2</v>
      </c>
      <c r="AP18" s="29">
        <f t="shared" ca="1" si="14"/>
        <v>1</v>
      </c>
      <c r="AQ18" s="29">
        <f t="shared" ca="1" si="14"/>
        <v>1</v>
      </c>
      <c r="AR18" s="29">
        <f t="shared" ca="1" si="14"/>
        <v>2</v>
      </c>
      <c r="AS18" s="29">
        <f t="shared" ca="1" si="14"/>
        <v>0</v>
      </c>
      <c r="AT18" s="29">
        <f t="shared" ca="1" si="14"/>
        <v>0</v>
      </c>
      <c r="AU18" s="29">
        <f t="shared" ca="1" si="14"/>
        <v>2</v>
      </c>
      <c r="AV18" s="29">
        <f t="shared" ca="1" si="14"/>
        <v>4</v>
      </c>
      <c r="AW18" s="29">
        <f t="shared" ca="1" si="15"/>
        <v>1</v>
      </c>
      <c r="AX18" s="29">
        <f t="shared" ca="1" si="15"/>
        <v>2</v>
      </c>
      <c r="AY18" s="29">
        <f t="shared" ca="1" si="15"/>
        <v>4</v>
      </c>
      <c r="AZ18" s="29">
        <f t="shared" ca="1" si="15"/>
        <v>3</v>
      </c>
      <c r="BA18" s="29">
        <f t="shared" ca="1" si="15"/>
        <v>3</v>
      </c>
      <c r="BB18" s="29">
        <f t="shared" ca="1" si="15"/>
        <v>3</v>
      </c>
      <c r="BC18" s="29">
        <f t="shared" ca="1" si="15"/>
        <v>3</v>
      </c>
      <c r="BD18" s="29">
        <f t="shared" ca="1" si="15"/>
        <v>1</v>
      </c>
      <c r="BE18" s="29">
        <f t="shared" ca="1" si="15"/>
        <v>3</v>
      </c>
      <c r="BF18" s="29">
        <f t="shared" ca="1" si="15"/>
        <v>4</v>
      </c>
      <c r="BG18" s="29">
        <f t="shared" ca="1" si="15"/>
        <v>2</v>
      </c>
      <c r="BH18" s="29">
        <f t="shared" ca="1" si="15"/>
        <v>5</v>
      </c>
      <c r="BI18" s="29">
        <f t="shared" ca="1" si="15"/>
        <v>4</v>
      </c>
      <c r="BJ18" s="29">
        <f t="shared" ca="1" si="15"/>
        <v>2</v>
      </c>
      <c r="BK18" s="29">
        <f t="shared" ca="1" si="15"/>
        <v>6</v>
      </c>
      <c r="BL18" s="29">
        <f t="shared" ca="1" si="15"/>
        <v>3</v>
      </c>
      <c r="BM18" s="29">
        <f t="shared" ca="1" si="16"/>
        <v>2</v>
      </c>
      <c r="BN18" s="29">
        <f t="shared" ca="1" si="16"/>
        <v>3</v>
      </c>
      <c r="BO18" s="29">
        <f t="shared" ca="1" si="16"/>
        <v>3</v>
      </c>
      <c r="BP18" s="29">
        <f t="shared" ca="1" si="16"/>
        <v>4</v>
      </c>
      <c r="BQ18" s="29">
        <f t="shared" ca="1" si="16"/>
        <v>0</v>
      </c>
      <c r="BR18" s="29">
        <f t="shared" ca="1" si="16"/>
        <v>2</v>
      </c>
      <c r="BS18" s="29">
        <f t="shared" ca="1" si="16"/>
        <v>1</v>
      </c>
      <c r="BT18" s="29">
        <f t="shared" ca="1" si="16"/>
        <v>1</v>
      </c>
      <c r="BU18" s="29">
        <f t="shared" ca="1" si="16"/>
        <v>3</v>
      </c>
      <c r="BV18" s="29">
        <f t="shared" ca="1" si="16"/>
        <v>2</v>
      </c>
      <c r="BW18" s="29">
        <f t="shared" ca="1" si="16"/>
        <v>1</v>
      </c>
      <c r="BX18" s="29">
        <f t="shared" ca="1" si="16"/>
        <v>1</v>
      </c>
      <c r="BY18" s="29">
        <f t="shared" ca="1" si="16"/>
        <v>4</v>
      </c>
      <c r="BZ18" s="29">
        <f t="shared" ca="1" si="16"/>
        <v>4</v>
      </c>
      <c r="CA18" s="29">
        <f t="shared" ca="1" si="16"/>
        <v>4</v>
      </c>
      <c r="CB18" s="29">
        <f t="shared" ca="1" si="16"/>
        <v>2</v>
      </c>
      <c r="CC18" s="29">
        <f t="shared" ca="1" si="10"/>
        <v>3</v>
      </c>
      <c r="CD18" s="29">
        <f t="shared" ca="1" si="10"/>
        <v>2</v>
      </c>
      <c r="CE18" s="29">
        <f t="shared" ca="1" si="10"/>
        <v>4</v>
      </c>
      <c r="CF18" s="29">
        <f t="shared" ca="1" si="10"/>
        <v>3</v>
      </c>
      <c r="CG18" s="29">
        <f t="shared" ca="1" si="10"/>
        <v>2</v>
      </c>
      <c r="CH18" s="29">
        <f t="shared" ca="1" si="10"/>
        <v>3</v>
      </c>
      <c r="CI18" s="29">
        <f t="shared" ca="1" si="10"/>
        <v>4</v>
      </c>
      <c r="CJ18" s="29">
        <f t="shared" ca="1" si="10"/>
        <v>4</v>
      </c>
      <c r="CK18" s="29">
        <f t="shared" ca="1" si="10"/>
        <v>3</v>
      </c>
      <c r="CL18" s="29">
        <f t="shared" ca="1" si="10"/>
        <v>1</v>
      </c>
      <c r="CM18" s="29">
        <f t="shared" ca="1" si="10"/>
        <v>3</v>
      </c>
      <c r="CN18" s="29">
        <f t="shared" ca="1" si="10"/>
        <v>2</v>
      </c>
      <c r="CO18" s="29">
        <f t="shared" ca="1" si="10"/>
        <v>4</v>
      </c>
      <c r="CP18" s="29">
        <f t="shared" ca="1" si="10"/>
        <v>6</v>
      </c>
      <c r="CQ18" s="29">
        <f t="shared" ca="1" si="10"/>
        <v>2</v>
      </c>
      <c r="CR18" s="29">
        <f t="shared" ca="1" si="11"/>
        <v>2</v>
      </c>
      <c r="CS18" s="29">
        <f t="shared" ca="1" si="11"/>
        <v>2</v>
      </c>
      <c r="CT18" s="29">
        <f t="shared" ca="1" si="11"/>
        <v>1</v>
      </c>
      <c r="CU18" s="29">
        <f t="shared" ca="1" si="11"/>
        <v>2</v>
      </c>
      <c r="CV18" s="29">
        <f t="shared" ca="1" si="11"/>
        <v>2</v>
      </c>
      <c r="CW18" s="29">
        <f t="shared" ca="1" si="11"/>
        <v>0</v>
      </c>
      <c r="CX18" s="29">
        <f t="shared" ca="1" si="11"/>
        <v>0</v>
      </c>
      <c r="CY18" s="29">
        <f t="shared" ca="1" si="11"/>
        <v>4</v>
      </c>
      <c r="CZ18" s="29">
        <f t="shared" ca="1" si="11"/>
        <v>2</v>
      </c>
      <c r="DA18" s="29">
        <f t="shared" ca="1" si="11"/>
        <v>4</v>
      </c>
      <c r="DB18" s="29">
        <f t="shared" ca="1" si="11"/>
        <v>1</v>
      </c>
      <c r="DC18" s="29">
        <f t="shared" ca="1" si="11"/>
        <v>5</v>
      </c>
      <c r="DD18" s="29">
        <f t="shared" ca="1" si="12"/>
        <v>1</v>
      </c>
      <c r="DE18" s="29">
        <f t="shared" ca="1" si="12"/>
        <v>2</v>
      </c>
      <c r="DF18" s="29">
        <f t="shared" ca="1" si="12"/>
        <v>1</v>
      </c>
      <c r="DG18" s="29">
        <f t="shared" ca="1" si="12"/>
        <v>1</v>
      </c>
      <c r="DH18" s="29">
        <f t="shared" ca="1" si="12"/>
        <v>2</v>
      </c>
      <c r="DI18" s="29">
        <f t="shared" ca="1" si="12"/>
        <v>3</v>
      </c>
      <c r="DJ18" s="29">
        <f t="shared" ca="1" si="12"/>
        <v>2</v>
      </c>
      <c r="DK18" s="29">
        <f t="shared" ca="1" si="12"/>
        <v>1</v>
      </c>
      <c r="DL18" s="29">
        <f t="shared" ca="1" si="12"/>
        <v>4</v>
      </c>
    </row>
    <row r="19" spans="1:116" ht="14.4" x14ac:dyDescent="0.3">
      <c r="A19" s="31">
        <v>19</v>
      </c>
      <c r="B19" s="28">
        <v>1.58</v>
      </c>
      <c r="C19" s="30">
        <v>17.510000000000002</v>
      </c>
      <c r="D19" s="28">
        <v>2.56</v>
      </c>
      <c r="E19" s="34">
        <f t="shared" si="0"/>
        <v>5.1200000000000002E-2</v>
      </c>
      <c r="F19" s="35">
        <f t="shared" si="1"/>
        <v>4.3775000000000004</v>
      </c>
      <c r="G19" s="34">
        <f t="shared" si="2"/>
        <v>64</v>
      </c>
      <c r="H19" s="33">
        <f t="shared" si="7"/>
        <v>37.735759493670884</v>
      </c>
      <c r="I19" s="28">
        <f t="shared" si="8"/>
        <v>16.689999999999998</v>
      </c>
      <c r="J19" s="32">
        <v>1</v>
      </c>
      <c r="K19" s="30">
        <f t="shared" si="3"/>
        <v>4.3775000000000004</v>
      </c>
      <c r="L19" s="30"/>
      <c r="M19" s="30"/>
      <c r="N19" s="30"/>
      <c r="O19" s="30"/>
      <c r="Q19" s="29">
        <f t="shared" ca="1" si="4"/>
        <v>1</v>
      </c>
      <c r="R19" s="29">
        <f t="shared" ca="1" si="13"/>
        <v>5</v>
      </c>
      <c r="S19" s="29">
        <f t="shared" ca="1" si="13"/>
        <v>6</v>
      </c>
      <c r="T19" s="29">
        <f t="shared" ca="1" si="13"/>
        <v>2</v>
      </c>
      <c r="U19" s="29">
        <f t="shared" ca="1" si="13"/>
        <v>3</v>
      </c>
      <c r="V19" s="29">
        <f t="shared" ca="1" si="13"/>
        <v>3</v>
      </c>
      <c r="W19" s="29">
        <f t="shared" ca="1" si="13"/>
        <v>2</v>
      </c>
      <c r="X19" s="29">
        <f t="shared" ca="1" si="13"/>
        <v>1</v>
      </c>
      <c r="Y19" s="29">
        <f t="shared" ca="1" si="13"/>
        <v>4</v>
      </c>
      <c r="Z19" s="29">
        <f t="shared" ca="1" si="13"/>
        <v>1</v>
      </c>
      <c r="AA19" s="29">
        <f t="shared" ca="1" si="13"/>
        <v>5</v>
      </c>
      <c r="AB19" s="29">
        <f t="shared" ca="1" si="13"/>
        <v>1</v>
      </c>
      <c r="AC19" s="29">
        <f t="shared" ca="1" si="13"/>
        <v>5</v>
      </c>
      <c r="AD19" s="29">
        <f t="shared" ca="1" si="13"/>
        <v>4</v>
      </c>
      <c r="AE19" s="29">
        <f t="shared" ca="1" si="13"/>
        <v>1</v>
      </c>
      <c r="AF19" s="29">
        <f t="shared" ca="1" si="13"/>
        <v>1</v>
      </c>
      <c r="AG19" s="29">
        <f t="shared" ca="1" si="14"/>
        <v>2</v>
      </c>
      <c r="AH19" s="29">
        <f t="shared" ca="1" si="14"/>
        <v>3</v>
      </c>
      <c r="AI19" s="29">
        <f t="shared" ca="1" si="14"/>
        <v>0</v>
      </c>
      <c r="AJ19" s="29">
        <f t="shared" ca="1" si="14"/>
        <v>1</v>
      </c>
      <c r="AK19" s="29">
        <f t="shared" ca="1" si="14"/>
        <v>3</v>
      </c>
      <c r="AL19" s="29">
        <f t="shared" ca="1" si="14"/>
        <v>1</v>
      </c>
      <c r="AM19" s="29">
        <f t="shared" ca="1" si="14"/>
        <v>2</v>
      </c>
      <c r="AN19" s="29">
        <f t="shared" ca="1" si="14"/>
        <v>2</v>
      </c>
      <c r="AO19" s="29">
        <f t="shared" ca="1" si="14"/>
        <v>4</v>
      </c>
      <c r="AP19" s="29">
        <f t="shared" ca="1" si="14"/>
        <v>5</v>
      </c>
      <c r="AQ19" s="29">
        <f t="shared" ca="1" si="14"/>
        <v>2</v>
      </c>
      <c r="AR19" s="29">
        <f t="shared" ca="1" si="14"/>
        <v>1</v>
      </c>
      <c r="AS19" s="29">
        <f t="shared" ca="1" si="14"/>
        <v>4</v>
      </c>
      <c r="AT19" s="29">
        <f t="shared" ca="1" si="14"/>
        <v>1</v>
      </c>
      <c r="AU19" s="29">
        <f t="shared" ca="1" si="14"/>
        <v>3</v>
      </c>
      <c r="AV19" s="29">
        <f t="shared" ca="1" si="14"/>
        <v>2</v>
      </c>
      <c r="AW19" s="29">
        <f t="shared" ca="1" si="15"/>
        <v>3</v>
      </c>
      <c r="AX19" s="29">
        <f t="shared" ca="1" si="15"/>
        <v>5</v>
      </c>
      <c r="AY19" s="29">
        <f t="shared" ca="1" si="15"/>
        <v>1</v>
      </c>
      <c r="AZ19" s="29">
        <f t="shared" ca="1" si="15"/>
        <v>3</v>
      </c>
      <c r="BA19" s="29">
        <f t="shared" ca="1" si="15"/>
        <v>4</v>
      </c>
      <c r="BB19" s="29">
        <f t="shared" ca="1" si="15"/>
        <v>2</v>
      </c>
      <c r="BC19" s="29">
        <f t="shared" ca="1" si="15"/>
        <v>2</v>
      </c>
      <c r="BD19" s="29">
        <f t="shared" ca="1" si="15"/>
        <v>2</v>
      </c>
      <c r="BE19" s="29">
        <f t="shared" ca="1" si="15"/>
        <v>2</v>
      </c>
      <c r="BF19" s="29">
        <f t="shared" ca="1" si="15"/>
        <v>3</v>
      </c>
      <c r="BG19" s="29">
        <f t="shared" ca="1" si="15"/>
        <v>3</v>
      </c>
      <c r="BH19" s="29">
        <f t="shared" ca="1" si="15"/>
        <v>4</v>
      </c>
      <c r="BI19" s="29">
        <f t="shared" ca="1" si="15"/>
        <v>2</v>
      </c>
      <c r="BJ19" s="29">
        <f t="shared" ca="1" si="15"/>
        <v>3</v>
      </c>
      <c r="BK19" s="29">
        <f t="shared" ca="1" si="15"/>
        <v>4</v>
      </c>
      <c r="BL19" s="29">
        <f t="shared" ca="1" si="15"/>
        <v>2</v>
      </c>
      <c r="BM19" s="29">
        <f t="shared" ca="1" si="16"/>
        <v>3</v>
      </c>
      <c r="BN19" s="29">
        <f t="shared" ca="1" si="16"/>
        <v>4</v>
      </c>
      <c r="BO19" s="29">
        <f t="shared" ca="1" si="16"/>
        <v>3</v>
      </c>
      <c r="BP19" s="29">
        <f t="shared" ca="1" si="16"/>
        <v>1</v>
      </c>
      <c r="BQ19" s="29">
        <f t="shared" ca="1" si="16"/>
        <v>0</v>
      </c>
      <c r="BR19" s="29">
        <f t="shared" ca="1" si="16"/>
        <v>4</v>
      </c>
      <c r="BS19" s="29">
        <f t="shared" ca="1" si="16"/>
        <v>2</v>
      </c>
      <c r="BT19" s="29">
        <f t="shared" ca="1" si="16"/>
        <v>3</v>
      </c>
      <c r="BU19" s="29">
        <f t="shared" ca="1" si="16"/>
        <v>3</v>
      </c>
      <c r="BV19" s="29">
        <f t="shared" ca="1" si="16"/>
        <v>3</v>
      </c>
      <c r="BW19" s="29">
        <f t="shared" ca="1" si="16"/>
        <v>2</v>
      </c>
      <c r="BX19" s="29">
        <f t="shared" ca="1" si="16"/>
        <v>3</v>
      </c>
      <c r="BY19" s="29">
        <f t="shared" ca="1" si="16"/>
        <v>3</v>
      </c>
      <c r="BZ19" s="29">
        <f t="shared" ca="1" si="16"/>
        <v>5</v>
      </c>
      <c r="CA19" s="29">
        <f t="shared" ca="1" si="16"/>
        <v>3</v>
      </c>
      <c r="CB19" s="29">
        <f t="shared" ca="1" si="16"/>
        <v>2</v>
      </c>
      <c r="CC19" s="29">
        <f t="shared" ca="1" si="10"/>
        <v>3</v>
      </c>
      <c r="CD19" s="29">
        <f t="shared" ca="1" si="10"/>
        <v>2</v>
      </c>
      <c r="CE19" s="29">
        <f t="shared" ca="1" si="10"/>
        <v>4</v>
      </c>
      <c r="CF19" s="29">
        <f t="shared" ca="1" si="10"/>
        <v>3</v>
      </c>
      <c r="CG19" s="29">
        <f t="shared" ca="1" si="10"/>
        <v>2</v>
      </c>
      <c r="CH19" s="29">
        <f t="shared" ca="1" si="10"/>
        <v>3</v>
      </c>
      <c r="CI19" s="29">
        <f t="shared" ca="1" si="10"/>
        <v>2</v>
      </c>
      <c r="CJ19" s="29">
        <f t="shared" ca="1" si="10"/>
        <v>0</v>
      </c>
      <c r="CK19" s="29">
        <f t="shared" ca="1" si="10"/>
        <v>3</v>
      </c>
      <c r="CL19" s="29">
        <f t="shared" ca="1" si="10"/>
        <v>3</v>
      </c>
      <c r="CM19" s="29">
        <f t="shared" ca="1" si="10"/>
        <v>4</v>
      </c>
      <c r="CN19" s="29">
        <f t="shared" ca="1" si="10"/>
        <v>2</v>
      </c>
      <c r="CO19" s="29">
        <f t="shared" ca="1" si="10"/>
        <v>1</v>
      </c>
      <c r="CP19" s="29">
        <f t="shared" ca="1" si="10"/>
        <v>0</v>
      </c>
      <c r="CQ19" s="29">
        <f t="shared" ca="1" si="10"/>
        <v>5</v>
      </c>
      <c r="CR19" s="29">
        <f t="shared" ca="1" si="11"/>
        <v>2</v>
      </c>
      <c r="CS19" s="29">
        <f t="shared" ca="1" si="11"/>
        <v>3</v>
      </c>
      <c r="CT19" s="29">
        <f t="shared" ca="1" si="11"/>
        <v>2</v>
      </c>
      <c r="CU19" s="29">
        <f t="shared" ca="1" si="11"/>
        <v>3</v>
      </c>
      <c r="CV19" s="29">
        <f t="shared" ca="1" si="11"/>
        <v>5</v>
      </c>
      <c r="CW19" s="29">
        <f t="shared" ca="1" si="11"/>
        <v>3</v>
      </c>
      <c r="CX19" s="29">
        <f t="shared" ca="1" si="11"/>
        <v>2</v>
      </c>
      <c r="CY19" s="29">
        <f t="shared" ca="1" si="11"/>
        <v>4</v>
      </c>
      <c r="CZ19" s="29">
        <f t="shared" ca="1" si="11"/>
        <v>6</v>
      </c>
      <c r="DA19" s="29">
        <f t="shared" ca="1" si="11"/>
        <v>1</v>
      </c>
      <c r="DB19" s="29">
        <f t="shared" ca="1" si="11"/>
        <v>1</v>
      </c>
      <c r="DC19" s="29">
        <f t="shared" ca="1" si="11"/>
        <v>4</v>
      </c>
      <c r="DD19" s="29">
        <f t="shared" ca="1" si="12"/>
        <v>4</v>
      </c>
      <c r="DE19" s="29">
        <f t="shared" ca="1" si="12"/>
        <v>2</v>
      </c>
      <c r="DF19" s="29">
        <f t="shared" ca="1" si="12"/>
        <v>2</v>
      </c>
      <c r="DG19" s="29">
        <f t="shared" ca="1" si="12"/>
        <v>1</v>
      </c>
      <c r="DH19" s="29">
        <f t="shared" ca="1" si="12"/>
        <v>4</v>
      </c>
      <c r="DI19" s="29">
        <f t="shared" ca="1" si="12"/>
        <v>2</v>
      </c>
      <c r="DJ19" s="29">
        <f t="shared" ca="1" si="12"/>
        <v>2</v>
      </c>
      <c r="DK19" s="29">
        <f t="shared" ca="1" si="12"/>
        <v>3</v>
      </c>
      <c r="DL19" s="29">
        <f t="shared" ca="1" si="12"/>
        <v>5</v>
      </c>
    </row>
    <row r="20" spans="1:116" ht="14.4" x14ac:dyDescent="0.3">
      <c r="A20" s="31">
        <v>711</v>
      </c>
      <c r="B20" s="28">
        <v>1.49</v>
      </c>
      <c r="C20" s="30">
        <v>5.78</v>
      </c>
      <c r="D20" s="28">
        <v>2.2200000000000002</v>
      </c>
      <c r="E20" s="34">
        <f t="shared" si="0"/>
        <v>4.4400000000000002E-2</v>
      </c>
      <c r="F20" s="35">
        <f t="shared" si="1"/>
        <v>1.4450000000000001</v>
      </c>
      <c r="G20" s="34">
        <f t="shared" si="2"/>
        <v>55.500000000000007</v>
      </c>
      <c r="H20" s="33">
        <f t="shared" si="7"/>
        <v>36.278523489932894</v>
      </c>
      <c r="I20" s="28">
        <f t="shared" si="8"/>
        <v>18.179999999999996</v>
      </c>
      <c r="J20" s="32">
        <v>1</v>
      </c>
      <c r="K20" s="30">
        <f t="shared" si="3"/>
        <v>1.4450000000000001</v>
      </c>
      <c r="L20" s="30"/>
      <c r="M20" s="30"/>
      <c r="N20" s="30"/>
      <c r="O20" s="30"/>
      <c r="Q20" s="29">
        <f t="shared" ca="1" si="4"/>
        <v>0</v>
      </c>
      <c r="R20" s="29">
        <f t="shared" ca="1" si="13"/>
        <v>2</v>
      </c>
      <c r="S20" s="29">
        <f t="shared" ca="1" si="13"/>
        <v>5</v>
      </c>
      <c r="T20" s="29">
        <f t="shared" ca="1" si="13"/>
        <v>2</v>
      </c>
      <c r="U20" s="29">
        <f t="shared" ca="1" si="13"/>
        <v>0</v>
      </c>
      <c r="V20" s="29">
        <f t="shared" ca="1" si="13"/>
        <v>0</v>
      </c>
      <c r="W20" s="29">
        <f t="shared" ca="1" si="13"/>
        <v>3</v>
      </c>
      <c r="X20" s="29">
        <f t="shared" ca="1" si="13"/>
        <v>4</v>
      </c>
      <c r="Y20" s="29">
        <f t="shared" ca="1" si="13"/>
        <v>0</v>
      </c>
      <c r="Z20" s="29">
        <f t="shared" ca="1" si="13"/>
        <v>0</v>
      </c>
      <c r="AA20" s="29">
        <f t="shared" ca="1" si="13"/>
        <v>1</v>
      </c>
      <c r="AB20" s="29">
        <f t="shared" ca="1" si="13"/>
        <v>1</v>
      </c>
      <c r="AC20" s="29">
        <f t="shared" ca="1" si="13"/>
        <v>2</v>
      </c>
      <c r="AD20" s="29">
        <f t="shared" ca="1" si="13"/>
        <v>1</v>
      </c>
      <c r="AE20" s="29">
        <f t="shared" ca="1" si="13"/>
        <v>1</v>
      </c>
      <c r="AF20" s="29">
        <f t="shared" ca="1" si="13"/>
        <v>1</v>
      </c>
      <c r="AG20" s="29">
        <f t="shared" ca="1" si="14"/>
        <v>5</v>
      </c>
      <c r="AH20" s="29">
        <f t="shared" ca="1" si="14"/>
        <v>1</v>
      </c>
      <c r="AI20" s="29">
        <f t="shared" ca="1" si="14"/>
        <v>3</v>
      </c>
      <c r="AJ20" s="29">
        <f t="shared" ca="1" si="14"/>
        <v>3</v>
      </c>
      <c r="AK20" s="29">
        <f t="shared" ca="1" si="14"/>
        <v>2</v>
      </c>
      <c r="AL20" s="29">
        <f t="shared" ca="1" si="14"/>
        <v>1</v>
      </c>
      <c r="AM20" s="29">
        <f t="shared" ca="1" si="14"/>
        <v>3</v>
      </c>
      <c r="AN20" s="29">
        <f t="shared" ca="1" si="14"/>
        <v>4</v>
      </c>
      <c r="AO20" s="29">
        <f t="shared" ca="1" si="14"/>
        <v>2</v>
      </c>
      <c r="AP20" s="29">
        <f t="shared" ca="1" si="14"/>
        <v>2</v>
      </c>
      <c r="AQ20" s="29">
        <f t="shared" ca="1" si="14"/>
        <v>3</v>
      </c>
      <c r="AR20" s="29">
        <f t="shared" ca="1" si="14"/>
        <v>2</v>
      </c>
      <c r="AS20" s="29">
        <f t="shared" ca="1" si="14"/>
        <v>0</v>
      </c>
      <c r="AT20" s="29">
        <f t="shared" ca="1" si="14"/>
        <v>1</v>
      </c>
      <c r="AU20" s="29">
        <f t="shared" ca="1" si="14"/>
        <v>2</v>
      </c>
      <c r="AV20" s="29">
        <f t="shared" ca="1" si="14"/>
        <v>3</v>
      </c>
      <c r="AW20" s="29">
        <f t="shared" ca="1" si="15"/>
        <v>1</v>
      </c>
      <c r="AX20" s="29">
        <f t="shared" ca="1" si="15"/>
        <v>0</v>
      </c>
      <c r="AY20" s="29">
        <f t="shared" ca="1" si="15"/>
        <v>3</v>
      </c>
      <c r="AZ20" s="29">
        <f t="shared" ca="1" si="15"/>
        <v>5</v>
      </c>
      <c r="BA20" s="29">
        <f t="shared" ca="1" si="15"/>
        <v>3</v>
      </c>
      <c r="BB20" s="29">
        <f t="shared" ca="1" si="15"/>
        <v>2</v>
      </c>
      <c r="BC20" s="29">
        <f t="shared" ca="1" si="15"/>
        <v>4</v>
      </c>
      <c r="BD20" s="29">
        <f t="shared" ca="1" si="15"/>
        <v>1</v>
      </c>
      <c r="BE20" s="29">
        <f t="shared" ca="1" si="15"/>
        <v>1</v>
      </c>
      <c r="BF20" s="29">
        <f t="shared" ca="1" si="15"/>
        <v>3</v>
      </c>
      <c r="BG20" s="29">
        <f t="shared" ca="1" si="15"/>
        <v>6</v>
      </c>
      <c r="BH20" s="29">
        <f t="shared" ca="1" si="15"/>
        <v>0</v>
      </c>
      <c r="BI20" s="29">
        <f t="shared" ca="1" si="15"/>
        <v>3</v>
      </c>
      <c r="BJ20" s="29">
        <f t="shared" ca="1" si="15"/>
        <v>2</v>
      </c>
      <c r="BK20" s="29">
        <f t="shared" ca="1" si="15"/>
        <v>1</v>
      </c>
      <c r="BL20" s="29">
        <f t="shared" ca="1" si="15"/>
        <v>2</v>
      </c>
      <c r="BM20" s="29">
        <f t="shared" ca="1" si="16"/>
        <v>1</v>
      </c>
      <c r="BN20" s="29">
        <f t="shared" ca="1" si="16"/>
        <v>1</v>
      </c>
      <c r="BO20" s="29">
        <f t="shared" ca="1" si="16"/>
        <v>4</v>
      </c>
      <c r="BP20" s="29">
        <f t="shared" ca="1" si="16"/>
        <v>1</v>
      </c>
      <c r="BQ20" s="29">
        <f t="shared" ca="1" si="16"/>
        <v>1</v>
      </c>
      <c r="BR20" s="29">
        <f t="shared" ca="1" si="16"/>
        <v>4</v>
      </c>
      <c r="BS20" s="29">
        <f t="shared" ca="1" si="16"/>
        <v>0</v>
      </c>
      <c r="BT20" s="29">
        <f t="shared" ca="1" si="16"/>
        <v>1</v>
      </c>
      <c r="BU20" s="29">
        <f t="shared" ca="1" si="16"/>
        <v>1</v>
      </c>
      <c r="BV20" s="29">
        <f t="shared" ca="1" si="16"/>
        <v>6</v>
      </c>
      <c r="BW20" s="29">
        <f t="shared" ca="1" si="16"/>
        <v>2</v>
      </c>
      <c r="BX20" s="29">
        <f t="shared" ca="1" si="16"/>
        <v>0</v>
      </c>
      <c r="BY20" s="29">
        <f t="shared" ca="1" si="16"/>
        <v>3</v>
      </c>
      <c r="BZ20" s="29">
        <f t="shared" ca="1" si="16"/>
        <v>3</v>
      </c>
      <c r="CA20" s="29">
        <f t="shared" ca="1" si="16"/>
        <v>4</v>
      </c>
      <c r="CB20" s="29">
        <f t="shared" ca="1" si="16"/>
        <v>4</v>
      </c>
      <c r="CC20" s="29">
        <f t="shared" ca="1" si="10"/>
        <v>3</v>
      </c>
      <c r="CD20" s="29">
        <f t="shared" ca="1" si="10"/>
        <v>3</v>
      </c>
      <c r="CE20" s="29">
        <f t="shared" ca="1" si="10"/>
        <v>1</v>
      </c>
      <c r="CF20" s="29">
        <f t="shared" ca="1" si="10"/>
        <v>2</v>
      </c>
      <c r="CG20" s="29">
        <f t="shared" ca="1" si="10"/>
        <v>3</v>
      </c>
      <c r="CH20" s="29">
        <f t="shared" ca="1" si="10"/>
        <v>1</v>
      </c>
      <c r="CI20" s="29">
        <f t="shared" ca="1" si="10"/>
        <v>0</v>
      </c>
      <c r="CJ20" s="29">
        <f t="shared" ca="1" si="10"/>
        <v>4</v>
      </c>
      <c r="CK20" s="29">
        <f t="shared" ca="1" si="10"/>
        <v>3</v>
      </c>
      <c r="CL20" s="29">
        <f t="shared" ca="1" si="10"/>
        <v>4</v>
      </c>
      <c r="CM20" s="29">
        <f t="shared" ca="1" si="10"/>
        <v>3</v>
      </c>
      <c r="CN20" s="29">
        <f t="shared" ca="1" si="10"/>
        <v>1</v>
      </c>
      <c r="CO20" s="29">
        <f t="shared" ca="1" si="10"/>
        <v>3</v>
      </c>
      <c r="CP20" s="29">
        <f t="shared" ca="1" si="10"/>
        <v>1</v>
      </c>
      <c r="CQ20" s="29">
        <f t="shared" ca="1" si="10"/>
        <v>2</v>
      </c>
      <c r="CR20" s="29">
        <f t="shared" ca="1" si="11"/>
        <v>2</v>
      </c>
      <c r="CS20" s="29">
        <f t="shared" ca="1" si="11"/>
        <v>4</v>
      </c>
      <c r="CT20" s="29">
        <f t="shared" ca="1" si="11"/>
        <v>1</v>
      </c>
      <c r="CU20" s="29">
        <f t="shared" ca="1" si="11"/>
        <v>5</v>
      </c>
      <c r="CV20" s="29">
        <f t="shared" ca="1" si="11"/>
        <v>4</v>
      </c>
      <c r="CW20" s="29">
        <f t="shared" ca="1" si="11"/>
        <v>1</v>
      </c>
      <c r="CX20" s="29">
        <f t="shared" ca="1" si="11"/>
        <v>3</v>
      </c>
      <c r="CY20" s="29">
        <f t="shared" ca="1" si="11"/>
        <v>1</v>
      </c>
      <c r="CZ20" s="29">
        <f t="shared" ca="1" si="11"/>
        <v>1</v>
      </c>
      <c r="DA20" s="29">
        <f t="shared" ca="1" si="11"/>
        <v>2</v>
      </c>
      <c r="DB20" s="29">
        <f t="shared" ca="1" si="11"/>
        <v>0</v>
      </c>
      <c r="DC20" s="29">
        <f t="shared" ca="1" si="11"/>
        <v>3</v>
      </c>
      <c r="DD20" s="29">
        <f t="shared" ca="1" si="12"/>
        <v>2</v>
      </c>
      <c r="DE20" s="29">
        <f t="shared" ca="1" si="12"/>
        <v>3</v>
      </c>
      <c r="DF20" s="29">
        <f t="shared" ca="1" si="12"/>
        <v>1</v>
      </c>
      <c r="DG20" s="29">
        <f t="shared" ca="1" si="12"/>
        <v>1</v>
      </c>
      <c r="DH20" s="29">
        <f t="shared" ca="1" si="12"/>
        <v>6</v>
      </c>
      <c r="DI20" s="29">
        <f t="shared" ca="1" si="12"/>
        <v>3</v>
      </c>
      <c r="DJ20" s="29">
        <f t="shared" ca="1" si="12"/>
        <v>1</v>
      </c>
      <c r="DK20" s="29">
        <f t="shared" ca="1" si="12"/>
        <v>3</v>
      </c>
      <c r="DL20" s="29">
        <f t="shared" ca="1" si="12"/>
        <v>2</v>
      </c>
    </row>
    <row r="21" spans="1:116" ht="14.4" x14ac:dyDescent="0.3">
      <c r="A21" s="31">
        <v>872</v>
      </c>
      <c r="B21" s="28">
        <v>1.77</v>
      </c>
      <c r="C21" s="30">
        <v>45.96</v>
      </c>
      <c r="D21" s="28">
        <v>2.89</v>
      </c>
      <c r="E21" s="34">
        <f t="shared" si="0"/>
        <v>5.7800000000000004E-2</v>
      </c>
      <c r="F21" s="35">
        <f t="shared" si="1"/>
        <v>11.49</v>
      </c>
      <c r="G21" s="34">
        <f t="shared" si="2"/>
        <v>72.25</v>
      </c>
      <c r="H21" s="33">
        <f t="shared" si="7"/>
        <v>34.327683615819204</v>
      </c>
      <c r="I21" s="28">
        <f t="shared" si="8"/>
        <v>19.949999999999996</v>
      </c>
      <c r="J21" s="32">
        <v>1</v>
      </c>
      <c r="K21" s="30">
        <f t="shared" si="3"/>
        <v>11.49</v>
      </c>
      <c r="L21" s="30"/>
      <c r="M21" s="30"/>
      <c r="N21" s="30"/>
      <c r="O21" s="30"/>
      <c r="Q21" s="29">
        <f t="shared" ca="1" si="4"/>
        <v>0</v>
      </c>
      <c r="R21" s="29">
        <f t="shared" ca="1" si="13"/>
        <v>3</v>
      </c>
      <c r="S21" s="29">
        <f t="shared" ca="1" si="13"/>
        <v>5</v>
      </c>
      <c r="T21" s="29">
        <f t="shared" ca="1" si="13"/>
        <v>4</v>
      </c>
      <c r="U21" s="29">
        <f t="shared" ca="1" si="13"/>
        <v>2</v>
      </c>
      <c r="V21" s="29">
        <f t="shared" ca="1" si="13"/>
        <v>5</v>
      </c>
      <c r="W21" s="29">
        <f t="shared" ca="1" si="13"/>
        <v>3</v>
      </c>
      <c r="X21" s="29">
        <f t="shared" ca="1" si="13"/>
        <v>5</v>
      </c>
      <c r="Y21" s="29">
        <f t="shared" ca="1" si="13"/>
        <v>3</v>
      </c>
      <c r="Z21" s="29">
        <f t="shared" ca="1" si="13"/>
        <v>4</v>
      </c>
      <c r="AA21" s="29">
        <f t="shared" ca="1" si="13"/>
        <v>5</v>
      </c>
      <c r="AB21" s="29">
        <f t="shared" ca="1" si="13"/>
        <v>1</v>
      </c>
      <c r="AC21" s="29">
        <f t="shared" ca="1" si="13"/>
        <v>3</v>
      </c>
      <c r="AD21" s="29">
        <f t="shared" ca="1" si="13"/>
        <v>1</v>
      </c>
      <c r="AE21" s="29">
        <f t="shared" ca="1" si="13"/>
        <v>3</v>
      </c>
      <c r="AF21" s="29">
        <f t="shared" ca="1" si="13"/>
        <v>1</v>
      </c>
      <c r="AG21" s="29">
        <f t="shared" ca="1" si="14"/>
        <v>1</v>
      </c>
      <c r="AH21" s="29">
        <f t="shared" ca="1" si="14"/>
        <v>4</v>
      </c>
      <c r="AI21" s="29">
        <f t="shared" ca="1" si="14"/>
        <v>1</v>
      </c>
      <c r="AJ21" s="29">
        <f t="shared" ca="1" si="14"/>
        <v>3</v>
      </c>
      <c r="AK21" s="29">
        <f t="shared" ca="1" si="14"/>
        <v>2</v>
      </c>
      <c r="AL21" s="29">
        <f t="shared" ca="1" si="14"/>
        <v>1</v>
      </c>
      <c r="AM21" s="29">
        <f t="shared" ca="1" si="14"/>
        <v>2</v>
      </c>
      <c r="AN21" s="29">
        <f t="shared" ca="1" si="14"/>
        <v>0</v>
      </c>
      <c r="AO21" s="29">
        <f t="shared" ca="1" si="14"/>
        <v>2</v>
      </c>
      <c r="AP21" s="29">
        <f t="shared" ca="1" si="14"/>
        <v>3</v>
      </c>
      <c r="AQ21" s="29">
        <f t="shared" ca="1" si="14"/>
        <v>3</v>
      </c>
      <c r="AR21" s="29">
        <f t="shared" ca="1" si="14"/>
        <v>3</v>
      </c>
      <c r="AS21" s="29">
        <f t="shared" ca="1" si="14"/>
        <v>4</v>
      </c>
      <c r="AT21" s="29">
        <f t="shared" ca="1" si="14"/>
        <v>3</v>
      </c>
      <c r="AU21" s="29">
        <f t="shared" ca="1" si="14"/>
        <v>1</v>
      </c>
      <c r="AV21" s="29">
        <f t="shared" ca="1" si="14"/>
        <v>0</v>
      </c>
      <c r="AW21" s="29">
        <f t="shared" ca="1" si="15"/>
        <v>2</v>
      </c>
      <c r="AX21" s="29">
        <f t="shared" ca="1" si="15"/>
        <v>1</v>
      </c>
      <c r="AY21" s="29">
        <f t="shared" ca="1" si="15"/>
        <v>1</v>
      </c>
      <c r="AZ21" s="29">
        <f t="shared" ca="1" si="15"/>
        <v>2</v>
      </c>
      <c r="BA21" s="29">
        <f t="shared" ca="1" si="15"/>
        <v>2</v>
      </c>
      <c r="BB21" s="29">
        <f t="shared" ca="1" si="15"/>
        <v>4</v>
      </c>
      <c r="BC21" s="29">
        <f t="shared" ca="1" si="15"/>
        <v>5</v>
      </c>
      <c r="BD21" s="29">
        <f t="shared" ca="1" si="15"/>
        <v>1</v>
      </c>
      <c r="BE21" s="29">
        <f t="shared" ca="1" si="15"/>
        <v>3</v>
      </c>
      <c r="BF21" s="29">
        <f t="shared" ca="1" si="15"/>
        <v>4</v>
      </c>
      <c r="BG21" s="29">
        <f t="shared" ca="1" si="15"/>
        <v>1</v>
      </c>
      <c r="BH21" s="29">
        <f t="shared" ca="1" si="15"/>
        <v>4</v>
      </c>
      <c r="BI21" s="29">
        <f t="shared" ca="1" si="15"/>
        <v>3</v>
      </c>
      <c r="BJ21" s="29">
        <f t="shared" ca="1" si="15"/>
        <v>4</v>
      </c>
      <c r="BK21" s="29">
        <f t="shared" ca="1" si="15"/>
        <v>2</v>
      </c>
      <c r="BL21" s="29">
        <f t="shared" ca="1" si="15"/>
        <v>5</v>
      </c>
      <c r="BM21" s="29">
        <f t="shared" ca="1" si="16"/>
        <v>1</v>
      </c>
      <c r="BN21" s="29">
        <f t="shared" ca="1" si="16"/>
        <v>4</v>
      </c>
      <c r="BO21" s="29">
        <f t="shared" ca="1" si="16"/>
        <v>5</v>
      </c>
      <c r="BP21" s="29">
        <f t="shared" ca="1" si="16"/>
        <v>2</v>
      </c>
      <c r="BQ21" s="29">
        <f t="shared" ca="1" si="16"/>
        <v>2</v>
      </c>
      <c r="BR21" s="29">
        <f t="shared" ca="1" si="16"/>
        <v>4</v>
      </c>
      <c r="BS21" s="29">
        <f t="shared" ca="1" si="16"/>
        <v>2</v>
      </c>
      <c r="BT21" s="29">
        <f t="shared" ca="1" si="16"/>
        <v>3</v>
      </c>
      <c r="BU21" s="29">
        <f t="shared" ca="1" si="16"/>
        <v>2</v>
      </c>
      <c r="BV21" s="29">
        <f t="shared" ca="1" si="16"/>
        <v>5</v>
      </c>
      <c r="BW21" s="29">
        <f t="shared" ca="1" si="16"/>
        <v>3</v>
      </c>
      <c r="BX21" s="29">
        <f t="shared" ca="1" si="16"/>
        <v>5</v>
      </c>
      <c r="BY21" s="29">
        <f t="shared" ca="1" si="16"/>
        <v>3</v>
      </c>
      <c r="BZ21" s="29">
        <f t="shared" ca="1" si="16"/>
        <v>3</v>
      </c>
      <c r="CA21" s="29">
        <f t="shared" ca="1" si="16"/>
        <v>6</v>
      </c>
      <c r="CB21" s="29">
        <f t="shared" ca="1" si="16"/>
        <v>4</v>
      </c>
      <c r="CC21" s="29">
        <f t="shared" ca="1" si="10"/>
        <v>5</v>
      </c>
      <c r="CD21" s="29">
        <f t="shared" ca="1" si="10"/>
        <v>2</v>
      </c>
      <c r="CE21" s="29">
        <f t="shared" ca="1" si="10"/>
        <v>4</v>
      </c>
      <c r="CF21" s="29">
        <f t="shared" ca="1" si="10"/>
        <v>5</v>
      </c>
      <c r="CG21" s="29">
        <f t="shared" ca="1" si="10"/>
        <v>2</v>
      </c>
      <c r="CH21" s="29">
        <f t="shared" ca="1" si="10"/>
        <v>6</v>
      </c>
      <c r="CI21" s="29">
        <f t="shared" ca="1" si="10"/>
        <v>0</v>
      </c>
      <c r="CJ21" s="29">
        <f t="shared" ca="1" si="10"/>
        <v>2</v>
      </c>
      <c r="CK21" s="29">
        <f t="shared" ca="1" si="10"/>
        <v>1</v>
      </c>
      <c r="CL21" s="29">
        <f t="shared" ca="1" si="10"/>
        <v>1</v>
      </c>
      <c r="CM21" s="29">
        <f t="shared" ca="1" si="10"/>
        <v>4</v>
      </c>
      <c r="CN21" s="29">
        <f t="shared" ca="1" si="10"/>
        <v>1</v>
      </c>
      <c r="CO21" s="29">
        <f t="shared" ca="1" si="10"/>
        <v>5</v>
      </c>
      <c r="CP21" s="29">
        <f t="shared" ca="1" si="10"/>
        <v>9</v>
      </c>
      <c r="CQ21" s="29">
        <f t="shared" ca="1" si="10"/>
        <v>5</v>
      </c>
      <c r="CR21" s="29">
        <f t="shared" ca="1" si="11"/>
        <v>1</v>
      </c>
      <c r="CS21" s="29">
        <f t="shared" ca="1" si="11"/>
        <v>6</v>
      </c>
      <c r="CT21" s="29">
        <f t="shared" ca="1" si="11"/>
        <v>8</v>
      </c>
      <c r="CU21" s="29">
        <f t="shared" ca="1" si="11"/>
        <v>2</v>
      </c>
      <c r="CV21" s="29">
        <f t="shared" ca="1" si="11"/>
        <v>4</v>
      </c>
      <c r="CW21" s="29">
        <f t="shared" ca="1" si="11"/>
        <v>2</v>
      </c>
      <c r="CX21" s="29">
        <f t="shared" ca="1" si="11"/>
        <v>2</v>
      </c>
      <c r="CY21" s="29">
        <f t="shared" ca="1" si="11"/>
        <v>2</v>
      </c>
      <c r="CZ21" s="29">
        <f t="shared" ca="1" si="11"/>
        <v>1</v>
      </c>
      <c r="DA21" s="29">
        <f t="shared" ca="1" si="11"/>
        <v>1</v>
      </c>
      <c r="DB21" s="29">
        <f t="shared" ca="1" si="11"/>
        <v>1</v>
      </c>
      <c r="DC21" s="29">
        <f t="shared" ca="1" si="11"/>
        <v>3</v>
      </c>
      <c r="DD21" s="29">
        <f t="shared" ca="1" si="12"/>
        <v>1</v>
      </c>
      <c r="DE21" s="29">
        <f t="shared" ca="1" si="12"/>
        <v>2</v>
      </c>
      <c r="DF21" s="29">
        <f t="shared" ca="1" si="12"/>
        <v>5</v>
      </c>
      <c r="DG21" s="29">
        <f t="shared" ca="1" si="12"/>
        <v>2</v>
      </c>
      <c r="DH21" s="29">
        <f t="shared" ca="1" si="12"/>
        <v>1</v>
      </c>
      <c r="DI21" s="29">
        <f t="shared" ca="1" si="12"/>
        <v>3</v>
      </c>
      <c r="DJ21" s="29">
        <f t="shared" ca="1" si="12"/>
        <v>1</v>
      </c>
      <c r="DK21" s="29">
        <f t="shared" ca="1" si="12"/>
        <v>5</v>
      </c>
      <c r="DL21" s="29">
        <f t="shared" ca="1" si="12"/>
        <v>4</v>
      </c>
    </row>
    <row r="22" spans="1:116" ht="14.4" x14ac:dyDescent="0.3">
      <c r="A22" s="31">
        <v>1015</v>
      </c>
      <c r="B22" s="28">
        <v>2.7</v>
      </c>
      <c r="C22" s="30">
        <v>11.07</v>
      </c>
      <c r="D22" s="28">
        <v>3.12</v>
      </c>
      <c r="E22" s="34">
        <f t="shared" si="0"/>
        <v>6.2400000000000004E-2</v>
      </c>
      <c r="F22" s="35">
        <f t="shared" si="1"/>
        <v>2.7675000000000001</v>
      </c>
      <c r="G22" s="34">
        <f t="shared" si="2"/>
        <v>78</v>
      </c>
      <c r="H22" s="33">
        <f t="shared" si="7"/>
        <v>27.863888888888887</v>
      </c>
      <c r="I22" s="28">
        <f t="shared" si="8"/>
        <v>22.649999999999995</v>
      </c>
      <c r="J22" s="32">
        <v>1</v>
      </c>
      <c r="K22" s="30">
        <f t="shared" si="3"/>
        <v>2.7675000000000001</v>
      </c>
      <c r="L22" s="30"/>
      <c r="M22" s="30"/>
      <c r="N22" s="30"/>
      <c r="O22" s="30"/>
      <c r="Q22" s="29">
        <f t="shared" ca="1" si="4"/>
        <v>4</v>
      </c>
      <c r="R22" s="29">
        <f t="shared" ca="1" si="13"/>
        <v>3</v>
      </c>
      <c r="S22" s="29">
        <f t="shared" ca="1" si="13"/>
        <v>2</v>
      </c>
      <c r="T22" s="29">
        <f t="shared" ca="1" si="13"/>
        <v>6</v>
      </c>
      <c r="U22" s="29">
        <f t="shared" ca="1" si="13"/>
        <v>3</v>
      </c>
      <c r="V22" s="29">
        <f t="shared" ca="1" si="13"/>
        <v>4</v>
      </c>
      <c r="W22" s="29">
        <f t="shared" ca="1" si="13"/>
        <v>4</v>
      </c>
      <c r="X22" s="29">
        <f t="shared" ca="1" si="13"/>
        <v>3</v>
      </c>
      <c r="Y22" s="29">
        <f t="shared" ca="1" si="13"/>
        <v>1</v>
      </c>
      <c r="Z22" s="29">
        <f t="shared" ca="1" si="13"/>
        <v>4</v>
      </c>
      <c r="AA22" s="29">
        <f t="shared" ca="1" si="13"/>
        <v>2</v>
      </c>
      <c r="AB22" s="29">
        <f t="shared" ca="1" si="13"/>
        <v>2</v>
      </c>
      <c r="AC22" s="29">
        <f t="shared" ca="1" si="13"/>
        <v>1</v>
      </c>
      <c r="AD22" s="29">
        <f t="shared" ca="1" si="13"/>
        <v>3</v>
      </c>
      <c r="AE22" s="29">
        <f t="shared" ca="1" si="13"/>
        <v>1</v>
      </c>
      <c r="AF22" s="29">
        <f t="shared" ca="1" si="13"/>
        <v>7</v>
      </c>
      <c r="AG22" s="29">
        <f t="shared" ca="1" si="14"/>
        <v>3</v>
      </c>
      <c r="AH22" s="29">
        <f t="shared" ca="1" si="14"/>
        <v>3</v>
      </c>
      <c r="AI22" s="29">
        <f t="shared" ca="1" si="14"/>
        <v>4</v>
      </c>
      <c r="AJ22" s="29">
        <f t="shared" ca="1" si="14"/>
        <v>1</v>
      </c>
      <c r="AK22" s="29">
        <f t="shared" ca="1" si="14"/>
        <v>3</v>
      </c>
      <c r="AL22" s="29">
        <f t="shared" ca="1" si="14"/>
        <v>2</v>
      </c>
      <c r="AM22" s="29">
        <f t="shared" ca="1" si="14"/>
        <v>3</v>
      </c>
      <c r="AN22" s="29">
        <f t="shared" ca="1" si="14"/>
        <v>4</v>
      </c>
      <c r="AO22" s="29">
        <f t="shared" ca="1" si="14"/>
        <v>0</v>
      </c>
      <c r="AP22" s="29">
        <f t="shared" ca="1" si="14"/>
        <v>2</v>
      </c>
      <c r="AQ22" s="29">
        <f t="shared" ca="1" si="14"/>
        <v>6</v>
      </c>
      <c r="AR22" s="29">
        <f t="shared" ca="1" si="14"/>
        <v>3</v>
      </c>
      <c r="AS22" s="29">
        <f t="shared" ca="1" si="14"/>
        <v>3</v>
      </c>
      <c r="AT22" s="29">
        <f t="shared" ca="1" si="14"/>
        <v>3</v>
      </c>
      <c r="AU22" s="29">
        <f t="shared" ca="1" si="14"/>
        <v>0</v>
      </c>
      <c r="AV22" s="29">
        <f t="shared" ca="1" si="14"/>
        <v>1</v>
      </c>
      <c r="AW22" s="29">
        <f t="shared" ca="1" si="15"/>
        <v>3</v>
      </c>
      <c r="AX22" s="29">
        <f t="shared" ca="1" si="15"/>
        <v>3</v>
      </c>
      <c r="AY22" s="29">
        <f t="shared" ca="1" si="15"/>
        <v>1</v>
      </c>
      <c r="AZ22" s="29">
        <f t="shared" ca="1" si="15"/>
        <v>3</v>
      </c>
      <c r="BA22" s="29">
        <f t="shared" ca="1" si="15"/>
        <v>3</v>
      </c>
      <c r="BB22" s="29">
        <f t="shared" ca="1" si="15"/>
        <v>1</v>
      </c>
      <c r="BC22" s="29">
        <f t="shared" ca="1" si="15"/>
        <v>4</v>
      </c>
      <c r="BD22" s="29">
        <f t="shared" ca="1" si="15"/>
        <v>3</v>
      </c>
      <c r="BE22" s="29">
        <f t="shared" ca="1" si="15"/>
        <v>3</v>
      </c>
      <c r="BF22" s="29">
        <f t="shared" ca="1" si="15"/>
        <v>3</v>
      </c>
      <c r="BG22" s="29">
        <f t="shared" ca="1" si="15"/>
        <v>4</v>
      </c>
      <c r="BH22" s="29">
        <f t="shared" ca="1" si="15"/>
        <v>1</v>
      </c>
      <c r="BI22" s="29">
        <f t="shared" ca="1" si="15"/>
        <v>1</v>
      </c>
      <c r="BJ22" s="29">
        <f t="shared" ca="1" si="15"/>
        <v>3</v>
      </c>
      <c r="BK22" s="29">
        <f t="shared" ca="1" si="15"/>
        <v>1</v>
      </c>
      <c r="BL22" s="29">
        <f t="shared" ca="1" si="15"/>
        <v>4</v>
      </c>
      <c r="BM22" s="29">
        <f t="shared" ca="1" si="16"/>
        <v>3</v>
      </c>
      <c r="BN22" s="29">
        <f t="shared" ca="1" si="16"/>
        <v>5</v>
      </c>
      <c r="BO22" s="29">
        <f t="shared" ca="1" si="16"/>
        <v>4</v>
      </c>
      <c r="BP22" s="29">
        <f t="shared" ca="1" si="16"/>
        <v>2</v>
      </c>
      <c r="BQ22" s="29">
        <f t="shared" ca="1" si="16"/>
        <v>2</v>
      </c>
      <c r="BR22" s="29">
        <f t="shared" ca="1" si="16"/>
        <v>2</v>
      </c>
      <c r="BS22" s="29">
        <f t="shared" ca="1" si="16"/>
        <v>1</v>
      </c>
      <c r="BT22" s="29">
        <f t="shared" ca="1" si="16"/>
        <v>2</v>
      </c>
      <c r="BU22" s="29">
        <f t="shared" ca="1" si="16"/>
        <v>6</v>
      </c>
      <c r="BV22" s="29">
        <f t="shared" ca="1" si="16"/>
        <v>3</v>
      </c>
      <c r="BW22" s="29">
        <f t="shared" ca="1" si="16"/>
        <v>0</v>
      </c>
      <c r="BX22" s="29">
        <f t="shared" ca="1" si="16"/>
        <v>7</v>
      </c>
      <c r="BY22" s="29">
        <f t="shared" ca="1" si="16"/>
        <v>4</v>
      </c>
      <c r="BZ22" s="29">
        <f t="shared" ca="1" si="16"/>
        <v>2</v>
      </c>
      <c r="CA22" s="29">
        <f t="shared" ca="1" si="16"/>
        <v>3</v>
      </c>
      <c r="CB22" s="29">
        <f t="shared" ca="1" si="16"/>
        <v>4</v>
      </c>
      <c r="CC22" s="29">
        <f t="shared" ca="1" si="10"/>
        <v>5</v>
      </c>
      <c r="CD22" s="29">
        <f t="shared" ca="1" si="10"/>
        <v>3</v>
      </c>
      <c r="CE22" s="29">
        <f t="shared" ca="1" si="10"/>
        <v>2</v>
      </c>
      <c r="CF22" s="29">
        <f t="shared" ca="1" si="10"/>
        <v>4</v>
      </c>
      <c r="CG22" s="29">
        <f t="shared" ca="1" si="10"/>
        <v>6</v>
      </c>
      <c r="CH22" s="29">
        <f t="shared" ca="1" si="10"/>
        <v>2</v>
      </c>
      <c r="CI22" s="29">
        <f t="shared" ca="1" si="10"/>
        <v>1</v>
      </c>
      <c r="CJ22" s="29">
        <f t="shared" ca="1" si="10"/>
        <v>5</v>
      </c>
      <c r="CK22" s="29">
        <f t="shared" ca="1" si="10"/>
        <v>2</v>
      </c>
      <c r="CL22" s="29">
        <f t="shared" ca="1" si="10"/>
        <v>3</v>
      </c>
      <c r="CM22" s="29">
        <f t="shared" ca="1" si="10"/>
        <v>3</v>
      </c>
      <c r="CN22" s="29">
        <f t="shared" ca="1" si="10"/>
        <v>2</v>
      </c>
      <c r="CO22" s="29">
        <f t="shared" ca="1" si="10"/>
        <v>3</v>
      </c>
      <c r="CP22" s="29">
        <f t="shared" ca="1" si="10"/>
        <v>6</v>
      </c>
      <c r="CQ22" s="29">
        <f t="shared" ca="1" si="10"/>
        <v>6</v>
      </c>
      <c r="CR22" s="29">
        <f t="shared" ca="1" si="11"/>
        <v>8</v>
      </c>
      <c r="CS22" s="29">
        <f t="shared" ca="1" si="11"/>
        <v>2</v>
      </c>
      <c r="CT22" s="29">
        <f t="shared" ca="1" si="11"/>
        <v>5</v>
      </c>
      <c r="CU22" s="29">
        <f t="shared" ca="1" si="11"/>
        <v>3</v>
      </c>
      <c r="CV22" s="29">
        <f t="shared" ca="1" si="11"/>
        <v>4</v>
      </c>
      <c r="CW22" s="29">
        <f t="shared" ca="1" si="11"/>
        <v>3</v>
      </c>
      <c r="CX22" s="29">
        <f t="shared" ca="1" si="11"/>
        <v>1</v>
      </c>
      <c r="CY22" s="29">
        <f t="shared" ca="1" si="11"/>
        <v>3</v>
      </c>
      <c r="CZ22" s="29">
        <f t="shared" ca="1" si="11"/>
        <v>6</v>
      </c>
      <c r="DA22" s="29">
        <f t="shared" ca="1" si="11"/>
        <v>3</v>
      </c>
      <c r="DB22" s="29">
        <f t="shared" ca="1" si="11"/>
        <v>4</v>
      </c>
      <c r="DC22" s="29">
        <f t="shared" ca="1" si="11"/>
        <v>5</v>
      </c>
      <c r="DD22" s="29">
        <f t="shared" ca="1" si="12"/>
        <v>1</v>
      </c>
      <c r="DE22" s="29">
        <f t="shared" ca="1" si="12"/>
        <v>3</v>
      </c>
      <c r="DF22" s="29">
        <f t="shared" ca="1" si="12"/>
        <v>1</v>
      </c>
      <c r="DG22" s="29">
        <f t="shared" ca="1" si="12"/>
        <v>7</v>
      </c>
      <c r="DH22" s="29">
        <f t="shared" ca="1" si="12"/>
        <v>2</v>
      </c>
      <c r="DI22" s="29">
        <f t="shared" ca="1" si="12"/>
        <v>3</v>
      </c>
      <c r="DJ22" s="29">
        <f t="shared" ca="1" si="12"/>
        <v>1</v>
      </c>
      <c r="DK22" s="29">
        <f t="shared" ca="1" si="12"/>
        <v>3</v>
      </c>
      <c r="DL22" s="29">
        <f t="shared" ca="1" si="12"/>
        <v>3</v>
      </c>
    </row>
    <row r="23" spans="1:116" ht="14.4" x14ac:dyDescent="0.3">
      <c r="A23" s="31">
        <v>1046</v>
      </c>
      <c r="B23" s="28">
        <v>1.94</v>
      </c>
      <c r="C23" s="30">
        <v>90.93</v>
      </c>
      <c r="D23" s="28">
        <v>3.07</v>
      </c>
      <c r="E23" s="34">
        <f t="shared" si="0"/>
        <v>6.1399999999999996E-2</v>
      </c>
      <c r="F23" s="35">
        <f t="shared" si="1"/>
        <v>22.732500000000002</v>
      </c>
      <c r="G23" s="34">
        <f t="shared" si="2"/>
        <v>76.75</v>
      </c>
      <c r="H23" s="33">
        <f t="shared" si="7"/>
        <v>27.844072164948454</v>
      </c>
      <c r="I23" s="28">
        <f t="shared" si="8"/>
        <v>24.589999999999996</v>
      </c>
      <c r="J23" s="32">
        <v>1</v>
      </c>
      <c r="K23" s="30">
        <f t="shared" si="3"/>
        <v>22.732500000000002</v>
      </c>
      <c r="L23" s="30"/>
      <c r="M23" s="30"/>
      <c r="N23" s="30"/>
      <c r="O23" s="30"/>
      <c r="Q23" s="29">
        <f t="shared" ca="1" si="4"/>
        <v>6</v>
      </c>
      <c r="R23" s="29">
        <f t="shared" ca="1" si="13"/>
        <v>1</v>
      </c>
      <c r="S23" s="29">
        <f t="shared" ca="1" si="13"/>
        <v>3</v>
      </c>
      <c r="T23" s="29">
        <f t="shared" ca="1" si="13"/>
        <v>5</v>
      </c>
      <c r="U23" s="29">
        <f t="shared" ca="1" si="13"/>
        <v>3</v>
      </c>
      <c r="V23" s="29">
        <f t="shared" ca="1" si="13"/>
        <v>2</v>
      </c>
      <c r="W23" s="29">
        <f t="shared" ca="1" si="13"/>
        <v>3</v>
      </c>
      <c r="X23" s="29">
        <f t="shared" ca="1" si="13"/>
        <v>1</v>
      </c>
      <c r="Y23" s="29">
        <f t="shared" ca="1" si="13"/>
        <v>0</v>
      </c>
      <c r="Z23" s="29">
        <f t="shared" ca="1" si="13"/>
        <v>7</v>
      </c>
      <c r="AA23" s="29">
        <f t="shared" ca="1" si="13"/>
        <v>1</v>
      </c>
      <c r="AB23" s="29">
        <f t="shared" ca="1" si="13"/>
        <v>3</v>
      </c>
      <c r="AC23" s="29">
        <f t="shared" ca="1" si="13"/>
        <v>4</v>
      </c>
      <c r="AD23" s="29">
        <f t="shared" ca="1" si="13"/>
        <v>4</v>
      </c>
      <c r="AE23" s="29">
        <f t="shared" ca="1" si="13"/>
        <v>3</v>
      </c>
      <c r="AF23" s="29">
        <f t="shared" ca="1" si="13"/>
        <v>7</v>
      </c>
      <c r="AG23" s="29">
        <f t="shared" ca="1" si="14"/>
        <v>5</v>
      </c>
      <c r="AH23" s="29">
        <f t="shared" ca="1" si="14"/>
        <v>6</v>
      </c>
      <c r="AI23" s="29">
        <f t="shared" ca="1" si="14"/>
        <v>4</v>
      </c>
      <c r="AJ23" s="29">
        <f t="shared" ca="1" si="14"/>
        <v>2</v>
      </c>
      <c r="AK23" s="29">
        <f t="shared" ca="1" si="14"/>
        <v>3</v>
      </c>
      <c r="AL23" s="29">
        <f t="shared" ca="1" si="14"/>
        <v>1</v>
      </c>
      <c r="AM23" s="29">
        <f t="shared" ca="1" si="14"/>
        <v>4</v>
      </c>
      <c r="AN23" s="29">
        <f t="shared" ca="1" si="14"/>
        <v>3</v>
      </c>
      <c r="AO23" s="29">
        <f t="shared" ca="1" si="14"/>
        <v>2</v>
      </c>
      <c r="AP23" s="29">
        <f t="shared" ca="1" si="14"/>
        <v>2</v>
      </c>
      <c r="AQ23" s="29">
        <f t="shared" ca="1" si="14"/>
        <v>1</v>
      </c>
      <c r="AR23" s="29">
        <f t="shared" ca="1" si="14"/>
        <v>1</v>
      </c>
      <c r="AS23" s="29">
        <f t="shared" ca="1" si="14"/>
        <v>2</v>
      </c>
      <c r="AT23" s="29">
        <f t="shared" ca="1" si="14"/>
        <v>1</v>
      </c>
      <c r="AU23" s="29">
        <f t="shared" ca="1" si="14"/>
        <v>5</v>
      </c>
      <c r="AV23" s="29">
        <f t="shared" ca="1" si="14"/>
        <v>2</v>
      </c>
      <c r="AW23" s="29">
        <f t="shared" ca="1" si="15"/>
        <v>3</v>
      </c>
      <c r="AX23" s="29">
        <f t="shared" ca="1" si="15"/>
        <v>3</v>
      </c>
      <c r="AY23" s="29">
        <f t="shared" ca="1" si="15"/>
        <v>5</v>
      </c>
      <c r="AZ23" s="29">
        <f t="shared" ca="1" si="15"/>
        <v>0</v>
      </c>
      <c r="BA23" s="29">
        <f t="shared" ca="1" si="15"/>
        <v>3</v>
      </c>
      <c r="BB23" s="29">
        <f t="shared" ca="1" si="15"/>
        <v>4</v>
      </c>
      <c r="BC23" s="29">
        <f t="shared" ca="1" si="15"/>
        <v>1</v>
      </c>
      <c r="BD23" s="29">
        <f t="shared" ca="1" si="15"/>
        <v>2</v>
      </c>
      <c r="BE23" s="29">
        <f t="shared" ca="1" si="15"/>
        <v>1</v>
      </c>
      <c r="BF23" s="29">
        <f t="shared" ca="1" si="15"/>
        <v>2</v>
      </c>
      <c r="BG23" s="29">
        <f t="shared" ca="1" si="15"/>
        <v>4</v>
      </c>
      <c r="BH23" s="29">
        <f t="shared" ca="1" si="15"/>
        <v>0</v>
      </c>
      <c r="BI23" s="29">
        <f t="shared" ca="1" si="15"/>
        <v>6</v>
      </c>
      <c r="BJ23" s="29">
        <f t="shared" ca="1" si="15"/>
        <v>4</v>
      </c>
      <c r="BK23" s="29">
        <f t="shared" ca="1" si="15"/>
        <v>3</v>
      </c>
      <c r="BL23" s="29">
        <f t="shared" ca="1" si="15"/>
        <v>6</v>
      </c>
      <c r="BM23" s="29">
        <f t="shared" ca="1" si="16"/>
        <v>4</v>
      </c>
      <c r="BN23" s="29">
        <f t="shared" ca="1" si="16"/>
        <v>1</v>
      </c>
      <c r="BO23" s="29">
        <f t="shared" ca="1" si="16"/>
        <v>2</v>
      </c>
      <c r="BP23" s="29">
        <f t="shared" ca="1" si="16"/>
        <v>5</v>
      </c>
      <c r="BQ23" s="29">
        <f t="shared" ca="1" si="16"/>
        <v>5</v>
      </c>
      <c r="BR23" s="29">
        <f t="shared" ca="1" si="16"/>
        <v>4</v>
      </c>
      <c r="BS23" s="29">
        <f t="shared" ca="1" si="16"/>
        <v>5</v>
      </c>
      <c r="BT23" s="29">
        <f t="shared" ca="1" si="16"/>
        <v>3</v>
      </c>
      <c r="BU23" s="29">
        <f t="shared" ca="1" si="16"/>
        <v>3</v>
      </c>
      <c r="BV23" s="29">
        <f t="shared" ca="1" si="16"/>
        <v>1</v>
      </c>
      <c r="BW23" s="29">
        <f t="shared" ca="1" si="16"/>
        <v>3</v>
      </c>
      <c r="BX23" s="29">
        <f t="shared" ca="1" si="16"/>
        <v>1</v>
      </c>
      <c r="BY23" s="29">
        <f t="shared" ca="1" si="16"/>
        <v>2</v>
      </c>
      <c r="BZ23" s="29">
        <f t="shared" ca="1" si="16"/>
        <v>3</v>
      </c>
      <c r="CA23" s="29">
        <f t="shared" ca="1" si="16"/>
        <v>3</v>
      </c>
      <c r="CB23" s="29">
        <f t="shared" ca="1" si="16"/>
        <v>3</v>
      </c>
      <c r="CC23" s="29">
        <f t="shared" ca="1" si="10"/>
        <v>3</v>
      </c>
      <c r="CD23" s="29">
        <f t="shared" ca="1" si="10"/>
        <v>1</v>
      </c>
      <c r="CE23" s="29">
        <f t="shared" ca="1" si="10"/>
        <v>4</v>
      </c>
      <c r="CF23" s="29">
        <f t="shared" ca="1" si="10"/>
        <v>5</v>
      </c>
      <c r="CG23" s="29">
        <f t="shared" ca="1" si="10"/>
        <v>4</v>
      </c>
      <c r="CH23" s="29">
        <f t="shared" ca="1" si="10"/>
        <v>3</v>
      </c>
      <c r="CI23" s="29">
        <f t="shared" ca="1" si="10"/>
        <v>4</v>
      </c>
      <c r="CJ23" s="29">
        <f t="shared" ca="1" si="10"/>
        <v>2</v>
      </c>
      <c r="CK23" s="29">
        <f t="shared" ca="1" si="10"/>
        <v>1</v>
      </c>
      <c r="CL23" s="29">
        <f t="shared" ca="1" si="10"/>
        <v>3</v>
      </c>
      <c r="CM23" s="29">
        <f t="shared" ca="1" si="10"/>
        <v>2</v>
      </c>
      <c r="CN23" s="29">
        <f t="shared" ca="1" si="10"/>
        <v>4</v>
      </c>
      <c r="CO23" s="29">
        <f t="shared" ca="1" si="10"/>
        <v>1</v>
      </c>
      <c r="CP23" s="29">
        <f t="shared" ca="1" si="10"/>
        <v>4</v>
      </c>
      <c r="CQ23" s="29">
        <f t="shared" ca="1" si="10"/>
        <v>2</v>
      </c>
      <c r="CR23" s="29">
        <f t="shared" ca="1" si="11"/>
        <v>3</v>
      </c>
      <c r="CS23" s="29">
        <f t="shared" ca="1" si="11"/>
        <v>4</v>
      </c>
      <c r="CT23" s="29">
        <f t="shared" ca="1" si="11"/>
        <v>3</v>
      </c>
      <c r="CU23" s="29">
        <f t="shared" ca="1" si="11"/>
        <v>1</v>
      </c>
      <c r="CV23" s="29">
        <f t="shared" ca="1" si="11"/>
        <v>2</v>
      </c>
      <c r="CW23" s="29">
        <f t="shared" ca="1" si="11"/>
        <v>4</v>
      </c>
      <c r="CX23" s="29">
        <f t="shared" ca="1" si="11"/>
        <v>5</v>
      </c>
      <c r="CY23" s="29">
        <f t="shared" ca="1" si="11"/>
        <v>0</v>
      </c>
      <c r="CZ23" s="29">
        <f t="shared" ca="1" si="11"/>
        <v>3</v>
      </c>
      <c r="DA23" s="29">
        <f t="shared" ca="1" si="11"/>
        <v>3</v>
      </c>
      <c r="DB23" s="29">
        <f t="shared" ca="1" si="11"/>
        <v>2</v>
      </c>
      <c r="DC23" s="29">
        <f t="shared" ca="1" si="11"/>
        <v>6</v>
      </c>
      <c r="DD23" s="29">
        <f t="shared" ca="1" si="12"/>
        <v>4</v>
      </c>
      <c r="DE23" s="29">
        <f t="shared" ca="1" si="12"/>
        <v>3</v>
      </c>
      <c r="DF23" s="29">
        <f t="shared" ca="1" si="12"/>
        <v>3</v>
      </c>
      <c r="DG23" s="29">
        <f t="shared" ca="1" si="12"/>
        <v>9</v>
      </c>
      <c r="DH23" s="29">
        <f t="shared" ca="1" si="12"/>
        <v>4</v>
      </c>
      <c r="DI23" s="29">
        <f t="shared" ca="1" si="12"/>
        <v>3</v>
      </c>
      <c r="DJ23" s="29">
        <f t="shared" ca="1" si="12"/>
        <v>1</v>
      </c>
      <c r="DK23" s="29">
        <f t="shared" ca="1" si="12"/>
        <v>3</v>
      </c>
      <c r="DL23" s="29">
        <f t="shared" ca="1" si="12"/>
        <v>3</v>
      </c>
    </row>
    <row r="24" spans="1:116" ht="14.4" x14ac:dyDescent="0.3">
      <c r="A24" s="31">
        <v>642</v>
      </c>
      <c r="B24" s="28">
        <v>2.0499999999999998</v>
      </c>
      <c r="C24" s="30">
        <v>94.35</v>
      </c>
      <c r="D24" s="28">
        <v>3.22</v>
      </c>
      <c r="E24" s="34">
        <f t="shared" si="0"/>
        <v>6.4399999999999999E-2</v>
      </c>
      <c r="F24" s="35">
        <f t="shared" si="1"/>
        <v>23.587499999999999</v>
      </c>
      <c r="G24" s="34">
        <f t="shared" si="2"/>
        <v>80.5</v>
      </c>
      <c r="H24" s="33">
        <f t="shared" si="7"/>
        <v>27.762195121951223</v>
      </c>
      <c r="I24" s="28">
        <f t="shared" si="8"/>
        <v>26.639999999999997</v>
      </c>
      <c r="J24" s="32">
        <v>1</v>
      </c>
      <c r="K24" s="30">
        <f t="shared" si="3"/>
        <v>23.587499999999999</v>
      </c>
      <c r="L24" s="30"/>
      <c r="M24" s="30"/>
      <c r="N24" s="30"/>
      <c r="O24" s="30"/>
      <c r="Q24" s="29">
        <f t="shared" ca="1" si="4"/>
        <v>5</v>
      </c>
      <c r="R24" s="29">
        <f t="shared" ca="1" si="13"/>
        <v>3</v>
      </c>
      <c r="S24" s="29">
        <f t="shared" ca="1" si="13"/>
        <v>1</v>
      </c>
      <c r="T24" s="29">
        <f t="shared" ca="1" si="13"/>
        <v>1</v>
      </c>
      <c r="U24" s="29">
        <f t="shared" ca="1" si="13"/>
        <v>5</v>
      </c>
      <c r="V24" s="29">
        <f t="shared" ca="1" si="13"/>
        <v>3</v>
      </c>
      <c r="W24" s="29">
        <f t="shared" ca="1" si="13"/>
        <v>1</v>
      </c>
      <c r="X24" s="29">
        <f t="shared" ca="1" si="13"/>
        <v>7</v>
      </c>
      <c r="Y24" s="29">
        <f t="shared" ca="1" si="13"/>
        <v>2</v>
      </c>
      <c r="Z24" s="29">
        <f t="shared" ca="1" si="13"/>
        <v>5</v>
      </c>
      <c r="AA24" s="29">
        <f t="shared" ca="1" si="13"/>
        <v>6</v>
      </c>
      <c r="AB24" s="29">
        <f t="shared" ca="1" si="13"/>
        <v>4</v>
      </c>
      <c r="AC24" s="29">
        <f t="shared" ca="1" si="13"/>
        <v>2</v>
      </c>
      <c r="AD24" s="29">
        <f t="shared" ca="1" si="13"/>
        <v>3</v>
      </c>
      <c r="AE24" s="29">
        <f t="shared" ca="1" si="13"/>
        <v>3</v>
      </c>
      <c r="AF24" s="29">
        <f t="shared" ca="1" si="13"/>
        <v>5</v>
      </c>
      <c r="AG24" s="29">
        <f t="shared" ca="1" si="14"/>
        <v>3</v>
      </c>
      <c r="AH24" s="29">
        <f t="shared" ca="1" si="14"/>
        <v>5</v>
      </c>
      <c r="AI24" s="29">
        <f t="shared" ca="1" si="14"/>
        <v>3</v>
      </c>
      <c r="AJ24" s="29">
        <f t="shared" ca="1" si="14"/>
        <v>4</v>
      </c>
      <c r="AK24" s="29">
        <f t="shared" ca="1" si="14"/>
        <v>4</v>
      </c>
      <c r="AL24" s="29">
        <f t="shared" ca="1" si="14"/>
        <v>4</v>
      </c>
      <c r="AM24" s="29">
        <f t="shared" ca="1" si="14"/>
        <v>3</v>
      </c>
      <c r="AN24" s="29">
        <f t="shared" ca="1" si="14"/>
        <v>6</v>
      </c>
      <c r="AO24" s="29">
        <f t="shared" ca="1" si="14"/>
        <v>2</v>
      </c>
      <c r="AP24" s="29">
        <f t="shared" ca="1" si="14"/>
        <v>3</v>
      </c>
      <c r="AQ24" s="29">
        <f t="shared" ca="1" si="14"/>
        <v>4</v>
      </c>
      <c r="AR24" s="29">
        <f t="shared" ca="1" si="14"/>
        <v>5</v>
      </c>
      <c r="AS24" s="29">
        <f t="shared" ca="1" si="14"/>
        <v>5</v>
      </c>
      <c r="AT24" s="29">
        <f t="shared" ca="1" si="14"/>
        <v>4</v>
      </c>
      <c r="AU24" s="29">
        <f t="shared" ca="1" si="14"/>
        <v>1</v>
      </c>
      <c r="AV24" s="29">
        <f t="shared" ca="1" si="14"/>
        <v>4</v>
      </c>
      <c r="AW24" s="29">
        <f t="shared" ca="1" si="15"/>
        <v>2</v>
      </c>
      <c r="AX24" s="29">
        <f t="shared" ca="1" si="15"/>
        <v>3</v>
      </c>
      <c r="AY24" s="29">
        <f t="shared" ca="1" si="15"/>
        <v>3</v>
      </c>
      <c r="AZ24" s="29">
        <f t="shared" ca="1" si="15"/>
        <v>4</v>
      </c>
      <c r="BA24" s="29">
        <f t="shared" ca="1" si="15"/>
        <v>3</v>
      </c>
      <c r="BB24" s="29">
        <f t="shared" ca="1" si="15"/>
        <v>3</v>
      </c>
      <c r="BC24" s="29">
        <f t="shared" ca="1" si="15"/>
        <v>3</v>
      </c>
      <c r="BD24" s="29">
        <f t="shared" ca="1" si="15"/>
        <v>3</v>
      </c>
      <c r="BE24" s="29">
        <f t="shared" ca="1" si="15"/>
        <v>3</v>
      </c>
      <c r="BF24" s="29">
        <f t="shared" ca="1" si="15"/>
        <v>4</v>
      </c>
      <c r="BG24" s="29">
        <f t="shared" ca="1" si="15"/>
        <v>1</v>
      </c>
      <c r="BH24" s="29">
        <f t="shared" ca="1" si="15"/>
        <v>2</v>
      </c>
      <c r="BI24" s="29">
        <f t="shared" ca="1" si="15"/>
        <v>0</v>
      </c>
      <c r="BJ24" s="29">
        <f t="shared" ca="1" si="15"/>
        <v>6</v>
      </c>
      <c r="BK24" s="29">
        <f t="shared" ca="1" si="15"/>
        <v>1</v>
      </c>
      <c r="BL24" s="29">
        <f t="shared" ca="1" si="15"/>
        <v>1</v>
      </c>
      <c r="BM24" s="29">
        <f t="shared" ca="1" si="16"/>
        <v>6</v>
      </c>
      <c r="BN24" s="29">
        <f t="shared" ca="1" si="16"/>
        <v>3</v>
      </c>
      <c r="BO24" s="29">
        <f t="shared" ca="1" si="16"/>
        <v>2</v>
      </c>
      <c r="BP24" s="29">
        <f t="shared" ca="1" si="16"/>
        <v>3</v>
      </c>
      <c r="BQ24" s="29">
        <f t="shared" ca="1" si="16"/>
        <v>1</v>
      </c>
      <c r="BR24" s="29">
        <f t="shared" ca="1" si="16"/>
        <v>2</v>
      </c>
      <c r="BS24" s="29">
        <f t="shared" ca="1" si="16"/>
        <v>3</v>
      </c>
      <c r="BT24" s="29">
        <f t="shared" ca="1" si="16"/>
        <v>1</v>
      </c>
      <c r="BU24" s="29">
        <f t="shared" ca="1" si="16"/>
        <v>0</v>
      </c>
      <c r="BV24" s="29">
        <f t="shared" ca="1" si="16"/>
        <v>2</v>
      </c>
      <c r="BW24" s="29">
        <f t="shared" ca="1" si="16"/>
        <v>0</v>
      </c>
      <c r="BX24" s="29">
        <f t="shared" ca="1" si="16"/>
        <v>4</v>
      </c>
      <c r="BY24" s="29">
        <f t="shared" ca="1" si="16"/>
        <v>1</v>
      </c>
      <c r="BZ24" s="29">
        <f t="shared" ca="1" si="16"/>
        <v>4</v>
      </c>
      <c r="CA24" s="29">
        <f t="shared" ca="1" si="16"/>
        <v>2</v>
      </c>
      <c r="CB24" s="29">
        <f t="shared" ca="1" si="16"/>
        <v>2</v>
      </c>
      <c r="CC24" s="29">
        <f t="shared" ca="1" si="10"/>
        <v>3</v>
      </c>
      <c r="CD24" s="29">
        <f t="shared" ca="1" si="10"/>
        <v>1</v>
      </c>
      <c r="CE24" s="29">
        <f t="shared" ca="1" si="10"/>
        <v>3</v>
      </c>
      <c r="CF24" s="29">
        <f t="shared" ca="1" si="10"/>
        <v>1</v>
      </c>
      <c r="CG24" s="29">
        <f t="shared" ca="1" si="10"/>
        <v>4</v>
      </c>
      <c r="CH24" s="29">
        <f t="shared" ca="1" si="10"/>
        <v>3</v>
      </c>
      <c r="CI24" s="29">
        <f t="shared" ca="1" si="10"/>
        <v>3</v>
      </c>
      <c r="CJ24" s="29">
        <f t="shared" ca="1" si="10"/>
        <v>3</v>
      </c>
      <c r="CK24" s="29">
        <f t="shared" ca="1" si="10"/>
        <v>2</v>
      </c>
      <c r="CL24" s="29">
        <f t="shared" ca="1" si="10"/>
        <v>6</v>
      </c>
      <c r="CM24" s="29">
        <f t="shared" ca="1" si="10"/>
        <v>1</v>
      </c>
      <c r="CN24" s="29">
        <f t="shared" ca="1" si="10"/>
        <v>0</v>
      </c>
      <c r="CO24" s="29">
        <f t="shared" ca="1" si="10"/>
        <v>3</v>
      </c>
      <c r="CP24" s="29">
        <f t="shared" ca="1" si="10"/>
        <v>6</v>
      </c>
      <c r="CQ24" s="29">
        <f t="shared" ca="1" si="10"/>
        <v>2</v>
      </c>
      <c r="CR24" s="29">
        <f t="shared" ca="1" si="11"/>
        <v>1</v>
      </c>
      <c r="CS24" s="29">
        <f t="shared" ca="1" si="11"/>
        <v>5</v>
      </c>
      <c r="CT24" s="29">
        <f t="shared" ca="1" si="11"/>
        <v>6</v>
      </c>
      <c r="CU24" s="29">
        <f t="shared" ca="1" si="11"/>
        <v>1</v>
      </c>
      <c r="CV24" s="29">
        <f t="shared" ca="1" si="11"/>
        <v>6</v>
      </c>
      <c r="CW24" s="29">
        <f t="shared" ca="1" si="11"/>
        <v>2</v>
      </c>
      <c r="CX24" s="29">
        <f t="shared" ca="1" si="11"/>
        <v>3</v>
      </c>
      <c r="CY24" s="29">
        <f t="shared" ca="1" si="11"/>
        <v>3</v>
      </c>
      <c r="CZ24" s="29">
        <f t="shared" ca="1" si="11"/>
        <v>3</v>
      </c>
      <c r="DA24" s="29">
        <f t="shared" ca="1" si="11"/>
        <v>5</v>
      </c>
      <c r="DB24" s="29">
        <f t="shared" ca="1" si="11"/>
        <v>3</v>
      </c>
      <c r="DC24" s="29">
        <f t="shared" ca="1" si="11"/>
        <v>2</v>
      </c>
      <c r="DD24" s="29">
        <f t="shared" ca="1" si="12"/>
        <v>3</v>
      </c>
      <c r="DE24" s="29">
        <f t="shared" ca="1" si="12"/>
        <v>4</v>
      </c>
      <c r="DF24" s="29">
        <f t="shared" ca="1" si="12"/>
        <v>3</v>
      </c>
      <c r="DG24" s="29">
        <f t="shared" ca="1" si="12"/>
        <v>3</v>
      </c>
      <c r="DH24" s="29">
        <f t="shared" ca="1" si="12"/>
        <v>4</v>
      </c>
      <c r="DI24" s="29">
        <f t="shared" ca="1" si="12"/>
        <v>6</v>
      </c>
      <c r="DJ24" s="29">
        <f t="shared" ca="1" si="12"/>
        <v>4</v>
      </c>
      <c r="DK24" s="29">
        <f t="shared" ca="1" si="12"/>
        <v>3</v>
      </c>
      <c r="DL24" s="29">
        <f t="shared" ca="1" si="12"/>
        <v>5</v>
      </c>
    </row>
    <row r="25" spans="1:116" ht="14.4" x14ac:dyDescent="0.3">
      <c r="A25" s="31">
        <v>813</v>
      </c>
      <c r="B25" s="28">
        <v>2.31</v>
      </c>
      <c r="C25" s="30">
        <v>18.14</v>
      </c>
      <c r="D25" s="28">
        <v>2.72</v>
      </c>
      <c r="E25" s="34">
        <f t="shared" si="0"/>
        <v>5.4400000000000004E-2</v>
      </c>
      <c r="F25" s="35">
        <f t="shared" si="1"/>
        <v>4.5350000000000001</v>
      </c>
      <c r="G25" s="34">
        <f t="shared" si="2"/>
        <v>68</v>
      </c>
      <c r="H25" s="33">
        <f t="shared" si="7"/>
        <v>27.474025974025974</v>
      </c>
      <c r="I25" s="28">
        <f t="shared" si="8"/>
        <v>28.949999999999996</v>
      </c>
      <c r="J25" s="32">
        <v>1</v>
      </c>
      <c r="K25" s="30">
        <f t="shared" si="3"/>
        <v>4.5350000000000001</v>
      </c>
      <c r="L25" s="30"/>
      <c r="M25" s="30"/>
      <c r="N25" s="30"/>
      <c r="O25" s="30"/>
      <c r="Q25" s="29">
        <f t="shared" ca="1" si="4"/>
        <v>1</v>
      </c>
      <c r="R25" s="29">
        <f t="shared" ca="1" si="13"/>
        <v>3</v>
      </c>
      <c r="S25" s="29">
        <f t="shared" ca="1" si="13"/>
        <v>0</v>
      </c>
      <c r="T25" s="29">
        <f t="shared" ca="1" si="13"/>
        <v>3</v>
      </c>
      <c r="U25" s="29">
        <f t="shared" ca="1" si="13"/>
        <v>1</v>
      </c>
      <c r="V25" s="29">
        <f t="shared" ca="1" si="13"/>
        <v>0</v>
      </c>
      <c r="W25" s="29">
        <f t="shared" ca="1" si="13"/>
        <v>2</v>
      </c>
      <c r="X25" s="29">
        <f t="shared" ca="1" si="13"/>
        <v>1</v>
      </c>
      <c r="Y25" s="29">
        <f t="shared" ref="Y25:AN40" ca="1" si="17">_xlfn.BINOM.INV(50,$E25,RAND())</f>
        <v>2</v>
      </c>
      <c r="Z25" s="29">
        <f t="shared" ca="1" si="17"/>
        <v>1</v>
      </c>
      <c r="AA25" s="29">
        <f t="shared" ca="1" si="17"/>
        <v>0</v>
      </c>
      <c r="AB25" s="29">
        <f t="shared" ca="1" si="17"/>
        <v>1</v>
      </c>
      <c r="AC25" s="29">
        <f t="shared" ca="1" si="17"/>
        <v>2</v>
      </c>
      <c r="AD25" s="29">
        <f t="shared" ca="1" si="17"/>
        <v>4</v>
      </c>
      <c r="AE25" s="29">
        <f t="shared" ca="1" si="17"/>
        <v>4</v>
      </c>
      <c r="AF25" s="29">
        <f t="shared" ca="1" si="17"/>
        <v>2</v>
      </c>
      <c r="AG25" s="29">
        <f t="shared" ca="1" si="17"/>
        <v>3</v>
      </c>
      <c r="AH25" s="29">
        <f t="shared" ca="1" si="17"/>
        <v>1</v>
      </c>
      <c r="AI25" s="29">
        <f t="shared" ca="1" si="17"/>
        <v>2</v>
      </c>
      <c r="AJ25" s="29">
        <f t="shared" ca="1" si="17"/>
        <v>2</v>
      </c>
      <c r="AK25" s="29">
        <f t="shared" ca="1" si="17"/>
        <v>5</v>
      </c>
      <c r="AL25" s="29">
        <f t="shared" ca="1" si="17"/>
        <v>5</v>
      </c>
      <c r="AM25" s="29">
        <f t="shared" ca="1" si="17"/>
        <v>4</v>
      </c>
      <c r="AN25" s="29">
        <f t="shared" ca="1" si="17"/>
        <v>5</v>
      </c>
      <c r="AO25" s="29">
        <f t="shared" ca="1" si="14"/>
        <v>2</v>
      </c>
      <c r="AP25" s="29">
        <f t="shared" ca="1" si="14"/>
        <v>6</v>
      </c>
      <c r="AQ25" s="29">
        <f t="shared" ca="1" si="14"/>
        <v>2</v>
      </c>
      <c r="AR25" s="29">
        <f t="shared" ca="1" si="14"/>
        <v>1</v>
      </c>
      <c r="AS25" s="29">
        <f t="shared" ca="1" si="14"/>
        <v>3</v>
      </c>
      <c r="AT25" s="29">
        <f t="shared" ca="1" si="14"/>
        <v>2</v>
      </c>
      <c r="AU25" s="29">
        <f t="shared" ca="1" si="14"/>
        <v>2</v>
      </c>
      <c r="AV25" s="29">
        <f t="shared" ca="1" si="14"/>
        <v>0</v>
      </c>
      <c r="AW25" s="29">
        <f t="shared" ca="1" si="15"/>
        <v>1</v>
      </c>
      <c r="AX25" s="29">
        <f t="shared" ca="1" si="15"/>
        <v>3</v>
      </c>
      <c r="AY25" s="29">
        <f t="shared" ca="1" si="15"/>
        <v>2</v>
      </c>
      <c r="AZ25" s="29">
        <f t="shared" ca="1" si="15"/>
        <v>3</v>
      </c>
      <c r="BA25" s="29">
        <f t="shared" ca="1" si="15"/>
        <v>2</v>
      </c>
      <c r="BB25" s="29">
        <f t="shared" ca="1" si="15"/>
        <v>5</v>
      </c>
      <c r="BC25" s="29">
        <f t="shared" ca="1" si="15"/>
        <v>3</v>
      </c>
      <c r="BD25" s="29">
        <f t="shared" ca="1" si="15"/>
        <v>1</v>
      </c>
      <c r="BE25" s="29">
        <f t="shared" ca="1" si="15"/>
        <v>5</v>
      </c>
      <c r="BF25" s="29">
        <f t="shared" ca="1" si="15"/>
        <v>4</v>
      </c>
      <c r="BG25" s="29">
        <f t="shared" ca="1" si="15"/>
        <v>4</v>
      </c>
      <c r="BH25" s="29">
        <f t="shared" ca="1" si="15"/>
        <v>0</v>
      </c>
      <c r="BI25" s="29">
        <f t="shared" ca="1" si="15"/>
        <v>4</v>
      </c>
      <c r="BJ25" s="29">
        <f t="shared" ca="1" si="15"/>
        <v>4</v>
      </c>
      <c r="BK25" s="29">
        <f t="shared" ca="1" si="15"/>
        <v>4</v>
      </c>
      <c r="BL25" s="29">
        <f t="shared" ref="BL25:CA40" ca="1" si="18">_xlfn.BINOM.INV(50,$E25,RAND())</f>
        <v>2</v>
      </c>
      <c r="BM25" s="29">
        <f t="shared" ca="1" si="18"/>
        <v>5</v>
      </c>
      <c r="BN25" s="29">
        <f t="shared" ca="1" si="18"/>
        <v>4</v>
      </c>
      <c r="BO25" s="29">
        <f t="shared" ca="1" si="18"/>
        <v>4</v>
      </c>
      <c r="BP25" s="29">
        <f t="shared" ca="1" si="18"/>
        <v>3</v>
      </c>
      <c r="BQ25" s="29">
        <f t="shared" ca="1" si="18"/>
        <v>2</v>
      </c>
      <c r="BR25" s="29">
        <f t="shared" ca="1" si="18"/>
        <v>5</v>
      </c>
      <c r="BS25" s="29">
        <f t="shared" ca="1" si="18"/>
        <v>3</v>
      </c>
      <c r="BT25" s="29">
        <f t="shared" ca="1" si="18"/>
        <v>4</v>
      </c>
      <c r="BU25" s="29">
        <f t="shared" ca="1" si="18"/>
        <v>2</v>
      </c>
      <c r="BV25" s="29">
        <f t="shared" ca="1" si="18"/>
        <v>4</v>
      </c>
      <c r="BW25" s="29">
        <f t="shared" ca="1" si="18"/>
        <v>4</v>
      </c>
      <c r="BX25" s="29">
        <f t="shared" ca="1" si="18"/>
        <v>0</v>
      </c>
      <c r="BY25" s="29">
        <f t="shared" ca="1" si="18"/>
        <v>5</v>
      </c>
      <c r="BZ25" s="29">
        <f t="shared" ca="1" si="18"/>
        <v>3</v>
      </c>
      <c r="CA25" s="29">
        <f t="shared" ca="1" si="18"/>
        <v>4</v>
      </c>
      <c r="CB25" s="29">
        <f t="shared" ca="1" si="16"/>
        <v>3</v>
      </c>
      <c r="CC25" s="29">
        <f t="shared" ca="1" si="10"/>
        <v>3</v>
      </c>
      <c r="CD25" s="29">
        <f t="shared" ca="1" si="10"/>
        <v>3</v>
      </c>
      <c r="CE25" s="29">
        <f t="shared" ca="1" si="10"/>
        <v>3</v>
      </c>
      <c r="CF25" s="29">
        <f t="shared" ca="1" si="10"/>
        <v>3</v>
      </c>
      <c r="CG25" s="29">
        <f t="shared" ca="1" si="10"/>
        <v>1</v>
      </c>
      <c r="CH25" s="29">
        <f t="shared" ca="1" si="10"/>
        <v>5</v>
      </c>
      <c r="CI25" s="29">
        <f t="shared" ca="1" si="10"/>
        <v>6</v>
      </c>
      <c r="CJ25" s="29">
        <f t="shared" ca="1" si="10"/>
        <v>3</v>
      </c>
      <c r="CK25" s="29">
        <f t="shared" ca="1" si="10"/>
        <v>5</v>
      </c>
      <c r="CL25" s="29">
        <f t="shared" ca="1" si="10"/>
        <v>2</v>
      </c>
      <c r="CM25" s="29">
        <f t="shared" ca="1" si="10"/>
        <v>1</v>
      </c>
      <c r="CN25" s="29">
        <f t="shared" ca="1" si="10"/>
        <v>2</v>
      </c>
      <c r="CO25" s="29">
        <f t="shared" ca="1" si="10"/>
        <v>1</v>
      </c>
      <c r="CP25" s="29">
        <f t="shared" ca="1" si="10"/>
        <v>0</v>
      </c>
      <c r="CQ25" s="29">
        <f t="shared" ca="1" si="10"/>
        <v>3</v>
      </c>
      <c r="CR25" s="29">
        <f t="shared" ca="1" si="11"/>
        <v>1</v>
      </c>
      <c r="CS25" s="29">
        <f t="shared" ca="1" si="11"/>
        <v>6</v>
      </c>
      <c r="CT25" s="29">
        <f t="shared" ca="1" si="11"/>
        <v>2</v>
      </c>
      <c r="CU25" s="29">
        <f t="shared" ca="1" si="11"/>
        <v>2</v>
      </c>
      <c r="CV25" s="29">
        <f t="shared" ca="1" si="11"/>
        <v>4</v>
      </c>
      <c r="CW25" s="29">
        <f t="shared" ca="1" si="11"/>
        <v>4</v>
      </c>
      <c r="CX25" s="29">
        <f t="shared" ca="1" si="11"/>
        <v>4</v>
      </c>
      <c r="CY25" s="29">
        <f t="shared" ca="1" si="11"/>
        <v>2</v>
      </c>
      <c r="CZ25" s="29">
        <f t="shared" ca="1" si="11"/>
        <v>4</v>
      </c>
      <c r="DA25" s="29">
        <f t="shared" ca="1" si="11"/>
        <v>3</v>
      </c>
      <c r="DB25" s="29">
        <f t="shared" ca="1" si="11"/>
        <v>3</v>
      </c>
      <c r="DC25" s="29">
        <f t="shared" ca="1" si="11"/>
        <v>3</v>
      </c>
      <c r="DD25" s="29">
        <f t="shared" ca="1" si="12"/>
        <v>4</v>
      </c>
      <c r="DE25" s="29">
        <f t="shared" ca="1" si="12"/>
        <v>2</v>
      </c>
      <c r="DF25" s="29">
        <f t="shared" ca="1" si="12"/>
        <v>2</v>
      </c>
      <c r="DG25" s="29">
        <f t="shared" ca="1" si="12"/>
        <v>4</v>
      </c>
      <c r="DH25" s="29">
        <f t="shared" ca="1" si="12"/>
        <v>3</v>
      </c>
      <c r="DI25" s="29">
        <f t="shared" ca="1" si="12"/>
        <v>1</v>
      </c>
      <c r="DJ25" s="29">
        <f t="shared" ca="1" si="12"/>
        <v>1</v>
      </c>
      <c r="DK25" s="29">
        <f t="shared" ca="1" si="12"/>
        <v>7</v>
      </c>
      <c r="DL25" s="29">
        <f t="shared" ca="1" si="12"/>
        <v>4</v>
      </c>
    </row>
    <row r="26" spans="1:116" ht="17.399999999999999" x14ac:dyDescent="0.35">
      <c r="A26" s="31">
        <v>26</v>
      </c>
      <c r="B26" s="28">
        <v>1.93</v>
      </c>
      <c r="C26" s="30">
        <v>43.21</v>
      </c>
      <c r="D26" s="28">
        <v>2.5099999999999998</v>
      </c>
      <c r="E26" s="34">
        <f t="shared" si="0"/>
        <v>5.0199999999999995E-2</v>
      </c>
      <c r="F26" s="35">
        <f t="shared" si="1"/>
        <v>10.8025</v>
      </c>
      <c r="G26" s="34">
        <f t="shared" si="2"/>
        <v>62.749999999999993</v>
      </c>
      <c r="H26" s="33">
        <f t="shared" si="7"/>
        <v>26.915803108808287</v>
      </c>
      <c r="I26" s="28">
        <f t="shared" si="8"/>
        <v>30.879999999999995</v>
      </c>
      <c r="J26" s="32">
        <v>1</v>
      </c>
      <c r="K26" s="30">
        <f t="shared" si="3"/>
        <v>10.8025</v>
      </c>
      <c r="L26" s="30"/>
      <c r="M26" s="55" t="s">
        <v>139</v>
      </c>
      <c r="N26" s="30"/>
      <c r="O26" s="30"/>
      <c r="Q26" s="29">
        <f t="shared" ca="1" si="4"/>
        <v>2</v>
      </c>
      <c r="R26" s="29">
        <f t="shared" ref="R26:AF41" ca="1" si="19">_xlfn.BINOM.INV(50,$E26,RAND())</f>
        <v>4</v>
      </c>
      <c r="S26" s="29">
        <f t="shared" ca="1" si="19"/>
        <v>4</v>
      </c>
      <c r="T26" s="29">
        <f t="shared" ca="1" si="19"/>
        <v>0</v>
      </c>
      <c r="U26" s="29">
        <f t="shared" ca="1" si="19"/>
        <v>3</v>
      </c>
      <c r="V26" s="29">
        <f t="shared" ca="1" si="19"/>
        <v>0</v>
      </c>
      <c r="W26" s="29">
        <f t="shared" ca="1" si="19"/>
        <v>4</v>
      </c>
      <c r="X26" s="29">
        <f t="shared" ca="1" si="19"/>
        <v>3</v>
      </c>
      <c r="Y26" s="29">
        <f t="shared" ca="1" si="19"/>
        <v>2</v>
      </c>
      <c r="Z26" s="29">
        <f t="shared" ca="1" si="19"/>
        <v>3</v>
      </c>
      <c r="AA26" s="29">
        <f t="shared" ca="1" si="19"/>
        <v>1</v>
      </c>
      <c r="AB26" s="29">
        <f t="shared" ca="1" si="19"/>
        <v>4</v>
      </c>
      <c r="AC26" s="29">
        <f t="shared" ca="1" si="19"/>
        <v>2</v>
      </c>
      <c r="AD26" s="29">
        <f t="shared" ca="1" si="19"/>
        <v>4</v>
      </c>
      <c r="AE26" s="29">
        <f t="shared" ca="1" si="19"/>
        <v>5</v>
      </c>
      <c r="AF26" s="29">
        <f t="shared" ca="1" si="19"/>
        <v>1</v>
      </c>
      <c r="AG26" s="29">
        <f t="shared" ca="1" si="17"/>
        <v>1</v>
      </c>
      <c r="AH26" s="29">
        <f t="shared" ca="1" si="17"/>
        <v>2</v>
      </c>
      <c r="AI26" s="29">
        <f t="shared" ca="1" si="17"/>
        <v>2</v>
      </c>
      <c r="AJ26" s="29">
        <f t="shared" ca="1" si="17"/>
        <v>3</v>
      </c>
      <c r="AK26" s="29">
        <f t="shared" ca="1" si="17"/>
        <v>1</v>
      </c>
      <c r="AL26" s="29">
        <f t="shared" ca="1" si="17"/>
        <v>3</v>
      </c>
      <c r="AM26" s="29">
        <f t="shared" ca="1" si="17"/>
        <v>2</v>
      </c>
      <c r="AN26" s="29">
        <f t="shared" ca="1" si="17"/>
        <v>1</v>
      </c>
      <c r="AO26" s="29">
        <f t="shared" ca="1" si="14"/>
        <v>4</v>
      </c>
      <c r="AP26" s="29">
        <f t="shared" ca="1" si="14"/>
        <v>6</v>
      </c>
      <c r="AQ26" s="29">
        <f t="shared" ca="1" si="14"/>
        <v>3</v>
      </c>
      <c r="AR26" s="29">
        <f t="shared" ca="1" si="14"/>
        <v>2</v>
      </c>
      <c r="AS26" s="29">
        <f t="shared" ca="1" si="14"/>
        <v>0</v>
      </c>
      <c r="AT26" s="29">
        <f t="shared" ca="1" si="14"/>
        <v>2</v>
      </c>
      <c r="AU26" s="29">
        <f t="shared" ca="1" si="14"/>
        <v>4</v>
      </c>
      <c r="AV26" s="29">
        <f t="shared" ref="AV26:BK43" ca="1" si="20">_xlfn.BINOM.INV(50,$E26,RAND())</f>
        <v>2</v>
      </c>
      <c r="AW26" s="29">
        <f t="shared" ca="1" si="20"/>
        <v>1</v>
      </c>
      <c r="AX26" s="29">
        <f t="shared" ca="1" si="20"/>
        <v>6</v>
      </c>
      <c r="AY26" s="29">
        <f t="shared" ca="1" si="20"/>
        <v>1</v>
      </c>
      <c r="AZ26" s="29">
        <f t="shared" ca="1" si="20"/>
        <v>0</v>
      </c>
      <c r="BA26" s="29">
        <f t="shared" ca="1" si="20"/>
        <v>2</v>
      </c>
      <c r="BB26" s="29">
        <f t="shared" ca="1" si="20"/>
        <v>3</v>
      </c>
      <c r="BC26" s="29">
        <f t="shared" ca="1" si="20"/>
        <v>1</v>
      </c>
      <c r="BD26" s="29">
        <f t="shared" ca="1" si="20"/>
        <v>1</v>
      </c>
      <c r="BE26" s="29">
        <f t="shared" ca="1" si="20"/>
        <v>3</v>
      </c>
      <c r="BF26" s="29">
        <f t="shared" ca="1" si="20"/>
        <v>2</v>
      </c>
      <c r="BG26" s="29">
        <f t="shared" ca="1" si="20"/>
        <v>4</v>
      </c>
      <c r="BH26" s="29">
        <f t="shared" ca="1" si="20"/>
        <v>3</v>
      </c>
      <c r="BI26" s="29">
        <f t="shared" ca="1" si="20"/>
        <v>1</v>
      </c>
      <c r="BJ26" s="29">
        <f t="shared" ca="1" si="20"/>
        <v>1</v>
      </c>
      <c r="BK26" s="29">
        <f t="shared" ca="1" si="20"/>
        <v>6</v>
      </c>
      <c r="BL26" s="29">
        <f t="shared" ca="1" si="18"/>
        <v>4</v>
      </c>
      <c r="BM26" s="29">
        <f t="shared" ca="1" si="18"/>
        <v>1</v>
      </c>
      <c r="BN26" s="29">
        <f t="shared" ca="1" si="18"/>
        <v>4</v>
      </c>
      <c r="BO26" s="29">
        <f t="shared" ca="1" si="18"/>
        <v>2</v>
      </c>
      <c r="BP26" s="29">
        <f t="shared" ca="1" si="18"/>
        <v>1</v>
      </c>
      <c r="BQ26" s="29">
        <f t="shared" ca="1" si="18"/>
        <v>2</v>
      </c>
      <c r="BR26" s="29">
        <f t="shared" ca="1" si="18"/>
        <v>3</v>
      </c>
      <c r="BS26" s="29">
        <f t="shared" ca="1" si="18"/>
        <v>3</v>
      </c>
      <c r="BT26" s="29">
        <f t="shared" ca="1" si="18"/>
        <v>1</v>
      </c>
      <c r="BU26" s="29">
        <f t="shared" ca="1" si="18"/>
        <v>4</v>
      </c>
      <c r="BV26" s="29">
        <f t="shared" ca="1" si="18"/>
        <v>2</v>
      </c>
      <c r="BW26" s="29">
        <f t="shared" ca="1" si="18"/>
        <v>3</v>
      </c>
      <c r="BX26" s="29">
        <f t="shared" ca="1" si="18"/>
        <v>5</v>
      </c>
      <c r="BY26" s="29">
        <f t="shared" ca="1" si="18"/>
        <v>1</v>
      </c>
      <c r="BZ26" s="29">
        <f t="shared" ca="1" si="18"/>
        <v>2</v>
      </c>
      <c r="CA26" s="29">
        <f t="shared" ca="1" si="18"/>
        <v>3</v>
      </c>
      <c r="CB26" s="29">
        <f t="shared" ca="1" si="16"/>
        <v>2</v>
      </c>
      <c r="CC26" s="29">
        <f t="shared" ca="1" si="10"/>
        <v>3</v>
      </c>
      <c r="CD26" s="29">
        <f t="shared" ca="1" si="10"/>
        <v>1</v>
      </c>
      <c r="CE26" s="29">
        <f t="shared" ca="1" si="10"/>
        <v>6</v>
      </c>
      <c r="CF26" s="29">
        <f t="shared" ca="1" si="10"/>
        <v>1</v>
      </c>
      <c r="CG26" s="29">
        <f t="shared" ca="1" si="10"/>
        <v>2</v>
      </c>
      <c r="CH26" s="29">
        <f t="shared" ca="1" si="10"/>
        <v>3</v>
      </c>
      <c r="CI26" s="29">
        <f t="shared" ca="1" si="10"/>
        <v>3</v>
      </c>
      <c r="CJ26" s="29">
        <f t="shared" ca="1" si="10"/>
        <v>1</v>
      </c>
      <c r="CK26" s="29">
        <f t="shared" ca="1" si="10"/>
        <v>1</v>
      </c>
      <c r="CL26" s="29">
        <f t="shared" ca="1" si="10"/>
        <v>2</v>
      </c>
      <c r="CM26" s="29">
        <f t="shared" ca="1" si="10"/>
        <v>2</v>
      </c>
      <c r="CN26" s="29">
        <f t="shared" ca="1" si="10"/>
        <v>3</v>
      </c>
      <c r="CO26" s="29">
        <f t="shared" ca="1" si="10"/>
        <v>2</v>
      </c>
      <c r="CP26" s="29">
        <f t="shared" ref="CP26:DE46" ca="1" si="21">_xlfn.BINOM.INV(50,$E26,RAND())</f>
        <v>2</v>
      </c>
      <c r="CQ26" s="29">
        <f t="shared" ca="1" si="21"/>
        <v>2</v>
      </c>
      <c r="CR26" s="29">
        <f t="shared" ca="1" si="21"/>
        <v>4</v>
      </c>
      <c r="CS26" s="29">
        <f t="shared" ca="1" si="21"/>
        <v>2</v>
      </c>
      <c r="CT26" s="29">
        <f t="shared" ca="1" si="21"/>
        <v>2</v>
      </c>
      <c r="CU26" s="29">
        <f t="shared" ca="1" si="21"/>
        <v>2</v>
      </c>
      <c r="CV26" s="29">
        <f t="shared" ca="1" si="21"/>
        <v>2</v>
      </c>
      <c r="CW26" s="29">
        <f t="shared" ca="1" si="21"/>
        <v>1</v>
      </c>
      <c r="CX26" s="29">
        <f t="shared" ca="1" si="21"/>
        <v>1</v>
      </c>
      <c r="CY26" s="29">
        <f t="shared" ca="1" si="21"/>
        <v>1</v>
      </c>
      <c r="CZ26" s="29">
        <f t="shared" ca="1" si="21"/>
        <v>2</v>
      </c>
      <c r="DA26" s="29">
        <f t="shared" ca="1" si="21"/>
        <v>5</v>
      </c>
      <c r="DB26" s="29">
        <f t="shared" ca="1" si="21"/>
        <v>3</v>
      </c>
      <c r="DC26" s="29">
        <f t="shared" ca="1" si="21"/>
        <v>8</v>
      </c>
      <c r="DD26" s="29">
        <f t="shared" ca="1" si="21"/>
        <v>1</v>
      </c>
      <c r="DE26" s="29">
        <f t="shared" ca="1" si="21"/>
        <v>4</v>
      </c>
      <c r="DF26" s="29">
        <f t="shared" ca="1" si="12"/>
        <v>3</v>
      </c>
      <c r="DG26" s="29">
        <f t="shared" ca="1" si="12"/>
        <v>3</v>
      </c>
      <c r="DH26" s="29">
        <f t="shared" ca="1" si="12"/>
        <v>3</v>
      </c>
      <c r="DI26" s="29">
        <f t="shared" ca="1" si="12"/>
        <v>3</v>
      </c>
      <c r="DJ26" s="29">
        <f t="shared" ca="1" si="12"/>
        <v>4</v>
      </c>
      <c r="DK26" s="29">
        <f t="shared" ca="1" si="12"/>
        <v>1</v>
      </c>
      <c r="DL26" s="29">
        <f t="shared" ca="1" si="12"/>
        <v>3</v>
      </c>
    </row>
    <row r="27" spans="1:116" ht="14.4" x14ac:dyDescent="0.3">
      <c r="A27" s="31">
        <v>134</v>
      </c>
      <c r="B27" s="28">
        <v>2.0499999999999998</v>
      </c>
      <c r="C27" s="30">
        <v>6.92</v>
      </c>
      <c r="D27" s="28">
        <v>2.23</v>
      </c>
      <c r="E27" s="34">
        <f t="shared" si="0"/>
        <v>4.4600000000000001E-2</v>
      </c>
      <c r="F27" s="35">
        <f t="shared" si="1"/>
        <v>1.73</v>
      </c>
      <c r="G27" s="34">
        <f t="shared" si="2"/>
        <v>55.75</v>
      </c>
      <c r="H27" s="33">
        <f t="shared" si="7"/>
        <v>26.351219512195126</v>
      </c>
      <c r="I27" s="28">
        <f t="shared" si="8"/>
        <v>32.929999999999993</v>
      </c>
      <c r="J27" s="32">
        <v>1</v>
      </c>
      <c r="K27" s="30">
        <f t="shared" si="3"/>
        <v>1.73</v>
      </c>
      <c r="L27" s="30"/>
      <c r="M27" s="30"/>
      <c r="N27" s="30"/>
      <c r="O27" s="30"/>
      <c r="Q27" s="29">
        <f t="shared" ca="1" si="4"/>
        <v>4</v>
      </c>
      <c r="R27" s="29">
        <f t="shared" ca="1" si="19"/>
        <v>1</v>
      </c>
      <c r="S27" s="29">
        <f t="shared" ca="1" si="19"/>
        <v>6</v>
      </c>
      <c r="T27" s="29">
        <f t="shared" ca="1" si="19"/>
        <v>4</v>
      </c>
      <c r="U27" s="29">
        <f t="shared" ca="1" si="19"/>
        <v>3</v>
      </c>
      <c r="V27" s="29">
        <f t="shared" ca="1" si="19"/>
        <v>1</v>
      </c>
      <c r="W27" s="29">
        <f t="shared" ca="1" si="19"/>
        <v>1</v>
      </c>
      <c r="X27" s="29">
        <f t="shared" ca="1" si="19"/>
        <v>0</v>
      </c>
      <c r="Y27" s="29">
        <f t="shared" ca="1" si="19"/>
        <v>3</v>
      </c>
      <c r="Z27" s="29">
        <f t="shared" ca="1" si="19"/>
        <v>4</v>
      </c>
      <c r="AA27" s="29">
        <f t="shared" ca="1" si="19"/>
        <v>1</v>
      </c>
      <c r="AB27" s="29">
        <f t="shared" ca="1" si="19"/>
        <v>3</v>
      </c>
      <c r="AC27" s="29">
        <f t="shared" ca="1" si="19"/>
        <v>0</v>
      </c>
      <c r="AD27" s="29">
        <f t="shared" ca="1" si="19"/>
        <v>4</v>
      </c>
      <c r="AE27" s="29">
        <f t="shared" ca="1" si="19"/>
        <v>1</v>
      </c>
      <c r="AF27" s="29">
        <f t="shared" ca="1" si="19"/>
        <v>2</v>
      </c>
      <c r="AG27" s="29">
        <f t="shared" ca="1" si="17"/>
        <v>1</v>
      </c>
      <c r="AH27" s="29">
        <f t="shared" ca="1" si="17"/>
        <v>2</v>
      </c>
      <c r="AI27" s="29">
        <f t="shared" ca="1" si="17"/>
        <v>2</v>
      </c>
      <c r="AJ27" s="29">
        <f t="shared" ca="1" si="17"/>
        <v>0</v>
      </c>
      <c r="AK27" s="29">
        <f t="shared" ca="1" si="17"/>
        <v>4</v>
      </c>
      <c r="AL27" s="29">
        <f t="shared" ca="1" si="17"/>
        <v>5</v>
      </c>
      <c r="AM27" s="29">
        <f t="shared" ca="1" si="17"/>
        <v>5</v>
      </c>
      <c r="AN27" s="29">
        <f t="shared" ca="1" si="17"/>
        <v>1</v>
      </c>
      <c r="AO27" s="29">
        <f t="shared" ref="AO27:BD44" ca="1" si="22">_xlfn.BINOM.INV(50,$E27,RAND())</f>
        <v>4</v>
      </c>
      <c r="AP27" s="29">
        <f t="shared" ca="1" si="22"/>
        <v>1</v>
      </c>
      <c r="AQ27" s="29">
        <f t="shared" ca="1" si="22"/>
        <v>5</v>
      </c>
      <c r="AR27" s="29">
        <f t="shared" ca="1" si="22"/>
        <v>4</v>
      </c>
      <c r="AS27" s="29">
        <f t="shared" ca="1" si="22"/>
        <v>3</v>
      </c>
      <c r="AT27" s="29">
        <f t="shared" ca="1" si="22"/>
        <v>3</v>
      </c>
      <c r="AU27" s="29">
        <f t="shared" ca="1" si="22"/>
        <v>1</v>
      </c>
      <c r="AV27" s="29">
        <f t="shared" ca="1" si="22"/>
        <v>4</v>
      </c>
      <c r="AW27" s="29">
        <f t="shared" ca="1" si="22"/>
        <v>3</v>
      </c>
      <c r="AX27" s="29">
        <f t="shared" ca="1" si="22"/>
        <v>2</v>
      </c>
      <c r="AY27" s="29">
        <f t="shared" ca="1" si="22"/>
        <v>3</v>
      </c>
      <c r="AZ27" s="29">
        <f t="shared" ca="1" si="22"/>
        <v>3</v>
      </c>
      <c r="BA27" s="29">
        <f t="shared" ca="1" si="22"/>
        <v>2</v>
      </c>
      <c r="BB27" s="29">
        <f t="shared" ca="1" si="22"/>
        <v>4</v>
      </c>
      <c r="BC27" s="29">
        <f t="shared" ca="1" si="22"/>
        <v>1</v>
      </c>
      <c r="BD27" s="29">
        <f t="shared" ca="1" si="22"/>
        <v>2</v>
      </c>
      <c r="BE27" s="29">
        <f t="shared" ca="1" si="20"/>
        <v>2</v>
      </c>
      <c r="BF27" s="29">
        <f t="shared" ca="1" si="20"/>
        <v>2</v>
      </c>
      <c r="BG27" s="29">
        <f t="shared" ca="1" si="20"/>
        <v>3</v>
      </c>
      <c r="BH27" s="29">
        <f t="shared" ca="1" si="20"/>
        <v>3</v>
      </c>
      <c r="BI27" s="29">
        <f t="shared" ca="1" si="20"/>
        <v>0</v>
      </c>
      <c r="BJ27" s="29">
        <f t="shared" ca="1" si="20"/>
        <v>1</v>
      </c>
      <c r="BK27" s="29">
        <f t="shared" ca="1" si="20"/>
        <v>1</v>
      </c>
      <c r="BL27" s="29">
        <f t="shared" ca="1" si="18"/>
        <v>2</v>
      </c>
      <c r="BM27" s="29">
        <f t="shared" ca="1" si="18"/>
        <v>1</v>
      </c>
      <c r="BN27" s="29">
        <f t="shared" ca="1" si="18"/>
        <v>0</v>
      </c>
      <c r="BO27" s="29">
        <f t="shared" ca="1" si="18"/>
        <v>2</v>
      </c>
      <c r="BP27" s="29">
        <f t="shared" ca="1" si="18"/>
        <v>2</v>
      </c>
      <c r="BQ27" s="29">
        <f t="shared" ca="1" si="18"/>
        <v>2</v>
      </c>
      <c r="BR27" s="29">
        <f t="shared" ca="1" si="18"/>
        <v>0</v>
      </c>
      <c r="BS27" s="29">
        <f t="shared" ca="1" si="18"/>
        <v>2</v>
      </c>
      <c r="BT27" s="29">
        <f t="shared" ca="1" si="18"/>
        <v>4</v>
      </c>
      <c r="BU27" s="29">
        <f t="shared" ca="1" si="18"/>
        <v>2</v>
      </c>
      <c r="BV27" s="29">
        <f t="shared" ca="1" si="18"/>
        <v>2</v>
      </c>
      <c r="BW27" s="29">
        <f t="shared" ca="1" si="18"/>
        <v>1</v>
      </c>
      <c r="BX27" s="29">
        <f t="shared" ca="1" si="18"/>
        <v>3</v>
      </c>
      <c r="BY27" s="29">
        <f t="shared" ca="1" si="18"/>
        <v>5</v>
      </c>
      <c r="BZ27" s="29">
        <f t="shared" ca="1" si="18"/>
        <v>4</v>
      </c>
      <c r="CA27" s="29">
        <f t="shared" ca="1" si="18"/>
        <v>0</v>
      </c>
      <c r="CB27" s="29">
        <f t="shared" ca="1" si="16"/>
        <v>2</v>
      </c>
      <c r="CC27" s="29">
        <f t="shared" ref="CC27:CR43" ca="1" si="23">_xlfn.BINOM.INV(50,$E27,RAND())</f>
        <v>1</v>
      </c>
      <c r="CD27" s="29">
        <f t="shared" ca="1" si="23"/>
        <v>2</v>
      </c>
      <c r="CE27" s="29">
        <f t="shared" ca="1" si="23"/>
        <v>4</v>
      </c>
      <c r="CF27" s="29">
        <f t="shared" ca="1" si="23"/>
        <v>1</v>
      </c>
      <c r="CG27" s="29">
        <f t="shared" ca="1" si="23"/>
        <v>1</v>
      </c>
      <c r="CH27" s="29">
        <f t="shared" ca="1" si="23"/>
        <v>2</v>
      </c>
      <c r="CI27" s="29">
        <f t="shared" ca="1" si="23"/>
        <v>2</v>
      </c>
      <c r="CJ27" s="29">
        <f t="shared" ca="1" si="23"/>
        <v>1</v>
      </c>
      <c r="CK27" s="29">
        <f t="shared" ca="1" si="23"/>
        <v>2</v>
      </c>
      <c r="CL27" s="29">
        <f t="shared" ca="1" si="23"/>
        <v>3</v>
      </c>
      <c r="CM27" s="29">
        <f t="shared" ca="1" si="23"/>
        <v>6</v>
      </c>
      <c r="CN27" s="29">
        <f t="shared" ca="1" si="23"/>
        <v>1</v>
      </c>
      <c r="CO27" s="29">
        <f t="shared" ca="1" si="23"/>
        <v>1</v>
      </c>
      <c r="CP27" s="29">
        <f t="shared" ca="1" si="23"/>
        <v>6</v>
      </c>
      <c r="CQ27" s="29">
        <f t="shared" ca="1" si="23"/>
        <v>5</v>
      </c>
      <c r="CR27" s="29">
        <f t="shared" ca="1" si="23"/>
        <v>3</v>
      </c>
      <c r="CS27" s="29">
        <f t="shared" ca="1" si="21"/>
        <v>1</v>
      </c>
      <c r="CT27" s="29">
        <f t="shared" ca="1" si="21"/>
        <v>3</v>
      </c>
      <c r="CU27" s="29">
        <f t="shared" ca="1" si="21"/>
        <v>2</v>
      </c>
      <c r="CV27" s="29">
        <f t="shared" ca="1" si="21"/>
        <v>5</v>
      </c>
      <c r="CW27" s="29">
        <f t="shared" ca="1" si="21"/>
        <v>4</v>
      </c>
      <c r="CX27" s="29">
        <f t="shared" ca="1" si="21"/>
        <v>1</v>
      </c>
      <c r="CY27" s="29">
        <f t="shared" ca="1" si="21"/>
        <v>1</v>
      </c>
      <c r="CZ27" s="29">
        <f t="shared" ca="1" si="21"/>
        <v>2</v>
      </c>
      <c r="DA27" s="29">
        <f t="shared" ca="1" si="21"/>
        <v>1</v>
      </c>
      <c r="DB27" s="29">
        <f t="shared" ca="1" si="21"/>
        <v>2</v>
      </c>
      <c r="DC27" s="29">
        <f t="shared" ca="1" si="21"/>
        <v>0</v>
      </c>
      <c r="DD27" s="29">
        <f t="shared" ca="1" si="21"/>
        <v>5</v>
      </c>
      <c r="DE27" s="29">
        <f t="shared" ca="1" si="21"/>
        <v>1</v>
      </c>
      <c r="DF27" s="29">
        <f t="shared" ca="1" si="12"/>
        <v>2</v>
      </c>
      <c r="DG27" s="29">
        <f t="shared" ca="1" si="12"/>
        <v>1</v>
      </c>
      <c r="DH27" s="29">
        <f t="shared" ca="1" si="12"/>
        <v>3</v>
      </c>
      <c r="DI27" s="29">
        <f t="shared" ca="1" si="12"/>
        <v>2</v>
      </c>
      <c r="DJ27" s="29">
        <f t="shared" ca="1" si="12"/>
        <v>4</v>
      </c>
      <c r="DK27" s="29">
        <f t="shared" ca="1" si="12"/>
        <v>1</v>
      </c>
      <c r="DL27" s="29">
        <f t="shared" ca="1" si="12"/>
        <v>2</v>
      </c>
    </row>
    <row r="28" spans="1:116" ht="14.4" x14ac:dyDescent="0.3">
      <c r="A28" s="31">
        <v>857</v>
      </c>
      <c r="B28" s="28">
        <v>1.91</v>
      </c>
      <c r="C28" s="30">
        <v>82.94</v>
      </c>
      <c r="D28" s="28">
        <v>2.84</v>
      </c>
      <c r="E28" s="34">
        <f t="shared" si="0"/>
        <v>5.6799999999999996E-2</v>
      </c>
      <c r="F28" s="35">
        <f t="shared" si="1"/>
        <v>20.734999999999999</v>
      </c>
      <c r="G28" s="34">
        <f t="shared" si="2"/>
        <v>71</v>
      </c>
      <c r="H28" s="33">
        <f t="shared" si="7"/>
        <v>26.316753926701573</v>
      </c>
      <c r="I28" s="28">
        <f t="shared" si="8"/>
        <v>34.839999999999989</v>
      </c>
      <c r="J28" s="32">
        <v>1</v>
      </c>
      <c r="K28" s="30">
        <f t="shared" si="3"/>
        <v>20.734999999999999</v>
      </c>
      <c r="L28" s="30"/>
      <c r="M28" s="30"/>
      <c r="N28" s="30"/>
      <c r="O28" s="30"/>
      <c r="Q28" s="29">
        <f t="shared" ca="1" si="4"/>
        <v>3</v>
      </c>
      <c r="R28" s="29">
        <f t="shared" ca="1" si="19"/>
        <v>2</v>
      </c>
      <c r="S28" s="29">
        <f t="shared" ca="1" si="19"/>
        <v>7</v>
      </c>
      <c r="T28" s="29">
        <f t="shared" ca="1" si="19"/>
        <v>4</v>
      </c>
      <c r="U28" s="29">
        <f t="shared" ca="1" si="19"/>
        <v>3</v>
      </c>
      <c r="V28" s="29">
        <f t="shared" ca="1" si="19"/>
        <v>3</v>
      </c>
      <c r="W28" s="29">
        <f t="shared" ca="1" si="19"/>
        <v>0</v>
      </c>
      <c r="X28" s="29">
        <f t="shared" ca="1" si="19"/>
        <v>3</v>
      </c>
      <c r="Y28" s="29">
        <f t="shared" ca="1" si="19"/>
        <v>2</v>
      </c>
      <c r="Z28" s="29">
        <f t="shared" ca="1" si="19"/>
        <v>5</v>
      </c>
      <c r="AA28" s="29">
        <f t="shared" ca="1" si="19"/>
        <v>2</v>
      </c>
      <c r="AB28" s="29">
        <f t="shared" ca="1" si="19"/>
        <v>1</v>
      </c>
      <c r="AC28" s="29">
        <f t="shared" ca="1" si="19"/>
        <v>1</v>
      </c>
      <c r="AD28" s="29">
        <f t="shared" ca="1" si="19"/>
        <v>3</v>
      </c>
      <c r="AE28" s="29">
        <f t="shared" ca="1" si="19"/>
        <v>1</v>
      </c>
      <c r="AF28" s="29">
        <f t="shared" ca="1" si="19"/>
        <v>2</v>
      </c>
      <c r="AG28" s="29">
        <f t="shared" ca="1" si="17"/>
        <v>5</v>
      </c>
      <c r="AH28" s="29">
        <f t="shared" ca="1" si="17"/>
        <v>1</v>
      </c>
      <c r="AI28" s="29">
        <f t="shared" ca="1" si="17"/>
        <v>3</v>
      </c>
      <c r="AJ28" s="29">
        <f t="shared" ca="1" si="17"/>
        <v>3</v>
      </c>
      <c r="AK28" s="29">
        <f t="shared" ca="1" si="17"/>
        <v>2</v>
      </c>
      <c r="AL28" s="29">
        <f t="shared" ca="1" si="17"/>
        <v>2</v>
      </c>
      <c r="AM28" s="29">
        <f t="shared" ca="1" si="17"/>
        <v>2</v>
      </c>
      <c r="AN28" s="29">
        <f t="shared" ca="1" si="17"/>
        <v>4</v>
      </c>
      <c r="AO28" s="29">
        <f t="shared" ca="1" si="22"/>
        <v>2</v>
      </c>
      <c r="AP28" s="29">
        <f t="shared" ca="1" si="22"/>
        <v>3</v>
      </c>
      <c r="AQ28" s="29">
        <f t="shared" ca="1" si="22"/>
        <v>3</v>
      </c>
      <c r="AR28" s="29">
        <f t="shared" ca="1" si="22"/>
        <v>4</v>
      </c>
      <c r="AS28" s="29">
        <f t="shared" ca="1" si="22"/>
        <v>5</v>
      </c>
      <c r="AT28" s="29">
        <f t="shared" ca="1" si="22"/>
        <v>3</v>
      </c>
      <c r="AU28" s="29">
        <f t="shared" ca="1" si="22"/>
        <v>4</v>
      </c>
      <c r="AV28" s="29">
        <f t="shared" ca="1" si="22"/>
        <v>1</v>
      </c>
      <c r="AW28" s="29">
        <f t="shared" ca="1" si="22"/>
        <v>2</v>
      </c>
      <c r="AX28" s="29">
        <f t="shared" ca="1" si="22"/>
        <v>0</v>
      </c>
      <c r="AY28" s="29">
        <f t="shared" ca="1" si="22"/>
        <v>3</v>
      </c>
      <c r="AZ28" s="29">
        <f t="shared" ca="1" si="22"/>
        <v>2</v>
      </c>
      <c r="BA28" s="29">
        <f t="shared" ca="1" si="22"/>
        <v>3</v>
      </c>
      <c r="BB28" s="29">
        <f t="shared" ca="1" si="22"/>
        <v>5</v>
      </c>
      <c r="BC28" s="29">
        <f t="shared" ca="1" si="22"/>
        <v>4</v>
      </c>
      <c r="BD28" s="29">
        <f t="shared" ca="1" si="22"/>
        <v>5</v>
      </c>
      <c r="BE28" s="29">
        <f t="shared" ca="1" si="20"/>
        <v>3</v>
      </c>
      <c r="BF28" s="29">
        <f t="shared" ca="1" si="20"/>
        <v>2</v>
      </c>
      <c r="BG28" s="29">
        <f t="shared" ca="1" si="20"/>
        <v>5</v>
      </c>
      <c r="BH28" s="29">
        <f t="shared" ca="1" si="20"/>
        <v>2</v>
      </c>
      <c r="BI28" s="29">
        <f t="shared" ca="1" si="20"/>
        <v>2</v>
      </c>
      <c r="BJ28" s="29">
        <f t="shared" ca="1" si="20"/>
        <v>4</v>
      </c>
      <c r="BK28" s="29">
        <f t="shared" ca="1" si="20"/>
        <v>3</v>
      </c>
      <c r="BL28" s="29">
        <f t="shared" ca="1" si="18"/>
        <v>3</v>
      </c>
      <c r="BM28" s="29">
        <f t="shared" ca="1" si="18"/>
        <v>3</v>
      </c>
      <c r="BN28" s="29">
        <f t="shared" ca="1" si="18"/>
        <v>3</v>
      </c>
      <c r="BO28" s="29">
        <f t="shared" ca="1" si="18"/>
        <v>3</v>
      </c>
      <c r="BP28" s="29">
        <f t="shared" ca="1" si="18"/>
        <v>3</v>
      </c>
      <c r="BQ28" s="29">
        <f t="shared" ca="1" si="18"/>
        <v>2</v>
      </c>
      <c r="BR28" s="29">
        <f t="shared" ca="1" si="18"/>
        <v>4</v>
      </c>
      <c r="BS28" s="29">
        <f t="shared" ca="1" si="18"/>
        <v>2</v>
      </c>
      <c r="BT28" s="29">
        <f t="shared" ca="1" si="18"/>
        <v>4</v>
      </c>
      <c r="BU28" s="29">
        <f t="shared" ca="1" si="18"/>
        <v>2</v>
      </c>
      <c r="BV28" s="29">
        <f t="shared" ca="1" si="18"/>
        <v>2</v>
      </c>
      <c r="BW28" s="29">
        <f t="shared" ca="1" si="18"/>
        <v>4</v>
      </c>
      <c r="BX28" s="29">
        <f t="shared" ca="1" si="18"/>
        <v>3</v>
      </c>
      <c r="BY28" s="29">
        <f t="shared" ca="1" si="18"/>
        <v>4</v>
      </c>
      <c r="BZ28" s="29">
        <f t="shared" ca="1" si="18"/>
        <v>4</v>
      </c>
      <c r="CA28" s="29">
        <f t="shared" ca="1" si="18"/>
        <v>3</v>
      </c>
      <c r="CB28" s="29">
        <f t="shared" ca="1" si="16"/>
        <v>3</v>
      </c>
      <c r="CC28" s="29">
        <f t="shared" ca="1" si="23"/>
        <v>2</v>
      </c>
      <c r="CD28" s="29">
        <f t="shared" ca="1" si="23"/>
        <v>2</v>
      </c>
      <c r="CE28" s="29">
        <f t="shared" ca="1" si="23"/>
        <v>2</v>
      </c>
      <c r="CF28" s="29">
        <f t="shared" ca="1" si="23"/>
        <v>2</v>
      </c>
      <c r="CG28" s="29">
        <f t="shared" ca="1" si="23"/>
        <v>2</v>
      </c>
      <c r="CH28" s="29">
        <f t="shared" ca="1" si="23"/>
        <v>3</v>
      </c>
      <c r="CI28" s="29">
        <f t="shared" ca="1" si="23"/>
        <v>1</v>
      </c>
      <c r="CJ28" s="29">
        <f t="shared" ca="1" si="23"/>
        <v>1</v>
      </c>
      <c r="CK28" s="29">
        <f t="shared" ca="1" si="23"/>
        <v>3</v>
      </c>
      <c r="CL28" s="29">
        <f t="shared" ca="1" si="23"/>
        <v>2</v>
      </c>
      <c r="CM28" s="29">
        <f t="shared" ca="1" si="23"/>
        <v>2</v>
      </c>
      <c r="CN28" s="29">
        <f t="shared" ca="1" si="23"/>
        <v>3</v>
      </c>
      <c r="CO28" s="29">
        <f t="shared" ca="1" si="23"/>
        <v>2</v>
      </c>
      <c r="CP28" s="29">
        <f t="shared" ca="1" si="23"/>
        <v>2</v>
      </c>
      <c r="CQ28" s="29">
        <f t="shared" ca="1" si="23"/>
        <v>3</v>
      </c>
      <c r="CR28" s="29">
        <f t="shared" ca="1" si="23"/>
        <v>6</v>
      </c>
      <c r="CS28" s="29">
        <f t="shared" ca="1" si="21"/>
        <v>4</v>
      </c>
      <c r="CT28" s="29">
        <f t="shared" ca="1" si="21"/>
        <v>3</v>
      </c>
      <c r="CU28" s="29">
        <f t="shared" ca="1" si="21"/>
        <v>2</v>
      </c>
      <c r="CV28" s="29">
        <f t="shared" ca="1" si="21"/>
        <v>1</v>
      </c>
      <c r="CW28" s="29">
        <f t="shared" ca="1" si="21"/>
        <v>3</v>
      </c>
      <c r="CX28" s="29">
        <f t="shared" ca="1" si="21"/>
        <v>1</v>
      </c>
      <c r="CY28" s="29">
        <f t="shared" ca="1" si="21"/>
        <v>0</v>
      </c>
      <c r="CZ28" s="29">
        <f t="shared" ca="1" si="21"/>
        <v>4</v>
      </c>
      <c r="DA28" s="29">
        <f t="shared" ca="1" si="21"/>
        <v>5</v>
      </c>
      <c r="DB28" s="29">
        <f t="shared" ca="1" si="21"/>
        <v>4</v>
      </c>
      <c r="DC28" s="29">
        <f t="shared" ca="1" si="21"/>
        <v>4</v>
      </c>
      <c r="DD28" s="29">
        <f t="shared" ca="1" si="21"/>
        <v>0</v>
      </c>
      <c r="DE28" s="29">
        <f t="shared" ca="1" si="21"/>
        <v>5</v>
      </c>
      <c r="DF28" s="29">
        <f t="shared" ca="1" si="12"/>
        <v>6</v>
      </c>
      <c r="DG28" s="29">
        <f t="shared" ca="1" si="12"/>
        <v>4</v>
      </c>
      <c r="DH28" s="29">
        <f t="shared" ca="1" si="12"/>
        <v>2</v>
      </c>
      <c r="DI28" s="29">
        <f t="shared" ca="1" si="12"/>
        <v>2</v>
      </c>
      <c r="DJ28" s="29">
        <f t="shared" ca="1" si="12"/>
        <v>1</v>
      </c>
      <c r="DK28" s="29">
        <f t="shared" ca="1" si="12"/>
        <v>3</v>
      </c>
      <c r="DL28" s="29">
        <f t="shared" ca="1" si="12"/>
        <v>4</v>
      </c>
    </row>
    <row r="29" spans="1:116" ht="14.4" x14ac:dyDescent="0.3">
      <c r="A29" s="31">
        <v>954</v>
      </c>
      <c r="B29" s="28">
        <v>2.4900000000000002</v>
      </c>
      <c r="C29" s="30">
        <v>25.62</v>
      </c>
      <c r="D29" s="28">
        <v>2.83</v>
      </c>
      <c r="E29" s="34">
        <f t="shared" si="0"/>
        <v>5.6600000000000004E-2</v>
      </c>
      <c r="F29" s="35">
        <f t="shared" si="1"/>
        <v>6.4050000000000002</v>
      </c>
      <c r="G29" s="34">
        <f t="shared" si="2"/>
        <v>70.75</v>
      </c>
      <c r="H29" s="33">
        <f t="shared" si="7"/>
        <v>25.841365461847388</v>
      </c>
      <c r="I29" s="28">
        <f t="shared" si="8"/>
        <v>37.329999999999991</v>
      </c>
      <c r="J29" s="32">
        <v>1</v>
      </c>
      <c r="K29" s="30">
        <f t="shared" si="3"/>
        <v>6.4050000000000002</v>
      </c>
      <c r="L29" s="30"/>
      <c r="M29" s="30"/>
      <c r="N29" s="30"/>
      <c r="O29" s="30"/>
      <c r="P29" s="30"/>
      <c r="Q29" s="29">
        <f t="shared" ca="1" si="4"/>
        <v>1</v>
      </c>
      <c r="R29" s="29">
        <f t="shared" ca="1" si="19"/>
        <v>3</v>
      </c>
      <c r="S29" s="29">
        <f t="shared" ca="1" si="19"/>
        <v>3</v>
      </c>
      <c r="T29" s="29">
        <f t="shared" ca="1" si="19"/>
        <v>0</v>
      </c>
      <c r="U29" s="29">
        <f t="shared" ca="1" si="19"/>
        <v>3</v>
      </c>
      <c r="V29" s="29">
        <f t="shared" ca="1" si="19"/>
        <v>1</v>
      </c>
      <c r="W29" s="29">
        <f t="shared" ca="1" si="19"/>
        <v>1</v>
      </c>
      <c r="X29" s="29">
        <f t="shared" ca="1" si="19"/>
        <v>3</v>
      </c>
      <c r="Y29" s="29">
        <f t="shared" ca="1" si="19"/>
        <v>2</v>
      </c>
      <c r="Z29" s="29">
        <f t="shared" ca="1" si="19"/>
        <v>5</v>
      </c>
      <c r="AA29" s="29">
        <f t="shared" ca="1" si="19"/>
        <v>4</v>
      </c>
      <c r="AB29" s="29">
        <f t="shared" ca="1" si="19"/>
        <v>5</v>
      </c>
      <c r="AC29" s="29">
        <f t="shared" ca="1" si="19"/>
        <v>2</v>
      </c>
      <c r="AD29" s="29">
        <f t="shared" ca="1" si="19"/>
        <v>2</v>
      </c>
      <c r="AE29" s="29">
        <f t="shared" ca="1" si="19"/>
        <v>4</v>
      </c>
      <c r="AF29" s="29">
        <f t="shared" ca="1" si="19"/>
        <v>4</v>
      </c>
      <c r="AG29" s="29">
        <f t="shared" ca="1" si="17"/>
        <v>2</v>
      </c>
      <c r="AH29" s="29">
        <f t="shared" ca="1" si="17"/>
        <v>3</v>
      </c>
      <c r="AI29" s="29">
        <f t="shared" ca="1" si="17"/>
        <v>1</v>
      </c>
      <c r="AJ29" s="29">
        <f t="shared" ca="1" si="17"/>
        <v>4</v>
      </c>
      <c r="AK29" s="29">
        <f t="shared" ca="1" si="17"/>
        <v>3</v>
      </c>
      <c r="AL29" s="29">
        <f t="shared" ca="1" si="17"/>
        <v>1</v>
      </c>
      <c r="AM29" s="29">
        <f t="shared" ca="1" si="17"/>
        <v>2</v>
      </c>
      <c r="AN29" s="29">
        <f t="shared" ca="1" si="17"/>
        <v>3</v>
      </c>
      <c r="AO29" s="29">
        <f t="shared" ca="1" si="22"/>
        <v>1</v>
      </c>
      <c r="AP29" s="29">
        <f t="shared" ca="1" si="22"/>
        <v>2</v>
      </c>
      <c r="AQ29" s="29">
        <f t="shared" ca="1" si="22"/>
        <v>2</v>
      </c>
      <c r="AR29" s="29">
        <f t="shared" ca="1" si="22"/>
        <v>4</v>
      </c>
      <c r="AS29" s="29">
        <f t="shared" ca="1" si="22"/>
        <v>2</v>
      </c>
      <c r="AT29" s="29">
        <f t="shared" ca="1" si="22"/>
        <v>3</v>
      </c>
      <c r="AU29" s="29">
        <f t="shared" ca="1" si="22"/>
        <v>3</v>
      </c>
      <c r="AV29" s="29">
        <f t="shared" ca="1" si="22"/>
        <v>2</v>
      </c>
      <c r="AW29" s="29">
        <f t="shared" ca="1" si="22"/>
        <v>2</v>
      </c>
      <c r="AX29" s="29">
        <f t="shared" ca="1" si="22"/>
        <v>2</v>
      </c>
      <c r="AY29" s="29">
        <f t="shared" ca="1" si="22"/>
        <v>2</v>
      </c>
      <c r="AZ29" s="29">
        <f t="shared" ca="1" si="22"/>
        <v>2</v>
      </c>
      <c r="BA29" s="29">
        <f t="shared" ca="1" si="22"/>
        <v>2</v>
      </c>
      <c r="BB29" s="29">
        <f t="shared" ca="1" si="22"/>
        <v>2</v>
      </c>
      <c r="BC29" s="29">
        <f t="shared" ca="1" si="22"/>
        <v>4</v>
      </c>
      <c r="BD29" s="29">
        <f t="shared" ca="1" si="22"/>
        <v>3</v>
      </c>
      <c r="BE29" s="29">
        <f t="shared" ca="1" si="20"/>
        <v>3</v>
      </c>
      <c r="BF29" s="29">
        <f t="shared" ca="1" si="20"/>
        <v>2</v>
      </c>
      <c r="BG29" s="29">
        <f t="shared" ca="1" si="20"/>
        <v>2</v>
      </c>
      <c r="BH29" s="29">
        <f t="shared" ca="1" si="20"/>
        <v>4</v>
      </c>
      <c r="BI29" s="29">
        <f t="shared" ca="1" si="20"/>
        <v>6</v>
      </c>
      <c r="BJ29" s="29">
        <f t="shared" ca="1" si="20"/>
        <v>4</v>
      </c>
      <c r="BK29" s="29">
        <f t="shared" ca="1" si="20"/>
        <v>1</v>
      </c>
      <c r="BL29" s="29">
        <f t="shared" ca="1" si="18"/>
        <v>3</v>
      </c>
      <c r="BM29" s="29">
        <f t="shared" ca="1" si="18"/>
        <v>3</v>
      </c>
      <c r="BN29" s="29">
        <f t="shared" ca="1" si="18"/>
        <v>0</v>
      </c>
      <c r="BO29" s="29">
        <f t="shared" ca="1" si="18"/>
        <v>3</v>
      </c>
      <c r="BP29" s="29">
        <f t="shared" ca="1" si="18"/>
        <v>1</v>
      </c>
      <c r="BQ29" s="29">
        <f t="shared" ca="1" si="18"/>
        <v>4</v>
      </c>
      <c r="BR29" s="29">
        <f t="shared" ca="1" si="18"/>
        <v>2</v>
      </c>
      <c r="BS29" s="29">
        <f t="shared" ca="1" si="18"/>
        <v>1</v>
      </c>
      <c r="BT29" s="29">
        <f t="shared" ca="1" si="18"/>
        <v>7</v>
      </c>
      <c r="BU29" s="29">
        <f t="shared" ca="1" si="18"/>
        <v>4</v>
      </c>
      <c r="BV29" s="29">
        <f t="shared" ca="1" si="18"/>
        <v>2</v>
      </c>
      <c r="BW29" s="29">
        <f t="shared" ca="1" si="18"/>
        <v>3</v>
      </c>
      <c r="BX29" s="29">
        <f t="shared" ca="1" si="18"/>
        <v>1</v>
      </c>
      <c r="BY29" s="29">
        <f t="shared" ca="1" si="18"/>
        <v>3</v>
      </c>
      <c r="BZ29" s="29">
        <f t="shared" ca="1" si="18"/>
        <v>4</v>
      </c>
      <c r="CA29" s="29">
        <f t="shared" ca="1" si="18"/>
        <v>5</v>
      </c>
      <c r="CB29" s="29">
        <f t="shared" ca="1" si="16"/>
        <v>4</v>
      </c>
      <c r="CC29" s="29">
        <f t="shared" ca="1" si="23"/>
        <v>5</v>
      </c>
      <c r="CD29" s="29">
        <f t="shared" ca="1" si="23"/>
        <v>1</v>
      </c>
      <c r="CE29" s="29">
        <f t="shared" ca="1" si="23"/>
        <v>4</v>
      </c>
      <c r="CF29" s="29">
        <f t="shared" ca="1" si="23"/>
        <v>1</v>
      </c>
      <c r="CG29" s="29">
        <f t="shared" ca="1" si="23"/>
        <v>0</v>
      </c>
      <c r="CH29" s="29">
        <f t="shared" ca="1" si="23"/>
        <v>4</v>
      </c>
      <c r="CI29" s="29">
        <f t="shared" ca="1" si="23"/>
        <v>1</v>
      </c>
      <c r="CJ29" s="29">
        <f t="shared" ca="1" si="23"/>
        <v>3</v>
      </c>
      <c r="CK29" s="29">
        <f t="shared" ca="1" si="23"/>
        <v>3</v>
      </c>
      <c r="CL29" s="29">
        <f t="shared" ca="1" si="23"/>
        <v>0</v>
      </c>
      <c r="CM29" s="29">
        <f t="shared" ca="1" si="23"/>
        <v>3</v>
      </c>
      <c r="CN29" s="29">
        <f t="shared" ca="1" si="23"/>
        <v>1</v>
      </c>
      <c r="CO29" s="29">
        <f t="shared" ca="1" si="23"/>
        <v>1</v>
      </c>
      <c r="CP29" s="29">
        <f t="shared" ca="1" si="23"/>
        <v>2</v>
      </c>
      <c r="CQ29" s="29">
        <f t="shared" ca="1" si="23"/>
        <v>4</v>
      </c>
      <c r="CR29" s="29">
        <f t="shared" ca="1" si="23"/>
        <v>2</v>
      </c>
      <c r="CS29" s="29">
        <f t="shared" ca="1" si="21"/>
        <v>2</v>
      </c>
      <c r="CT29" s="29">
        <f t="shared" ca="1" si="21"/>
        <v>2</v>
      </c>
      <c r="CU29" s="29">
        <f t="shared" ca="1" si="21"/>
        <v>5</v>
      </c>
      <c r="CV29" s="29">
        <f t="shared" ca="1" si="21"/>
        <v>3</v>
      </c>
      <c r="CW29" s="29">
        <f t="shared" ca="1" si="21"/>
        <v>2</v>
      </c>
      <c r="CX29" s="29">
        <f t="shared" ca="1" si="21"/>
        <v>4</v>
      </c>
      <c r="CY29" s="29">
        <f t="shared" ca="1" si="21"/>
        <v>1</v>
      </c>
      <c r="CZ29" s="29">
        <f t="shared" ca="1" si="21"/>
        <v>3</v>
      </c>
      <c r="DA29" s="29">
        <f t="shared" ca="1" si="21"/>
        <v>2</v>
      </c>
      <c r="DB29" s="29">
        <f t="shared" ca="1" si="21"/>
        <v>6</v>
      </c>
      <c r="DC29" s="29">
        <f t="shared" ca="1" si="21"/>
        <v>3</v>
      </c>
      <c r="DD29" s="29">
        <f t="shared" ca="1" si="21"/>
        <v>4</v>
      </c>
      <c r="DE29" s="29">
        <f t="shared" ca="1" si="21"/>
        <v>2</v>
      </c>
      <c r="DF29" s="29">
        <f t="shared" ca="1" si="12"/>
        <v>7</v>
      </c>
      <c r="DG29" s="29">
        <f t="shared" ca="1" si="12"/>
        <v>1</v>
      </c>
      <c r="DH29" s="29">
        <f t="shared" ca="1" si="12"/>
        <v>1</v>
      </c>
      <c r="DI29" s="29">
        <f t="shared" ca="1" si="12"/>
        <v>4</v>
      </c>
      <c r="DJ29" s="29">
        <f t="shared" ca="1" si="12"/>
        <v>1</v>
      </c>
      <c r="DK29" s="29">
        <f t="shared" ca="1" si="12"/>
        <v>4</v>
      </c>
      <c r="DL29" s="29">
        <f t="shared" ca="1" si="12"/>
        <v>3</v>
      </c>
    </row>
    <row r="30" spans="1:116" ht="14.4" x14ac:dyDescent="0.3">
      <c r="A30" s="31">
        <v>528</v>
      </c>
      <c r="B30" s="28">
        <v>1.49</v>
      </c>
      <c r="C30" s="30">
        <v>26.99</v>
      </c>
      <c r="D30" s="28">
        <v>1.81</v>
      </c>
      <c r="E30" s="34">
        <f t="shared" si="0"/>
        <v>3.6200000000000003E-2</v>
      </c>
      <c r="F30" s="35">
        <f t="shared" si="1"/>
        <v>6.7474999999999996</v>
      </c>
      <c r="G30" s="34">
        <f t="shared" si="2"/>
        <v>45.25</v>
      </c>
      <c r="H30" s="33">
        <f t="shared" si="7"/>
        <v>25.840604026845636</v>
      </c>
      <c r="I30" s="28">
        <f t="shared" si="8"/>
        <v>38.819999999999993</v>
      </c>
      <c r="J30" s="32">
        <v>1</v>
      </c>
      <c r="K30" s="30">
        <f t="shared" si="3"/>
        <v>6.7474999999999996</v>
      </c>
      <c r="L30" s="30"/>
      <c r="M30" s="30"/>
      <c r="N30" s="30"/>
      <c r="O30" s="30"/>
      <c r="Q30" s="29">
        <f t="shared" ca="1" si="4"/>
        <v>3</v>
      </c>
      <c r="R30" s="29">
        <f t="shared" ca="1" si="19"/>
        <v>1</v>
      </c>
      <c r="S30" s="29">
        <f t="shared" ca="1" si="19"/>
        <v>3</v>
      </c>
      <c r="T30" s="29">
        <f t="shared" ca="1" si="19"/>
        <v>3</v>
      </c>
      <c r="U30" s="29">
        <f t="shared" ca="1" si="19"/>
        <v>0</v>
      </c>
      <c r="V30" s="29">
        <f t="shared" ca="1" si="19"/>
        <v>1</v>
      </c>
      <c r="W30" s="29">
        <f t="shared" ca="1" si="19"/>
        <v>1</v>
      </c>
      <c r="X30" s="29">
        <f t="shared" ca="1" si="19"/>
        <v>3</v>
      </c>
      <c r="Y30" s="29">
        <f t="shared" ca="1" si="19"/>
        <v>5</v>
      </c>
      <c r="Z30" s="29">
        <f t="shared" ca="1" si="19"/>
        <v>0</v>
      </c>
      <c r="AA30" s="29">
        <f t="shared" ca="1" si="19"/>
        <v>2</v>
      </c>
      <c r="AB30" s="29">
        <f t="shared" ca="1" si="19"/>
        <v>4</v>
      </c>
      <c r="AC30" s="29">
        <f t="shared" ca="1" si="19"/>
        <v>4</v>
      </c>
      <c r="AD30" s="29">
        <f t="shared" ca="1" si="19"/>
        <v>0</v>
      </c>
      <c r="AE30" s="29">
        <f t="shared" ca="1" si="19"/>
        <v>1</v>
      </c>
      <c r="AF30" s="29">
        <f t="shared" ca="1" si="19"/>
        <v>0</v>
      </c>
      <c r="AG30" s="29">
        <f t="shared" ca="1" si="17"/>
        <v>0</v>
      </c>
      <c r="AH30" s="29">
        <f t="shared" ca="1" si="17"/>
        <v>6</v>
      </c>
      <c r="AI30" s="29">
        <f t="shared" ca="1" si="17"/>
        <v>2</v>
      </c>
      <c r="AJ30" s="29">
        <f t="shared" ca="1" si="17"/>
        <v>4</v>
      </c>
      <c r="AK30" s="29">
        <f t="shared" ca="1" si="17"/>
        <v>4</v>
      </c>
      <c r="AL30" s="29">
        <f t="shared" ca="1" si="17"/>
        <v>1</v>
      </c>
      <c r="AM30" s="29">
        <f t="shared" ca="1" si="17"/>
        <v>2</v>
      </c>
      <c r="AN30" s="29">
        <f t="shared" ca="1" si="17"/>
        <v>2</v>
      </c>
      <c r="AO30" s="29">
        <f t="shared" ca="1" si="22"/>
        <v>2</v>
      </c>
      <c r="AP30" s="29">
        <f t="shared" ca="1" si="22"/>
        <v>1</v>
      </c>
      <c r="AQ30" s="29">
        <f t="shared" ca="1" si="22"/>
        <v>2</v>
      </c>
      <c r="AR30" s="29">
        <f t="shared" ca="1" si="22"/>
        <v>2</v>
      </c>
      <c r="AS30" s="29">
        <f t="shared" ca="1" si="22"/>
        <v>0</v>
      </c>
      <c r="AT30" s="29">
        <f t="shared" ca="1" si="22"/>
        <v>0</v>
      </c>
      <c r="AU30" s="29">
        <f t="shared" ca="1" si="22"/>
        <v>2</v>
      </c>
      <c r="AV30" s="29">
        <f t="shared" ca="1" si="22"/>
        <v>6</v>
      </c>
      <c r="AW30" s="29">
        <f t="shared" ca="1" si="22"/>
        <v>0</v>
      </c>
      <c r="AX30" s="29">
        <f t="shared" ca="1" si="22"/>
        <v>1</v>
      </c>
      <c r="AY30" s="29">
        <f t="shared" ca="1" si="22"/>
        <v>2</v>
      </c>
      <c r="AZ30" s="29">
        <f t="shared" ca="1" si="22"/>
        <v>1</v>
      </c>
      <c r="BA30" s="29">
        <f t="shared" ca="1" si="22"/>
        <v>1</v>
      </c>
      <c r="BB30" s="29">
        <f t="shared" ca="1" si="22"/>
        <v>2</v>
      </c>
      <c r="BC30" s="29">
        <f t="shared" ca="1" si="22"/>
        <v>5</v>
      </c>
      <c r="BD30" s="29">
        <f t="shared" ca="1" si="22"/>
        <v>2</v>
      </c>
      <c r="BE30" s="29">
        <f t="shared" ca="1" si="20"/>
        <v>1</v>
      </c>
      <c r="BF30" s="29">
        <f t="shared" ca="1" si="20"/>
        <v>3</v>
      </c>
      <c r="BG30" s="29">
        <f t="shared" ca="1" si="20"/>
        <v>2</v>
      </c>
      <c r="BH30" s="29">
        <f t="shared" ca="1" si="20"/>
        <v>0</v>
      </c>
      <c r="BI30" s="29">
        <f t="shared" ca="1" si="20"/>
        <v>3</v>
      </c>
      <c r="BJ30" s="29">
        <f t="shared" ca="1" si="20"/>
        <v>2</v>
      </c>
      <c r="BK30" s="29">
        <f t="shared" ca="1" si="20"/>
        <v>1</v>
      </c>
      <c r="BL30" s="29">
        <f t="shared" ca="1" si="18"/>
        <v>0</v>
      </c>
      <c r="BM30" s="29">
        <f t="shared" ca="1" si="18"/>
        <v>1</v>
      </c>
      <c r="BN30" s="29">
        <f t="shared" ca="1" si="18"/>
        <v>2</v>
      </c>
      <c r="BO30" s="29">
        <f t="shared" ca="1" si="18"/>
        <v>1</v>
      </c>
      <c r="BP30" s="29">
        <f t="shared" ca="1" si="18"/>
        <v>4</v>
      </c>
      <c r="BQ30" s="29">
        <f t="shared" ca="1" si="18"/>
        <v>3</v>
      </c>
      <c r="BR30" s="29">
        <f t="shared" ca="1" si="18"/>
        <v>0</v>
      </c>
      <c r="BS30" s="29">
        <f t="shared" ca="1" si="18"/>
        <v>2</v>
      </c>
      <c r="BT30" s="29">
        <f t="shared" ca="1" si="18"/>
        <v>5</v>
      </c>
      <c r="BU30" s="29">
        <f t="shared" ca="1" si="18"/>
        <v>3</v>
      </c>
      <c r="BV30" s="29">
        <f t="shared" ca="1" si="18"/>
        <v>2</v>
      </c>
      <c r="BW30" s="29">
        <f t="shared" ca="1" si="18"/>
        <v>0</v>
      </c>
      <c r="BX30" s="29">
        <f t="shared" ca="1" si="18"/>
        <v>1</v>
      </c>
      <c r="BY30" s="29">
        <f t="shared" ca="1" si="18"/>
        <v>3</v>
      </c>
      <c r="BZ30" s="29">
        <f t="shared" ca="1" si="18"/>
        <v>2</v>
      </c>
      <c r="CA30" s="29">
        <f t="shared" ca="1" si="18"/>
        <v>1</v>
      </c>
      <c r="CB30" s="29">
        <f t="shared" ca="1" si="16"/>
        <v>1</v>
      </c>
      <c r="CC30" s="29">
        <f t="shared" ca="1" si="23"/>
        <v>1</v>
      </c>
      <c r="CD30" s="29">
        <f t="shared" ca="1" si="23"/>
        <v>0</v>
      </c>
      <c r="CE30" s="29">
        <f t="shared" ca="1" si="23"/>
        <v>4</v>
      </c>
      <c r="CF30" s="29">
        <f t="shared" ca="1" si="23"/>
        <v>1</v>
      </c>
      <c r="CG30" s="29">
        <f t="shared" ca="1" si="23"/>
        <v>4</v>
      </c>
      <c r="CH30" s="29">
        <f t="shared" ca="1" si="23"/>
        <v>2</v>
      </c>
      <c r="CI30" s="29">
        <f t="shared" ca="1" si="23"/>
        <v>2</v>
      </c>
      <c r="CJ30" s="29">
        <f t="shared" ca="1" si="23"/>
        <v>0</v>
      </c>
      <c r="CK30" s="29">
        <f t="shared" ca="1" si="23"/>
        <v>1</v>
      </c>
      <c r="CL30" s="29">
        <f t="shared" ca="1" si="23"/>
        <v>3</v>
      </c>
      <c r="CM30" s="29">
        <f t="shared" ca="1" si="23"/>
        <v>1</v>
      </c>
      <c r="CN30" s="29">
        <f t="shared" ca="1" si="23"/>
        <v>0</v>
      </c>
      <c r="CO30" s="29">
        <f t="shared" ca="1" si="23"/>
        <v>1</v>
      </c>
      <c r="CP30" s="29">
        <f t="shared" ca="1" si="23"/>
        <v>3</v>
      </c>
      <c r="CQ30" s="29">
        <f t="shared" ca="1" si="23"/>
        <v>3</v>
      </c>
      <c r="CR30" s="29">
        <f t="shared" ca="1" si="23"/>
        <v>1</v>
      </c>
      <c r="CS30" s="29">
        <f t="shared" ca="1" si="21"/>
        <v>1</v>
      </c>
      <c r="CT30" s="29">
        <f t="shared" ca="1" si="21"/>
        <v>1</v>
      </c>
      <c r="CU30" s="29">
        <f t="shared" ca="1" si="21"/>
        <v>1</v>
      </c>
      <c r="CV30" s="29">
        <f t="shared" ca="1" si="21"/>
        <v>3</v>
      </c>
      <c r="CW30" s="29">
        <f t="shared" ca="1" si="21"/>
        <v>0</v>
      </c>
      <c r="CX30" s="29">
        <f t="shared" ca="1" si="21"/>
        <v>1</v>
      </c>
      <c r="CY30" s="29">
        <f t="shared" ca="1" si="21"/>
        <v>2</v>
      </c>
      <c r="CZ30" s="29">
        <f t="shared" ca="1" si="21"/>
        <v>1</v>
      </c>
      <c r="DA30" s="29">
        <f t="shared" ca="1" si="21"/>
        <v>2</v>
      </c>
      <c r="DB30" s="29">
        <f t="shared" ca="1" si="21"/>
        <v>2</v>
      </c>
      <c r="DC30" s="29">
        <f t="shared" ca="1" si="21"/>
        <v>2</v>
      </c>
      <c r="DD30" s="29">
        <f t="shared" ca="1" si="21"/>
        <v>1</v>
      </c>
      <c r="DE30" s="29">
        <f t="shared" ca="1" si="21"/>
        <v>1</v>
      </c>
      <c r="DF30" s="29">
        <f t="shared" ca="1" si="12"/>
        <v>2</v>
      </c>
      <c r="DG30" s="29">
        <f t="shared" ca="1" si="12"/>
        <v>0</v>
      </c>
      <c r="DH30" s="29">
        <f t="shared" ca="1" si="12"/>
        <v>1</v>
      </c>
      <c r="DI30" s="29">
        <f t="shared" ca="1" si="12"/>
        <v>4</v>
      </c>
      <c r="DJ30" s="29">
        <f t="shared" ca="1" si="12"/>
        <v>3</v>
      </c>
      <c r="DK30" s="29">
        <f t="shared" ca="1" si="12"/>
        <v>0</v>
      </c>
      <c r="DL30" s="29">
        <f t="shared" ca="1" si="12"/>
        <v>2</v>
      </c>
    </row>
    <row r="31" spans="1:116" ht="14.4" x14ac:dyDescent="0.3">
      <c r="A31" s="31">
        <v>136</v>
      </c>
      <c r="B31" s="28">
        <v>1.92</v>
      </c>
      <c r="C31" s="30">
        <v>58.17</v>
      </c>
      <c r="D31" s="28">
        <v>2.48</v>
      </c>
      <c r="E31" s="34">
        <f t="shared" si="0"/>
        <v>4.9599999999999998E-2</v>
      </c>
      <c r="F31" s="35">
        <f t="shared" si="1"/>
        <v>14.5425</v>
      </c>
      <c r="G31" s="34">
        <f t="shared" si="2"/>
        <v>62</v>
      </c>
      <c r="H31" s="33">
        <f t="shared" si="7"/>
        <v>24.717447916666664</v>
      </c>
      <c r="I31" s="28">
        <f t="shared" si="8"/>
        <v>40.739999999999995</v>
      </c>
      <c r="J31" s="32">
        <v>1</v>
      </c>
      <c r="K31" s="30">
        <f t="shared" si="3"/>
        <v>14.5425</v>
      </c>
      <c r="L31" s="30"/>
      <c r="M31" s="30"/>
      <c r="N31" s="30"/>
      <c r="O31" s="30"/>
      <c r="Q31" s="29">
        <f t="shared" ca="1" si="4"/>
        <v>5</v>
      </c>
      <c r="R31" s="29">
        <f t="shared" ca="1" si="19"/>
        <v>2</v>
      </c>
      <c r="S31" s="29">
        <f t="shared" ca="1" si="19"/>
        <v>0</v>
      </c>
      <c r="T31" s="29">
        <f t="shared" ca="1" si="19"/>
        <v>3</v>
      </c>
      <c r="U31" s="29">
        <f t="shared" ca="1" si="19"/>
        <v>4</v>
      </c>
      <c r="V31" s="29">
        <f t="shared" ca="1" si="19"/>
        <v>2</v>
      </c>
      <c r="W31" s="29">
        <f t="shared" ca="1" si="19"/>
        <v>0</v>
      </c>
      <c r="X31" s="29">
        <f t="shared" ca="1" si="19"/>
        <v>2</v>
      </c>
      <c r="Y31" s="29">
        <f t="shared" ca="1" si="19"/>
        <v>3</v>
      </c>
      <c r="Z31" s="29">
        <f t="shared" ca="1" si="19"/>
        <v>4</v>
      </c>
      <c r="AA31" s="29">
        <f t="shared" ca="1" si="19"/>
        <v>2</v>
      </c>
      <c r="AB31" s="29">
        <f t="shared" ca="1" si="19"/>
        <v>0</v>
      </c>
      <c r="AC31" s="29">
        <f t="shared" ca="1" si="19"/>
        <v>1</v>
      </c>
      <c r="AD31" s="29">
        <f t="shared" ca="1" si="19"/>
        <v>1</v>
      </c>
      <c r="AE31" s="29">
        <f t="shared" ca="1" si="19"/>
        <v>0</v>
      </c>
      <c r="AF31" s="29">
        <f t="shared" ca="1" si="19"/>
        <v>3</v>
      </c>
      <c r="AG31" s="29">
        <f t="shared" ca="1" si="17"/>
        <v>1</v>
      </c>
      <c r="AH31" s="29">
        <f t="shared" ca="1" si="17"/>
        <v>3</v>
      </c>
      <c r="AI31" s="29">
        <f t="shared" ca="1" si="17"/>
        <v>1</v>
      </c>
      <c r="AJ31" s="29">
        <f t="shared" ca="1" si="17"/>
        <v>0</v>
      </c>
      <c r="AK31" s="29">
        <f t="shared" ca="1" si="17"/>
        <v>1</v>
      </c>
      <c r="AL31" s="29">
        <f t="shared" ca="1" si="17"/>
        <v>3</v>
      </c>
      <c r="AM31" s="29">
        <f t="shared" ca="1" si="17"/>
        <v>1</v>
      </c>
      <c r="AN31" s="29">
        <f t="shared" ca="1" si="17"/>
        <v>3</v>
      </c>
      <c r="AO31" s="29">
        <f t="shared" ca="1" si="22"/>
        <v>4</v>
      </c>
      <c r="AP31" s="29">
        <f t="shared" ca="1" si="22"/>
        <v>4</v>
      </c>
      <c r="AQ31" s="29">
        <f t="shared" ca="1" si="22"/>
        <v>4</v>
      </c>
      <c r="AR31" s="29">
        <f t="shared" ca="1" si="22"/>
        <v>0</v>
      </c>
      <c r="AS31" s="29">
        <f t="shared" ca="1" si="22"/>
        <v>2</v>
      </c>
      <c r="AT31" s="29">
        <f t="shared" ca="1" si="22"/>
        <v>3</v>
      </c>
      <c r="AU31" s="29">
        <f t="shared" ca="1" si="22"/>
        <v>4</v>
      </c>
      <c r="AV31" s="29">
        <f t="shared" ca="1" si="22"/>
        <v>2</v>
      </c>
      <c r="AW31" s="29">
        <f t="shared" ca="1" si="22"/>
        <v>2</v>
      </c>
      <c r="AX31" s="29">
        <f t="shared" ca="1" si="22"/>
        <v>3</v>
      </c>
      <c r="AY31" s="29">
        <f t="shared" ca="1" si="22"/>
        <v>1</v>
      </c>
      <c r="AZ31" s="29">
        <f t="shared" ca="1" si="22"/>
        <v>1</v>
      </c>
      <c r="BA31" s="29">
        <f t="shared" ca="1" si="22"/>
        <v>2</v>
      </c>
      <c r="BB31" s="29">
        <f t="shared" ca="1" si="22"/>
        <v>6</v>
      </c>
      <c r="BC31" s="29">
        <f t="shared" ca="1" si="22"/>
        <v>2</v>
      </c>
      <c r="BD31" s="29">
        <f t="shared" ca="1" si="22"/>
        <v>4</v>
      </c>
      <c r="BE31" s="29">
        <f t="shared" ca="1" si="20"/>
        <v>3</v>
      </c>
      <c r="BF31" s="29">
        <f t="shared" ca="1" si="20"/>
        <v>1</v>
      </c>
      <c r="BG31" s="29">
        <f t="shared" ca="1" si="20"/>
        <v>2</v>
      </c>
      <c r="BH31" s="29">
        <f t="shared" ca="1" si="20"/>
        <v>4</v>
      </c>
      <c r="BI31" s="29">
        <f t="shared" ca="1" si="20"/>
        <v>4</v>
      </c>
      <c r="BJ31" s="29">
        <f t="shared" ca="1" si="20"/>
        <v>4</v>
      </c>
      <c r="BK31" s="29">
        <f t="shared" ca="1" si="20"/>
        <v>1</v>
      </c>
      <c r="BL31" s="29">
        <f t="shared" ca="1" si="18"/>
        <v>2</v>
      </c>
      <c r="BM31" s="29">
        <f t="shared" ca="1" si="18"/>
        <v>4</v>
      </c>
      <c r="BN31" s="29">
        <f t="shared" ca="1" si="18"/>
        <v>0</v>
      </c>
      <c r="BO31" s="29">
        <f t="shared" ca="1" si="18"/>
        <v>4</v>
      </c>
      <c r="BP31" s="29">
        <f t="shared" ca="1" si="18"/>
        <v>2</v>
      </c>
      <c r="BQ31" s="29">
        <f t="shared" ca="1" si="18"/>
        <v>3</v>
      </c>
      <c r="BR31" s="29">
        <f t="shared" ca="1" si="18"/>
        <v>4</v>
      </c>
      <c r="BS31" s="29">
        <f t="shared" ca="1" si="18"/>
        <v>3</v>
      </c>
      <c r="BT31" s="29">
        <f t="shared" ca="1" si="18"/>
        <v>1</v>
      </c>
      <c r="BU31" s="29">
        <f t="shared" ca="1" si="18"/>
        <v>4</v>
      </c>
      <c r="BV31" s="29">
        <f t="shared" ca="1" si="18"/>
        <v>1</v>
      </c>
      <c r="BW31" s="29">
        <f t="shared" ca="1" si="18"/>
        <v>0</v>
      </c>
      <c r="BX31" s="29">
        <f t="shared" ca="1" si="18"/>
        <v>3</v>
      </c>
      <c r="BY31" s="29">
        <f t="shared" ca="1" si="18"/>
        <v>1</v>
      </c>
      <c r="BZ31" s="29">
        <f t="shared" ca="1" si="18"/>
        <v>4</v>
      </c>
      <c r="CA31" s="29">
        <f t="shared" ca="1" si="18"/>
        <v>3</v>
      </c>
      <c r="CB31" s="29">
        <f t="shared" ca="1" si="16"/>
        <v>4</v>
      </c>
      <c r="CC31" s="29">
        <f t="shared" ca="1" si="23"/>
        <v>1</v>
      </c>
      <c r="CD31" s="29">
        <f t="shared" ca="1" si="23"/>
        <v>2</v>
      </c>
      <c r="CE31" s="29">
        <f t="shared" ca="1" si="23"/>
        <v>2</v>
      </c>
      <c r="CF31" s="29">
        <f t="shared" ca="1" si="23"/>
        <v>4</v>
      </c>
      <c r="CG31" s="29">
        <f t="shared" ca="1" si="23"/>
        <v>2</v>
      </c>
      <c r="CH31" s="29">
        <f t="shared" ca="1" si="23"/>
        <v>3</v>
      </c>
      <c r="CI31" s="29">
        <f t="shared" ca="1" si="23"/>
        <v>4</v>
      </c>
      <c r="CJ31" s="29">
        <f t="shared" ca="1" si="23"/>
        <v>4</v>
      </c>
      <c r="CK31" s="29">
        <f t="shared" ca="1" si="23"/>
        <v>3</v>
      </c>
      <c r="CL31" s="29">
        <f t="shared" ca="1" si="23"/>
        <v>3</v>
      </c>
      <c r="CM31" s="29">
        <f t="shared" ca="1" si="23"/>
        <v>2</v>
      </c>
      <c r="CN31" s="29">
        <f t="shared" ca="1" si="23"/>
        <v>1</v>
      </c>
      <c r="CO31" s="29">
        <f t="shared" ca="1" si="23"/>
        <v>3</v>
      </c>
      <c r="CP31" s="29">
        <f t="shared" ca="1" si="23"/>
        <v>4</v>
      </c>
      <c r="CQ31" s="29">
        <f t="shared" ca="1" si="23"/>
        <v>1</v>
      </c>
      <c r="CR31" s="29">
        <f t="shared" ca="1" si="23"/>
        <v>1</v>
      </c>
      <c r="CS31" s="29">
        <f t="shared" ca="1" si="21"/>
        <v>0</v>
      </c>
      <c r="CT31" s="29">
        <f t="shared" ca="1" si="21"/>
        <v>4</v>
      </c>
      <c r="CU31" s="29">
        <f t="shared" ca="1" si="21"/>
        <v>2</v>
      </c>
      <c r="CV31" s="29">
        <f t="shared" ca="1" si="21"/>
        <v>3</v>
      </c>
      <c r="CW31" s="29">
        <f t="shared" ca="1" si="21"/>
        <v>1</v>
      </c>
      <c r="CX31" s="29">
        <f t="shared" ca="1" si="21"/>
        <v>1</v>
      </c>
      <c r="CY31" s="29">
        <f t="shared" ca="1" si="21"/>
        <v>5</v>
      </c>
      <c r="CZ31" s="29">
        <f t="shared" ca="1" si="21"/>
        <v>1</v>
      </c>
      <c r="DA31" s="29">
        <f t="shared" ca="1" si="21"/>
        <v>2</v>
      </c>
      <c r="DB31" s="29">
        <f t="shared" ca="1" si="21"/>
        <v>4</v>
      </c>
      <c r="DC31" s="29">
        <f t="shared" ca="1" si="21"/>
        <v>3</v>
      </c>
      <c r="DD31" s="29">
        <f t="shared" ca="1" si="21"/>
        <v>1</v>
      </c>
      <c r="DE31" s="29">
        <f t="shared" ca="1" si="21"/>
        <v>3</v>
      </c>
      <c r="DF31" s="29">
        <f t="shared" ca="1" si="12"/>
        <v>1</v>
      </c>
      <c r="DG31" s="29">
        <f t="shared" ca="1" si="12"/>
        <v>3</v>
      </c>
      <c r="DH31" s="29">
        <f t="shared" ca="1" si="12"/>
        <v>0</v>
      </c>
      <c r="DI31" s="29">
        <f t="shared" ca="1" si="12"/>
        <v>1</v>
      </c>
      <c r="DJ31" s="29">
        <f t="shared" ca="1" si="12"/>
        <v>4</v>
      </c>
      <c r="DK31" s="29">
        <f t="shared" ca="1" si="12"/>
        <v>2</v>
      </c>
      <c r="DL31" s="29">
        <f t="shared" ca="1" si="12"/>
        <v>1</v>
      </c>
    </row>
    <row r="32" spans="1:116" ht="14.4" x14ac:dyDescent="0.3">
      <c r="A32" s="31">
        <v>732</v>
      </c>
      <c r="B32" s="28">
        <v>2.71</v>
      </c>
      <c r="C32" s="30">
        <v>56.51</v>
      </c>
      <c r="D32" s="28">
        <v>3.23</v>
      </c>
      <c r="E32" s="34">
        <f t="shared" si="0"/>
        <v>6.4600000000000005E-2</v>
      </c>
      <c r="F32" s="35">
        <f t="shared" si="1"/>
        <v>14.1275</v>
      </c>
      <c r="G32" s="34">
        <f t="shared" si="2"/>
        <v>80.75</v>
      </c>
      <c r="H32" s="33">
        <f t="shared" si="7"/>
        <v>24.583948339483396</v>
      </c>
      <c r="I32" s="28">
        <f t="shared" si="8"/>
        <v>43.449999999999996</v>
      </c>
      <c r="J32" s="32">
        <v>1</v>
      </c>
      <c r="K32" s="30">
        <f t="shared" si="3"/>
        <v>14.1275</v>
      </c>
      <c r="L32" s="30"/>
      <c r="M32" s="30"/>
      <c r="N32" s="30"/>
      <c r="O32" s="30"/>
      <c r="Q32" s="29">
        <f t="shared" ca="1" si="4"/>
        <v>2</v>
      </c>
      <c r="R32" s="29">
        <f t="shared" ca="1" si="19"/>
        <v>2</v>
      </c>
      <c r="S32" s="29">
        <f t="shared" ca="1" si="19"/>
        <v>0</v>
      </c>
      <c r="T32" s="29">
        <f t="shared" ca="1" si="19"/>
        <v>1</v>
      </c>
      <c r="U32" s="29">
        <f t="shared" ca="1" si="19"/>
        <v>3</v>
      </c>
      <c r="V32" s="29">
        <f t="shared" ca="1" si="19"/>
        <v>4</v>
      </c>
      <c r="W32" s="29">
        <f t="shared" ca="1" si="19"/>
        <v>5</v>
      </c>
      <c r="X32" s="29">
        <f t="shared" ca="1" si="19"/>
        <v>2</v>
      </c>
      <c r="Y32" s="29">
        <f t="shared" ca="1" si="19"/>
        <v>5</v>
      </c>
      <c r="Z32" s="29">
        <f t="shared" ca="1" si="19"/>
        <v>2</v>
      </c>
      <c r="AA32" s="29">
        <f t="shared" ca="1" si="19"/>
        <v>6</v>
      </c>
      <c r="AB32" s="29">
        <f t="shared" ca="1" si="19"/>
        <v>2</v>
      </c>
      <c r="AC32" s="29">
        <f t="shared" ca="1" si="19"/>
        <v>3</v>
      </c>
      <c r="AD32" s="29">
        <f t="shared" ca="1" si="19"/>
        <v>2</v>
      </c>
      <c r="AE32" s="29">
        <f t="shared" ca="1" si="19"/>
        <v>2</v>
      </c>
      <c r="AF32" s="29">
        <f t="shared" ca="1" si="19"/>
        <v>4</v>
      </c>
      <c r="AG32" s="29">
        <f t="shared" ca="1" si="17"/>
        <v>1</v>
      </c>
      <c r="AH32" s="29">
        <f t="shared" ca="1" si="17"/>
        <v>1</v>
      </c>
      <c r="AI32" s="29">
        <f t="shared" ca="1" si="17"/>
        <v>6</v>
      </c>
      <c r="AJ32" s="29">
        <f t="shared" ca="1" si="17"/>
        <v>8</v>
      </c>
      <c r="AK32" s="29">
        <f t="shared" ca="1" si="17"/>
        <v>2</v>
      </c>
      <c r="AL32" s="29">
        <f t="shared" ca="1" si="17"/>
        <v>5</v>
      </c>
      <c r="AM32" s="29">
        <f t="shared" ca="1" si="17"/>
        <v>4</v>
      </c>
      <c r="AN32" s="29">
        <f t="shared" ca="1" si="17"/>
        <v>5</v>
      </c>
      <c r="AO32" s="29">
        <f t="shared" ca="1" si="22"/>
        <v>8</v>
      </c>
      <c r="AP32" s="29">
        <f t="shared" ca="1" si="22"/>
        <v>5</v>
      </c>
      <c r="AQ32" s="29">
        <f t="shared" ca="1" si="22"/>
        <v>1</v>
      </c>
      <c r="AR32" s="29">
        <f t="shared" ca="1" si="22"/>
        <v>1</v>
      </c>
      <c r="AS32" s="29">
        <f t="shared" ca="1" si="22"/>
        <v>7</v>
      </c>
      <c r="AT32" s="29">
        <f t="shared" ca="1" si="22"/>
        <v>7</v>
      </c>
      <c r="AU32" s="29">
        <f t="shared" ca="1" si="22"/>
        <v>2</v>
      </c>
      <c r="AV32" s="29">
        <f t="shared" ca="1" si="22"/>
        <v>3</v>
      </c>
      <c r="AW32" s="29">
        <f t="shared" ca="1" si="22"/>
        <v>3</v>
      </c>
      <c r="AX32" s="29">
        <f t="shared" ca="1" si="22"/>
        <v>6</v>
      </c>
      <c r="AY32" s="29">
        <f t="shared" ca="1" si="22"/>
        <v>2</v>
      </c>
      <c r="AZ32" s="29">
        <f t="shared" ca="1" si="22"/>
        <v>3</v>
      </c>
      <c r="BA32" s="29">
        <f t="shared" ca="1" si="22"/>
        <v>2</v>
      </c>
      <c r="BB32" s="29">
        <f t="shared" ca="1" si="22"/>
        <v>2</v>
      </c>
      <c r="BC32" s="29">
        <f t="shared" ca="1" si="22"/>
        <v>2</v>
      </c>
      <c r="BD32" s="29">
        <f t="shared" ca="1" si="22"/>
        <v>5</v>
      </c>
      <c r="BE32" s="29">
        <f t="shared" ca="1" si="20"/>
        <v>3</v>
      </c>
      <c r="BF32" s="29">
        <f t="shared" ca="1" si="20"/>
        <v>4</v>
      </c>
      <c r="BG32" s="29">
        <f t="shared" ca="1" si="20"/>
        <v>6</v>
      </c>
      <c r="BH32" s="29">
        <f t="shared" ca="1" si="20"/>
        <v>2</v>
      </c>
      <c r="BI32" s="29">
        <f t="shared" ca="1" si="20"/>
        <v>1</v>
      </c>
      <c r="BJ32" s="29">
        <f t="shared" ca="1" si="20"/>
        <v>2</v>
      </c>
      <c r="BK32" s="29">
        <f t="shared" ca="1" si="20"/>
        <v>4</v>
      </c>
      <c r="BL32" s="29">
        <f t="shared" ca="1" si="18"/>
        <v>1</v>
      </c>
      <c r="BM32" s="29">
        <f t="shared" ca="1" si="18"/>
        <v>2</v>
      </c>
      <c r="BN32" s="29">
        <f t="shared" ca="1" si="18"/>
        <v>4</v>
      </c>
      <c r="BO32" s="29">
        <f t="shared" ca="1" si="18"/>
        <v>2</v>
      </c>
      <c r="BP32" s="29">
        <f t="shared" ca="1" si="18"/>
        <v>4</v>
      </c>
      <c r="BQ32" s="29">
        <f t="shared" ca="1" si="18"/>
        <v>1</v>
      </c>
      <c r="BR32" s="29">
        <f t="shared" ca="1" si="18"/>
        <v>3</v>
      </c>
      <c r="BS32" s="29">
        <f t="shared" ca="1" si="18"/>
        <v>7</v>
      </c>
      <c r="BT32" s="29">
        <f t="shared" ca="1" si="18"/>
        <v>0</v>
      </c>
      <c r="BU32" s="29">
        <f t="shared" ca="1" si="18"/>
        <v>6</v>
      </c>
      <c r="BV32" s="29">
        <f t="shared" ca="1" si="18"/>
        <v>7</v>
      </c>
      <c r="BW32" s="29">
        <f t="shared" ca="1" si="18"/>
        <v>4</v>
      </c>
      <c r="BX32" s="29">
        <f t="shared" ca="1" si="18"/>
        <v>6</v>
      </c>
      <c r="BY32" s="29">
        <f t="shared" ca="1" si="18"/>
        <v>3</v>
      </c>
      <c r="BZ32" s="29">
        <f t="shared" ca="1" si="18"/>
        <v>4</v>
      </c>
      <c r="CA32" s="29">
        <f t="shared" ca="1" si="18"/>
        <v>7</v>
      </c>
      <c r="CB32" s="29">
        <f t="shared" ca="1" si="16"/>
        <v>7</v>
      </c>
      <c r="CC32" s="29">
        <f t="shared" ca="1" si="23"/>
        <v>3</v>
      </c>
      <c r="CD32" s="29">
        <f t="shared" ca="1" si="23"/>
        <v>4</v>
      </c>
      <c r="CE32" s="29">
        <f t="shared" ca="1" si="23"/>
        <v>5</v>
      </c>
      <c r="CF32" s="29">
        <f t="shared" ca="1" si="23"/>
        <v>3</v>
      </c>
      <c r="CG32" s="29">
        <f t="shared" ca="1" si="23"/>
        <v>3</v>
      </c>
      <c r="CH32" s="29">
        <f t="shared" ca="1" si="23"/>
        <v>3</v>
      </c>
      <c r="CI32" s="29">
        <f t="shared" ca="1" si="23"/>
        <v>3</v>
      </c>
      <c r="CJ32" s="29">
        <f t="shared" ca="1" si="23"/>
        <v>1</v>
      </c>
      <c r="CK32" s="29">
        <f t="shared" ca="1" si="23"/>
        <v>5</v>
      </c>
      <c r="CL32" s="29">
        <f t="shared" ca="1" si="23"/>
        <v>5</v>
      </c>
      <c r="CM32" s="29">
        <f t="shared" ca="1" si="23"/>
        <v>5</v>
      </c>
      <c r="CN32" s="29">
        <f t="shared" ca="1" si="23"/>
        <v>4</v>
      </c>
      <c r="CO32" s="29">
        <f t="shared" ca="1" si="23"/>
        <v>2</v>
      </c>
      <c r="CP32" s="29">
        <f t="shared" ca="1" si="23"/>
        <v>4</v>
      </c>
      <c r="CQ32" s="29">
        <f t="shared" ca="1" si="23"/>
        <v>4</v>
      </c>
      <c r="CR32" s="29">
        <f t="shared" ca="1" si="23"/>
        <v>4</v>
      </c>
      <c r="CS32" s="29">
        <f t="shared" ca="1" si="21"/>
        <v>3</v>
      </c>
      <c r="CT32" s="29">
        <f t="shared" ca="1" si="21"/>
        <v>5</v>
      </c>
      <c r="CU32" s="29">
        <f t="shared" ca="1" si="21"/>
        <v>1</v>
      </c>
      <c r="CV32" s="29">
        <f t="shared" ca="1" si="21"/>
        <v>1</v>
      </c>
      <c r="CW32" s="29">
        <f t="shared" ca="1" si="21"/>
        <v>2</v>
      </c>
      <c r="CX32" s="29">
        <f t="shared" ca="1" si="21"/>
        <v>2</v>
      </c>
      <c r="CY32" s="29">
        <f t="shared" ca="1" si="21"/>
        <v>2</v>
      </c>
      <c r="CZ32" s="29">
        <f t="shared" ca="1" si="21"/>
        <v>3</v>
      </c>
      <c r="DA32" s="29">
        <f t="shared" ca="1" si="21"/>
        <v>3</v>
      </c>
      <c r="DB32" s="29">
        <f t="shared" ca="1" si="21"/>
        <v>7</v>
      </c>
      <c r="DC32" s="29">
        <f t="shared" ca="1" si="21"/>
        <v>6</v>
      </c>
      <c r="DD32" s="29">
        <f t="shared" ca="1" si="21"/>
        <v>3</v>
      </c>
      <c r="DE32" s="29">
        <f t="shared" ca="1" si="21"/>
        <v>3</v>
      </c>
      <c r="DF32" s="29">
        <f t="shared" ca="1" si="12"/>
        <v>4</v>
      </c>
      <c r="DG32" s="29">
        <f t="shared" ca="1" si="12"/>
        <v>2</v>
      </c>
      <c r="DH32" s="29">
        <f t="shared" ca="1" si="12"/>
        <v>4</v>
      </c>
      <c r="DI32" s="29">
        <f t="shared" ca="1" si="12"/>
        <v>3</v>
      </c>
      <c r="DJ32" s="29">
        <f t="shared" ca="1" si="12"/>
        <v>4</v>
      </c>
      <c r="DK32" s="29">
        <f t="shared" ca="1" si="12"/>
        <v>1</v>
      </c>
      <c r="DL32" s="29">
        <f t="shared" ca="1" si="12"/>
        <v>4</v>
      </c>
    </row>
    <row r="33" spans="1:116" ht="14.4" x14ac:dyDescent="0.3">
      <c r="A33" s="31">
        <v>416</v>
      </c>
      <c r="B33" s="28">
        <v>1.08</v>
      </c>
      <c r="C33" s="30">
        <v>43.87</v>
      </c>
      <c r="D33" s="28">
        <v>1.49</v>
      </c>
      <c r="E33" s="34">
        <f t="shared" si="0"/>
        <v>2.98E-2</v>
      </c>
      <c r="F33" s="35">
        <f t="shared" si="1"/>
        <v>10.967499999999999</v>
      </c>
      <c r="G33" s="34">
        <f t="shared" si="2"/>
        <v>37.25</v>
      </c>
      <c r="H33" s="33">
        <f t="shared" si="7"/>
        <v>24.335648148148145</v>
      </c>
      <c r="I33" s="28">
        <f t="shared" si="8"/>
        <v>44.529999999999994</v>
      </c>
      <c r="J33" s="32">
        <v>1</v>
      </c>
      <c r="K33" s="30">
        <f t="shared" si="3"/>
        <v>10.967499999999999</v>
      </c>
      <c r="L33" s="30"/>
      <c r="M33" s="30"/>
      <c r="N33" s="30"/>
      <c r="O33" s="30"/>
      <c r="Q33" s="29">
        <f t="shared" ca="1" si="4"/>
        <v>0</v>
      </c>
      <c r="R33" s="29">
        <f t="shared" ca="1" si="19"/>
        <v>1</v>
      </c>
      <c r="S33" s="29">
        <f t="shared" ca="1" si="19"/>
        <v>2</v>
      </c>
      <c r="T33" s="29">
        <f t="shared" ca="1" si="19"/>
        <v>2</v>
      </c>
      <c r="U33" s="29">
        <f t="shared" ca="1" si="19"/>
        <v>1</v>
      </c>
      <c r="V33" s="29">
        <f t="shared" ca="1" si="19"/>
        <v>2</v>
      </c>
      <c r="W33" s="29">
        <f t="shared" ca="1" si="19"/>
        <v>5</v>
      </c>
      <c r="X33" s="29">
        <f t="shared" ca="1" si="19"/>
        <v>2</v>
      </c>
      <c r="Y33" s="29">
        <f t="shared" ca="1" si="19"/>
        <v>2</v>
      </c>
      <c r="Z33" s="29">
        <f t="shared" ca="1" si="19"/>
        <v>2</v>
      </c>
      <c r="AA33" s="29">
        <f t="shared" ca="1" si="19"/>
        <v>1</v>
      </c>
      <c r="AB33" s="29">
        <f t="shared" ca="1" si="19"/>
        <v>4</v>
      </c>
      <c r="AC33" s="29">
        <f t="shared" ca="1" si="19"/>
        <v>0</v>
      </c>
      <c r="AD33" s="29">
        <f t="shared" ca="1" si="19"/>
        <v>0</v>
      </c>
      <c r="AE33" s="29">
        <f t="shared" ca="1" si="19"/>
        <v>2</v>
      </c>
      <c r="AF33" s="29">
        <f t="shared" ca="1" si="19"/>
        <v>0</v>
      </c>
      <c r="AG33" s="29">
        <f t="shared" ca="1" si="17"/>
        <v>2</v>
      </c>
      <c r="AH33" s="29">
        <f t="shared" ca="1" si="17"/>
        <v>1</v>
      </c>
      <c r="AI33" s="29">
        <f t="shared" ca="1" si="17"/>
        <v>1</v>
      </c>
      <c r="AJ33" s="29">
        <f t="shared" ca="1" si="17"/>
        <v>2</v>
      </c>
      <c r="AK33" s="29">
        <f t="shared" ca="1" si="17"/>
        <v>0</v>
      </c>
      <c r="AL33" s="29">
        <f t="shared" ca="1" si="17"/>
        <v>0</v>
      </c>
      <c r="AM33" s="29">
        <f t="shared" ca="1" si="17"/>
        <v>1</v>
      </c>
      <c r="AN33" s="29">
        <f t="shared" ca="1" si="17"/>
        <v>0</v>
      </c>
      <c r="AO33" s="29">
        <f t="shared" ca="1" si="22"/>
        <v>3</v>
      </c>
      <c r="AP33" s="29">
        <f t="shared" ca="1" si="22"/>
        <v>2</v>
      </c>
      <c r="AQ33" s="29">
        <f t="shared" ca="1" si="22"/>
        <v>1</v>
      </c>
      <c r="AR33" s="29">
        <f t="shared" ca="1" si="22"/>
        <v>1</v>
      </c>
      <c r="AS33" s="29">
        <f t="shared" ca="1" si="22"/>
        <v>4</v>
      </c>
      <c r="AT33" s="29">
        <f t="shared" ca="1" si="22"/>
        <v>3</v>
      </c>
      <c r="AU33" s="29">
        <f t="shared" ca="1" si="22"/>
        <v>4</v>
      </c>
      <c r="AV33" s="29">
        <f t="shared" ca="1" si="22"/>
        <v>1</v>
      </c>
      <c r="AW33" s="29">
        <f t="shared" ca="1" si="22"/>
        <v>0</v>
      </c>
      <c r="AX33" s="29">
        <f t="shared" ca="1" si="22"/>
        <v>1</v>
      </c>
      <c r="AY33" s="29">
        <f t="shared" ca="1" si="22"/>
        <v>0</v>
      </c>
      <c r="AZ33" s="29">
        <f t="shared" ca="1" si="22"/>
        <v>1</v>
      </c>
      <c r="BA33" s="29">
        <f t="shared" ca="1" si="22"/>
        <v>1</v>
      </c>
      <c r="BB33" s="29">
        <f t="shared" ca="1" si="22"/>
        <v>3</v>
      </c>
      <c r="BC33" s="29">
        <f t="shared" ca="1" si="22"/>
        <v>2</v>
      </c>
      <c r="BD33" s="29">
        <f t="shared" ca="1" si="22"/>
        <v>3</v>
      </c>
      <c r="BE33" s="29">
        <f t="shared" ca="1" si="20"/>
        <v>1</v>
      </c>
      <c r="BF33" s="29">
        <f t="shared" ca="1" si="20"/>
        <v>0</v>
      </c>
      <c r="BG33" s="29">
        <f t="shared" ca="1" si="20"/>
        <v>0</v>
      </c>
      <c r="BH33" s="29">
        <f t="shared" ca="1" si="20"/>
        <v>1</v>
      </c>
      <c r="BI33" s="29">
        <f t="shared" ca="1" si="20"/>
        <v>1</v>
      </c>
      <c r="BJ33" s="29">
        <f t="shared" ca="1" si="20"/>
        <v>1</v>
      </c>
      <c r="BK33" s="29">
        <f t="shared" ca="1" si="20"/>
        <v>0</v>
      </c>
      <c r="BL33" s="29">
        <f t="shared" ca="1" si="18"/>
        <v>2</v>
      </c>
      <c r="BM33" s="29">
        <f t="shared" ca="1" si="18"/>
        <v>1</v>
      </c>
      <c r="BN33" s="29">
        <f t="shared" ca="1" si="18"/>
        <v>1</v>
      </c>
      <c r="BO33" s="29">
        <f t="shared" ca="1" si="18"/>
        <v>1</v>
      </c>
      <c r="BP33" s="29">
        <f t="shared" ca="1" si="18"/>
        <v>2</v>
      </c>
      <c r="BQ33" s="29">
        <f t="shared" ca="1" si="18"/>
        <v>3</v>
      </c>
      <c r="BR33" s="29">
        <f t="shared" ca="1" si="18"/>
        <v>3</v>
      </c>
      <c r="BS33" s="29">
        <f t="shared" ca="1" si="18"/>
        <v>1</v>
      </c>
      <c r="BT33" s="29">
        <f t="shared" ca="1" si="18"/>
        <v>0</v>
      </c>
      <c r="BU33" s="29">
        <f t="shared" ca="1" si="18"/>
        <v>1</v>
      </c>
      <c r="BV33" s="29">
        <f t="shared" ca="1" si="18"/>
        <v>2</v>
      </c>
      <c r="BW33" s="29">
        <f t="shared" ca="1" si="18"/>
        <v>2</v>
      </c>
      <c r="BX33" s="29">
        <f t="shared" ca="1" si="18"/>
        <v>0</v>
      </c>
      <c r="BY33" s="29">
        <f t="shared" ca="1" si="18"/>
        <v>0</v>
      </c>
      <c r="BZ33" s="29">
        <f t="shared" ca="1" si="18"/>
        <v>0</v>
      </c>
      <c r="CA33" s="29">
        <f t="shared" ca="1" si="18"/>
        <v>1</v>
      </c>
      <c r="CB33" s="29">
        <f t="shared" ca="1" si="16"/>
        <v>0</v>
      </c>
      <c r="CC33" s="29">
        <f t="shared" ca="1" si="23"/>
        <v>3</v>
      </c>
      <c r="CD33" s="29">
        <f t="shared" ca="1" si="23"/>
        <v>2</v>
      </c>
      <c r="CE33" s="29">
        <f t="shared" ca="1" si="23"/>
        <v>0</v>
      </c>
      <c r="CF33" s="29">
        <f t="shared" ca="1" si="23"/>
        <v>1</v>
      </c>
      <c r="CG33" s="29">
        <f t="shared" ca="1" si="23"/>
        <v>0</v>
      </c>
      <c r="CH33" s="29">
        <f t="shared" ca="1" si="23"/>
        <v>0</v>
      </c>
      <c r="CI33" s="29">
        <f t="shared" ca="1" si="23"/>
        <v>2</v>
      </c>
      <c r="CJ33" s="29">
        <f t="shared" ca="1" si="23"/>
        <v>3</v>
      </c>
      <c r="CK33" s="29">
        <f t="shared" ca="1" si="23"/>
        <v>3</v>
      </c>
      <c r="CL33" s="29">
        <f t="shared" ca="1" si="23"/>
        <v>1</v>
      </c>
      <c r="CM33" s="29">
        <f t="shared" ca="1" si="23"/>
        <v>1</v>
      </c>
      <c r="CN33" s="29">
        <f t="shared" ca="1" si="23"/>
        <v>1</v>
      </c>
      <c r="CO33" s="29">
        <f t="shared" ca="1" si="23"/>
        <v>4</v>
      </c>
      <c r="CP33" s="29">
        <f t="shared" ca="1" si="23"/>
        <v>2</v>
      </c>
      <c r="CQ33" s="29">
        <f t="shared" ca="1" si="23"/>
        <v>0</v>
      </c>
      <c r="CR33" s="29">
        <f t="shared" ca="1" si="23"/>
        <v>2</v>
      </c>
      <c r="CS33" s="29">
        <f t="shared" ca="1" si="21"/>
        <v>0</v>
      </c>
      <c r="CT33" s="29">
        <f t="shared" ca="1" si="21"/>
        <v>0</v>
      </c>
      <c r="CU33" s="29">
        <f t="shared" ca="1" si="21"/>
        <v>1</v>
      </c>
      <c r="CV33" s="29">
        <f t="shared" ca="1" si="21"/>
        <v>2</v>
      </c>
      <c r="CW33" s="29">
        <f t="shared" ca="1" si="21"/>
        <v>4</v>
      </c>
      <c r="CX33" s="29">
        <f t="shared" ca="1" si="21"/>
        <v>0</v>
      </c>
      <c r="CY33" s="29">
        <f t="shared" ca="1" si="21"/>
        <v>2</v>
      </c>
      <c r="CZ33" s="29">
        <f t="shared" ca="1" si="21"/>
        <v>0</v>
      </c>
      <c r="DA33" s="29">
        <f t="shared" ca="1" si="21"/>
        <v>2</v>
      </c>
      <c r="DB33" s="29">
        <f t="shared" ca="1" si="21"/>
        <v>1</v>
      </c>
      <c r="DC33" s="29">
        <f t="shared" ca="1" si="21"/>
        <v>2</v>
      </c>
      <c r="DD33" s="29">
        <f t="shared" ca="1" si="21"/>
        <v>1</v>
      </c>
      <c r="DE33" s="29">
        <f t="shared" ca="1" si="21"/>
        <v>1</v>
      </c>
      <c r="DF33" s="29">
        <f t="shared" ca="1" si="12"/>
        <v>1</v>
      </c>
      <c r="DG33" s="29">
        <f t="shared" ca="1" si="12"/>
        <v>1</v>
      </c>
      <c r="DH33" s="29">
        <f t="shared" ca="1" si="12"/>
        <v>0</v>
      </c>
      <c r="DI33" s="29">
        <f t="shared" ca="1" si="12"/>
        <v>2</v>
      </c>
      <c r="DJ33" s="29">
        <f t="shared" ca="1" si="12"/>
        <v>1</v>
      </c>
      <c r="DK33" s="29">
        <f t="shared" ca="1" si="12"/>
        <v>1</v>
      </c>
      <c r="DL33" s="29">
        <f t="shared" ca="1" si="12"/>
        <v>1</v>
      </c>
    </row>
    <row r="34" spans="1:116" ht="14.4" x14ac:dyDescent="0.3">
      <c r="A34" s="31">
        <v>660</v>
      </c>
      <c r="B34" s="28">
        <v>1.8</v>
      </c>
      <c r="C34" s="30">
        <v>90.93</v>
      </c>
      <c r="D34" s="28">
        <v>2.66</v>
      </c>
      <c r="E34" s="34">
        <f t="shared" si="0"/>
        <v>5.3200000000000004E-2</v>
      </c>
      <c r="F34" s="35">
        <f t="shared" si="1"/>
        <v>22.732500000000002</v>
      </c>
      <c r="G34" s="34">
        <f t="shared" si="2"/>
        <v>66.5</v>
      </c>
      <c r="H34" s="33">
        <f t="shared" si="7"/>
        <v>24.315277777777776</v>
      </c>
      <c r="I34" s="28">
        <f t="shared" si="8"/>
        <v>46.329999999999991</v>
      </c>
      <c r="J34" s="32">
        <v>1</v>
      </c>
      <c r="K34" s="30">
        <f t="shared" si="3"/>
        <v>22.732500000000002</v>
      </c>
      <c r="L34" s="30"/>
      <c r="M34" s="30"/>
      <c r="N34" s="30"/>
      <c r="O34" s="30"/>
      <c r="Q34" s="29">
        <f t="shared" ca="1" si="4"/>
        <v>4</v>
      </c>
      <c r="R34" s="29">
        <f t="shared" ca="1" si="19"/>
        <v>5</v>
      </c>
      <c r="S34" s="29">
        <f t="shared" ca="1" si="19"/>
        <v>1</v>
      </c>
      <c r="T34" s="29">
        <f t="shared" ca="1" si="19"/>
        <v>1</v>
      </c>
      <c r="U34" s="29">
        <f t="shared" ca="1" si="19"/>
        <v>2</v>
      </c>
      <c r="V34" s="29">
        <f t="shared" ca="1" si="19"/>
        <v>2</v>
      </c>
      <c r="W34" s="29">
        <f t="shared" ca="1" si="19"/>
        <v>3</v>
      </c>
      <c r="X34" s="29">
        <f t="shared" ca="1" si="19"/>
        <v>5</v>
      </c>
      <c r="Y34" s="29">
        <f t="shared" ca="1" si="19"/>
        <v>3</v>
      </c>
      <c r="Z34" s="29">
        <f t="shared" ca="1" si="19"/>
        <v>3</v>
      </c>
      <c r="AA34" s="29">
        <f t="shared" ca="1" si="19"/>
        <v>2</v>
      </c>
      <c r="AB34" s="29">
        <f t="shared" ca="1" si="19"/>
        <v>2</v>
      </c>
      <c r="AC34" s="29">
        <f t="shared" ca="1" si="19"/>
        <v>2</v>
      </c>
      <c r="AD34" s="29">
        <f t="shared" ca="1" si="19"/>
        <v>4</v>
      </c>
      <c r="AE34" s="29">
        <f t="shared" ca="1" si="19"/>
        <v>3</v>
      </c>
      <c r="AF34" s="29">
        <f t="shared" ca="1" si="19"/>
        <v>2</v>
      </c>
      <c r="AG34" s="29">
        <f t="shared" ca="1" si="17"/>
        <v>3</v>
      </c>
      <c r="AH34" s="29">
        <f t="shared" ca="1" si="17"/>
        <v>2</v>
      </c>
      <c r="AI34" s="29">
        <f t="shared" ca="1" si="17"/>
        <v>4</v>
      </c>
      <c r="AJ34" s="29">
        <f t="shared" ca="1" si="17"/>
        <v>1</v>
      </c>
      <c r="AK34" s="29">
        <f t="shared" ca="1" si="17"/>
        <v>4</v>
      </c>
      <c r="AL34" s="29">
        <f t="shared" ca="1" si="17"/>
        <v>2</v>
      </c>
      <c r="AM34" s="29">
        <f t="shared" ca="1" si="17"/>
        <v>2</v>
      </c>
      <c r="AN34" s="29">
        <f t="shared" ca="1" si="17"/>
        <v>2</v>
      </c>
      <c r="AO34" s="29">
        <f t="shared" ca="1" si="22"/>
        <v>2</v>
      </c>
      <c r="AP34" s="29">
        <f t="shared" ca="1" si="22"/>
        <v>3</v>
      </c>
      <c r="AQ34" s="29">
        <f t="shared" ca="1" si="22"/>
        <v>1</v>
      </c>
      <c r="AR34" s="29">
        <f t="shared" ca="1" si="22"/>
        <v>1</v>
      </c>
      <c r="AS34" s="29">
        <f t="shared" ca="1" si="22"/>
        <v>3</v>
      </c>
      <c r="AT34" s="29">
        <f t="shared" ca="1" si="22"/>
        <v>1</v>
      </c>
      <c r="AU34" s="29">
        <f t="shared" ca="1" si="22"/>
        <v>2</v>
      </c>
      <c r="AV34" s="29">
        <f t="shared" ca="1" si="22"/>
        <v>3</v>
      </c>
      <c r="AW34" s="29">
        <f t="shared" ca="1" si="22"/>
        <v>2</v>
      </c>
      <c r="AX34" s="29">
        <f t="shared" ca="1" si="22"/>
        <v>1</v>
      </c>
      <c r="AY34" s="29">
        <f t="shared" ca="1" si="22"/>
        <v>1</v>
      </c>
      <c r="AZ34" s="29">
        <f t="shared" ca="1" si="22"/>
        <v>2</v>
      </c>
      <c r="BA34" s="29">
        <f t="shared" ca="1" si="22"/>
        <v>4</v>
      </c>
      <c r="BB34" s="29">
        <f t="shared" ca="1" si="22"/>
        <v>1</v>
      </c>
      <c r="BC34" s="29">
        <f t="shared" ca="1" si="22"/>
        <v>6</v>
      </c>
      <c r="BD34" s="29">
        <f t="shared" ca="1" si="22"/>
        <v>2</v>
      </c>
      <c r="BE34" s="29">
        <f t="shared" ca="1" si="20"/>
        <v>6</v>
      </c>
      <c r="BF34" s="29">
        <f t="shared" ca="1" si="20"/>
        <v>2</v>
      </c>
      <c r="BG34" s="29">
        <f t="shared" ca="1" si="20"/>
        <v>4</v>
      </c>
      <c r="BH34" s="29">
        <f t="shared" ca="1" si="20"/>
        <v>3</v>
      </c>
      <c r="BI34" s="29">
        <f t="shared" ca="1" si="20"/>
        <v>5</v>
      </c>
      <c r="BJ34" s="29">
        <f t="shared" ca="1" si="20"/>
        <v>5</v>
      </c>
      <c r="BK34" s="29">
        <f t="shared" ca="1" si="20"/>
        <v>1</v>
      </c>
      <c r="BL34" s="29">
        <f t="shared" ca="1" si="18"/>
        <v>4</v>
      </c>
      <c r="BM34" s="29">
        <f t="shared" ca="1" si="18"/>
        <v>1</v>
      </c>
      <c r="BN34" s="29">
        <f t="shared" ca="1" si="18"/>
        <v>0</v>
      </c>
      <c r="BO34" s="29">
        <f t="shared" ca="1" si="18"/>
        <v>2</v>
      </c>
      <c r="BP34" s="29">
        <f t="shared" ca="1" si="18"/>
        <v>2</v>
      </c>
      <c r="BQ34" s="29">
        <f t="shared" ca="1" si="18"/>
        <v>3</v>
      </c>
      <c r="BR34" s="29">
        <f t="shared" ca="1" si="18"/>
        <v>2</v>
      </c>
      <c r="BS34" s="29">
        <f t="shared" ca="1" si="18"/>
        <v>0</v>
      </c>
      <c r="BT34" s="29">
        <f t="shared" ca="1" si="18"/>
        <v>3</v>
      </c>
      <c r="BU34" s="29">
        <f t="shared" ca="1" si="18"/>
        <v>3</v>
      </c>
      <c r="BV34" s="29">
        <f t="shared" ca="1" si="18"/>
        <v>4</v>
      </c>
      <c r="BW34" s="29">
        <f t="shared" ca="1" si="18"/>
        <v>2</v>
      </c>
      <c r="BX34" s="29">
        <f t="shared" ca="1" si="18"/>
        <v>5</v>
      </c>
      <c r="BY34" s="29">
        <f t="shared" ca="1" si="18"/>
        <v>3</v>
      </c>
      <c r="BZ34" s="29">
        <f t="shared" ca="1" si="18"/>
        <v>1</v>
      </c>
      <c r="CA34" s="29">
        <f t="shared" ca="1" si="18"/>
        <v>3</v>
      </c>
      <c r="CB34" s="29">
        <f t="shared" ca="1" si="16"/>
        <v>2</v>
      </c>
      <c r="CC34" s="29">
        <f t="shared" ca="1" si="23"/>
        <v>3</v>
      </c>
      <c r="CD34" s="29">
        <f t="shared" ca="1" si="23"/>
        <v>2</v>
      </c>
      <c r="CE34" s="29">
        <f t="shared" ca="1" si="23"/>
        <v>2</v>
      </c>
      <c r="CF34" s="29">
        <f t="shared" ca="1" si="23"/>
        <v>3</v>
      </c>
      <c r="CG34" s="29">
        <f t="shared" ca="1" si="23"/>
        <v>3</v>
      </c>
      <c r="CH34" s="29">
        <f t="shared" ca="1" si="23"/>
        <v>2</v>
      </c>
      <c r="CI34" s="29">
        <f t="shared" ca="1" si="23"/>
        <v>3</v>
      </c>
      <c r="CJ34" s="29">
        <f t="shared" ca="1" si="23"/>
        <v>3</v>
      </c>
      <c r="CK34" s="29">
        <f t="shared" ca="1" si="23"/>
        <v>3</v>
      </c>
      <c r="CL34" s="29">
        <f t="shared" ca="1" si="23"/>
        <v>6</v>
      </c>
      <c r="CM34" s="29">
        <f t="shared" ca="1" si="23"/>
        <v>1</v>
      </c>
      <c r="CN34" s="29">
        <f t="shared" ca="1" si="23"/>
        <v>3</v>
      </c>
      <c r="CO34" s="29">
        <f t="shared" ca="1" si="23"/>
        <v>4</v>
      </c>
      <c r="CP34" s="29">
        <f t="shared" ca="1" si="23"/>
        <v>2</v>
      </c>
      <c r="CQ34" s="29">
        <f t="shared" ca="1" si="23"/>
        <v>3</v>
      </c>
      <c r="CR34" s="29">
        <f t="shared" ca="1" si="23"/>
        <v>1</v>
      </c>
      <c r="CS34" s="29">
        <f t="shared" ca="1" si="21"/>
        <v>4</v>
      </c>
      <c r="CT34" s="29">
        <f t="shared" ca="1" si="21"/>
        <v>3</v>
      </c>
      <c r="CU34" s="29">
        <f t="shared" ca="1" si="21"/>
        <v>2</v>
      </c>
      <c r="CV34" s="29">
        <f t="shared" ca="1" si="21"/>
        <v>1</v>
      </c>
      <c r="CW34" s="29">
        <f t="shared" ca="1" si="21"/>
        <v>3</v>
      </c>
      <c r="CX34" s="29">
        <f t="shared" ca="1" si="21"/>
        <v>2</v>
      </c>
      <c r="CY34" s="29">
        <f t="shared" ca="1" si="21"/>
        <v>2</v>
      </c>
      <c r="CZ34" s="29">
        <f t="shared" ca="1" si="21"/>
        <v>1</v>
      </c>
      <c r="DA34" s="29">
        <f t="shared" ca="1" si="21"/>
        <v>5</v>
      </c>
      <c r="DB34" s="29">
        <f t="shared" ca="1" si="21"/>
        <v>3</v>
      </c>
      <c r="DC34" s="29">
        <f t="shared" ca="1" si="21"/>
        <v>1</v>
      </c>
      <c r="DD34" s="29">
        <f t="shared" ca="1" si="21"/>
        <v>2</v>
      </c>
      <c r="DE34" s="29">
        <f t="shared" ca="1" si="21"/>
        <v>2</v>
      </c>
      <c r="DF34" s="29">
        <f t="shared" ca="1" si="12"/>
        <v>2</v>
      </c>
      <c r="DG34" s="29">
        <f t="shared" ca="1" si="12"/>
        <v>2</v>
      </c>
      <c r="DH34" s="29">
        <f t="shared" ca="1" si="12"/>
        <v>4</v>
      </c>
      <c r="DI34" s="29">
        <f t="shared" ca="1" si="12"/>
        <v>2</v>
      </c>
      <c r="DJ34" s="29">
        <f t="shared" ca="1" si="12"/>
        <v>3</v>
      </c>
      <c r="DK34" s="29">
        <f t="shared" ca="1" si="12"/>
        <v>7</v>
      </c>
      <c r="DL34" s="29">
        <f t="shared" ca="1" si="12"/>
        <v>2</v>
      </c>
    </row>
    <row r="35" spans="1:116" ht="14.4" x14ac:dyDescent="0.3">
      <c r="A35" s="31">
        <v>187</v>
      </c>
      <c r="B35" s="28">
        <v>2.85</v>
      </c>
      <c r="C35" s="30">
        <v>48.29</v>
      </c>
      <c r="D35" s="28">
        <v>3.24</v>
      </c>
      <c r="E35" s="34">
        <f t="shared" si="0"/>
        <v>6.480000000000001E-2</v>
      </c>
      <c r="F35" s="35">
        <f t="shared" si="1"/>
        <v>12.0725</v>
      </c>
      <c r="G35" s="34">
        <f t="shared" si="2"/>
        <v>81</v>
      </c>
      <c r="H35" s="33">
        <f t="shared" si="7"/>
        <v>24.185087719298242</v>
      </c>
      <c r="I35" s="28">
        <f t="shared" si="8"/>
        <v>49.179999999999993</v>
      </c>
      <c r="J35" s="32">
        <v>1</v>
      </c>
      <c r="K35" s="30">
        <f t="shared" si="3"/>
        <v>12.0725</v>
      </c>
      <c r="L35" s="30"/>
      <c r="M35" s="30"/>
      <c r="N35" s="30"/>
      <c r="O35" s="30"/>
      <c r="Q35" s="29">
        <f t="shared" ca="1" si="4"/>
        <v>2</v>
      </c>
      <c r="R35" s="29">
        <f t="shared" ca="1" si="19"/>
        <v>1</v>
      </c>
      <c r="S35" s="29">
        <f t="shared" ca="1" si="19"/>
        <v>2</v>
      </c>
      <c r="T35" s="29">
        <f t="shared" ca="1" si="19"/>
        <v>2</v>
      </c>
      <c r="U35" s="29">
        <f t="shared" ca="1" si="19"/>
        <v>1</v>
      </c>
      <c r="V35" s="29">
        <f t="shared" ca="1" si="19"/>
        <v>2</v>
      </c>
      <c r="W35" s="29">
        <f t="shared" ca="1" si="19"/>
        <v>7</v>
      </c>
      <c r="X35" s="29">
        <f t="shared" ca="1" si="19"/>
        <v>1</v>
      </c>
      <c r="Y35" s="29">
        <f t="shared" ca="1" si="19"/>
        <v>2</v>
      </c>
      <c r="Z35" s="29">
        <f t="shared" ca="1" si="19"/>
        <v>5</v>
      </c>
      <c r="AA35" s="29">
        <f t="shared" ca="1" si="19"/>
        <v>3</v>
      </c>
      <c r="AB35" s="29">
        <f t="shared" ca="1" si="19"/>
        <v>1</v>
      </c>
      <c r="AC35" s="29">
        <f t="shared" ca="1" si="19"/>
        <v>3</v>
      </c>
      <c r="AD35" s="29">
        <f t="shared" ca="1" si="19"/>
        <v>7</v>
      </c>
      <c r="AE35" s="29">
        <f t="shared" ca="1" si="19"/>
        <v>2</v>
      </c>
      <c r="AF35" s="29">
        <f t="shared" ca="1" si="19"/>
        <v>6</v>
      </c>
      <c r="AG35" s="29">
        <f t="shared" ca="1" si="17"/>
        <v>1</v>
      </c>
      <c r="AH35" s="29">
        <f t="shared" ca="1" si="17"/>
        <v>3</v>
      </c>
      <c r="AI35" s="29">
        <f t="shared" ca="1" si="17"/>
        <v>3</v>
      </c>
      <c r="AJ35" s="29">
        <f t="shared" ca="1" si="17"/>
        <v>2</v>
      </c>
      <c r="AK35" s="29">
        <f t="shared" ca="1" si="17"/>
        <v>7</v>
      </c>
      <c r="AL35" s="29">
        <f t="shared" ca="1" si="17"/>
        <v>2</v>
      </c>
      <c r="AM35" s="29">
        <f t="shared" ca="1" si="17"/>
        <v>3</v>
      </c>
      <c r="AN35" s="29">
        <f t="shared" ca="1" si="17"/>
        <v>3</v>
      </c>
      <c r="AO35" s="29">
        <f t="shared" ca="1" si="22"/>
        <v>4</v>
      </c>
      <c r="AP35" s="29">
        <f t="shared" ca="1" si="22"/>
        <v>4</v>
      </c>
      <c r="AQ35" s="29">
        <f t="shared" ca="1" si="22"/>
        <v>1</v>
      </c>
      <c r="AR35" s="29">
        <f t="shared" ca="1" si="22"/>
        <v>3</v>
      </c>
      <c r="AS35" s="29">
        <f t="shared" ca="1" si="22"/>
        <v>4</v>
      </c>
      <c r="AT35" s="29">
        <f t="shared" ca="1" si="22"/>
        <v>4</v>
      </c>
      <c r="AU35" s="29">
        <f t="shared" ca="1" si="22"/>
        <v>4</v>
      </c>
      <c r="AV35" s="29">
        <f t="shared" ca="1" si="22"/>
        <v>3</v>
      </c>
      <c r="AW35" s="29">
        <f t="shared" ca="1" si="22"/>
        <v>5</v>
      </c>
      <c r="AX35" s="29">
        <f t="shared" ca="1" si="22"/>
        <v>0</v>
      </c>
      <c r="AY35" s="29">
        <f t="shared" ca="1" si="22"/>
        <v>5</v>
      </c>
      <c r="AZ35" s="29">
        <f t="shared" ca="1" si="22"/>
        <v>3</v>
      </c>
      <c r="BA35" s="29">
        <f t="shared" ca="1" si="22"/>
        <v>5</v>
      </c>
      <c r="BB35" s="29">
        <f t="shared" ca="1" si="22"/>
        <v>1</v>
      </c>
      <c r="BC35" s="29">
        <f t="shared" ca="1" si="22"/>
        <v>4</v>
      </c>
      <c r="BD35" s="29">
        <f t="shared" ca="1" si="22"/>
        <v>4</v>
      </c>
      <c r="BE35" s="29">
        <f t="shared" ca="1" si="20"/>
        <v>4</v>
      </c>
      <c r="BF35" s="29">
        <f t="shared" ca="1" si="20"/>
        <v>3</v>
      </c>
      <c r="BG35" s="29">
        <f t="shared" ca="1" si="20"/>
        <v>5</v>
      </c>
      <c r="BH35" s="29">
        <f t="shared" ca="1" si="20"/>
        <v>3</v>
      </c>
      <c r="BI35" s="29">
        <f t="shared" ca="1" si="20"/>
        <v>5</v>
      </c>
      <c r="BJ35" s="29">
        <f t="shared" ca="1" si="20"/>
        <v>3</v>
      </c>
      <c r="BK35" s="29">
        <f t="shared" ca="1" si="20"/>
        <v>1</v>
      </c>
      <c r="BL35" s="29">
        <f t="shared" ca="1" si="18"/>
        <v>7</v>
      </c>
      <c r="BM35" s="29">
        <f t="shared" ca="1" si="18"/>
        <v>2</v>
      </c>
      <c r="BN35" s="29">
        <f t="shared" ca="1" si="18"/>
        <v>4</v>
      </c>
      <c r="BO35" s="29">
        <f t="shared" ca="1" si="18"/>
        <v>3</v>
      </c>
      <c r="BP35" s="29">
        <f t="shared" ca="1" si="18"/>
        <v>5</v>
      </c>
      <c r="BQ35" s="29">
        <f t="shared" ca="1" si="18"/>
        <v>3</v>
      </c>
      <c r="BR35" s="29">
        <f t="shared" ca="1" si="18"/>
        <v>3</v>
      </c>
      <c r="BS35" s="29">
        <f t="shared" ca="1" si="18"/>
        <v>3</v>
      </c>
      <c r="BT35" s="29">
        <f t="shared" ca="1" si="18"/>
        <v>1</v>
      </c>
      <c r="BU35" s="29">
        <f t="shared" ca="1" si="18"/>
        <v>1</v>
      </c>
      <c r="BV35" s="29">
        <f t="shared" ca="1" si="18"/>
        <v>5</v>
      </c>
      <c r="BW35" s="29">
        <f t="shared" ca="1" si="18"/>
        <v>2</v>
      </c>
      <c r="BX35" s="29">
        <f t="shared" ca="1" si="18"/>
        <v>3</v>
      </c>
      <c r="BY35" s="29">
        <f t="shared" ca="1" si="18"/>
        <v>5</v>
      </c>
      <c r="BZ35" s="29">
        <f t="shared" ca="1" si="18"/>
        <v>4</v>
      </c>
      <c r="CA35" s="29">
        <f t="shared" ca="1" si="18"/>
        <v>3</v>
      </c>
      <c r="CB35" s="29">
        <f t="shared" ca="1" si="16"/>
        <v>4</v>
      </c>
      <c r="CC35" s="29">
        <f t="shared" ca="1" si="23"/>
        <v>5</v>
      </c>
      <c r="CD35" s="29">
        <f t="shared" ca="1" si="23"/>
        <v>1</v>
      </c>
      <c r="CE35" s="29">
        <f t="shared" ca="1" si="23"/>
        <v>5</v>
      </c>
      <c r="CF35" s="29">
        <f t="shared" ca="1" si="23"/>
        <v>1</v>
      </c>
      <c r="CG35" s="29">
        <f t="shared" ca="1" si="23"/>
        <v>3</v>
      </c>
      <c r="CH35" s="29">
        <f t="shared" ca="1" si="23"/>
        <v>2</v>
      </c>
      <c r="CI35" s="29">
        <f t="shared" ca="1" si="23"/>
        <v>1</v>
      </c>
      <c r="CJ35" s="29">
        <f t="shared" ca="1" si="23"/>
        <v>3</v>
      </c>
      <c r="CK35" s="29">
        <f t="shared" ca="1" si="23"/>
        <v>3</v>
      </c>
      <c r="CL35" s="29">
        <f t="shared" ca="1" si="23"/>
        <v>7</v>
      </c>
      <c r="CM35" s="29">
        <f t="shared" ca="1" si="23"/>
        <v>5</v>
      </c>
      <c r="CN35" s="29">
        <f t="shared" ca="1" si="23"/>
        <v>7</v>
      </c>
      <c r="CO35" s="29">
        <f t="shared" ca="1" si="23"/>
        <v>6</v>
      </c>
      <c r="CP35" s="29">
        <f t="shared" ca="1" si="23"/>
        <v>1</v>
      </c>
      <c r="CQ35" s="29">
        <f t="shared" ca="1" si="23"/>
        <v>0</v>
      </c>
      <c r="CR35" s="29">
        <f t="shared" ca="1" si="23"/>
        <v>3</v>
      </c>
      <c r="CS35" s="29">
        <f t="shared" ca="1" si="21"/>
        <v>4</v>
      </c>
      <c r="CT35" s="29">
        <f t="shared" ca="1" si="21"/>
        <v>6</v>
      </c>
      <c r="CU35" s="29">
        <f t="shared" ca="1" si="21"/>
        <v>3</v>
      </c>
      <c r="CV35" s="29">
        <f t="shared" ca="1" si="21"/>
        <v>4</v>
      </c>
      <c r="CW35" s="29">
        <f t="shared" ca="1" si="21"/>
        <v>2</v>
      </c>
      <c r="CX35" s="29">
        <f t="shared" ca="1" si="21"/>
        <v>3</v>
      </c>
      <c r="CY35" s="29">
        <f t="shared" ca="1" si="21"/>
        <v>0</v>
      </c>
      <c r="CZ35" s="29">
        <f t="shared" ca="1" si="21"/>
        <v>1</v>
      </c>
      <c r="DA35" s="29">
        <f t="shared" ca="1" si="21"/>
        <v>2</v>
      </c>
      <c r="DB35" s="29">
        <f t="shared" ca="1" si="21"/>
        <v>5</v>
      </c>
      <c r="DC35" s="29">
        <f t="shared" ca="1" si="21"/>
        <v>4</v>
      </c>
      <c r="DD35" s="29">
        <f t="shared" ca="1" si="21"/>
        <v>4</v>
      </c>
      <c r="DE35" s="29">
        <f t="shared" ca="1" si="21"/>
        <v>2</v>
      </c>
      <c r="DF35" s="29">
        <f t="shared" ca="1" si="12"/>
        <v>2</v>
      </c>
      <c r="DG35" s="29">
        <f t="shared" ca="1" si="12"/>
        <v>2</v>
      </c>
      <c r="DH35" s="29">
        <f t="shared" ca="1" si="12"/>
        <v>2</v>
      </c>
      <c r="DI35" s="29">
        <f t="shared" ca="1" si="12"/>
        <v>6</v>
      </c>
      <c r="DJ35" s="29">
        <f t="shared" ca="1" si="12"/>
        <v>5</v>
      </c>
      <c r="DK35" s="29">
        <f t="shared" ca="1" si="12"/>
        <v>3</v>
      </c>
      <c r="DL35" s="29">
        <f t="shared" ca="1" si="12"/>
        <v>4</v>
      </c>
    </row>
    <row r="36" spans="1:116" ht="14.4" x14ac:dyDescent="0.3">
      <c r="A36" s="31">
        <v>841</v>
      </c>
      <c r="B36" s="28">
        <v>1.35</v>
      </c>
      <c r="C36" s="30">
        <v>1.37</v>
      </c>
      <c r="D36" s="28">
        <v>1.28</v>
      </c>
      <c r="E36" s="34">
        <f t="shared" si="0"/>
        <v>2.5600000000000001E-2</v>
      </c>
      <c r="F36" s="35">
        <f t="shared" si="1"/>
        <v>0.34250000000000003</v>
      </c>
      <c r="G36" s="34">
        <f t="shared" si="2"/>
        <v>32</v>
      </c>
      <c r="H36" s="33">
        <f t="shared" si="7"/>
        <v>23.45</v>
      </c>
      <c r="I36" s="28">
        <f t="shared" si="8"/>
        <v>50.529999999999994</v>
      </c>
      <c r="J36" s="32">
        <v>1</v>
      </c>
      <c r="K36" s="30">
        <f t="shared" si="3"/>
        <v>0.34250000000000003</v>
      </c>
      <c r="L36" s="30"/>
      <c r="M36" s="30"/>
      <c r="N36" s="30"/>
      <c r="O36" s="30"/>
      <c r="Q36" s="29">
        <f t="shared" ca="1" si="4"/>
        <v>0</v>
      </c>
      <c r="R36" s="29">
        <f t="shared" ca="1" si="19"/>
        <v>1</v>
      </c>
      <c r="S36" s="29">
        <f t="shared" ca="1" si="19"/>
        <v>0</v>
      </c>
      <c r="T36" s="29">
        <f t="shared" ca="1" si="19"/>
        <v>1</v>
      </c>
      <c r="U36" s="29">
        <f t="shared" ca="1" si="19"/>
        <v>2</v>
      </c>
      <c r="V36" s="29">
        <f t="shared" ca="1" si="19"/>
        <v>0</v>
      </c>
      <c r="W36" s="29">
        <f t="shared" ca="1" si="19"/>
        <v>2</v>
      </c>
      <c r="X36" s="29">
        <f t="shared" ca="1" si="19"/>
        <v>1</v>
      </c>
      <c r="Y36" s="29">
        <f t="shared" ca="1" si="19"/>
        <v>1</v>
      </c>
      <c r="Z36" s="29">
        <f t="shared" ca="1" si="19"/>
        <v>0</v>
      </c>
      <c r="AA36" s="29">
        <f t="shared" ca="1" si="19"/>
        <v>1</v>
      </c>
      <c r="AB36" s="29">
        <f t="shared" ca="1" si="19"/>
        <v>0</v>
      </c>
      <c r="AC36" s="29">
        <f t="shared" ca="1" si="19"/>
        <v>2</v>
      </c>
      <c r="AD36" s="29">
        <f t="shared" ca="1" si="19"/>
        <v>0</v>
      </c>
      <c r="AE36" s="29">
        <f t="shared" ca="1" si="19"/>
        <v>6</v>
      </c>
      <c r="AF36" s="29">
        <f t="shared" ca="1" si="19"/>
        <v>1</v>
      </c>
      <c r="AG36" s="29">
        <f t="shared" ca="1" si="17"/>
        <v>3</v>
      </c>
      <c r="AH36" s="29">
        <f t="shared" ca="1" si="17"/>
        <v>4</v>
      </c>
      <c r="AI36" s="29">
        <f t="shared" ca="1" si="17"/>
        <v>1</v>
      </c>
      <c r="AJ36" s="29">
        <f t="shared" ca="1" si="17"/>
        <v>0</v>
      </c>
      <c r="AK36" s="29">
        <f t="shared" ca="1" si="17"/>
        <v>2</v>
      </c>
      <c r="AL36" s="29">
        <f t="shared" ca="1" si="17"/>
        <v>3</v>
      </c>
      <c r="AM36" s="29">
        <f t="shared" ca="1" si="17"/>
        <v>0</v>
      </c>
      <c r="AN36" s="29">
        <f t="shared" ca="1" si="17"/>
        <v>4</v>
      </c>
      <c r="AO36" s="29">
        <f t="shared" ca="1" si="22"/>
        <v>1</v>
      </c>
      <c r="AP36" s="29">
        <f t="shared" ca="1" si="22"/>
        <v>1</v>
      </c>
      <c r="AQ36" s="29">
        <f t="shared" ca="1" si="22"/>
        <v>0</v>
      </c>
      <c r="AR36" s="29">
        <f t="shared" ca="1" si="22"/>
        <v>1</v>
      </c>
      <c r="AS36" s="29">
        <f t="shared" ca="1" si="22"/>
        <v>1</v>
      </c>
      <c r="AT36" s="29">
        <f t="shared" ca="1" si="22"/>
        <v>0</v>
      </c>
      <c r="AU36" s="29">
        <f t="shared" ca="1" si="22"/>
        <v>1</v>
      </c>
      <c r="AV36" s="29">
        <f t="shared" ca="1" si="22"/>
        <v>3</v>
      </c>
      <c r="AW36" s="29">
        <f t="shared" ca="1" si="22"/>
        <v>0</v>
      </c>
      <c r="AX36" s="29">
        <f t="shared" ca="1" si="22"/>
        <v>0</v>
      </c>
      <c r="AY36" s="29">
        <f t="shared" ca="1" si="22"/>
        <v>1</v>
      </c>
      <c r="AZ36" s="29">
        <f t="shared" ca="1" si="22"/>
        <v>1</v>
      </c>
      <c r="BA36" s="29">
        <f t="shared" ca="1" si="22"/>
        <v>1</v>
      </c>
      <c r="BB36" s="29">
        <f t="shared" ca="1" si="22"/>
        <v>1</v>
      </c>
      <c r="BC36" s="29">
        <f t="shared" ca="1" si="22"/>
        <v>1</v>
      </c>
      <c r="BD36" s="29">
        <f t="shared" ca="1" si="22"/>
        <v>3</v>
      </c>
      <c r="BE36" s="29">
        <f t="shared" ca="1" si="20"/>
        <v>1</v>
      </c>
      <c r="BF36" s="29">
        <f t="shared" ca="1" si="20"/>
        <v>1</v>
      </c>
      <c r="BG36" s="29">
        <f t="shared" ca="1" si="20"/>
        <v>2</v>
      </c>
      <c r="BH36" s="29">
        <f t="shared" ca="1" si="20"/>
        <v>2</v>
      </c>
      <c r="BI36" s="29">
        <f t="shared" ca="1" si="20"/>
        <v>1</v>
      </c>
      <c r="BJ36" s="29">
        <f t="shared" ca="1" si="20"/>
        <v>1</v>
      </c>
      <c r="BK36" s="29">
        <f t="shared" ca="1" si="20"/>
        <v>1</v>
      </c>
      <c r="BL36" s="29">
        <f t="shared" ca="1" si="18"/>
        <v>3</v>
      </c>
      <c r="BM36" s="29">
        <f t="shared" ca="1" si="18"/>
        <v>0</v>
      </c>
      <c r="BN36" s="29">
        <f t="shared" ca="1" si="18"/>
        <v>2</v>
      </c>
      <c r="BO36" s="29">
        <f t="shared" ca="1" si="18"/>
        <v>0</v>
      </c>
      <c r="BP36" s="29">
        <f t="shared" ca="1" si="18"/>
        <v>3</v>
      </c>
      <c r="BQ36" s="29">
        <f t="shared" ca="1" si="18"/>
        <v>0</v>
      </c>
      <c r="BR36" s="29">
        <f t="shared" ca="1" si="18"/>
        <v>3</v>
      </c>
      <c r="BS36" s="29">
        <f t="shared" ca="1" si="18"/>
        <v>1</v>
      </c>
      <c r="BT36" s="29">
        <f t="shared" ca="1" si="18"/>
        <v>2</v>
      </c>
      <c r="BU36" s="29">
        <f t="shared" ca="1" si="18"/>
        <v>0</v>
      </c>
      <c r="BV36" s="29">
        <f t="shared" ca="1" si="18"/>
        <v>2</v>
      </c>
      <c r="BW36" s="29">
        <f t="shared" ca="1" si="18"/>
        <v>1</v>
      </c>
      <c r="BX36" s="29">
        <f t="shared" ca="1" si="18"/>
        <v>0</v>
      </c>
      <c r="BY36" s="29">
        <f t="shared" ca="1" si="18"/>
        <v>2</v>
      </c>
      <c r="BZ36" s="29">
        <f t="shared" ca="1" si="18"/>
        <v>2</v>
      </c>
      <c r="CA36" s="29">
        <f t="shared" ca="1" si="18"/>
        <v>0</v>
      </c>
      <c r="CB36" s="29">
        <f t="shared" ca="1" si="16"/>
        <v>0</v>
      </c>
      <c r="CC36" s="29">
        <f t="shared" ca="1" si="23"/>
        <v>1</v>
      </c>
      <c r="CD36" s="29">
        <f t="shared" ca="1" si="23"/>
        <v>2</v>
      </c>
      <c r="CE36" s="29">
        <f t="shared" ca="1" si="23"/>
        <v>1</v>
      </c>
      <c r="CF36" s="29">
        <f t="shared" ca="1" si="23"/>
        <v>2</v>
      </c>
      <c r="CG36" s="29">
        <f t="shared" ca="1" si="23"/>
        <v>2</v>
      </c>
      <c r="CH36" s="29">
        <f t="shared" ca="1" si="23"/>
        <v>0</v>
      </c>
      <c r="CI36" s="29">
        <f t="shared" ca="1" si="23"/>
        <v>0</v>
      </c>
      <c r="CJ36" s="29">
        <f t="shared" ca="1" si="23"/>
        <v>0</v>
      </c>
      <c r="CK36" s="29">
        <f t="shared" ca="1" si="23"/>
        <v>0</v>
      </c>
      <c r="CL36" s="29">
        <f t="shared" ca="1" si="23"/>
        <v>2</v>
      </c>
      <c r="CM36" s="29">
        <f t="shared" ca="1" si="23"/>
        <v>1</v>
      </c>
      <c r="CN36" s="29">
        <f t="shared" ca="1" si="23"/>
        <v>2</v>
      </c>
      <c r="CO36" s="29">
        <f t="shared" ca="1" si="23"/>
        <v>0</v>
      </c>
      <c r="CP36" s="29">
        <f t="shared" ca="1" si="23"/>
        <v>1</v>
      </c>
      <c r="CQ36" s="29">
        <f t="shared" ca="1" si="23"/>
        <v>2</v>
      </c>
      <c r="CR36" s="29">
        <f t="shared" ca="1" si="23"/>
        <v>0</v>
      </c>
      <c r="CS36" s="29">
        <f t="shared" ca="1" si="21"/>
        <v>3</v>
      </c>
      <c r="CT36" s="29">
        <f t="shared" ca="1" si="21"/>
        <v>0</v>
      </c>
      <c r="CU36" s="29">
        <f t="shared" ca="1" si="21"/>
        <v>2</v>
      </c>
      <c r="CV36" s="29">
        <f t="shared" ca="1" si="21"/>
        <v>1</v>
      </c>
      <c r="CW36" s="29">
        <f t="shared" ca="1" si="21"/>
        <v>3</v>
      </c>
      <c r="CX36" s="29">
        <f t="shared" ca="1" si="21"/>
        <v>3</v>
      </c>
      <c r="CY36" s="29">
        <f t="shared" ca="1" si="21"/>
        <v>1</v>
      </c>
      <c r="CZ36" s="29">
        <f t="shared" ca="1" si="21"/>
        <v>0</v>
      </c>
      <c r="DA36" s="29">
        <f t="shared" ca="1" si="21"/>
        <v>2</v>
      </c>
      <c r="DB36" s="29">
        <f t="shared" ca="1" si="21"/>
        <v>1</v>
      </c>
      <c r="DC36" s="29">
        <f t="shared" ca="1" si="21"/>
        <v>0</v>
      </c>
      <c r="DD36" s="29">
        <f t="shared" ca="1" si="21"/>
        <v>0</v>
      </c>
      <c r="DE36" s="29">
        <f t="shared" ca="1" si="21"/>
        <v>2</v>
      </c>
      <c r="DF36" s="29">
        <f t="shared" ca="1" si="12"/>
        <v>3</v>
      </c>
      <c r="DG36" s="29">
        <f t="shared" ca="1" si="12"/>
        <v>2</v>
      </c>
      <c r="DH36" s="29">
        <f t="shared" ca="1" si="12"/>
        <v>0</v>
      </c>
      <c r="DI36" s="29">
        <f t="shared" ca="1" si="12"/>
        <v>0</v>
      </c>
      <c r="DJ36" s="29">
        <f t="shared" ca="1" si="12"/>
        <v>1</v>
      </c>
      <c r="DK36" s="29">
        <f t="shared" ca="1" si="12"/>
        <v>2</v>
      </c>
      <c r="DL36" s="29">
        <f t="shared" ca="1" si="12"/>
        <v>0</v>
      </c>
    </row>
    <row r="37" spans="1:116" ht="14.4" x14ac:dyDescent="0.3">
      <c r="A37" s="31">
        <v>406</v>
      </c>
      <c r="B37" s="28">
        <v>3.14</v>
      </c>
      <c r="C37" s="30">
        <v>31.51</v>
      </c>
      <c r="D37" s="28">
        <v>3.25</v>
      </c>
      <c r="E37" s="34">
        <f t="shared" si="0"/>
        <v>6.5000000000000002E-2</v>
      </c>
      <c r="F37" s="35">
        <f t="shared" si="1"/>
        <v>7.8775000000000004</v>
      </c>
      <c r="G37" s="34">
        <f t="shared" si="2"/>
        <v>81.25</v>
      </c>
      <c r="H37" s="33">
        <f t="shared" si="7"/>
        <v>23.367038216560509</v>
      </c>
      <c r="I37" s="28">
        <f t="shared" si="8"/>
        <v>53.669999999999995</v>
      </c>
      <c r="J37" s="32">
        <v>1</v>
      </c>
      <c r="K37" s="30">
        <f t="shared" si="3"/>
        <v>7.8775000000000004</v>
      </c>
      <c r="L37" s="30"/>
      <c r="M37" s="30"/>
      <c r="N37" s="30"/>
      <c r="O37" s="30"/>
      <c r="Q37" s="29">
        <f t="shared" ca="1" si="4"/>
        <v>3</v>
      </c>
      <c r="R37" s="29">
        <f t="shared" ca="1" si="19"/>
        <v>5</v>
      </c>
      <c r="S37" s="29">
        <f t="shared" ca="1" si="19"/>
        <v>2</v>
      </c>
      <c r="T37" s="29">
        <f t="shared" ca="1" si="19"/>
        <v>2</v>
      </c>
      <c r="U37" s="29">
        <f t="shared" ca="1" si="19"/>
        <v>3</v>
      </c>
      <c r="V37" s="29">
        <f t="shared" ca="1" si="19"/>
        <v>3</v>
      </c>
      <c r="W37" s="29">
        <f t="shared" ca="1" si="19"/>
        <v>5</v>
      </c>
      <c r="X37" s="29">
        <f t="shared" ca="1" si="19"/>
        <v>5</v>
      </c>
      <c r="Y37" s="29">
        <f t="shared" ca="1" si="19"/>
        <v>3</v>
      </c>
      <c r="Z37" s="29">
        <f t="shared" ca="1" si="19"/>
        <v>2</v>
      </c>
      <c r="AA37" s="29">
        <f t="shared" ca="1" si="19"/>
        <v>1</v>
      </c>
      <c r="AB37" s="29">
        <f t="shared" ca="1" si="19"/>
        <v>6</v>
      </c>
      <c r="AC37" s="29">
        <f t="shared" ca="1" si="19"/>
        <v>3</v>
      </c>
      <c r="AD37" s="29">
        <f t="shared" ca="1" si="19"/>
        <v>2</v>
      </c>
      <c r="AE37" s="29">
        <f t="shared" ca="1" si="19"/>
        <v>2</v>
      </c>
      <c r="AF37" s="29">
        <f t="shared" ca="1" si="19"/>
        <v>5</v>
      </c>
      <c r="AG37" s="29">
        <f t="shared" ca="1" si="17"/>
        <v>3</v>
      </c>
      <c r="AH37" s="29">
        <f t="shared" ca="1" si="17"/>
        <v>5</v>
      </c>
      <c r="AI37" s="29">
        <f t="shared" ca="1" si="17"/>
        <v>3</v>
      </c>
      <c r="AJ37" s="29">
        <f t="shared" ca="1" si="17"/>
        <v>3</v>
      </c>
      <c r="AK37" s="29">
        <f t="shared" ca="1" si="17"/>
        <v>5</v>
      </c>
      <c r="AL37" s="29">
        <f t="shared" ca="1" si="17"/>
        <v>1</v>
      </c>
      <c r="AM37" s="29">
        <f t="shared" ca="1" si="17"/>
        <v>3</v>
      </c>
      <c r="AN37" s="29">
        <f t="shared" ca="1" si="17"/>
        <v>4</v>
      </c>
      <c r="AO37" s="29">
        <f t="shared" ca="1" si="22"/>
        <v>5</v>
      </c>
      <c r="AP37" s="29">
        <f t="shared" ca="1" si="22"/>
        <v>2</v>
      </c>
      <c r="AQ37" s="29">
        <f t="shared" ca="1" si="22"/>
        <v>3</v>
      </c>
      <c r="AR37" s="29">
        <f t="shared" ca="1" si="22"/>
        <v>2</v>
      </c>
      <c r="AS37" s="29">
        <f t="shared" ca="1" si="22"/>
        <v>2</v>
      </c>
      <c r="AT37" s="29">
        <f t="shared" ca="1" si="22"/>
        <v>3</v>
      </c>
      <c r="AU37" s="29">
        <f t="shared" ca="1" si="22"/>
        <v>0</v>
      </c>
      <c r="AV37" s="29">
        <f t="shared" ca="1" si="22"/>
        <v>3</v>
      </c>
      <c r="AW37" s="29">
        <f t="shared" ca="1" si="22"/>
        <v>3</v>
      </c>
      <c r="AX37" s="29">
        <f t="shared" ca="1" si="22"/>
        <v>3</v>
      </c>
      <c r="AY37" s="29">
        <f t="shared" ca="1" si="22"/>
        <v>2</v>
      </c>
      <c r="AZ37" s="29">
        <f t="shared" ca="1" si="22"/>
        <v>1</v>
      </c>
      <c r="BA37" s="29">
        <f t="shared" ca="1" si="22"/>
        <v>2</v>
      </c>
      <c r="BB37" s="29">
        <f t="shared" ca="1" si="22"/>
        <v>2</v>
      </c>
      <c r="BC37" s="29">
        <f t="shared" ca="1" si="22"/>
        <v>3</v>
      </c>
      <c r="BD37" s="29">
        <f t="shared" ca="1" si="22"/>
        <v>2</v>
      </c>
      <c r="BE37" s="29">
        <f t="shared" ca="1" si="20"/>
        <v>1</v>
      </c>
      <c r="BF37" s="29">
        <f t="shared" ca="1" si="20"/>
        <v>1</v>
      </c>
      <c r="BG37" s="29">
        <f t="shared" ca="1" si="20"/>
        <v>4</v>
      </c>
      <c r="BH37" s="29">
        <f t="shared" ca="1" si="20"/>
        <v>2</v>
      </c>
      <c r="BI37" s="29">
        <f t="shared" ca="1" si="20"/>
        <v>2</v>
      </c>
      <c r="BJ37" s="29">
        <f t="shared" ca="1" si="20"/>
        <v>5</v>
      </c>
      <c r="BK37" s="29">
        <f t="shared" ca="1" si="20"/>
        <v>3</v>
      </c>
      <c r="BL37" s="29">
        <f t="shared" ca="1" si="18"/>
        <v>2</v>
      </c>
      <c r="BM37" s="29">
        <f t="shared" ca="1" si="18"/>
        <v>2</v>
      </c>
      <c r="BN37" s="29">
        <f t="shared" ca="1" si="18"/>
        <v>3</v>
      </c>
      <c r="BO37" s="29">
        <f t="shared" ca="1" si="18"/>
        <v>4</v>
      </c>
      <c r="BP37" s="29">
        <f t="shared" ca="1" si="18"/>
        <v>5</v>
      </c>
      <c r="BQ37" s="29">
        <f t="shared" ca="1" si="18"/>
        <v>2</v>
      </c>
      <c r="BR37" s="29">
        <f t="shared" ca="1" si="18"/>
        <v>5</v>
      </c>
      <c r="BS37" s="29">
        <f t="shared" ca="1" si="18"/>
        <v>6</v>
      </c>
      <c r="BT37" s="29">
        <f t="shared" ca="1" si="18"/>
        <v>2</v>
      </c>
      <c r="BU37" s="29">
        <f t="shared" ca="1" si="18"/>
        <v>4</v>
      </c>
      <c r="BV37" s="29">
        <f t="shared" ca="1" si="18"/>
        <v>4</v>
      </c>
      <c r="BW37" s="29">
        <f t="shared" ca="1" si="18"/>
        <v>3</v>
      </c>
      <c r="BX37" s="29">
        <f t="shared" ca="1" si="18"/>
        <v>3</v>
      </c>
      <c r="BY37" s="29">
        <f t="shared" ca="1" si="18"/>
        <v>5</v>
      </c>
      <c r="BZ37" s="29">
        <f t="shared" ca="1" si="18"/>
        <v>3</v>
      </c>
      <c r="CA37" s="29">
        <f t="shared" ca="1" si="18"/>
        <v>6</v>
      </c>
      <c r="CB37" s="29">
        <f t="shared" ca="1" si="16"/>
        <v>4</v>
      </c>
      <c r="CC37" s="29">
        <f t="shared" ca="1" si="23"/>
        <v>3</v>
      </c>
      <c r="CD37" s="29">
        <f t="shared" ca="1" si="23"/>
        <v>4</v>
      </c>
      <c r="CE37" s="29">
        <f t="shared" ca="1" si="23"/>
        <v>1</v>
      </c>
      <c r="CF37" s="29">
        <f t="shared" ca="1" si="23"/>
        <v>5</v>
      </c>
      <c r="CG37" s="29">
        <f t="shared" ca="1" si="23"/>
        <v>3</v>
      </c>
      <c r="CH37" s="29">
        <f t="shared" ca="1" si="23"/>
        <v>3</v>
      </c>
      <c r="CI37" s="29">
        <f t="shared" ca="1" si="23"/>
        <v>5</v>
      </c>
      <c r="CJ37" s="29">
        <f t="shared" ca="1" si="23"/>
        <v>3</v>
      </c>
      <c r="CK37" s="29">
        <f t="shared" ca="1" si="23"/>
        <v>1</v>
      </c>
      <c r="CL37" s="29">
        <f t="shared" ca="1" si="23"/>
        <v>5</v>
      </c>
      <c r="CM37" s="29">
        <f t="shared" ca="1" si="23"/>
        <v>1</v>
      </c>
      <c r="CN37" s="29">
        <f t="shared" ca="1" si="23"/>
        <v>3</v>
      </c>
      <c r="CO37" s="29">
        <f t="shared" ca="1" si="23"/>
        <v>4</v>
      </c>
      <c r="CP37" s="29">
        <f t="shared" ca="1" si="23"/>
        <v>2</v>
      </c>
      <c r="CQ37" s="29">
        <f t="shared" ca="1" si="23"/>
        <v>4</v>
      </c>
      <c r="CR37" s="29">
        <f t="shared" ca="1" si="23"/>
        <v>3</v>
      </c>
      <c r="CS37" s="29">
        <f t="shared" ca="1" si="21"/>
        <v>4</v>
      </c>
      <c r="CT37" s="29">
        <f t="shared" ca="1" si="21"/>
        <v>2</v>
      </c>
      <c r="CU37" s="29">
        <f t="shared" ca="1" si="21"/>
        <v>2</v>
      </c>
      <c r="CV37" s="29">
        <f t="shared" ca="1" si="21"/>
        <v>2</v>
      </c>
      <c r="CW37" s="29">
        <f t="shared" ca="1" si="21"/>
        <v>4</v>
      </c>
      <c r="CX37" s="29">
        <f t="shared" ca="1" si="21"/>
        <v>3</v>
      </c>
      <c r="CY37" s="29">
        <f t="shared" ca="1" si="21"/>
        <v>3</v>
      </c>
      <c r="CZ37" s="29">
        <f t="shared" ca="1" si="21"/>
        <v>2</v>
      </c>
      <c r="DA37" s="29">
        <f t="shared" ca="1" si="21"/>
        <v>2</v>
      </c>
      <c r="DB37" s="29">
        <f t="shared" ca="1" si="21"/>
        <v>3</v>
      </c>
      <c r="DC37" s="29">
        <f t="shared" ca="1" si="21"/>
        <v>0</v>
      </c>
      <c r="DD37" s="29">
        <f t="shared" ca="1" si="21"/>
        <v>6</v>
      </c>
      <c r="DE37" s="29">
        <f t="shared" ca="1" si="21"/>
        <v>5</v>
      </c>
      <c r="DF37" s="29">
        <f t="shared" ca="1" si="12"/>
        <v>3</v>
      </c>
      <c r="DG37" s="29">
        <f t="shared" ca="1" si="12"/>
        <v>4</v>
      </c>
      <c r="DH37" s="29">
        <f t="shared" ca="1" si="12"/>
        <v>4</v>
      </c>
      <c r="DI37" s="29">
        <f t="shared" ca="1" si="12"/>
        <v>4</v>
      </c>
      <c r="DJ37" s="29">
        <f t="shared" ca="1" si="12"/>
        <v>4</v>
      </c>
      <c r="DK37" s="29">
        <f t="shared" ca="1" si="12"/>
        <v>2</v>
      </c>
      <c r="DL37" s="29">
        <f t="shared" ca="1" si="12"/>
        <v>3</v>
      </c>
    </row>
    <row r="38" spans="1:116" ht="14.4" x14ac:dyDescent="0.3">
      <c r="A38" s="31">
        <v>860</v>
      </c>
      <c r="B38" s="28">
        <v>1.22</v>
      </c>
      <c r="C38" s="30">
        <v>83.58</v>
      </c>
      <c r="D38" s="28">
        <v>1.97</v>
      </c>
      <c r="E38" s="34">
        <f t="shared" si="0"/>
        <v>3.9399999999999998E-2</v>
      </c>
      <c r="F38" s="35">
        <f t="shared" si="1"/>
        <v>20.895</v>
      </c>
      <c r="G38" s="34">
        <f t="shared" si="2"/>
        <v>49.25</v>
      </c>
      <c r="H38" s="33">
        <f t="shared" si="7"/>
        <v>23.241803278688526</v>
      </c>
      <c r="I38" s="28">
        <f t="shared" si="8"/>
        <v>54.889999999999993</v>
      </c>
      <c r="J38" s="32">
        <v>1</v>
      </c>
      <c r="K38" s="30">
        <f t="shared" si="3"/>
        <v>20.895</v>
      </c>
      <c r="L38" s="30"/>
      <c r="M38" s="30"/>
      <c r="N38" s="30"/>
      <c r="O38" s="30"/>
      <c r="Q38" s="29">
        <f t="shared" ca="1" si="4"/>
        <v>1</v>
      </c>
      <c r="R38" s="29">
        <f t="shared" ca="1" si="19"/>
        <v>0</v>
      </c>
      <c r="S38" s="29">
        <f t="shared" ca="1" si="19"/>
        <v>2</v>
      </c>
      <c r="T38" s="29">
        <f t="shared" ca="1" si="19"/>
        <v>1</v>
      </c>
      <c r="U38" s="29">
        <f t="shared" ca="1" si="19"/>
        <v>1</v>
      </c>
      <c r="V38" s="29">
        <f t="shared" ca="1" si="19"/>
        <v>1</v>
      </c>
      <c r="W38" s="29">
        <f t="shared" ca="1" si="19"/>
        <v>1</v>
      </c>
      <c r="X38" s="29">
        <f t="shared" ca="1" si="19"/>
        <v>0</v>
      </c>
      <c r="Y38" s="29">
        <f t="shared" ca="1" si="19"/>
        <v>3</v>
      </c>
      <c r="Z38" s="29">
        <f t="shared" ca="1" si="19"/>
        <v>1</v>
      </c>
      <c r="AA38" s="29">
        <f t="shared" ca="1" si="19"/>
        <v>2</v>
      </c>
      <c r="AB38" s="29">
        <f t="shared" ca="1" si="19"/>
        <v>1</v>
      </c>
      <c r="AC38" s="29">
        <f t="shared" ca="1" si="19"/>
        <v>5</v>
      </c>
      <c r="AD38" s="29">
        <f t="shared" ca="1" si="19"/>
        <v>7</v>
      </c>
      <c r="AE38" s="29">
        <f t="shared" ca="1" si="19"/>
        <v>2</v>
      </c>
      <c r="AF38" s="29">
        <f t="shared" ca="1" si="19"/>
        <v>0</v>
      </c>
      <c r="AG38" s="29">
        <f t="shared" ca="1" si="17"/>
        <v>3</v>
      </c>
      <c r="AH38" s="29">
        <f t="shared" ca="1" si="17"/>
        <v>5</v>
      </c>
      <c r="AI38" s="29">
        <f t="shared" ca="1" si="17"/>
        <v>0</v>
      </c>
      <c r="AJ38" s="29">
        <f t="shared" ca="1" si="17"/>
        <v>1</v>
      </c>
      <c r="AK38" s="29">
        <f t="shared" ca="1" si="17"/>
        <v>3</v>
      </c>
      <c r="AL38" s="29">
        <f t="shared" ca="1" si="17"/>
        <v>3</v>
      </c>
      <c r="AM38" s="29">
        <f t="shared" ca="1" si="17"/>
        <v>4</v>
      </c>
      <c r="AN38" s="29">
        <f t="shared" ca="1" si="17"/>
        <v>0</v>
      </c>
      <c r="AO38" s="29">
        <f t="shared" ca="1" si="22"/>
        <v>3</v>
      </c>
      <c r="AP38" s="29">
        <f t="shared" ca="1" si="22"/>
        <v>2</v>
      </c>
      <c r="AQ38" s="29">
        <f t="shared" ca="1" si="22"/>
        <v>2</v>
      </c>
      <c r="AR38" s="29">
        <f t="shared" ca="1" si="22"/>
        <v>1</v>
      </c>
      <c r="AS38" s="29">
        <f t="shared" ca="1" si="22"/>
        <v>0</v>
      </c>
      <c r="AT38" s="29">
        <f t="shared" ca="1" si="22"/>
        <v>3</v>
      </c>
      <c r="AU38" s="29">
        <f t="shared" ca="1" si="22"/>
        <v>3</v>
      </c>
      <c r="AV38" s="29">
        <f t="shared" ca="1" si="22"/>
        <v>5</v>
      </c>
      <c r="AW38" s="29">
        <f t="shared" ca="1" si="22"/>
        <v>0</v>
      </c>
      <c r="AX38" s="29">
        <f t="shared" ca="1" si="22"/>
        <v>0</v>
      </c>
      <c r="AY38" s="29">
        <f t="shared" ca="1" si="22"/>
        <v>4</v>
      </c>
      <c r="AZ38" s="29">
        <f t="shared" ca="1" si="22"/>
        <v>0</v>
      </c>
      <c r="BA38" s="29">
        <f t="shared" ca="1" si="22"/>
        <v>2</v>
      </c>
      <c r="BB38" s="29">
        <f t="shared" ca="1" si="22"/>
        <v>1</v>
      </c>
      <c r="BC38" s="29">
        <f t="shared" ca="1" si="22"/>
        <v>2</v>
      </c>
      <c r="BD38" s="29">
        <f t="shared" ca="1" si="22"/>
        <v>1</v>
      </c>
      <c r="BE38" s="29">
        <f t="shared" ca="1" si="20"/>
        <v>1</v>
      </c>
      <c r="BF38" s="29">
        <f t="shared" ca="1" si="20"/>
        <v>3</v>
      </c>
      <c r="BG38" s="29">
        <f t="shared" ca="1" si="20"/>
        <v>4</v>
      </c>
      <c r="BH38" s="29">
        <f t="shared" ca="1" si="20"/>
        <v>1</v>
      </c>
      <c r="BI38" s="29">
        <f t="shared" ca="1" si="20"/>
        <v>2</v>
      </c>
      <c r="BJ38" s="29">
        <f t="shared" ca="1" si="20"/>
        <v>0</v>
      </c>
      <c r="BK38" s="29">
        <f t="shared" ca="1" si="20"/>
        <v>1</v>
      </c>
      <c r="BL38" s="29">
        <f t="shared" ca="1" si="18"/>
        <v>1</v>
      </c>
      <c r="BM38" s="29">
        <f t="shared" ca="1" si="18"/>
        <v>1</v>
      </c>
      <c r="BN38" s="29">
        <f t="shared" ca="1" si="18"/>
        <v>4</v>
      </c>
      <c r="BO38" s="29">
        <f t="shared" ca="1" si="18"/>
        <v>2</v>
      </c>
      <c r="BP38" s="29">
        <f t="shared" ca="1" si="18"/>
        <v>2</v>
      </c>
      <c r="BQ38" s="29">
        <f t="shared" ca="1" si="18"/>
        <v>3</v>
      </c>
      <c r="BR38" s="29">
        <f t="shared" ca="1" si="18"/>
        <v>2</v>
      </c>
      <c r="BS38" s="29">
        <f t="shared" ca="1" si="18"/>
        <v>4</v>
      </c>
      <c r="BT38" s="29">
        <f t="shared" ca="1" si="18"/>
        <v>4</v>
      </c>
      <c r="BU38" s="29">
        <f t="shared" ca="1" si="18"/>
        <v>0</v>
      </c>
      <c r="BV38" s="29">
        <f t="shared" ca="1" si="18"/>
        <v>2</v>
      </c>
      <c r="BW38" s="29">
        <f t="shared" ca="1" si="18"/>
        <v>1</v>
      </c>
      <c r="BX38" s="29">
        <f t="shared" ca="1" si="18"/>
        <v>2</v>
      </c>
      <c r="BY38" s="29">
        <f t="shared" ca="1" si="18"/>
        <v>1</v>
      </c>
      <c r="BZ38" s="29">
        <f t="shared" ca="1" si="18"/>
        <v>2</v>
      </c>
      <c r="CA38" s="29">
        <f t="shared" ca="1" si="18"/>
        <v>1</v>
      </c>
      <c r="CB38" s="29">
        <f t="shared" ca="1" si="16"/>
        <v>4</v>
      </c>
      <c r="CC38" s="29">
        <f t="shared" ca="1" si="23"/>
        <v>1</v>
      </c>
      <c r="CD38" s="29">
        <f t="shared" ca="1" si="23"/>
        <v>3</v>
      </c>
      <c r="CE38" s="29">
        <f t="shared" ca="1" si="23"/>
        <v>6</v>
      </c>
      <c r="CF38" s="29">
        <f t="shared" ca="1" si="23"/>
        <v>0</v>
      </c>
      <c r="CG38" s="29">
        <f t="shared" ca="1" si="23"/>
        <v>4</v>
      </c>
      <c r="CH38" s="29">
        <f t="shared" ca="1" si="23"/>
        <v>1</v>
      </c>
      <c r="CI38" s="29">
        <f t="shared" ca="1" si="23"/>
        <v>2</v>
      </c>
      <c r="CJ38" s="29">
        <f t="shared" ca="1" si="23"/>
        <v>2</v>
      </c>
      <c r="CK38" s="29">
        <f t="shared" ca="1" si="23"/>
        <v>2</v>
      </c>
      <c r="CL38" s="29">
        <f t="shared" ca="1" si="23"/>
        <v>4</v>
      </c>
      <c r="CM38" s="29">
        <f t="shared" ca="1" si="23"/>
        <v>0</v>
      </c>
      <c r="CN38" s="29">
        <f t="shared" ca="1" si="23"/>
        <v>2</v>
      </c>
      <c r="CO38" s="29">
        <f t="shared" ca="1" si="23"/>
        <v>1</v>
      </c>
      <c r="CP38" s="29">
        <f t="shared" ca="1" si="23"/>
        <v>1</v>
      </c>
      <c r="CQ38" s="29">
        <f t="shared" ca="1" si="23"/>
        <v>1</v>
      </c>
      <c r="CR38" s="29">
        <f t="shared" ca="1" si="23"/>
        <v>2</v>
      </c>
      <c r="CS38" s="29">
        <f t="shared" ca="1" si="21"/>
        <v>3</v>
      </c>
      <c r="CT38" s="29">
        <f t="shared" ca="1" si="21"/>
        <v>1</v>
      </c>
      <c r="CU38" s="29">
        <f t="shared" ca="1" si="21"/>
        <v>7</v>
      </c>
      <c r="CV38" s="29">
        <f t="shared" ca="1" si="21"/>
        <v>1</v>
      </c>
      <c r="CW38" s="29">
        <f t="shared" ca="1" si="21"/>
        <v>2</v>
      </c>
      <c r="CX38" s="29">
        <f t="shared" ca="1" si="21"/>
        <v>1</v>
      </c>
      <c r="CY38" s="29">
        <f t="shared" ca="1" si="21"/>
        <v>0</v>
      </c>
      <c r="CZ38" s="29">
        <f t="shared" ca="1" si="21"/>
        <v>2</v>
      </c>
      <c r="DA38" s="29">
        <f t="shared" ca="1" si="21"/>
        <v>2</v>
      </c>
      <c r="DB38" s="29">
        <f t="shared" ca="1" si="21"/>
        <v>2</v>
      </c>
      <c r="DC38" s="29">
        <f t="shared" ca="1" si="21"/>
        <v>1</v>
      </c>
      <c r="DD38" s="29">
        <f t="shared" ca="1" si="21"/>
        <v>1</v>
      </c>
      <c r="DE38" s="29">
        <f t="shared" ca="1" si="21"/>
        <v>1</v>
      </c>
      <c r="DF38" s="29">
        <f t="shared" ca="1" si="12"/>
        <v>0</v>
      </c>
      <c r="DG38" s="29">
        <f t="shared" ca="1" si="12"/>
        <v>5</v>
      </c>
      <c r="DH38" s="29">
        <f t="shared" ca="1" si="12"/>
        <v>0</v>
      </c>
      <c r="DI38" s="29">
        <f t="shared" ca="1" si="12"/>
        <v>3</v>
      </c>
      <c r="DJ38" s="29">
        <f t="shared" ca="1" si="12"/>
        <v>3</v>
      </c>
      <c r="DK38" s="29">
        <f t="shared" ca="1" si="12"/>
        <v>1</v>
      </c>
      <c r="DL38" s="29">
        <f t="shared" ca="1" si="12"/>
        <v>1</v>
      </c>
    </row>
    <row r="39" spans="1:116" ht="14.4" x14ac:dyDescent="0.3">
      <c r="A39" s="31">
        <v>120</v>
      </c>
      <c r="B39" s="28">
        <v>2.75</v>
      </c>
      <c r="C39" s="30">
        <v>3.36</v>
      </c>
      <c r="D39" s="28">
        <v>2.58</v>
      </c>
      <c r="E39" s="34">
        <f t="shared" si="0"/>
        <v>5.16E-2</v>
      </c>
      <c r="F39" s="35">
        <f t="shared" si="1"/>
        <v>0.84</v>
      </c>
      <c r="G39" s="34">
        <f t="shared" si="2"/>
        <v>64.5</v>
      </c>
      <c r="H39" s="33">
        <f t="shared" si="7"/>
        <v>23.149090909090908</v>
      </c>
      <c r="I39" s="28">
        <f t="shared" si="8"/>
        <v>57.639999999999993</v>
      </c>
      <c r="J39" s="32">
        <v>1</v>
      </c>
      <c r="K39" s="30">
        <f t="shared" si="3"/>
        <v>0.84</v>
      </c>
      <c r="L39" s="30"/>
      <c r="M39" s="30"/>
      <c r="N39" s="30"/>
      <c r="O39" s="30"/>
      <c r="Q39" s="29">
        <f t="shared" ca="1" si="4"/>
        <v>3</v>
      </c>
      <c r="R39" s="29">
        <f t="shared" ca="1" si="19"/>
        <v>2</v>
      </c>
      <c r="S39" s="29">
        <f t="shared" ca="1" si="19"/>
        <v>0</v>
      </c>
      <c r="T39" s="29">
        <f t="shared" ca="1" si="19"/>
        <v>5</v>
      </c>
      <c r="U39" s="29">
        <f t="shared" ca="1" si="19"/>
        <v>2</v>
      </c>
      <c r="V39" s="29">
        <f t="shared" ca="1" si="19"/>
        <v>3</v>
      </c>
      <c r="W39" s="29">
        <f t="shared" ca="1" si="19"/>
        <v>2</v>
      </c>
      <c r="X39" s="29">
        <f t="shared" ca="1" si="19"/>
        <v>3</v>
      </c>
      <c r="Y39" s="29">
        <f t="shared" ca="1" si="19"/>
        <v>1</v>
      </c>
      <c r="Z39" s="29">
        <f t="shared" ca="1" si="19"/>
        <v>2</v>
      </c>
      <c r="AA39" s="29">
        <f t="shared" ca="1" si="19"/>
        <v>6</v>
      </c>
      <c r="AB39" s="29">
        <f t="shared" ca="1" si="19"/>
        <v>2</v>
      </c>
      <c r="AC39" s="29">
        <f t="shared" ca="1" si="19"/>
        <v>3</v>
      </c>
      <c r="AD39" s="29">
        <f t="shared" ca="1" si="19"/>
        <v>2</v>
      </c>
      <c r="AE39" s="29">
        <f t="shared" ca="1" si="19"/>
        <v>4</v>
      </c>
      <c r="AF39" s="29">
        <f t="shared" ca="1" si="19"/>
        <v>3</v>
      </c>
      <c r="AG39" s="29">
        <f t="shared" ca="1" si="17"/>
        <v>1</v>
      </c>
      <c r="AH39" s="29">
        <f t="shared" ca="1" si="17"/>
        <v>1</v>
      </c>
      <c r="AI39" s="29">
        <f t="shared" ca="1" si="17"/>
        <v>0</v>
      </c>
      <c r="AJ39" s="29">
        <f t="shared" ca="1" si="17"/>
        <v>1</v>
      </c>
      <c r="AK39" s="29">
        <f t="shared" ca="1" si="17"/>
        <v>6</v>
      </c>
      <c r="AL39" s="29">
        <f t="shared" ca="1" si="17"/>
        <v>2</v>
      </c>
      <c r="AM39" s="29">
        <f t="shared" ca="1" si="17"/>
        <v>7</v>
      </c>
      <c r="AN39" s="29">
        <f t="shared" ca="1" si="17"/>
        <v>3</v>
      </c>
      <c r="AO39" s="29">
        <f t="shared" ca="1" si="22"/>
        <v>1</v>
      </c>
      <c r="AP39" s="29">
        <f t="shared" ca="1" si="22"/>
        <v>3</v>
      </c>
      <c r="AQ39" s="29">
        <f t="shared" ca="1" si="22"/>
        <v>3</v>
      </c>
      <c r="AR39" s="29">
        <f t="shared" ca="1" si="22"/>
        <v>3</v>
      </c>
      <c r="AS39" s="29">
        <f t="shared" ca="1" si="22"/>
        <v>1</v>
      </c>
      <c r="AT39" s="29">
        <f t="shared" ca="1" si="22"/>
        <v>0</v>
      </c>
      <c r="AU39" s="29">
        <f t="shared" ca="1" si="22"/>
        <v>2</v>
      </c>
      <c r="AV39" s="29">
        <f t="shared" ca="1" si="22"/>
        <v>4</v>
      </c>
      <c r="AW39" s="29">
        <f t="shared" ca="1" si="22"/>
        <v>2</v>
      </c>
      <c r="AX39" s="29">
        <f t="shared" ca="1" si="22"/>
        <v>2</v>
      </c>
      <c r="AY39" s="29">
        <f t="shared" ca="1" si="22"/>
        <v>4</v>
      </c>
      <c r="AZ39" s="29">
        <f t="shared" ca="1" si="22"/>
        <v>2</v>
      </c>
      <c r="BA39" s="29">
        <f t="shared" ca="1" si="22"/>
        <v>3</v>
      </c>
      <c r="BB39" s="29">
        <f t="shared" ca="1" si="22"/>
        <v>2</v>
      </c>
      <c r="BC39" s="29">
        <f t="shared" ca="1" si="22"/>
        <v>2</v>
      </c>
      <c r="BD39" s="29">
        <f t="shared" ca="1" si="22"/>
        <v>2</v>
      </c>
      <c r="BE39" s="29">
        <f t="shared" ca="1" si="20"/>
        <v>1</v>
      </c>
      <c r="BF39" s="29">
        <f t="shared" ca="1" si="20"/>
        <v>2</v>
      </c>
      <c r="BG39" s="29">
        <f t="shared" ca="1" si="20"/>
        <v>5</v>
      </c>
      <c r="BH39" s="29">
        <f t="shared" ca="1" si="20"/>
        <v>2</v>
      </c>
      <c r="BI39" s="29">
        <f t="shared" ca="1" si="20"/>
        <v>1</v>
      </c>
      <c r="BJ39" s="29">
        <f t="shared" ca="1" si="20"/>
        <v>2</v>
      </c>
      <c r="BK39" s="29">
        <f t="shared" ca="1" si="20"/>
        <v>3</v>
      </c>
      <c r="BL39" s="29">
        <f t="shared" ca="1" si="18"/>
        <v>3</v>
      </c>
      <c r="BM39" s="29">
        <f t="shared" ca="1" si="18"/>
        <v>1</v>
      </c>
      <c r="BN39" s="29">
        <f t="shared" ca="1" si="18"/>
        <v>4</v>
      </c>
      <c r="BO39" s="29">
        <f t="shared" ca="1" si="18"/>
        <v>4</v>
      </c>
      <c r="BP39" s="29">
        <f t="shared" ca="1" si="18"/>
        <v>3</v>
      </c>
      <c r="BQ39" s="29">
        <f t="shared" ca="1" si="18"/>
        <v>3</v>
      </c>
      <c r="BR39" s="29">
        <f t="shared" ca="1" si="18"/>
        <v>2</v>
      </c>
      <c r="BS39" s="29">
        <f t="shared" ca="1" si="18"/>
        <v>4</v>
      </c>
      <c r="BT39" s="29">
        <f t="shared" ca="1" si="18"/>
        <v>5</v>
      </c>
      <c r="BU39" s="29">
        <f t="shared" ca="1" si="18"/>
        <v>3</v>
      </c>
      <c r="BV39" s="29">
        <f t="shared" ca="1" si="18"/>
        <v>2</v>
      </c>
      <c r="BW39" s="29">
        <f t="shared" ca="1" si="18"/>
        <v>0</v>
      </c>
      <c r="BX39" s="29">
        <f t="shared" ca="1" si="18"/>
        <v>2</v>
      </c>
      <c r="BY39" s="29">
        <f t="shared" ca="1" si="18"/>
        <v>3</v>
      </c>
      <c r="BZ39" s="29">
        <f t="shared" ca="1" si="18"/>
        <v>1</v>
      </c>
      <c r="CA39" s="29">
        <f t="shared" ca="1" si="18"/>
        <v>1</v>
      </c>
      <c r="CB39" s="29">
        <f t="shared" ca="1" si="16"/>
        <v>4</v>
      </c>
      <c r="CC39" s="29">
        <f t="shared" ca="1" si="23"/>
        <v>1</v>
      </c>
      <c r="CD39" s="29">
        <f t="shared" ca="1" si="23"/>
        <v>5</v>
      </c>
      <c r="CE39" s="29">
        <f t="shared" ca="1" si="23"/>
        <v>2</v>
      </c>
      <c r="CF39" s="29">
        <f t="shared" ca="1" si="23"/>
        <v>1</v>
      </c>
      <c r="CG39" s="29">
        <f t="shared" ca="1" si="23"/>
        <v>1</v>
      </c>
      <c r="CH39" s="29">
        <f t="shared" ca="1" si="23"/>
        <v>2</v>
      </c>
      <c r="CI39" s="29">
        <f t="shared" ca="1" si="23"/>
        <v>2</v>
      </c>
      <c r="CJ39" s="29">
        <f t="shared" ca="1" si="23"/>
        <v>2</v>
      </c>
      <c r="CK39" s="29">
        <f t="shared" ca="1" si="23"/>
        <v>4</v>
      </c>
      <c r="CL39" s="29">
        <f t="shared" ca="1" si="23"/>
        <v>1</v>
      </c>
      <c r="CM39" s="29">
        <f t="shared" ca="1" si="23"/>
        <v>4</v>
      </c>
      <c r="CN39" s="29">
        <f t="shared" ca="1" si="23"/>
        <v>3</v>
      </c>
      <c r="CO39" s="29">
        <f t="shared" ca="1" si="23"/>
        <v>0</v>
      </c>
      <c r="CP39" s="29">
        <f t="shared" ca="1" si="23"/>
        <v>1</v>
      </c>
      <c r="CQ39" s="29">
        <f t="shared" ca="1" si="23"/>
        <v>2</v>
      </c>
      <c r="CR39" s="29">
        <f t="shared" ca="1" si="23"/>
        <v>0</v>
      </c>
      <c r="CS39" s="29">
        <f t="shared" ca="1" si="21"/>
        <v>1</v>
      </c>
      <c r="CT39" s="29">
        <f t="shared" ca="1" si="21"/>
        <v>5</v>
      </c>
      <c r="CU39" s="29">
        <f t="shared" ca="1" si="21"/>
        <v>3</v>
      </c>
      <c r="CV39" s="29">
        <f t="shared" ca="1" si="21"/>
        <v>2</v>
      </c>
      <c r="CW39" s="29">
        <f t="shared" ca="1" si="21"/>
        <v>2</v>
      </c>
      <c r="CX39" s="29">
        <f t="shared" ca="1" si="21"/>
        <v>3</v>
      </c>
      <c r="CY39" s="29">
        <f t="shared" ca="1" si="21"/>
        <v>1</v>
      </c>
      <c r="CZ39" s="29">
        <f t="shared" ca="1" si="21"/>
        <v>2</v>
      </c>
      <c r="DA39" s="29">
        <f t="shared" ca="1" si="21"/>
        <v>2</v>
      </c>
      <c r="DB39" s="29">
        <f t="shared" ca="1" si="21"/>
        <v>4</v>
      </c>
      <c r="DC39" s="29">
        <f t="shared" ca="1" si="21"/>
        <v>1</v>
      </c>
      <c r="DD39" s="29">
        <f t="shared" ca="1" si="21"/>
        <v>2</v>
      </c>
      <c r="DE39" s="29">
        <f t="shared" ca="1" si="21"/>
        <v>1</v>
      </c>
      <c r="DF39" s="29">
        <f t="shared" ca="1" si="12"/>
        <v>5</v>
      </c>
      <c r="DG39" s="29">
        <f t="shared" ca="1" si="12"/>
        <v>4</v>
      </c>
      <c r="DH39" s="29">
        <f t="shared" ca="1" si="12"/>
        <v>3</v>
      </c>
      <c r="DI39" s="29">
        <f t="shared" ca="1" si="12"/>
        <v>2</v>
      </c>
      <c r="DJ39" s="29">
        <f t="shared" ca="1" si="12"/>
        <v>3</v>
      </c>
      <c r="DK39" s="29">
        <f t="shared" ca="1" si="12"/>
        <v>4</v>
      </c>
      <c r="DL39" s="29">
        <f t="shared" ca="1" si="12"/>
        <v>4</v>
      </c>
    </row>
    <row r="40" spans="1:116" ht="14.4" x14ac:dyDescent="0.3">
      <c r="A40" s="31">
        <v>321</v>
      </c>
      <c r="B40" s="28">
        <v>2.73</v>
      </c>
      <c r="C40" s="30">
        <v>51.06</v>
      </c>
      <c r="D40" s="28">
        <v>3</v>
      </c>
      <c r="E40" s="34">
        <f t="shared" si="0"/>
        <v>0.06</v>
      </c>
      <c r="F40" s="35">
        <f t="shared" si="1"/>
        <v>12.765000000000001</v>
      </c>
      <c r="G40" s="34">
        <f t="shared" si="2"/>
        <v>75</v>
      </c>
      <c r="H40" s="33">
        <f t="shared" si="7"/>
        <v>22.796703296703296</v>
      </c>
      <c r="I40" s="28">
        <f t="shared" si="8"/>
        <v>60.36999999999999</v>
      </c>
      <c r="J40" s="32">
        <v>1</v>
      </c>
      <c r="K40" s="30">
        <f t="shared" si="3"/>
        <v>12.765000000000001</v>
      </c>
      <c r="L40" s="30"/>
      <c r="M40" s="30"/>
      <c r="N40" s="30"/>
      <c r="O40" s="30"/>
      <c r="Q40" s="29">
        <f t="shared" ca="1" si="4"/>
        <v>1</v>
      </c>
      <c r="R40" s="29">
        <f t="shared" ca="1" si="19"/>
        <v>2</v>
      </c>
      <c r="S40" s="29">
        <f t="shared" ca="1" si="19"/>
        <v>2</v>
      </c>
      <c r="T40" s="29">
        <f t="shared" ca="1" si="19"/>
        <v>1</v>
      </c>
      <c r="U40" s="29">
        <f t="shared" ca="1" si="19"/>
        <v>4</v>
      </c>
      <c r="V40" s="29">
        <f t="shared" ca="1" si="19"/>
        <v>4</v>
      </c>
      <c r="W40" s="29">
        <f t="shared" ca="1" si="19"/>
        <v>4</v>
      </c>
      <c r="X40" s="29">
        <f t="shared" ca="1" si="19"/>
        <v>4</v>
      </c>
      <c r="Y40" s="29">
        <f t="shared" ca="1" si="19"/>
        <v>1</v>
      </c>
      <c r="Z40" s="29">
        <f t="shared" ca="1" si="19"/>
        <v>2</v>
      </c>
      <c r="AA40" s="29">
        <f t="shared" ca="1" si="19"/>
        <v>4</v>
      </c>
      <c r="AB40" s="29">
        <f t="shared" ca="1" si="19"/>
        <v>3</v>
      </c>
      <c r="AC40" s="29">
        <f t="shared" ca="1" si="19"/>
        <v>3</v>
      </c>
      <c r="AD40" s="29">
        <f t="shared" ca="1" si="19"/>
        <v>2</v>
      </c>
      <c r="AE40" s="29">
        <f t="shared" ca="1" si="19"/>
        <v>3</v>
      </c>
      <c r="AF40" s="29">
        <f t="shared" ca="1" si="19"/>
        <v>2</v>
      </c>
      <c r="AG40" s="29">
        <f t="shared" ca="1" si="17"/>
        <v>4</v>
      </c>
      <c r="AH40" s="29">
        <f t="shared" ca="1" si="17"/>
        <v>1</v>
      </c>
      <c r="AI40" s="29">
        <f t="shared" ca="1" si="17"/>
        <v>3</v>
      </c>
      <c r="AJ40" s="29">
        <f t="shared" ca="1" si="17"/>
        <v>3</v>
      </c>
      <c r="AK40" s="29">
        <f t="shared" ca="1" si="17"/>
        <v>6</v>
      </c>
      <c r="AL40" s="29">
        <f t="shared" ca="1" si="17"/>
        <v>6</v>
      </c>
      <c r="AM40" s="29">
        <f t="shared" ca="1" si="17"/>
        <v>1</v>
      </c>
      <c r="AN40" s="29">
        <f t="shared" ca="1" si="17"/>
        <v>2</v>
      </c>
      <c r="AO40" s="29">
        <f t="shared" ca="1" si="22"/>
        <v>4</v>
      </c>
      <c r="AP40" s="29">
        <f t="shared" ca="1" si="22"/>
        <v>2</v>
      </c>
      <c r="AQ40" s="29">
        <f t="shared" ca="1" si="22"/>
        <v>2</v>
      </c>
      <c r="AR40" s="29">
        <f t="shared" ca="1" si="22"/>
        <v>2</v>
      </c>
      <c r="AS40" s="29">
        <f t="shared" ca="1" si="22"/>
        <v>2</v>
      </c>
      <c r="AT40" s="29">
        <f t="shared" ca="1" si="22"/>
        <v>5</v>
      </c>
      <c r="AU40" s="29">
        <f t="shared" ca="1" si="22"/>
        <v>3</v>
      </c>
      <c r="AV40" s="29">
        <f t="shared" ca="1" si="22"/>
        <v>3</v>
      </c>
      <c r="AW40" s="29">
        <f t="shared" ca="1" si="22"/>
        <v>4</v>
      </c>
      <c r="AX40" s="29">
        <f t="shared" ca="1" si="22"/>
        <v>2</v>
      </c>
      <c r="AY40" s="29">
        <f t="shared" ca="1" si="22"/>
        <v>3</v>
      </c>
      <c r="AZ40" s="29">
        <f t="shared" ca="1" si="22"/>
        <v>2</v>
      </c>
      <c r="BA40" s="29">
        <f t="shared" ca="1" si="22"/>
        <v>2</v>
      </c>
      <c r="BB40" s="29">
        <f t="shared" ca="1" si="22"/>
        <v>2</v>
      </c>
      <c r="BC40" s="29">
        <f t="shared" ca="1" si="22"/>
        <v>4</v>
      </c>
      <c r="BD40" s="29">
        <f t="shared" ca="1" si="22"/>
        <v>3</v>
      </c>
      <c r="BE40" s="29">
        <f t="shared" ca="1" si="20"/>
        <v>3</v>
      </c>
      <c r="BF40" s="29">
        <f t="shared" ca="1" si="20"/>
        <v>3</v>
      </c>
      <c r="BG40" s="29">
        <f t="shared" ca="1" si="20"/>
        <v>3</v>
      </c>
      <c r="BH40" s="29">
        <f t="shared" ca="1" si="20"/>
        <v>4</v>
      </c>
      <c r="BI40" s="29">
        <f t="shared" ca="1" si="20"/>
        <v>4</v>
      </c>
      <c r="BJ40" s="29">
        <f t="shared" ca="1" si="20"/>
        <v>4</v>
      </c>
      <c r="BK40" s="29">
        <f t="shared" ca="1" si="20"/>
        <v>1</v>
      </c>
      <c r="BL40" s="29">
        <f t="shared" ca="1" si="18"/>
        <v>4</v>
      </c>
      <c r="BM40" s="29">
        <f t="shared" ca="1" si="18"/>
        <v>2</v>
      </c>
      <c r="BN40" s="29">
        <f t="shared" ca="1" si="18"/>
        <v>3</v>
      </c>
      <c r="BO40" s="29">
        <f t="shared" ca="1" si="18"/>
        <v>2</v>
      </c>
      <c r="BP40" s="29">
        <f t="shared" ca="1" si="18"/>
        <v>3</v>
      </c>
      <c r="BQ40" s="29">
        <f t="shared" ca="1" si="18"/>
        <v>5</v>
      </c>
      <c r="BR40" s="29">
        <f t="shared" ca="1" si="18"/>
        <v>4</v>
      </c>
      <c r="BS40" s="29">
        <f t="shared" ca="1" si="18"/>
        <v>4</v>
      </c>
      <c r="BT40" s="29">
        <f t="shared" ca="1" si="18"/>
        <v>3</v>
      </c>
      <c r="BU40" s="29">
        <f t="shared" ca="1" si="18"/>
        <v>2</v>
      </c>
      <c r="BV40" s="29">
        <f t="shared" ca="1" si="18"/>
        <v>5</v>
      </c>
      <c r="BW40" s="29">
        <f t="shared" ca="1" si="18"/>
        <v>4</v>
      </c>
      <c r="BX40" s="29">
        <f t="shared" ca="1" si="18"/>
        <v>6</v>
      </c>
      <c r="BY40" s="29">
        <f t="shared" ca="1" si="18"/>
        <v>4</v>
      </c>
      <c r="BZ40" s="29">
        <f t="shared" ca="1" si="18"/>
        <v>1</v>
      </c>
      <c r="CA40" s="29">
        <f t="shared" ref="CA40:CP60" ca="1" si="24">_xlfn.BINOM.INV(50,$E40,RAND())</f>
        <v>2</v>
      </c>
      <c r="CB40" s="29">
        <f t="shared" ca="1" si="24"/>
        <v>6</v>
      </c>
      <c r="CC40" s="29">
        <f t="shared" ca="1" si="24"/>
        <v>0</v>
      </c>
      <c r="CD40" s="29">
        <f t="shared" ca="1" si="23"/>
        <v>4</v>
      </c>
      <c r="CE40" s="29">
        <f t="shared" ca="1" si="23"/>
        <v>1</v>
      </c>
      <c r="CF40" s="29">
        <f t="shared" ca="1" si="23"/>
        <v>1</v>
      </c>
      <c r="CG40" s="29">
        <f t="shared" ca="1" si="23"/>
        <v>1</v>
      </c>
      <c r="CH40" s="29">
        <f t="shared" ca="1" si="23"/>
        <v>3</v>
      </c>
      <c r="CI40" s="29">
        <f t="shared" ca="1" si="23"/>
        <v>1</v>
      </c>
      <c r="CJ40" s="29">
        <f t="shared" ca="1" si="23"/>
        <v>3</v>
      </c>
      <c r="CK40" s="29">
        <f t="shared" ca="1" si="23"/>
        <v>4</v>
      </c>
      <c r="CL40" s="29">
        <f t="shared" ca="1" si="23"/>
        <v>2</v>
      </c>
      <c r="CM40" s="29">
        <f t="shared" ca="1" si="23"/>
        <v>7</v>
      </c>
      <c r="CN40" s="29">
        <f t="shared" ca="1" si="23"/>
        <v>0</v>
      </c>
      <c r="CO40" s="29">
        <f t="shared" ca="1" si="23"/>
        <v>6</v>
      </c>
      <c r="CP40" s="29">
        <f t="shared" ca="1" si="23"/>
        <v>1</v>
      </c>
      <c r="CQ40" s="29">
        <f t="shared" ca="1" si="23"/>
        <v>5</v>
      </c>
      <c r="CR40" s="29">
        <f t="shared" ca="1" si="23"/>
        <v>0</v>
      </c>
      <c r="CS40" s="29">
        <f t="shared" ca="1" si="21"/>
        <v>4</v>
      </c>
      <c r="CT40" s="29">
        <f t="shared" ca="1" si="21"/>
        <v>1</v>
      </c>
      <c r="CU40" s="29">
        <f t="shared" ca="1" si="21"/>
        <v>4</v>
      </c>
      <c r="CV40" s="29">
        <f t="shared" ca="1" si="21"/>
        <v>2</v>
      </c>
      <c r="CW40" s="29">
        <f t="shared" ca="1" si="21"/>
        <v>3</v>
      </c>
      <c r="CX40" s="29">
        <f t="shared" ca="1" si="21"/>
        <v>3</v>
      </c>
      <c r="CY40" s="29">
        <f t="shared" ca="1" si="21"/>
        <v>3</v>
      </c>
      <c r="CZ40" s="29">
        <f t="shared" ca="1" si="21"/>
        <v>5</v>
      </c>
      <c r="DA40" s="29">
        <f t="shared" ca="1" si="21"/>
        <v>2</v>
      </c>
      <c r="DB40" s="29">
        <f t="shared" ca="1" si="21"/>
        <v>5</v>
      </c>
      <c r="DC40" s="29">
        <f t="shared" ca="1" si="21"/>
        <v>4</v>
      </c>
      <c r="DD40" s="29">
        <f t="shared" ca="1" si="21"/>
        <v>4</v>
      </c>
      <c r="DE40" s="29">
        <f t="shared" ca="1" si="21"/>
        <v>2</v>
      </c>
      <c r="DF40" s="29">
        <f t="shared" ca="1" si="12"/>
        <v>1</v>
      </c>
      <c r="DG40" s="29">
        <f t="shared" ca="1" si="12"/>
        <v>3</v>
      </c>
      <c r="DH40" s="29">
        <f t="shared" ca="1" si="12"/>
        <v>5</v>
      </c>
      <c r="DI40" s="29">
        <f t="shared" ca="1" si="12"/>
        <v>5</v>
      </c>
      <c r="DJ40" s="29">
        <f t="shared" ref="DJ40:DL40" ca="1" si="25">_xlfn.BINOM.INV(50,$E40,RAND())</f>
        <v>2</v>
      </c>
      <c r="DK40" s="29">
        <f t="shared" ca="1" si="25"/>
        <v>3</v>
      </c>
      <c r="DL40" s="29">
        <f t="shared" ca="1" si="25"/>
        <v>4</v>
      </c>
    </row>
    <row r="41" spans="1:116" ht="14.4" x14ac:dyDescent="0.3">
      <c r="A41" s="31">
        <v>259</v>
      </c>
      <c r="B41" s="28">
        <v>2.73</v>
      </c>
      <c r="C41" s="30">
        <v>58.66</v>
      </c>
      <c r="D41" s="28">
        <v>3.03</v>
      </c>
      <c r="E41" s="34">
        <f t="shared" si="0"/>
        <v>6.0599999999999994E-2</v>
      </c>
      <c r="F41" s="35">
        <f t="shared" si="1"/>
        <v>14.664999999999999</v>
      </c>
      <c r="G41" s="34">
        <f t="shared" si="2"/>
        <v>75.75</v>
      </c>
      <c r="H41" s="33">
        <f t="shared" si="7"/>
        <v>22.375457875457876</v>
      </c>
      <c r="I41" s="28">
        <f t="shared" si="8"/>
        <v>63.099999999999987</v>
      </c>
      <c r="J41" s="32">
        <v>1</v>
      </c>
      <c r="K41" s="30">
        <f t="shared" si="3"/>
        <v>14.664999999999999</v>
      </c>
      <c r="L41" s="30"/>
      <c r="M41" s="30"/>
      <c r="N41" s="30"/>
      <c r="O41" s="30"/>
      <c r="Q41" s="29">
        <f t="shared" ca="1" si="4"/>
        <v>5</v>
      </c>
      <c r="R41" s="29">
        <f t="shared" ca="1" si="19"/>
        <v>0</v>
      </c>
      <c r="S41" s="29">
        <f t="shared" ca="1" si="19"/>
        <v>2</v>
      </c>
      <c r="T41" s="29">
        <f t="shared" ca="1" si="19"/>
        <v>4</v>
      </c>
      <c r="U41" s="29">
        <f t="shared" ca="1" si="19"/>
        <v>3</v>
      </c>
      <c r="V41" s="29">
        <f t="shared" ca="1" si="19"/>
        <v>2</v>
      </c>
      <c r="W41" s="29">
        <f t="shared" ca="1" si="19"/>
        <v>3</v>
      </c>
      <c r="X41" s="29">
        <f t="shared" ca="1" si="19"/>
        <v>4</v>
      </c>
      <c r="Y41" s="29">
        <f t="shared" ca="1" si="19"/>
        <v>2</v>
      </c>
      <c r="Z41" s="29">
        <f t="shared" ca="1" si="19"/>
        <v>6</v>
      </c>
      <c r="AA41" s="29">
        <f t="shared" ca="1" si="19"/>
        <v>5</v>
      </c>
      <c r="AB41" s="29">
        <f t="shared" ca="1" si="19"/>
        <v>3</v>
      </c>
      <c r="AC41" s="29">
        <f t="shared" ca="1" si="19"/>
        <v>3</v>
      </c>
      <c r="AD41" s="29">
        <f t="shared" ca="1" si="19"/>
        <v>5</v>
      </c>
      <c r="AE41" s="29">
        <f t="shared" ca="1" si="19"/>
        <v>3</v>
      </c>
      <c r="AF41" s="29">
        <f t="shared" ref="AF41:AU56" ca="1" si="26">_xlfn.BINOM.INV(50,$E41,RAND())</f>
        <v>0</v>
      </c>
      <c r="AG41" s="29">
        <f t="shared" ca="1" si="26"/>
        <v>2</v>
      </c>
      <c r="AH41" s="29">
        <f t="shared" ca="1" si="26"/>
        <v>5</v>
      </c>
      <c r="AI41" s="29">
        <f t="shared" ca="1" si="26"/>
        <v>4</v>
      </c>
      <c r="AJ41" s="29">
        <f t="shared" ca="1" si="26"/>
        <v>4</v>
      </c>
      <c r="AK41" s="29">
        <f t="shared" ca="1" si="26"/>
        <v>4</v>
      </c>
      <c r="AL41" s="29">
        <f t="shared" ca="1" si="26"/>
        <v>2</v>
      </c>
      <c r="AM41" s="29">
        <f t="shared" ca="1" si="26"/>
        <v>2</v>
      </c>
      <c r="AN41" s="29">
        <f t="shared" ca="1" si="26"/>
        <v>3</v>
      </c>
      <c r="AO41" s="29">
        <f t="shared" ca="1" si="26"/>
        <v>5</v>
      </c>
      <c r="AP41" s="29">
        <f t="shared" ca="1" si="26"/>
        <v>2</v>
      </c>
      <c r="AQ41" s="29">
        <f t="shared" ca="1" si="26"/>
        <v>3</v>
      </c>
      <c r="AR41" s="29">
        <f t="shared" ca="1" si="26"/>
        <v>2</v>
      </c>
      <c r="AS41" s="29">
        <f t="shared" ca="1" si="26"/>
        <v>3</v>
      </c>
      <c r="AT41" s="29">
        <f t="shared" ca="1" si="26"/>
        <v>5</v>
      </c>
      <c r="AU41" s="29">
        <f t="shared" ca="1" si="26"/>
        <v>4</v>
      </c>
      <c r="AV41" s="29">
        <f t="shared" ca="1" si="22"/>
        <v>0</v>
      </c>
      <c r="AW41" s="29">
        <f t="shared" ca="1" si="22"/>
        <v>1</v>
      </c>
      <c r="AX41" s="29">
        <f t="shared" ca="1" si="22"/>
        <v>3</v>
      </c>
      <c r="AY41" s="29">
        <f t="shared" ca="1" si="22"/>
        <v>4</v>
      </c>
      <c r="AZ41" s="29">
        <f t="shared" ca="1" si="22"/>
        <v>3</v>
      </c>
      <c r="BA41" s="29">
        <f t="shared" ca="1" si="22"/>
        <v>3</v>
      </c>
      <c r="BB41" s="29">
        <f t="shared" ca="1" si="22"/>
        <v>3</v>
      </c>
      <c r="BC41" s="29">
        <f t="shared" ca="1" si="22"/>
        <v>6</v>
      </c>
      <c r="BD41" s="29">
        <f t="shared" ca="1" si="22"/>
        <v>2</v>
      </c>
      <c r="BE41" s="29">
        <f t="shared" ca="1" si="20"/>
        <v>1</v>
      </c>
      <c r="BF41" s="29">
        <f t="shared" ca="1" si="20"/>
        <v>3</v>
      </c>
      <c r="BG41" s="29">
        <f t="shared" ca="1" si="20"/>
        <v>3</v>
      </c>
      <c r="BH41" s="29">
        <f t="shared" ca="1" si="20"/>
        <v>6</v>
      </c>
      <c r="BI41" s="29">
        <f t="shared" ca="1" si="20"/>
        <v>2</v>
      </c>
      <c r="BJ41" s="29">
        <f t="shared" ca="1" si="20"/>
        <v>2</v>
      </c>
      <c r="BK41" s="29">
        <f t="shared" ca="1" si="20"/>
        <v>1</v>
      </c>
      <c r="BL41" s="29">
        <f t="shared" ref="BL41:CA74" ca="1" si="27">_xlfn.BINOM.INV(50,$E41,RAND())</f>
        <v>3</v>
      </c>
      <c r="BM41" s="29">
        <f t="shared" ca="1" si="27"/>
        <v>3</v>
      </c>
      <c r="BN41" s="29">
        <f t="shared" ca="1" si="27"/>
        <v>5</v>
      </c>
      <c r="BO41" s="29">
        <f t="shared" ca="1" si="27"/>
        <v>2</v>
      </c>
      <c r="BP41" s="29">
        <f t="shared" ca="1" si="27"/>
        <v>5</v>
      </c>
      <c r="BQ41" s="29">
        <f t="shared" ca="1" si="27"/>
        <v>3</v>
      </c>
      <c r="BR41" s="29">
        <f t="shared" ca="1" si="27"/>
        <v>1</v>
      </c>
      <c r="BS41" s="29">
        <f t="shared" ca="1" si="27"/>
        <v>3</v>
      </c>
      <c r="BT41" s="29">
        <f t="shared" ca="1" si="27"/>
        <v>5</v>
      </c>
      <c r="BU41" s="29">
        <f t="shared" ca="1" si="27"/>
        <v>3</v>
      </c>
      <c r="BV41" s="29">
        <f t="shared" ca="1" si="27"/>
        <v>5</v>
      </c>
      <c r="BW41" s="29">
        <f t="shared" ca="1" si="27"/>
        <v>1</v>
      </c>
      <c r="BX41" s="29">
        <f t="shared" ca="1" si="27"/>
        <v>5</v>
      </c>
      <c r="BY41" s="29">
        <f t="shared" ca="1" si="27"/>
        <v>2</v>
      </c>
      <c r="BZ41" s="29">
        <f t="shared" ca="1" si="27"/>
        <v>6</v>
      </c>
      <c r="CA41" s="29">
        <f t="shared" ca="1" si="27"/>
        <v>3</v>
      </c>
      <c r="CB41" s="29">
        <f t="shared" ca="1" si="24"/>
        <v>1</v>
      </c>
      <c r="CC41" s="29">
        <f t="shared" ca="1" si="24"/>
        <v>4</v>
      </c>
      <c r="CD41" s="29">
        <f t="shared" ca="1" si="23"/>
        <v>5</v>
      </c>
      <c r="CE41" s="29">
        <f t="shared" ca="1" si="23"/>
        <v>1</v>
      </c>
      <c r="CF41" s="29">
        <f t="shared" ca="1" si="23"/>
        <v>3</v>
      </c>
      <c r="CG41" s="29">
        <f t="shared" ca="1" si="23"/>
        <v>1</v>
      </c>
      <c r="CH41" s="29">
        <f t="shared" ca="1" si="23"/>
        <v>3</v>
      </c>
      <c r="CI41" s="29">
        <f t="shared" ca="1" si="23"/>
        <v>3</v>
      </c>
      <c r="CJ41" s="29">
        <f t="shared" ca="1" si="23"/>
        <v>2</v>
      </c>
      <c r="CK41" s="29">
        <f t="shared" ca="1" si="23"/>
        <v>4</v>
      </c>
      <c r="CL41" s="29">
        <f t="shared" ca="1" si="23"/>
        <v>0</v>
      </c>
      <c r="CM41" s="29">
        <f t="shared" ca="1" si="23"/>
        <v>2</v>
      </c>
      <c r="CN41" s="29">
        <f t="shared" ca="1" si="23"/>
        <v>2</v>
      </c>
      <c r="CO41" s="29">
        <f t="shared" ca="1" si="23"/>
        <v>3</v>
      </c>
      <c r="CP41" s="29">
        <f t="shared" ca="1" si="23"/>
        <v>4</v>
      </c>
      <c r="CQ41" s="29">
        <f t="shared" ca="1" si="23"/>
        <v>3</v>
      </c>
      <c r="CR41" s="29">
        <f t="shared" ca="1" si="23"/>
        <v>4</v>
      </c>
      <c r="CS41" s="29">
        <f t="shared" ca="1" si="21"/>
        <v>4</v>
      </c>
      <c r="CT41" s="29">
        <f t="shared" ca="1" si="21"/>
        <v>4</v>
      </c>
      <c r="CU41" s="29">
        <f t="shared" ca="1" si="21"/>
        <v>5</v>
      </c>
      <c r="CV41" s="29">
        <f t="shared" ca="1" si="21"/>
        <v>2</v>
      </c>
      <c r="CW41" s="29">
        <f t="shared" ca="1" si="21"/>
        <v>3</v>
      </c>
      <c r="CX41" s="29">
        <f t="shared" ca="1" si="21"/>
        <v>4</v>
      </c>
      <c r="CY41" s="29">
        <f t="shared" ca="1" si="21"/>
        <v>3</v>
      </c>
      <c r="CZ41" s="29">
        <f t="shared" ca="1" si="21"/>
        <v>2</v>
      </c>
      <c r="DA41" s="29">
        <f t="shared" ca="1" si="21"/>
        <v>2</v>
      </c>
      <c r="DB41" s="29">
        <f t="shared" ca="1" si="21"/>
        <v>3</v>
      </c>
      <c r="DC41" s="29">
        <f t="shared" ca="1" si="21"/>
        <v>3</v>
      </c>
      <c r="DD41" s="29">
        <f t="shared" ca="1" si="21"/>
        <v>7</v>
      </c>
      <c r="DE41" s="29">
        <f t="shared" ca="1" si="21"/>
        <v>2</v>
      </c>
      <c r="DF41" s="29">
        <f t="shared" ref="DF41:DL45" ca="1" si="28">_xlfn.BINOM.INV(50,$E41,RAND())</f>
        <v>3</v>
      </c>
      <c r="DG41" s="29">
        <f t="shared" ca="1" si="28"/>
        <v>2</v>
      </c>
      <c r="DH41" s="29">
        <f t="shared" ca="1" si="28"/>
        <v>3</v>
      </c>
      <c r="DI41" s="29">
        <f t="shared" ca="1" si="28"/>
        <v>3</v>
      </c>
      <c r="DJ41" s="29">
        <f t="shared" ca="1" si="28"/>
        <v>3</v>
      </c>
      <c r="DK41" s="29">
        <f t="shared" ca="1" si="28"/>
        <v>3</v>
      </c>
      <c r="DL41" s="29">
        <f t="shared" ca="1" si="28"/>
        <v>3</v>
      </c>
    </row>
    <row r="42" spans="1:116" ht="14.4" x14ac:dyDescent="0.3">
      <c r="A42" s="31">
        <v>870</v>
      </c>
      <c r="B42" s="28">
        <v>2.5</v>
      </c>
      <c r="C42" s="30">
        <v>63.71</v>
      </c>
      <c r="D42" s="28">
        <v>2.86</v>
      </c>
      <c r="E42" s="34">
        <f t="shared" si="0"/>
        <v>5.7200000000000001E-2</v>
      </c>
      <c r="F42" s="35">
        <f t="shared" si="1"/>
        <v>15.9275</v>
      </c>
      <c r="G42" s="34">
        <f t="shared" si="2"/>
        <v>71.5</v>
      </c>
      <c r="H42" s="33">
        <f t="shared" si="7"/>
        <v>22.228999999999999</v>
      </c>
      <c r="I42" s="28">
        <f t="shared" si="8"/>
        <v>65.599999999999994</v>
      </c>
      <c r="J42" s="32">
        <v>1</v>
      </c>
      <c r="K42" s="30">
        <f t="shared" si="3"/>
        <v>15.9275</v>
      </c>
      <c r="L42" s="30"/>
      <c r="M42" s="30"/>
      <c r="N42" s="30"/>
      <c r="O42" s="30"/>
      <c r="Q42" s="29">
        <f t="shared" ca="1" si="4"/>
        <v>2</v>
      </c>
      <c r="R42" s="29">
        <f t="shared" ref="R42:AF57" ca="1" si="29">_xlfn.BINOM.INV(50,$E42,RAND())</f>
        <v>1</v>
      </c>
      <c r="S42" s="29">
        <f t="shared" ca="1" si="29"/>
        <v>0</v>
      </c>
      <c r="T42" s="29">
        <f t="shared" ca="1" si="29"/>
        <v>1</v>
      </c>
      <c r="U42" s="29">
        <f t="shared" ca="1" si="29"/>
        <v>1</v>
      </c>
      <c r="V42" s="29">
        <f t="shared" ca="1" si="29"/>
        <v>3</v>
      </c>
      <c r="W42" s="29">
        <f t="shared" ca="1" si="29"/>
        <v>2</v>
      </c>
      <c r="X42" s="29">
        <f t="shared" ca="1" si="29"/>
        <v>1</v>
      </c>
      <c r="Y42" s="29">
        <f t="shared" ca="1" si="29"/>
        <v>2</v>
      </c>
      <c r="Z42" s="29">
        <f t="shared" ca="1" si="29"/>
        <v>6</v>
      </c>
      <c r="AA42" s="29">
        <f t="shared" ca="1" si="29"/>
        <v>0</v>
      </c>
      <c r="AB42" s="29">
        <f t="shared" ca="1" si="29"/>
        <v>7</v>
      </c>
      <c r="AC42" s="29">
        <f t="shared" ca="1" si="29"/>
        <v>3</v>
      </c>
      <c r="AD42" s="29">
        <f t="shared" ca="1" si="29"/>
        <v>4</v>
      </c>
      <c r="AE42" s="29">
        <f t="shared" ca="1" si="29"/>
        <v>5</v>
      </c>
      <c r="AF42" s="29">
        <f t="shared" ca="1" si="29"/>
        <v>3</v>
      </c>
      <c r="AG42" s="29">
        <f t="shared" ca="1" si="26"/>
        <v>1</v>
      </c>
      <c r="AH42" s="29">
        <f t="shared" ca="1" si="26"/>
        <v>3</v>
      </c>
      <c r="AI42" s="29">
        <f t="shared" ca="1" si="26"/>
        <v>2</v>
      </c>
      <c r="AJ42" s="29">
        <f t="shared" ca="1" si="26"/>
        <v>4</v>
      </c>
      <c r="AK42" s="29">
        <f t="shared" ca="1" si="26"/>
        <v>4</v>
      </c>
      <c r="AL42" s="29">
        <f t="shared" ca="1" si="26"/>
        <v>4</v>
      </c>
      <c r="AM42" s="29">
        <f t="shared" ca="1" si="26"/>
        <v>2</v>
      </c>
      <c r="AN42" s="29">
        <f t="shared" ca="1" si="26"/>
        <v>4</v>
      </c>
      <c r="AO42" s="29">
        <f t="shared" ca="1" si="26"/>
        <v>0</v>
      </c>
      <c r="AP42" s="29">
        <f t="shared" ca="1" si="26"/>
        <v>4</v>
      </c>
      <c r="AQ42" s="29">
        <f t="shared" ca="1" si="26"/>
        <v>3</v>
      </c>
      <c r="AR42" s="29">
        <f t="shared" ca="1" si="26"/>
        <v>2</v>
      </c>
      <c r="AS42" s="29">
        <f t="shared" ca="1" si="26"/>
        <v>1</v>
      </c>
      <c r="AT42" s="29">
        <f t="shared" ca="1" si="26"/>
        <v>2</v>
      </c>
      <c r="AU42" s="29">
        <f t="shared" ca="1" si="26"/>
        <v>4</v>
      </c>
      <c r="AV42" s="29">
        <f t="shared" ca="1" si="22"/>
        <v>6</v>
      </c>
      <c r="AW42" s="29">
        <f t="shared" ca="1" si="22"/>
        <v>2</v>
      </c>
      <c r="AX42" s="29">
        <f t="shared" ca="1" si="22"/>
        <v>4</v>
      </c>
      <c r="AY42" s="29">
        <f t="shared" ca="1" si="22"/>
        <v>3</v>
      </c>
      <c r="AZ42" s="29">
        <f t="shared" ca="1" si="22"/>
        <v>5</v>
      </c>
      <c r="BA42" s="29">
        <f t="shared" ca="1" si="22"/>
        <v>5</v>
      </c>
      <c r="BB42" s="29">
        <f t="shared" ca="1" si="22"/>
        <v>3</v>
      </c>
      <c r="BC42" s="29">
        <f t="shared" ca="1" si="22"/>
        <v>1</v>
      </c>
      <c r="BD42" s="29">
        <f t="shared" ca="1" si="22"/>
        <v>2</v>
      </c>
      <c r="BE42" s="29">
        <f t="shared" ca="1" si="20"/>
        <v>1</v>
      </c>
      <c r="BF42" s="29">
        <f t="shared" ca="1" si="20"/>
        <v>5</v>
      </c>
      <c r="BG42" s="29">
        <f t="shared" ca="1" si="20"/>
        <v>3</v>
      </c>
      <c r="BH42" s="29">
        <f t="shared" ca="1" si="20"/>
        <v>2</v>
      </c>
      <c r="BI42" s="29">
        <f t="shared" ca="1" si="20"/>
        <v>3</v>
      </c>
      <c r="BJ42" s="29">
        <f t="shared" ca="1" si="20"/>
        <v>2</v>
      </c>
      <c r="BK42" s="29">
        <f t="shared" ca="1" si="20"/>
        <v>3</v>
      </c>
      <c r="BL42" s="29">
        <f t="shared" ca="1" si="27"/>
        <v>4</v>
      </c>
      <c r="BM42" s="29">
        <f t="shared" ca="1" si="27"/>
        <v>1</v>
      </c>
      <c r="BN42" s="29">
        <f t="shared" ca="1" si="27"/>
        <v>3</v>
      </c>
      <c r="BO42" s="29">
        <f t="shared" ca="1" si="27"/>
        <v>1</v>
      </c>
      <c r="BP42" s="29">
        <f t="shared" ca="1" si="27"/>
        <v>1</v>
      </c>
      <c r="BQ42" s="29">
        <f t="shared" ca="1" si="27"/>
        <v>6</v>
      </c>
      <c r="BR42" s="29">
        <f t="shared" ca="1" si="27"/>
        <v>6</v>
      </c>
      <c r="BS42" s="29">
        <f t="shared" ca="1" si="27"/>
        <v>2</v>
      </c>
      <c r="BT42" s="29">
        <f t="shared" ca="1" si="27"/>
        <v>2</v>
      </c>
      <c r="BU42" s="29">
        <f t="shared" ca="1" si="27"/>
        <v>1</v>
      </c>
      <c r="BV42" s="29">
        <f t="shared" ca="1" si="27"/>
        <v>1</v>
      </c>
      <c r="BW42" s="29">
        <f t="shared" ca="1" si="27"/>
        <v>7</v>
      </c>
      <c r="BX42" s="29">
        <f t="shared" ca="1" si="27"/>
        <v>3</v>
      </c>
      <c r="BY42" s="29">
        <f t="shared" ca="1" si="27"/>
        <v>4</v>
      </c>
      <c r="BZ42" s="29">
        <f t="shared" ca="1" si="27"/>
        <v>2</v>
      </c>
      <c r="CA42" s="29">
        <f t="shared" ca="1" si="27"/>
        <v>3</v>
      </c>
      <c r="CB42" s="29">
        <f t="shared" ca="1" si="24"/>
        <v>0</v>
      </c>
      <c r="CC42" s="29">
        <f t="shared" ca="1" si="24"/>
        <v>2</v>
      </c>
      <c r="CD42" s="29">
        <f t="shared" ca="1" si="23"/>
        <v>1</v>
      </c>
      <c r="CE42" s="29">
        <f t="shared" ca="1" si="23"/>
        <v>4</v>
      </c>
      <c r="CF42" s="29">
        <f t="shared" ca="1" si="23"/>
        <v>6</v>
      </c>
      <c r="CG42" s="29">
        <f t="shared" ca="1" si="23"/>
        <v>5</v>
      </c>
      <c r="CH42" s="29">
        <f t="shared" ca="1" si="23"/>
        <v>4</v>
      </c>
      <c r="CI42" s="29">
        <f t="shared" ca="1" si="23"/>
        <v>2</v>
      </c>
      <c r="CJ42" s="29">
        <f t="shared" ca="1" si="23"/>
        <v>3</v>
      </c>
      <c r="CK42" s="29">
        <f t="shared" ca="1" si="23"/>
        <v>7</v>
      </c>
      <c r="CL42" s="29">
        <f t="shared" ca="1" si="23"/>
        <v>2</v>
      </c>
      <c r="CM42" s="29">
        <f t="shared" ca="1" si="23"/>
        <v>2</v>
      </c>
      <c r="CN42" s="29">
        <f t="shared" ca="1" si="23"/>
        <v>4</v>
      </c>
      <c r="CO42" s="29">
        <f t="shared" ca="1" si="23"/>
        <v>2</v>
      </c>
      <c r="CP42" s="29">
        <f t="shared" ca="1" si="23"/>
        <v>3</v>
      </c>
      <c r="CQ42" s="29">
        <f t="shared" ca="1" si="23"/>
        <v>1</v>
      </c>
      <c r="CR42" s="29">
        <f t="shared" ca="1" si="23"/>
        <v>2</v>
      </c>
      <c r="CS42" s="29">
        <f t="shared" ca="1" si="21"/>
        <v>3</v>
      </c>
      <c r="CT42" s="29">
        <f t="shared" ca="1" si="21"/>
        <v>1</v>
      </c>
      <c r="CU42" s="29">
        <f t="shared" ca="1" si="21"/>
        <v>2</v>
      </c>
      <c r="CV42" s="29">
        <f t="shared" ca="1" si="21"/>
        <v>3</v>
      </c>
      <c r="CW42" s="29">
        <f t="shared" ca="1" si="21"/>
        <v>2</v>
      </c>
      <c r="CX42" s="29">
        <f t="shared" ca="1" si="21"/>
        <v>4</v>
      </c>
      <c r="CY42" s="29">
        <f t="shared" ca="1" si="21"/>
        <v>2</v>
      </c>
      <c r="CZ42" s="29">
        <f t="shared" ca="1" si="21"/>
        <v>2</v>
      </c>
      <c r="DA42" s="29">
        <f t="shared" ca="1" si="21"/>
        <v>1</v>
      </c>
      <c r="DB42" s="29">
        <f t="shared" ca="1" si="21"/>
        <v>2</v>
      </c>
      <c r="DC42" s="29">
        <f t="shared" ca="1" si="21"/>
        <v>3</v>
      </c>
      <c r="DD42" s="29">
        <f t="shared" ca="1" si="21"/>
        <v>1</v>
      </c>
      <c r="DE42" s="29">
        <f t="shared" ca="1" si="21"/>
        <v>5</v>
      </c>
      <c r="DF42" s="29">
        <f t="shared" ca="1" si="28"/>
        <v>5</v>
      </c>
      <c r="DG42" s="29">
        <f t="shared" ca="1" si="28"/>
        <v>2</v>
      </c>
      <c r="DH42" s="29">
        <f t="shared" ca="1" si="28"/>
        <v>3</v>
      </c>
      <c r="DI42" s="29">
        <f t="shared" ca="1" si="28"/>
        <v>2</v>
      </c>
      <c r="DJ42" s="29">
        <f t="shared" ca="1" si="28"/>
        <v>1</v>
      </c>
      <c r="DK42" s="29">
        <f t="shared" ca="1" si="28"/>
        <v>5</v>
      </c>
      <c r="DL42" s="29">
        <f t="shared" ca="1" si="28"/>
        <v>0</v>
      </c>
    </row>
    <row r="43" spans="1:116" ht="14.4" x14ac:dyDescent="0.3">
      <c r="A43" s="31">
        <v>906</v>
      </c>
      <c r="B43" s="28">
        <v>2.0099999999999998</v>
      </c>
      <c r="C43" s="30">
        <v>93.76</v>
      </c>
      <c r="D43" s="28">
        <v>2.7</v>
      </c>
      <c r="E43" s="34">
        <f t="shared" si="0"/>
        <v>5.4000000000000006E-2</v>
      </c>
      <c r="F43" s="35">
        <f t="shared" si="1"/>
        <v>23.44</v>
      </c>
      <c r="G43" s="34">
        <f t="shared" si="2"/>
        <v>67.5</v>
      </c>
      <c r="H43" s="33">
        <f t="shared" si="7"/>
        <v>21.920398009950251</v>
      </c>
      <c r="I43" s="28">
        <f t="shared" si="8"/>
        <v>67.61</v>
      </c>
      <c r="J43" s="32">
        <v>1</v>
      </c>
      <c r="K43" s="30">
        <f t="shared" si="3"/>
        <v>23.44</v>
      </c>
      <c r="L43" s="30"/>
      <c r="M43" s="30"/>
      <c r="N43" s="30"/>
      <c r="O43" s="30"/>
      <c r="Q43" s="29">
        <f t="shared" ca="1" si="4"/>
        <v>1</v>
      </c>
      <c r="R43" s="29">
        <f t="shared" ca="1" si="29"/>
        <v>2</v>
      </c>
      <c r="S43" s="29">
        <f t="shared" ca="1" si="29"/>
        <v>3</v>
      </c>
      <c r="T43" s="29">
        <f t="shared" ca="1" si="29"/>
        <v>1</v>
      </c>
      <c r="U43" s="29">
        <f t="shared" ca="1" si="29"/>
        <v>6</v>
      </c>
      <c r="V43" s="29">
        <f t="shared" ca="1" si="29"/>
        <v>5</v>
      </c>
      <c r="W43" s="29">
        <f t="shared" ca="1" si="29"/>
        <v>4</v>
      </c>
      <c r="X43" s="29">
        <f t="shared" ca="1" si="29"/>
        <v>2</v>
      </c>
      <c r="Y43" s="29">
        <f t="shared" ca="1" si="29"/>
        <v>3</v>
      </c>
      <c r="Z43" s="29">
        <f t="shared" ca="1" si="29"/>
        <v>2</v>
      </c>
      <c r="AA43" s="29">
        <f t="shared" ca="1" si="29"/>
        <v>3</v>
      </c>
      <c r="AB43" s="29">
        <f t="shared" ca="1" si="29"/>
        <v>5</v>
      </c>
      <c r="AC43" s="29">
        <f t="shared" ca="1" si="29"/>
        <v>7</v>
      </c>
      <c r="AD43" s="29">
        <f t="shared" ca="1" si="29"/>
        <v>4</v>
      </c>
      <c r="AE43" s="29">
        <f t="shared" ca="1" si="29"/>
        <v>3</v>
      </c>
      <c r="AF43" s="29">
        <f t="shared" ca="1" si="29"/>
        <v>2</v>
      </c>
      <c r="AG43" s="29">
        <f t="shared" ca="1" si="26"/>
        <v>2</v>
      </c>
      <c r="AH43" s="29">
        <f t="shared" ca="1" si="26"/>
        <v>4</v>
      </c>
      <c r="AI43" s="29">
        <f t="shared" ca="1" si="26"/>
        <v>3</v>
      </c>
      <c r="AJ43" s="29">
        <f t="shared" ca="1" si="26"/>
        <v>5</v>
      </c>
      <c r="AK43" s="29">
        <f t="shared" ca="1" si="26"/>
        <v>1</v>
      </c>
      <c r="AL43" s="29">
        <f t="shared" ca="1" si="26"/>
        <v>4</v>
      </c>
      <c r="AM43" s="29">
        <f t="shared" ca="1" si="26"/>
        <v>3</v>
      </c>
      <c r="AN43" s="29">
        <f t="shared" ca="1" si="26"/>
        <v>2</v>
      </c>
      <c r="AO43" s="29">
        <f t="shared" ca="1" si="26"/>
        <v>1</v>
      </c>
      <c r="AP43" s="29">
        <f t="shared" ca="1" si="26"/>
        <v>2</v>
      </c>
      <c r="AQ43" s="29">
        <f t="shared" ca="1" si="26"/>
        <v>3</v>
      </c>
      <c r="AR43" s="29">
        <f t="shared" ca="1" si="26"/>
        <v>2</v>
      </c>
      <c r="AS43" s="29">
        <f t="shared" ca="1" si="26"/>
        <v>0</v>
      </c>
      <c r="AT43" s="29">
        <f t="shared" ca="1" si="26"/>
        <v>3</v>
      </c>
      <c r="AU43" s="29">
        <f t="shared" ca="1" si="26"/>
        <v>3</v>
      </c>
      <c r="AV43" s="29">
        <f t="shared" ca="1" si="22"/>
        <v>3</v>
      </c>
      <c r="AW43" s="29">
        <f t="shared" ca="1" si="22"/>
        <v>3</v>
      </c>
      <c r="AX43" s="29">
        <f t="shared" ca="1" si="22"/>
        <v>4</v>
      </c>
      <c r="AY43" s="29">
        <f t="shared" ca="1" si="22"/>
        <v>2</v>
      </c>
      <c r="AZ43" s="29">
        <f t="shared" ca="1" si="22"/>
        <v>4</v>
      </c>
      <c r="BA43" s="29">
        <f t="shared" ca="1" si="22"/>
        <v>3</v>
      </c>
      <c r="BB43" s="29">
        <f t="shared" ca="1" si="22"/>
        <v>4</v>
      </c>
      <c r="BC43" s="29">
        <f t="shared" ca="1" si="22"/>
        <v>7</v>
      </c>
      <c r="BD43" s="29">
        <f t="shared" ca="1" si="22"/>
        <v>3</v>
      </c>
      <c r="BE43" s="29">
        <f t="shared" ca="1" si="20"/>
        <v>3</v>
      </c>
      <c r="BF43" s="29">
        <f t="shared" ca="1" si="20"/>
        <v>8</v>
      </c>
      <c r="BG43" s="29">
        <f t="shared" ca="1" si="20"/>
        <v>2</v>
      </c>
      <c r="BH43" s="29">
        <f t="shared" ca="1" si="20"/>
        <v>3</v>
      </c>
      <c r="BI43" s="29">
        <f t="shared" ca="1" si="20"/>
        <v>5</v>
      </c>
      <c r="BJ43" s="29">
        <f t="shared" ca="1" si="20"/>
        <v>4</v>
      </c>
      <c r="BK43" s="29">
        <f t="shared" ca="1" si="20"/>
        <v>3</v>
      </c>
      <c r="BL43" s="29">
        <f t="shared" ca="1" si="27"/>
        <v>4</v>
      </c>
      <c r="BM43" s="29">
        <f t="shared" ca="1" si="27"/>
        <v>5</v>
      </c>
      <c r="BN43" s="29">
        <f t="shared" ca="1" si="27"/>
        <v>2</v>
      </c>
      <c r="BO43" s="29">
        <f t="shared" ca="1" si="27"/>
        <v>3</v>
      </c>
      <c r="BP43" s="29">
        <f t="shared" ca="1" si="27"/>
        <v>1</v>
      </c>
      <c r="BQ43" s="29">
        <f t="shared" ca="1" si="27"/>
        <v>3</v>
      </c>
      <c r="BR43" s="29">
        <f t="shared" ca="1" si="27"/>
        <v>4</v>
      </c>
      <c r="BS43" s="29">
        <f t="shared" ca="1" si="27"/>
        <v>3</v>
      </c>
      <c r="BT43" s="29">
        <f t="shared" ca="1" si="27"/>
        <v>2</v>
      </c>
      <c r="BU43" s="29">
        <f t="shared" ca="1" si="27"/>
        <v>6</v>
      </c>
      <c r="BV43" s="29">
        <f t="shared" ca="1" si="27"/>
        <v>2</v>
      </c>
      <c r="BW43" s="29">
        <f t="shared" ca="1" si="27"/>
        <v>5</v>
      </c>
      <c r="BX43" s="29">
        <f t="shared" ca="1" si="27"/>
        <v>3</v>
      </c>
      <c r="BY43" s="29">
        <f t="shared" ca="1" si="27"/>
        <v>1</v>
      </c>
      <c r="BZ43" s="29">
        <f t="shared" ca="1" si="27"/>
        <v>2</v>
      </c>
      <c r="CA43" s="29">
        <f t="shared" ca="1" si="27"/>
        <v>2</v>
      </c>
      <c r="CB43" s="29">
        <f t="shared" ca="1" si="24"/>
        <v>1</v>
      </c>
      <c r="CC43" s="29">
        <f t="shared" ca="1" si="24"/>
        <v>6</v>
      </c>
      <c r="CD43" s="29">
        <f t="shared" ca="1" si="23"/>
        <v>5</v>
      </c>
      <c r="CE43" s="29">
        <f t="shared" ca="1" si="23"/>
        <v>3</v>
      </c>
      <c r="CF43" s="29">
        <f t="shared" ref="CF43:CU59" ca="1" si="30">_xlfn.BINOM.INV(50,$E43,RAND())</f>
        <v>3</v>
      </c>
      <c r="CG43" s="29">
        <f t="shared" ca="1" si="30"/>
        <v>5</v>
      </c>
      <c r="CH43" s="29">
        <f t="shared" ca="1" si="30"/>
        <v>0</v>
      </c>
      <c r="CI43" s="29">
        <f t="shared" ca="1" si="30"/>
        <v>2</v>
      </c>
      <c r="CJ43" s="29">
        <f t="shared" ca="1" si="30"/>
        <v>3</v>
      </c>
      <c r="CK43" s="29">
        <f t="shared" ca="1" si="30"/>
        <v>3</v>
      </c>
      <c r="CL43" s="29">
        <f t="shared" ca="1" si="30"/>
        <v>4</v>
      </c>
      <c r="CM43" s="29">
        <f t="shared" ca="1" si="30"/>
        <v>3</v>
      </c>
      <c r="CN43" s="29">
        <f t="shared" ca="1" si="30"/>
        <v>5</v>
      </c>
      <c r="CO43" s="29">
        <f t="shared" ca="1" si="30"/>
        <v>2</v>
      </c>
      <c r="CP43" s="29">
        <f t="shared" ca="1" si="30"/>
        <v>3</v>
      </c>
      <c r="CQ43" s="29">
        <f t="shared" ca="1" si="30"/>
        <v>4</v>
      </c>
      <c r="CR43" s="29">
        <f t="shared" ca="1" si="30"/>
        <v>3</v>
      </c>
      <c r="CS43" s="29">
        <f t="shared" ca="1" si="30"/>
        <v>3</v>
      </c>
      <c r="CT43" s="29">
        <f t="shared" ca="1" si="30"/>
        <v>4</v>
      </c>
      <c r="CU43" s="29">
        <f t="shared" ca="1" si="30"/>
        <v>4</v>
      </c>
      <c r="CV43" s="29">
        <f t="shared" ca="1" si="21"/>
        <v>3</v>
      </c>
      <c r="CW43" s="29">
        <f t="shared" ca="1" si="21"/>
        <v>5</v>
      </c>
      <c r="CX43" s="29">
        <f t="shared" ca="1" si="21"/>
        <v>3</v>
      </c>
      <c r="CY43" s="29">
        <f t="shared" ca="1" si="21"/>
        <v>2</v>
      </c>
      <c r="CZ43" s="29">
        <f t="shared" ca="1" si="21"/>
        <v>0</v>
      </c>
      <c r="DA43" s="29">
        <f t="shared" ca="1" si="21"/>
        <v>6</v>
      </c>
      <c r="DB43" s="29">
        <f t="shared" ca="1" si="21"/>
        <v>2</v>
      </c>
      <c r="DC43" s="29">
        <f t="shared" ca="1" si="21"/>
        <v>3</v>
      </c>
      <c r="DD43" s="29">
        <f t="shared" ca="1" si="21"/>
        <v>3</v>
      </c>
      <c r="DE43" s="29">
        <f t="shared" ca="1" si="21"/>
        <v>4</v>
      </c>
      <c r="DF43" s="29">
        <f t="shared" ca="1" si="28"/>
        <v>3</v>
      </c>
      <c r="DG43" s="29">
        <f t="shared" ca="1" si="28"/>
        <v>4</v>
      </c>
      <c r="DH43" s="29">
        <f t="shared" ca="1" si="28"/>
        <v>1</v>
      </c>
      <c r="DI43" s="29">
        <f t="shared" ca="1" si="28"/>
        <v>5</v>
      </c>
      <c r="DJ43" s="29">
        <f t="shared" ca="1" si="28"/>
        <v>5</v>
      </c>
      <c r="DK43" s="29">
        <f t="shared" ca="1" si="28"/>
        <v>2</v>
      </c>
      <c r="DL43" s="29">
        <f t="shared" ca="1" si="28"/>
        <v>7</v>
      </c>
    </row>
    <row r="44" spans="1:116" ht="14.4" x14ac:dyDescent="0.3">
      <c r="A44" s="31">
        <v>386</v>
      </c>
      <c r="B44" s="28">
        <v>2.58</v>
      </c>
      <c r="C44" s="30">
        <v>40.04</v>
      </c>
      <c r="D44" s="28">
        <v>2.65</v>
      </c>
      <c r="E44" s="34">
        <f t="shared" si="0"/>
        <v>5.2999999999999999E-2</v>
      </c>
      <c r="F44" s="35">
        <f t="shared" si="1"/>
        <v>10.01</v>
      </c>
      <c r="G44" s="34">
        <f t="shared" si="2"/>
        <v>66.25</v>
      </c>
      <c r="H44" s="33">
        <f t="shared" si="7"/>
        <v>21.7984496124031</v>
      </c>
      <c r="I44" s="28">
        <f t="shared" si="8"/>
        <v>70.19</v>
      </c>
      <c r="J44" s="32">
        <v>1</v>
      </c>
      <c r="K44" s="30">
        <f t="shared" si="3"/>
        <v>10.01</v>
      </c>
      <c r="L44" s="56" t="s">
        <v>141</v>
      </c>
      <c r="M44" s="54" t="s">
        <v>140</v>
      </c>
      <c r="N44" s="30"/>
      <c r="O44" s="30"/>
      <c r="Q44" s="29">
        <f t="shared" ca="1" si="4"/>
        <v>3</v>
      </c>
      <c r="R44" s="29">
        <f t="shared" ca="1" si="29"/>
        <v>5</v>
      </c>
      <c r="S44" s="29">
        <f t="shared" ca="1" si="29"/>
        <v>2</v>
      </c>
      <c r="T44" s="29">
        <f t="shared" ca="1" si="29"/>
        <v>6</v>
      </c>
      <c r="U44" s="29">
        <f t="shared" ca="1" si="29"/>
        <v>0</v>
      </c>
      <c r="V44" s="29">
        <f t="shared" ca="1" si="29"/>
        <v>2</v>
      </c>
      <c r="W44" s="29">
        <f t="shared" ca="1" si="29"/>
        <v>3</v>
      </c>
      <c r="X44" s="29">
        <f t="shared" ca="1" si="29"/>
        <v>4</v>
      </c>
      <c r="Y44" s="29">
        <f t="shared" ca="1" si="29"/>
        <v>1</v>
      </c>
      <c r="Z44" s="29">
        <f t="shared" ca="1" si="29"/>
        <v>3</v>
      </c>
      <c r="AA44" s="29">
        <f t="shared" ca="1" si="29"/>
        <v>5</v>
      </c>
      <c r="AB44" s="29">
        <f t="shared" ca="1" si="29"/>
        <v>3</v>
      </c>
      <c r="AC44" s="29">
        <f t="shared" ca="1" si="29"/>
        <v>3</v>
      </c>
      <c r="AD44" s="29">
        <f t="shared" ca="1" si="29"/>
        <v>1</v>
      </c>
      <c r="AE44" s="29">
        <f t="shared" ca="1" si="29"/>
        <v>5</v>
      </c>
      <c r="AF44" s="29">
        <f t="shared" ca="1" si="29"/>
        <v>4</v>
      </c>
      <c r="AG44" s="29">
        <f t="shared" ca="1" si="26"/>
        <v>1</v>
      </c>
      <c r="AH44" s="29">
        <f t="shared" ca="1" si="26"/>
        <v>2</v>
      </c>
      <c r="AI44" s="29">
        <f t="shared" ca="1" si="26"/>
        <v>4</v>
      </c>
      <c r="AJ44" s="29">
        <f t="shared" ca="1" si="26"/>
        <v>3</v>
      </c>
      <c r="AK44" s="29">
        <f t="shared" ca="1" si="26"/>
        <v>3</v>
      </c>
      <c r="AL44" s="29">
        <f t="shared" ca="1" si="26"/>
        <v>2</v>
      </c>
      <c r="AM44" s="29">
        <f t="shared" ca="1" si="26"/>
        <v>2</v>
      </c>
      <c r="AN44" s="29">
        <f t="shared" ca="1" si="26"/>
        <v>2</v>
      </c>
      <c r="AO44" s="29">
        <f t="shared" ca="1" si="26"/>
        <v>6</v>
      </c>
      <c r="AP44" s="29">
        <f t="shared" ca="1" si="26"/>
        <v>4</v>
      </c>
      <c r="AQ44" s="29">
        <f t="shared" ca="1" si="26"/>
        <v>5</v>
      </c>
      <c r="AR44" s="29">
        <f t="shared" ca="1" si="26"/>
        <v>1</v>
      </c>
      <c r="AS44" s="29">
        <f t="shared" ca="1" si="26"/>
        <v>1</v>
      </c>
      <c r="AT44" s="29">
        <f t="shared" ca="1" si="26"/>
        <v>1</v>
      </c>
      <c r="AU44" s="29">
        <f t="shared" ca="1" si="26"/>
        <v>0</v>
      </c>
      <c r="AV44" s="29">
        <f t="shared" ca="1" si="22"/>
        <v>0</v>
      </c>
      <c r="AW44" s="29">
        <f t="shared" ca="1" si="22"/>
        <v>1</v>
      </c>
      <c r="AX44" s="29">
        <f t="shared" ca="1" si="22"/>
        <v>2</v>
      </c>
      <c r="AY44" s="29">
        <f t="shared" ca="1" si="22"/>
        <v>3</v>
      </c>
      <c r="AZ44" s="29">
        <f t="shared" ref="AZ44:BO59" ca="1" si="31">_xlfn.BINOM.INV(50,$E44,RAND())</f>
        <v>2</v>
      </c>
      <c r="BA44" s="29">
        <f t="shared" ca="1" si="31"/>
        <v>2</v>
      </c>
      <c r="BB44" s="29">
        <f t="shared" ca="1" si="31"/>
        <v>1</v>
      </c>
      <c r="BC44" s="29">
        <f t="shared" ca="1" si="31"/>
        <v>3</v>
      </c>
      <c r="BD44" s="29">
        <f t="shared" ca="1" si="31"/>
        <v>4</v>
      </c>
      <c r="BE44" s="29">
        <f t="shared" ca="1" si="31"/>
        <v>0</v>
      </c>
      <c r="BF44" s="29">
        <f t="shared" ca="1" si="31"/>
        <v>1</v>
      </c>
      <c r="BG44" s="29">
        <f t="shared" ca="1" si="31"/>
        <v>1</v>
      </c>
      <c r="BH44" s="29">
        <f t="shared" ca="1" si="31"/>
        <v>3</v>
      </c>
      <c r="BI44" s="29">
        <f t="shared" ca="1" si="31"/>
        <v>2</v>
      </c>
      <c r="BJ44" s="29">
        <f t="shared" ca="1" si="31"/>
        <v>2</v>
      </c>
      <c r="BK44" s="29">
        <f t="shared" ca="1" si="31"/>
        <v>2</v>
      </c>
      <c r="BL44" s="29">
        <f t="shared" ca="1" si="31"/>
        <v>2</v>
      </c>
      <c r="BM44" s="29">
        <f t="shared" ca="1" si="31"/>
        <v>5</v>
      </c>
      <c r="BN44" s="29">
        <f t="shared" ca="1" si="31"/>
        <v>4</v>
      </c>
      <c r="BO44" s="29">
        <f t="shared" ca="1" si="31"/>
        <v>4</v>
      </c>
      <c r="BP44" s="29">
        <f t="shared" ca="1" si="27"/>
        <v>4</v>
      </c>
      <c r="BQ44" s="29">
        <f t="shared" ca="1" si="27"/>
        <v>1</v>
      </c>
      <c r="BR44" s="29">
        <f t="shared" ca="1" si="27"/>
        <v>1</v>
      </c>
      <c r="BS44" s="29">
        <f t="shared" ca="1" si="27"/>
        <v>3</v>
      </c>
      <c r="BT44" s="29">
        <f t="shared" ca="1" si="27"/>
        <v>2</v>
      </c>
      <c r="BU44" s="29">
        <f t="shared" ca="1" si="27"/>
        <v>4</v>
      </c>
      <c r="BV44" s="29">
        <f t="shared" ca="1" si="27"/>
        <v>4</v>
      </c>
      <c r="BW44" s="29">
        <f t="shared" ca="1" si="27"/>
        <v>6</v>
      </c>
      <c r="BX44" s="29">
        <f t="shared" ca="1" si="27"/>
        <v>3</v>
      </c>
      <c r="BY44" s="29">
        <f t="shared" ca="1" si="27"/>
        <v>2</v>
      </c>
      <c r="BZ44" s="29">
        <f t="shared" ca="1" si="27"/>
        <v>2</v>
      </c>
      <c r="CA44" s="29">
        <f t="shared" ca="1" si="27"/>
        <v>1</v>
      </c>
      <c r="CB44" s="29">
        <f t="shared" ca="1" si="24"/>
        <v>5</v>
      </c>
      <c r="CC44" s="29">
        <f t="shared" ca="1" si="24"/>
        <v>1</v>
      </c>
      <c r="CD44" s="29">
        <f t="shared" ca="1" si="24"/>
        <v>3</v>
      </c>
      <c r="CE44" s="29">
        <f t="shared" ca="1" si="24"/>
        <v>2</v>
      </c>
      <c r="CF44" s="29">
        <f t="shared" ca="1" si="24"/>
        <v>1</v>
      </c>
      <c r="CG44" s="29">
        <f t="shared" ca="1" si="24"/>
        <v>2</v>
      </c>
      <c r="CH44" s="29">
        <f t="shared" ca="1" si="24"/>
        <v>2</v>
      </c>
      <c r="CI44" s="29">
        <f t="shared" ca="1" si="24"/>
        <v>3</v>
      </c>
      <c r="CJ44" s="29">
        <f t="shared" ca="1" si="24"/>
        <v>1</v>
      </c>
      <c r="CK44" s="29">
        <f t="shared" ca="1" si="24"/>
        <v>0</v>
      </c>
      <c r="CL44" s="29">
        <f t="shared" ca="1" si="24"/>
        <v>4</v>
      </c>
      <c r="CM44" s="29">
        <f t="shared" ca="1" si="24"/>
        <v>1</v>
      </c>
      <c r="CN44" s="29">
        <f t="shared" ca="1" si="24"/>
        <v>3</v>
      </c>
      <c r="CO44" s="29">
        <f t="shared" ca="1" si="24"/>
        <v>2</v>
      </c>
      <c r="CP44" s="29">
        <f t="shared" ca="1" si="24"/>
        <v>1</v>
      </c>
      <c r="CQ44" s="29">
        <f t="shared" ca="1" si="30"/>
        <v>6</v>
      </c>
      <c r="CR44" s="29">
        <f t="shared" ca="1" si="30"/>
        <v>6</v>
      </c>
      <c r="CS44" s="29">
        <f t="shared" ca="1" si="30"/>
        <v>1</v>
      </c>
      <c r="CT44" s="29">
        <f t="shared" ca="1" si="30"/>
        <v>6</v>
      </c>
      <c r="CU44" s="29">
        <f t="shared" ca="1" si="30"/>
        <v>4</v>
      </c>
      <c r="CV44" s="29">
        <f t="shared" ca="1" si="21"/>
        <v>3</v>
      </c>
      <c r="CW44" s="29">
        <f t="shared" ca="1" si="21"/>
        <v>2</v>
      </c>
      <c r="CX44" s="29">
        <f t="shared" ca="1" si="21"/>
        <v>4</v>
      </c>
      <c r="CY44" s="29">
        <f t="shared" ca="1" si="21"/>
        <v>2</v>
      </c>
      <c r="CZ44" s="29">
        <f t="shared" ca="1" si="21"/>
        <v>4</v>
      </c>
      <c r="DA44" s="29">
        <f t="shared" ca="1" si="21"/>
        <v>4</v>
      </c>
      <c r="DB44" s="29">
        <f t="shared" ca="1" si="21"/>
        <v>1</v>
      </c>
      <c r="DC44" s="29">
        <f t="shared" ca="1" si="21"/>
        <v>1</v>
      </c>
      <c r="DD44" s="29">
        <f t="shared" ca="1" si="21"/>
        <v>3</v>
      </c>
      <c r="DE44" s="29">
        <f t="shared" ca="1" si="21"/>
        <v>5</v>
      </c>
      <c r="DF44" s="29">
        <f t="shared" ca="1" si="28"/>
        <v>6</v>
      </c>
      <c r="DG44" s="29">
        <f t="shared" ca="1" si="28"/>
        <v>0</v>
      </c>
      <c r="DH44" s="29">
        <f t="shared" ca="1" si="28"/>
        <v>4</v>
      </c>
      <c r="DI44" s="29">
        <f t="shared" ca="1" si="28"/>
        <v>1</v>
      </c>
      <c r="DJ44" s="29">
        <f t="shared" ca="1" si="28"/>
        <v>2</v>
      </c>
      <c r="DK44" s="29">
        <f t="shared" ca="1" si="28"/>
        <v>1</v>
      </c>
      <c r="DL44" s="29">
        <f t="shared" ca="1" si="28"/>
        <v>0</v>
      </c>
    </row>
    <row r="45" spans="1:116" ht="14.4" x14ac:dyDescent="0.3">
      <c r="A45" s="31">
        <v>480</v>
      </c>
      <c r="B45" s="28">
        <v>2.25</v>
      </c>
      <c r="C45" s="30">
        <v>45.33</v>
      </c>
      <c r="D45" s="28">
        <v>2.4</v>
      </c>
      <c r="E45" s="34">
        <f t="shared" si="0"/>
        <v>4.8000000000000001E-2</v>
      </c>
      <c r="F45" s="35">
        <f t="shared" si="1"/>
        <v>11.3325</v>
      </c>
      <c r="G45" s="34">
        <f t="shared" si="2"/>
        <v>60</v>
      </c>
      <c r="H45" s="33">
        <f t="shared" si="7"/>
        <v>21.630000000000003</v>
      </c>
      <c r="I45" s="28">
        <f t="shared" si="8"/>
        <v>72.44</v>
      </c>
      <c r="J45" s="32">
        <v>1</v>
      </c>
      <c r="K45" s="30">
        <f t="shared" si="3"/>
        <v>11.3325</v>
      </c>
      <c r="L45" s="30"/>
      <c r="M45" s="30"/>
      <c r="N45" s="30"/>
      <c r="O45" s="30"/>
      <c r="Q45" s="29">
        <f t="shared" ca="1" si="4"/>
        <v>1</v>
      </c>
      <c r="R45" s="29">
        <f t="shared" ca="1" si="29"/>
        <v>1</v>
      </c>
      <c r="S45" s="29">
        <f t="shared" ca="1" si="29"/>
        <v>4</v>
      </c>
      <c r="T45" s="29">
        <f t="shared" ca="1" si="29"/>
        <v>2</v>
      </c>
      <c r="U45" s="29">
        <f t="shared" ca="1" si="29"/>
        <v>4</v>
      </c>
      <c r="V45" s="29">
        <f t="shared" ca="1" si="29"/>
        <v>1</v>
      </c>
      <c r="W45" s="29">
        <f t="shared" ca="1" si="29"/>
        <v>5</v>
      </c>
      <c r="X45" s="29">
        <f t="shared" ca="1" si="29"/>
        <v>2</v>
      </c>
      <c r="Y45" s="29">
        <f t="shared" ca="1" si="29"/>
        <v>1</v>
      </c>
      <c r="Z45" s="29">
        <f t="shared" ca="1" si="29"/>
        <v>3</v>
      </c>
      <c r="AA45" s="29">
        <f t="shared" ca="1" si="29"/>
        <v>5</v>
      </c>
      <c r="AB45" s="29">
        <f t="shared" ca="1" si="29"/>
        <v>2</v>
      </c>
      <c r="AC45" s="29">
        <f t="shared" ca="1" si="29"/>
        <v>2</v>
      </c>
      <c r="AD45" s="29">
        <f t="shared" ca="1" si="29"/>
        <v>4</v>
      </c>
      <c r="AE45" s="29">
        <f t="shared" ca="1" si="29"/>
        <v>0</v>
      </c>
      <c r="AF45" s="29">
        <f t="shared" ca="1" si="29"/>
        <v>5</v>
      </c>
      <c r="AG45" s="29">
        <f t="shared" ca="1" si="26"/>
        <v>3</v>
      </c>
      <c r="AH45" s="29">
        <f t="shared" ca="1" si="26"/>
        <v>1</v>
      </c>
      <c r="AI45" s="29">
        <f t="shared" ca="1" si="26"/>
        <v>3</v>
      </c>
      <c r="AJ45" s="29">
        <f t="shared" ca="1" si="26"/>
        <v>3</v>
      </c>
      <c r="AK45" s="29">
        <f t="shared" ca="1" si="26"/>
        <v>4</v>
      </c>
      <c r="AL45" s="29">
        <f t="shared" ca="1" si="26"/>
        <v>1</v>
      </c>
      <c r="AM45" s="29">
        <f t="shared" ca="1" si="26"/>
        <v>0</v>
      </c>
      <c r="AN45" s="29">
        <f t="shared" ca="1" si="26"/>
        <v>6</v>
      </c>
      <c r="AO45" s="29">
        <f t="shared" ca="1" si="26"/>
        <v>2</v>
      </c>
      <c r="AP45" s="29">
        <f t="shared" ca="1" si="26"/>
        <v>7</v>
      </c>
      <c r="AQ45" s="29">
        <f t="shared" ca="1" si="26"/>
        <v>2</v>
      </c>
      <c r="AR45" s="29">
        <f t="shared" ca="1" si="26"/>
        <v>2</v>
      </c>
      <c r="AS45" s="29">
        <f t="shared" ca="1" si="26"/>
        <v>3</v>
      </c>
      <c r="AT45" s="29">
        <f t="shared" ca="1" si="26"/>
        <v>1</v>
      </c>
      <c r="AU45" s="29">
        <f t="shared" ca="1" si="26"/>
        <v>2</v>
      </c>
      <c r="AV45" s="29">
        <f t="shared" ref="AV45:BK60" ca="1" si="32">_xlfn.BINOM.INV(50,$E45,RAND())</f>
        <v>3</v>
      </c>
      <c r="AW45" s="29">
        <f t="shared" ca="1" si="32"/>
        <v>3</v>
      </c>
      <c r="AX45" s="29">
        <f t="shared" ca="1" si="32"/>
        <v>2</v>
      </c>
      <c r="AY45" s="29">
        <f t="shared" ca="1" si="32"/>
        <v>3</v>
      </c>
      <c r="AZ45" s="29">
        <f t="shared" ca="1" si="32"/>
        <v>3</v>
      </c>
      <c r="BA45" s="29">
        <f t="shared" ca="1" si="32"/>
        <v>1</v>
      </c>
      <c r="BB45" s="29">
        <f t="shared" ca="1" si="32"/>
        <v>2</v>
      </c>
      <c r="BC45" s="29">
        <f t="shared" ca="1" si="32"/>
        <v>2</v>
      </c>
      <c r="BD45" s="29">
        <f t="shared" ca="1" si="32"/>
        <v>3</v>
      </c>
      <c r="BE45" s="29">
        <f t="shared" ca="1" si="32"/>
        <v>2</v>
      </c>
      <c r="BF45" s="29">
        <f t="shared" ca="1" si="32"/>
        <v>3</v>
      </c>
      <c r="BG45" s="29">
        <f t="shared" ca="1" si="32"/>
        <v>5</v>
      </c>
      <c r="BH45" s="29">
        <f t="shared" ca="1" si="32"/>
        <v>2</v>
      </c>
      <c r="BI45" s="29">
        <f t="shared" ca="1" si="32"/>
        <v>4</v>
      </c>
      <c r="BJ45" s="29">
        <f t="shared" ca="1" si="32"/>
        <v>3</v>
      </c>
      <c r="BK45" s="29">
        <f t="shared" ca="1" si="32"/>
        <v>2</v>
      </c>
      <c r="BL45" s="29">
        <f t="shared" ca="1" si="31"/>
        <v>2</v>
      </c>
      <c r="BM45" s="29">
        <f t="shared" ca="1" si="31"/>
        <v>3</v>
      </c>
      <c r="BN45" s="29">
        <f t="shared" ca="1" si="31"/>
        <v>3</v>
      </c>
      <c r="BO45" s="29">
        <f t="shared" ca="1" si="31"/>
        <v>0</v>
      </c>
      <c r="BP45" s="29">
        <f t="shared" ca="1" si="27"/>
        <v>4</v>
      </c>
      <c r="BQ45" s="29">
        <f t="shared" ca="1" si="27"/>
        <v>2</v>
      </c>
      <c r="BR45" s="29">
        <f t="shared" ca="1" si="27"/>
        <v>3</v>
      </c>
      <c r="BS45" s="29">
        <f t="shared" ca="1" si="27"/>
        <v>4</v>
      </c>
      <c r="BT45" s="29">
        <f t="shared" ca="1" si="27"/>
        <v>1</v>
      </c>
      <c r="BU45" s="29">
        <f t="shared" ca="1" si="27"/>
        <v>1</v>
      </c>
      <c r="BV45" s="29">
        <f t="shared" ca="1" si="27"/>
        <v>1</v>
      </c>
      <c r="BW45" s="29">
        <f t="shared" ca="1" si="27"/>
        <v>2</v>
      </c>
      <c r="BX45" s="29">
        <f t="shared" ca="1" si="27"/>
        <v>3</v>
      </c>
      <c r="BY45" s="29">
        <f t="shared" ca="1" si="27"/>
        <v>1</v>
      </c>
      <c r="BZ45" s="29">
        <f t="shared" ca="1" si="27"/>
        <v>2</v>
      </c>
      <c r="CA45" s="29">
        <f t="shared" ca="1" si="27"/>
        <v>1</v>
      </c>
      <c r="CB45" s="29">
        <f t="shared" ca="1" si="24"/>
        <v>1</v>
      </c>
      <c r="CC45" s="29">
        <f t="shared" ca="1" si="24"/>
        <v>5</v>
      </c>
      <c r="CD45" s="29">
        <f t="shared" ca="1" si="24"/>
        <v>2</v>
      </c>
      <c r="CE45" s="29">
        <f t="shared" ca="1" si="24"/>
        <v>2</v>
      </c>
      <c r="CF45" s="29">
        <f t="shared" ca="1" si="24"/>
        <v>6</v>
      </c>
      <c r="CG45" s="29">
        <f t="shared" ca="1" si="24"/>
        <v>2</v>
      </c>
      <c r="CH45" s="29">
        <f t="shared" ca="1" si="24"/>
        <v>1</v>
      </c>
      <c r="CI45" s="29">
        <f t="shared" ca="1" si="24"/>
        <v>5</v>
      </c>
      <c r="CJ45" s="29">
        <f t="shared" ca="1" si="24"/>
        <v>3</v>
      </c>
      <c r="CK45" s="29">
        <f t="shared" ca="1" si="24"/>
        <v>2</v>
      </c>
      <c r="CL45" s="29">
        <f t="shared" ca="1" si="24"/>
        <v>3</v>
      </c>
      <c r="CM45" s="29">
        <f t="shared" ca="1" si="24"/>
        <v>1</v>
      </c>
      <c r="CN45" s="29">
        <f t="shared" ca="1" si="24"/>
        <v>2</v>
      </c>
      <c r="CO45" s="29">
        <f t="shared" ca="1" si="24"/>
        <v>1</v>
      </c>
      <c r="CP45" s="29">
        <f t="shared" ca="1" si="24"/>
        <v>2</v>
      </c>
      <c r="CQ45" s="29">
        <f t="shared" ca="1" si="30"/>
        <v>1</v>
      </c>
      <c r="CR45" s="29">
        <f t="shared" ca="1" si="30"/>
        <v>7</v>
      </c>
      <c r="CS45" s="29">
        <f t="shared" ca="1" si="30"/>
        <v>2</v>
      </c>
      <c r="CT45" s="29">
        <f t="shared" ca="1" si="30"/>
        <v>1</v>
      </c>
      <c r="CU45" s="29">
        <f t="shared" ca="1" si="30"/>
        <v>3</v>
      </c>
      <c r="CV45" s="29">
        <f t="shared" ca="1" si="21"/>
        <v>3</v>
      </c>
      <c r="CW45" s="29">
        <f t="shared" ca="1" si="21"/>
        <v>6</v>
      </c>
      <c r="CX45" s="29">
        <f t="shared" ca="1" si="21"/>
        <v>3</v>
      </c>
      <c r="CY45" s="29">
        <f t="shared" ca="1" si="21"/>
        <v>1</v>
      </c>
      <c r="CZ45" s="29">
        <f t="shared" ca="1" si="21"/>
        <v>4</v>
      </c>
      <c r="DA45" s="29">
        <f t="shared" ca="1" si="21"/>
        <v>4</v>
      </c>
      <c r="DB45" s="29">
        <f t="shared" ca="1" si="21"/>
        <v>1</v>
      </c>
      <c r="DC45" s="29">
        <f t="shared" ca="1" si="21"/>
        <v>1</v>
      </c>
      <c r="DD45" s="29">
        <f t="shared" ca="1" si="21"/>
        <v>4</v>
      </c>
      <c r="DE45" s="29">
        <f t="shared" ca="1" si="21"/>
        <v>4</v>
      </c>
      <c r="DF45" s="29">
        <f t="shared" ca="1" si="28"/>
        <v>1</v>
      </c>
      <c r="DG45" s="29">
        <f t="shared" ca="1" si="28"/>
        <v>1</v>
      </c>
      <c r="DH45" s="29">
        <f t="shared" ca="1" si="28"/>
        <v>2</v>
      </c>
      <c r="DI45" s="29">
        <f t="shared" ca="1" si="28"/>
        <v>0</v>
      </c>
      <c r="DJ45" s="29">
        <f t="shared" ca="1" si="28"/>
        <v>2</v>
      </c>
      <c r="DK45" s="29">
        <f t="shared" ca="1" si="28"/>
        <v>2</v>
      </c>
      <c r="DL45" s="29">
        <f t="shared" ca="1" si="28"/>
        <v>7</v>
      </c>
    </row>
    <row r="46" spans="1:116" ht="14.4" x14ac:dyDescent="0.3">
      <c r="A46" s="31">
        <v>983</v>
      </c>
      <c r="B46" s="28">
        <v>2.87</v>
      </c>
      <c r="C46" s="30">
        <v>48.29</v>
      </c>
      <c r="D46" s="28">
        <v>2.9</v>
      </c>
      <c r="E46" s="34">
        <f t="shared" si="0"/>
        <v>5.7999999999999996E-2</v>
      </c>
      <c r="F46" s="35">
        <f t="shared" si="1"/>
        <v>12.0725</v>
      </c>
      <c r="G46" s="34">
        <f t="shared" si="2"/>
        <v>72.5</v>
      </c>
      <c r="H46" s="33">
        <f t="shared" si="7"/>
        <v>21.054878048780488</v>
      </c>
      <c r="I46" s="28">
        <f t="shared" si="8"/>
        <v>75.31</v>
      </c>
      <c r="J46" s="32">
        <v>1</v>
      </c>
      <c r="K46" s="30">
        <f t="shared" si="3"/>
        <v>12.0725</v>
      </c>
      <c r="L46" s="30"/>
      <c r="M46" s="30"/>
      <c r="N46" s="30"/>
      <c r="O46" s="30"/>
      <c r="Q46" s="29">
        <f t="shared" ca="1" si="4"/>
        <v>5</v>
      </c>
      <c r="R46" s="29">
        <f t="shared" ca="1" si="29"/>
        <v>3</v>
      </c>
      <c r="S46" s="29">
        <f t="shared" ca="1" si="29"/>
        <v>3</v>
      </c>
      <c r="T46" s="29">
        <f t="shared" ca="1" si="29"/>
        <v>4</v>
      </c>
      <c r="U46" s="29">
        <f t="shared" ca="1" si="29"/>
        <v>3</v>
      </c>
      <c r="V46" s="29">
        <f t="shared" ca="1" si="29"/>
        <v>5</v>
      </c>
      <c r="W46" s="29">
        <f t="shared" ca="1" si="29"/>
        <v>5</v>
      </c>
      <c r="X46" s="29">
        <f t="shared" ca="1" si="29"/>
        <v>1</v>
      </c>
      <c r="Y46" s="29">
        <f t="shared" ca="1" si="29"/>
        <v>7</v>
      </c>
      <c r="Z46" s="29">
        <f t="shared" ca="1" si="29"/>
        <v>2</v>
      </c>
      <c r="AA46" s="29">
        <f t="shared" ca="1" si="29"/>
        <v>1</v>
      </c>
      <c r="AB46" s="29">
        <f t="shared" ca="1" si="29"/>
        <v>5</v>
      </c>
      <c r="AC46" s="29">
        <f t="shared" ca="1" si="29"/>
        <v>7</v>
      </c>
      <c r="AD46" s="29">
        <f t="shared" ca="1" si="29"/>
        <v>1</v>
      </c>
      <c r="AE46" s="29">
        <f t="shared" ca="1" si="29"/>
        <v>1</v>
      </c>
      <c r="AF46" s="29">
        <f t="shared" ca="1" si="29"/>
        <v>3</v>
      </c>
      <c r="AG46" s="29">
        <f t="shared" ca="1" si="26"/>
        <v>3</v>
      </c>
      <c r="AH46" s="29">
        <f t="shared" ca="1" si="26"/>
        <v>1</v>
      </c>
      <c r="AI46" s="29">
        <f t="shared" ca="1" si="26"/>
        <v>4</v>
      </c>
      <c r="AJ46" s="29">
        <f t="shared" ca="1" si="26"/>
        <v>2</v>
      </c>
      <c r="AK46" s="29">
        <f t="shared" ca="1" si="26"/>
        <v>3</v>
      </c>
      <c r="AL46" s="29">
        <f t="shared" ca="1" si="26"/>
        <v>3</v>
      </c>
      <c r="AM46" s="29">
        <f t="shared" ca="1" si="26"/>
        <v>0</v>
      </c>
      <c r="AN46" s="29">
        <f t="shared" ca="1" si="26"/>
        <v>2</v>
      </c>
      <c r="AO46" s="29">
        <f t="shared" ca="1" si="26"/>
        <v>4</v>
      </c>
      <c r="AP46" s="29">
        <f t="shared" ca="1" si="26"/>
        <v>3</v>
      </c>
      <c r="AQ46" s="29">
        <f t="shared" ca="1" si="26"/>
        <v>4</v>
      </c>
      <c r="AR46" s="29">
        <f t="shared" ca="1" si="26"/>
        <v>3</v>
      </c>
      <c r="AS46" s="29">
        <f t="shared" ca="1" si="26"/>
        <v>1</v>
      </c>
      <c r="AT46" s="29">
        <f t="shared" ca="1" si="26"/>
        <v>3</v>
      </c>
      <c r="AU46" s="29">
        <f t="shared" ca="1" si="26"/>
        <v>2</v>
      </c>
      <c r="AV46" s="29">
        <f t="shared" ca="1" si="32"/>
        <v>6</v>
      </c>
      <c r="AW46" s="29">
        <f t="shared" ca="1" si="32"/>
        <v>4</v>
      </c>
      <c r="AX46" s="29">
        <f t="shared" ca="1" si="32"/>
        <v>3</v>
      </c>
      <c r="AY46" s="29">
        <f t="shared" ca="1" si="32"/>
        <v>3</v>
      </c>
      <c r="AZ46" s="29">
        <f t="shared" ca="1" si="32"/>
        <v>2</v>
      </c>
      <c r="BA46" s="29">
        <f t="shared" ca="1" si="32"/>
        <v>1</v>
      </c>
      <c r="BB46" s="29">
        <f t="shared" ca="1" si="32"/>
        <v>1</v>
      </c>
      <c r="BC46" s="29">
        <f t="shared" ca="1" si="32"/>
        <v>1</v>
      </c>
      <c r="BD46" s="29">
        <f t="shared" ca="1" si="32"/>
        <v>3</v>
      </c>
      <c r="BE46" s="29">
        <f t="shared" ca="1" si="32"/>
        <v>2</v>
      </c>
      <c r="BF46" s="29">
        <f t="shared" ca="1" si="32"/>
        <v>5</v>
      </c>
      <c r="BG46" s="29">
        <f t="shared" ca="1" si="32"/>
        <v>2</v>
      </c>
      <c r="BH46" s="29">
        <f t="shared" ca="1" si="32"/>
        <v>1</v>
      </c>
      <c r="BI46" s="29">
        <f t="shared" ca="1" si="32"/>
        <v>1</v>
      </c>
      <c r="BJ46" s="29">
        <f t="shared" ca="1" si="32"/>
        <v>3</v>
      </c>
      <c r="BK46" s="29">
        <f t="shared" ca="1" si="32"/>
        <v>2</v>
      </c>
      <c r="BL46" s="29">
        <f t="shared" ca="1" si="31"/>
        <v>4</v>
      </c>
      <c r="BM46" s="29">
        <f t="shared" ca="1" si="31"/>
        <v>3</v>
      </c>
      <c r="BN46" s="29">
        <f t="shared" ca="1" si="31"/>
        <v>3</v>
      </c>
      <c r="BO46" s="29">
        <f t="shared" ca="1" si="31"/>
        <v>4</v>
      </c>
      <c r="BP46" s="29">
        <f t="shared" ca="1" si="27"/>
        <v>2</v>
      </c>
      <c r="BQ46" s="29">
        <f t="shared" ca="1" si="27"/>
        <v>2</v>
      </c>
      <c r="BR46" s="29">
        <f t="shared" ca="1" si="27"/>
        <v>4</v>
      </c>
      <c r="BS46" s="29">
        <f t="shared" ca="1" si="27"/>
        <v>2</v>
      </c>
      <c r="BT46" s="29">
        <f t="shared" ca="1" si="27"/>
        <v>1</v>
      </c>
      <c r="BU46" s="29">
        <f t="shared" ca="1" si="27"/>
        <v>3</v>
      </c>
      <c r="BV46" s="29">
        <f t="shared" ca="1" si="27"/>
        <v>6</v>
      </c>
      <c r="BW46" s="29">
        <f t="shared" ca="1" si="27"/>
        <v>5</v>
      </c>
      <c r="BX46" s="29">
        <f t="shared" ca="1" si="27"/>
        <v>0</v>
      </c>
      <c r="BY46" s="29">
        <f t="shared" ca="1" si="27"/>
        <v>3</v>
      </c>
      <c r="BZ46" s="29">
        <f t="shared" ca="1" si="27"/>
        <v>4</v>
      </c>
      <c r="CA46" s="29">
        <f t="shared" ca="1" si="27"/>
        <v>3</v>
      </c>
      <c r="CB46" s="29">
        <f t="shared" ca="1" si="24"/>
        <v>1</v>
      </c>
      <c r="CC46" s="29">
        <f t="shared" ca="1" si="24"/>
        <v>3</v>
      </c>
      <c r="CD46" s="29">
        <f t="shared" ca="1" si="24"/>
        <v>0</v>
      </c>
      <c r="CE46" s="29">
        <f t="shared" ca="1" si="24"/>
        <v>0</v>
      </c>
      <c r="CF46" s="29">
        <f t="shared" ca="1" si="24"/>
        <v>5</v>
      </c>
      <c r="CG46" s="29">
        <f t="shared" ca="1" si="24"/>
        <v>1</v>
      </c>
      <c r="CH46" s="29">
        <f t="shared" ca="1" si="24"/>
        <v>4</v>
      </c>
      <c r="CI46" s="29">
        <f t="shared" ca="1" si="24"/>
        <v>4</v>
      </c>
      <c r="CJ46" s="29">
        <f t="shared" ca="1" si="24"/>
        <v>6</v>
      </c>
      <c r="CK46" s="29">
        <f t="shared" ca="1" si="24"/>
        <v>0</v>
      </c>
      <c r="CL46" s="29">
        <f t="shared" ca="1" si="24"/>
        <v>1</v>
      </c>
      <c r="CM46" s="29">
        <f t="shared" ca="1" si="24"/>
        <v>3</v>
      </c>
      <c r="CN46" s="29">
        <f t="shared" ca="1" si="24"/>
        <v>3</v>
      </c>
      <c r="CO46" s="29">
        <f t="shared" ca="1" si="24"/>
        <v>0</v>
      </c>
      <c r="CP46" s="29">
        <f t="shared" ca="1" si="24"/>
        <v>2</v>
      </c>
      <c r="CQ46" s="29">
        <f t="shared" ca="1" si="30"/>
        <v>3</v>
      </c>
      <c r="CR46" s="29">
        <f t="shared" ca="1" si="30"/>
        <v>2</v>
      </c>
      <c r="CS46" s="29">
        <f t="shared" ca="1" si="30"/>
        <v>0</v>
      </c>
      <c r="CT46" s="29">
        <f t="shared" ca="1" si="30"/>
        <v>4</v>
      </c>
      <c r="CU46" s="29">
        <f t="shared" ca="1" si="30"/>
        <v>3</v>
      </c>
      <c r="CV46" s="29">
        <f t="shared" ca="1" si="21"/>
        <v>1</v>
      </c>
      <c r="CW46" s="29">
        <f t="shared" ref="CW46:DL62" ca="1" si="33">_xlfn.BINOM.INV(50,$E46,RAND())</f>
        <v>3</v>
      </c>
      <c r="CX46" s="29">
        <f t="shared" ca="1" si="33"/>
        <v>4</v>
      </c>
      <c r="CY46" s="29">
        <f t="shared" ca="1" si="33"/>
        <v>3</v>
      </c>
      <c r="CZ46" s="29">
        <f t="shared" ca="1" si="33"/>
        <v>3</v>
      </c>
      <c r="DA46" s="29">
        <f t="shared" ca="1" si="33"/>
        <v>1</v>
      </c>
      <c r="DB46" s="29">
        <f t="shared" ca="1" si="33"/>
        <v>0</v>
      </c>
      <c r="DC46" s="29">
        <f t="shared" ca="1" si="33"/>
        <v>3</v>
      </c>
      <c r="DD46" s="29">
        <f t="shared" ca="1" si="33"/>
        <v>3</v>
      </c>
      <c r="DE46" s="29">
        <f t="shared" ca="1" si="33"/>
        <v>5</v>
      </c>
      <c r="DF46" s="29">
        <f t="shared" ca="1" si="33"/>
        <v>2</v>
      </c>
      <c r="DG46" s="29">
        <f t="shared" ca="1" si="33"/>
        <v>3</v>
      </c>
      <c r="DH46" s="29">
        <f t="shared" ca="1" si="33"/>
        <v>3</v>
      </c>
      <c r="DI46" s="29">
        <f t="shared" ca="1" si="33"/>
        <v>1</v>
      </c>
      <c r="DJ46" s="29">
        <f t="shared" ca="1" si="33"/>
        <v>4</v>
      </c>
      <c r="DK46" s="29">
        <f t="shared" ca="1" si="33"/>
        <v>2</v>
      </c>
      <c r="DL46" s="29">
        <f t="shared" ca="1" si="33"/>
        <v>3</v>
      </c>
    </row>
    <row r="47" spans="1:116" ht="14.4" x14ac:dyDescent="0.3">
      <c r="A47" s="31">
        <v>266</v>
      </c>
      <c r="B47" s="28">
        <v>2.16</v>
      </c>
      <c r="C47" s="30">
        <v>62.25</v>
      </c>
      <c r="D47" s="28">
        <v>2.42</v>
      </c>
      <c r="E47" s="34">
        <f t="shared" si="0"/>
        <v>4.8399999999999999E-2</v>
      </c>
      <c r="F47" s="35">
        <f t="shared" si="1"/>
        <v>15.5625</v>
      </c>
      <c r="G47" s="34">
        <f t="shared" si="2"/>
        <v>60.5</v>
      </c>
      <c r="H47" s="33">
        <f t="shared" si="7"/>
        <v>20.804398148148145</v>
      </c>
      <c r="I47" s="28">
        <f t="shared" si="8"/>
        <v>77.47</v>
      </c>
      <c r="J47" s="32">
        <v>1</v>
      </c>
      <c r="K47" s="30">
        <f t="shared" si="3"/>
        <v>15.5625</v>
      </c>
      <c r="L47" s="30"/>
      <c r="M47" s="30"/>
      <c r="N47" s="30"/>
      <c r="O47" s="30"/>
      <c r="Q47" s="29">
        <f t="shared" ca="1" si="4"/>
        <v>4</v>
      </c>
      <c r="R47" s="29">
        <f t="shared" ca="1" si="29"/>
        <v>2</v>
      </c>
      <c r="S47" s="29">
        <f t="shared" ca="1" si="29"/>
        <v>1</v>
      </c>
      <c r="T47" s="29">
        <f t="shared" ca="1" si="29"/>
        <v>2</v>
      </c>
      <c r="U47" s="29">
        <f t="shared" ca="1" si="29"/>
        <v>0</v>
      </c>
      <c r="V47" s="29">
        <f t="shared" ca="1" si="29"/>
        <v>0</v>
      </c>
      <c r="W47" s="29">
        <f t="shared" ca="1" si="29"/>
        <v>1</v>
      </c>
      <c r="X47" s="29">
        <f t="shared" ca="1" si="29"/>
        <v>1</v>
      </c>
      <c r="Y47" s="29">
        <f t="shared" ca="1" si="29"/>
        <v>3</v>
      </c>
      <c r="Z47" s="29">
        <f t="shared" ca="1" si="29"/>
        <v>1</v>
      </c>
      <c r="AA47" s="29">
        <f t="shared" ca="1" si="29"/>
        <v>5</v>
      </c>
      <c r="AB47" s="29">
        <f t="shared" ca="1" si="29"/>
        <v>0</v>
      </c>
      <c r="AC47" s="29">
        <f t="shared" ca="1" si="29"/>
        <v>0</v>
      </c>
      <c r="AD47" s="29">
        <f t="shared" ca="1" si="29"/>
        <v>2</v>
      </c>
      <c r="AE47" s="29">
        <f t="shared" ca="1" si="29"/>
        <v>1</v>
      </c>
      <c r="AF47" s="29">
        <f t="shared" ca="1" si="29"/>
        <v>1</v>
      </c>
      <c r="AG47" s="29">
        <f t="shared" ca="1" si="26"/>
        <v>6</v>
      </c>
      <c r="AH47" s="29">
        <f t="shared" ca="1" si="26"/>
        <v>2</v>
      </c>
      <c r="AI47" s="29">
        <f t="shared" ca="1" si="26"/>
        <v>2</v>
      </c>
      <c r="AJ47" s="29">
        <f t="shared" ca="1" si="26"/>
        <v>1</v>
      </c>
      <c r="AK47" s="29">
        <f t="shared" ca="1" si="26"/>
        <v>6</v>
      </c>
      <c r="AL47" s="29">
        <f t="shared" ca="1" si="26"/>
        <v>3</v>
      </c>
      <c r="AM47" s="29">
        <f t="shared" ca="1" si="26"/>
        <v>4</v>
      </c>
      <c r="AN47" s="29">
        <f t="shared" ca="1" si="26"/>
        <v>1</v>
      </c>
      <c r="AO47" s="29">
        <f t="shared" ca="1" si="26"/>
        <v>4</v>
      </c>
      <c r="AP47" s="29">
        <f t="shared" ca="1" si="26"/>
        <v>6</v>
      </c>
      <c r="AQ47" s="29">
        <f t="shared" ca="1" si="26"/>
        <v>2</v>
      </c>
      <c r="AR47" s="29">
        <f t="shared" ca="1" si="26"/>
        <v>4</v>
      </c>
      <c r="AS47" s="29">
        <f t="shared" ca="1" si="26"/>
        <v>4</v>
      </c>
      <c r="AT47" s="29">
        <f t="shared" ca="1" si="26"/>
        <v>4</v>
      </c>
      <c r="AU47" s="29">
        <f t="shared" ca="1" si="26"/>
        <v>1</v>
      </c>
      <c r="AV47" s="29">
        <f t="shared" ca="1" si="32"/>
        <v>5</v>
      </c>
      <c r="AW47" s="29">
        <f t="shared" ca="1" si="32"/>
        <v>1</v>
      </c>
      <c r="AX47" s="29">
        <f t="shared" ca="1" si="32"/>
        <v>1</v>
      </c>
      <c r="AY47" s="29">
        <f t="shared" ca="1" si="32"/>
        <v>1</v>
      </c>
      <c r="AZ47" s="29">
        <f t="shared" ca="1" si="32"/>
        <v>2</v>
      </c>
      <c r="BA47" s="29">
        <f t="shared" ca="1" si="32"/>
        <v>2</v>
      </c>
      <c r="BB47" s="29">
        <f t="shared" ca="1" si="32"/>
        <v>0</v>
      </c>
      <c r="BC47" s="29">
        <f t="shared" ca="1" si="32"/>
        <v>2</v>
      </c>
      <c r="BD47" s="29">
        <f t="shared" ca="1" si="32"/>
        <v>1</v>
      </c>
      <c r="BE47" s="29">
        <f t="shared" ca="1" si="32"/>
        <v>4</v>
      </c>
      <c r="BF47" s="29">
        <f t="shared" ca="1" si="32"/>
        <v>2</v>
      </c>
      <c r="BG47" s="29">
        <f t="shared" ca="1" si="32"/>
        <v>4</v>
      </c>
      <c r="BH47" s="29">
        <f t="shared" ca="1" si="32"/>
        <v>1</v>
      </c>
      <c r="BI47" s="29">
        <f t="shared" ca="1" si="32"/>
        <v>1</v>
      </c>
      <c r="BJ47" s="29">
        <f t="shared" ca="1" si="32"/>
        <v>3</v>
      </c>
      <c r="BK47" s="29">
        <f t="shared" ca="1" si="32"/>
        <v>1</v>
      </c>
      <c r="BL47" s="29">
        <f t="shared" ca="1" si="31"/>
        <v>3</v>
      </c>
      <c r="BM47" s="29">
        <f t="shared" ca="1" si="31"/>
        <v>2</v>
      </c>
      <c r="BN47" s="29">
        <f t="shared" ca="1" si="31"/>
        <v>5</v>
      </c>
      <c r="BO47" s="29">
        <f t="shared" ca="1" si="31"/>
        <v>1</v>
      </c>
      <c r="BP47" s="29">
        <f t="shared" ca="1" si="27"/>
        <v>1</v>
      </c>
      <c r="BQ47" s="29">
        <f t="shared" ca="1" si="27"/>
        <v>3</v>
      </c>
      <c r="BR47" s="29">
        <f t="shared" ca="1" si="27"/>
        <v>2</v>
      </c>
      <c r="BS47" s="29">
        <f t="shared" ca="1" si="27"/>
        <v>1</v>
      </c>
      <c r="BT47" s="29">
        <f t="shared" ca="1" si="27"/>
        <v>3</v>
      </c>
      <c r="BU47" s="29">
        <f t="shared" ca="1" si="27"/>
        <v>2</v>
      </c>
      <c r="BV47" s="29">
        <f t="shared" ca="1" si="27"/>
        <v>6</v>
      </c>
      <c r="BW47" s="29">
        <f t="shared" ca="1" si="27"/>
        <v>2</v>
      </c>
      <c r="BX47" s="29">
        <f t="shared" ca="1" si="27"/>
        <v>5</v>
      </c>
      <c r="BY47" s="29">
        <f t="shared" ca="1" si="27"/>
        <v>2</v>
      </c>
      <c r="BZ47" s="29">
        <f t="shared" ca="1" si="27"/>
        <v>2</v>
      </c>
      <c r="CA47" s="29">
        <f t="shared" ca="1" si="27"/>
        <v>2</v>
      </c>
      <c r="CB47" s="29">
        <f t="shared" ca="1" si="24"/>
        <v>0</v>
      </c>
      <c r="CC47" s="29">
        <f t="shared" ca="1" si="24"/>
        <v>3</v>
      </c>
      <c r="CD47" s="29">
        <f t="shared" ca="1" si="24"/>
        <v>1</v>
      </c>
      <c r="CE47" s="29">
        <f t="shared" ca="1" si="24"/>
        <v>3</v>
      </c>
      <c r="CF47" s="29">
        <f t="shared" ca="1" si="24"/>
        <v>2</v>
      </c>
      <c r="CG47" s="29">
        <f t="shared" ca="1" si="24"/>
        <v>2</v>
      </c>
      <c r="CH47" s="29">
        <f t="shared" ca="1" si="24"/>
        <v>1</v>
      </c>
      <c r="CI47" s="29">
        <f t="shared" ca="1" si="24"/>
        <v>3</v>
      </c>
      <c r="CJ47" s="29">
        <f t="shared" ca="1" si="24"/>
        <v>2</v>
      </c>
      <c r="CK47" s="29">
        <f t="shared" ca="1" si="24"/>
        <v>1</v>
      </c>
      <c r="CL47" s="29">
        <f t="shared" ca="1" si="24"/>
        <v>3</v>
      </c>
      <c r="CM47" s="29">
        <f t="shared" ca="1" si="24"/>
        <v>1</v>
      </c>
      <c r="CN47" s="29">
        <f t="shared" ca="1" si="24"/>
        <v>2</v>
      </c>
      <c r="CO47" s="29">
        <f t="shared" ca="1" si="24"/>
        <v>3</v>
      </c>
      <c r="CP47" s="29">
        <f t="shared" ca="1" si="24"/>
        <v>3</v>
      </c>
      <c r="CQ47" s="29">
        <f t="shared" ca="1" si="30"/>
        <v>0</v>
      </c>
      <c r="CR47" s="29">
        <f t="shared" ca="1" si="30"/>
        <v>1</v>
      </c>
      <c r="CS47" s="29">
        <f t="shared" ca="1" si="30"/>
        <v>2</v>
      </c>
      <c r="CT47" s="29">
        <f t="shared" ca="1" si="30"/>
        <v>0</v>
      </c>
      <c r="CU47" s="29">
        <f t="shared" ca="1" si="30"/>
        <v>3</v>
      </c>
      <c r="CV47" s="29">
        <f t="shared" ref="CV47:DK63" ca="1" si="34">_xlfn.BINOM.INV(50,$E47,RAND())</f>
        <v>5</v>
      </c>
      <c r="CW47" s="29">
        <f t="shared" ca="1" si="34"/>
        <v>2</v>
      </c>
      <c r="CX47" s="29">
        <f t="shared" ca="1" si="34"/>
        <v>3</v>
      </c>
      <c r="CY47" s="29">
        <f t="shared" ca="1" si="34"/>
        <v>2</v>
      </c>
      <c r="CZ47" s="29">
        <f t="shared" ca="1" si="34"/>
        <v>2</v>
      </c>
      <c r="DA47" s="29">
        <f t="shared" ca="1" si="34"/>
        <v>2</v>
      </c>
      <c r="DB47" s="29">
        <f t="shared" ca="1" si="34"/>
        <v>2</v>
      </c>
      <c r="DC47" s="29">
        <f t="shared" ca="1" si="34"/>
        <v>4</v>
      </c>
      <c r="DD47" s="29">
        <f t="shared" ca="1" si="34"/>
        <v>3</v>
      </c>
      <c r="DE47" s="29">
        <f t="shared" ca="1" si="34"/>
        <v>2</v>
      </c>
      <c r="DF47" s="29">
        <f t="shared" ca="1" si="34"/>
        <v>3</v>
      </c>
      <c r="DG47" s="29">
        <f t="shared" ca="1" si="34"/>
        <v>4</v>
      </c>
      <c r="DH47" s="29">
        <f t="shared" ca="1" si="34"/>
        <v>1</v>
      </c>
      <c r="DI47" s="29">
        <f t="shared" ca="1" si="34"/>
        <v>5</v>
      </c>
      <c r="DJ47" s="29">
        <f t="shared" ca="1" si="34"/>
        <v>1</v>
      </c>
      <c r="DK47" s="29">
        <f t="shared" ca="1" si="34"/>
        <v>4</v>
      </c>
      <c r="DL47" s="29">
        <f t="shared" ca="1" si="33"/>
        <v>2</v>
      </c>
    </row>
    <row r="48" spans="1:116" ht="14.4" x14ac:dyDescent="0.3">
      <c r="A48" s="31">
        <v>887</v>
      </c>
      <c r="B48" s="28">
        <v>0.73</v>
      </c>
      <c r="C48" s="30">
        <v>24.16</v>
      </c>
      <c r="D48" s="28">
        <v>0.84</v>
      </c>
      <c r="E48" s="34">
        <f t="shared" si="0"/>
        <v>1.6799999999999999E-2</v>
      </c>
      <c r="F48" s="35">
        <f t="shared" si="1"/>
        <v>6.04</v>
      </c>
      <c r="G48" s="34">
        <f t="shared" si="2"/>
        <v>21</v>
      </c>
      <c r="H48" s="33">
        <f t="shared" si="7"/>
        <v>20.493150684931507</v>
      </c>
      <c r="I48" s="28">
        <f t="shared" si="8"/>
        <v>78.2</v>
      </c>
      <c r="J48" s="32">
        <v>1</v>
      </c>
      <c r="K48" s="30">
        <f t="shared" si="3"/>
        <v>6.04</v>
      </c>
      <c r="L48" s="30"/>
      <c r="M48" s="30"/>
      <c r="N48" s="30"/>
      <c r="O48" s="30"/>
      <c r="Q48" s="29">
        <f t="shared" ca="1" si="4"/>
        <v>0</v>
      </c>
      <c r="R48" s="29">
        <f t="shared" ca="1" si="29"/>
        <v>0</v>
      </c>
      <c r="S48" s="29">
        <f t="shared" ca="1" si="29"/>
        <v>3</v>
      </c>
      <c r="T48" s="29">
        <f t="shared" ca="1" si="29"/>
        <v>2</v>
      </c>
      <c r="U48" s="29">
        <f t="shared" ca="1" si="29"/>
        <v>1</v>
      </c>
      <c r="V48" s="29">
        <f t="shared" ca="1" si="29"/>
        <v>0</v>
      </c>
      <c r="W48" s="29">
        <f t="shared" ca="1" si="29"/>
        <v>1</v>
      </c>
      <c r="X48" s="29">
        <f t="shared" ca="1" si="29"/>
        <v>1</v>
      </c>
      <c r="Y48" s="29">
        <f t="shared" ca="1" si="29"/>
        <v>1</v>
      </c>
      <c r="Z48" s="29">
        <f t="shared" ca="1" si="29"/>
        <v>0</v>
      </c>
      <c r="AA48" s="29">
        <f t="shared" ca="1" si="29"/>
        <v>0</v>
      </c>
      <c r="AB48" s="29">
        <f t="shared" ca="1" si="29"/>
        <v>0</v>
      </c>
      <c r="AC48" s="29">
        <f t="shared" ca="1" si="29"/>
        <v>1</v>
      </c>
      <c r="AD48" s="29">
        <f t="shared" ca="1" si="29"/>
        <v>1</v>
      </c>
      <c r="AE48" s="29">
        <f t="shared" ca="1" si="29"/>
        <v>1</v>
      </c>
      <c r="AF48" s="29">
        <f t="shared" ca="1" si="29"/>
        <v>3</v>
      </c>
      <c r="AG48" s="29">
        <f t="shared" ca="1" si="26"/>
        <v>0</v>
      </c>
      <c r="AH48" s="29">
        <f t="shared" ca="1" si="26"/>
        <v>0</v>
      </c>
      <c r="AI48" s="29">
        <f t="shared" ca="1" si="26"/>
        <v>1</v>
      </c>
      <c r="AJ48" s="29">
        <f t="shared" ca="1" si="26"/>
        <v>0</v>
      </c>
      <c r="AK48" s="29">
        <f t="shared" ca="1" si="26"/>
        <v>1</v>
      </c>
      <c r="AL48" s="29">
        <f t="shared" ca="1" si="26"/>
        <v>1</v>
      </c>
      <c r="AM48" s="29">
        <f t="shared" ca="1" si="26"/>
        <v>2</v>
      </c>
      <c r="AN48" s="29">
        <f t="shared" ca="1" si="26"/>
        <v>0</v>
      </c>
      <c r="AO48" s="29">
        <f t="shared" ca="1" si="26"/>
        <v>0</v>
      </c>
      <c r="AP48" s="29">
        <f t="shared" ca="1" si="26"/>
        <v>2</v>
      </c>
      <c r="AQ48" s="29">
        <f t="shared" ca="1" si="26"/>
        <v>2</v>
      </c>
      <c r="AR48" s="29">
        <f t="shared" ca="1" si="26"/>
        <v>2</v>
      </c>
      <c r="AS48" s="29">
        <f t="shared" ca="1" si="26"/>
        <v>0</v>
      </c>
      <c r="AT48" s="29">
        <f t="shared" ca="1" si="26"/>
        <v>2</v>
      </c>
      <c r="AU48" s="29">
        <f t="shared" ca="1" si="26"/>
        <v>0</v>
      </c>
      <c r="AV48" s="29">
        <f t="shared" ca="1" si="32"/>
        <v>3</v>
      </c>
      <c r="AW48" s="29">
        <f t="shared" ca="1" si="32"/>
        <v>0</v>
      </c>
      <c r="AX48" s="29">
        <f t="shared" ca="1" si="32"/>
        <v>2</v>
      </c>
      <c r="AY48" s="29">
        <f t="shared" ca="1" si="32"/>
        <v>2</v>
      </c>
      <c r="AZ48" s="29">
        <f t="shared" ca="1" si="32"/>
        <v>1</v>
      </c>
      <c r="BA48" s="29">
        <f t="shared" ca="1" si="32"/>
        <v>0</v>
      </c>
      <c r="BB48" s="29">
        <f t="shared" ca="1" si="32"/>
        <v>0</v>
      </c>
      <c r="BC48" s="29">
        <f t="shared" ca="1" si="32"/>
        <v>2</v>
      </c>
      <c r="BD48" s="29">
        <f t="shared" ca="1" si="32"/>
        <v>3</v>
      </c>
      <c r="BE48" s="29">
        <f t="shared" ca="1" si="32"/>
        <v>2</v>
      </c>
      <c r="BF48" s="29">
        <f t="shared" ca="1" si="32"/>
        <v>1</v>
      </c>
      <c r="BG48" s="29">
        <f t="shared" ca="1" si="32"/>
        <v>1</v>
      </c>
      <c r="BH48" s="29">
        <f t="shared" ca="1" si="32"/>
        <v>1</v>
      </c>
      <c r="BI48" s="29">
        <f t="shared" ca="1" si="32"/>
        <v>2</v>
      </c>
      <c r="BJ48" s="29">
        <f t="shared" ca="1" si="32"/>
        <v>2</v>
      </c>
      <c r="BK48" s="29">
        <f t="shared" ca="1" si="32"/>
        <v>0</v>
      </c>
      <c r="BL48" s="29">
        <f t="shared" ca="1" si="31"/>
        <v>1</v>
      </c>
      <c r="BM48" s="29">
        <f t="shared" ca="1" si="31"/>
        <v>0</v>
      </c>
      <c r="BN48" s="29">
        <f t="shared" ca="1" si="31"/>
        <v>1</v>
      </c>
      <c r="BO48" s="29">
        <f t="shared" ca="1" si="31"/>
        <v>1</v>
      </c>
      <c r="BP48" s="29">
        <f t="shared" ca="1" si="27"/>
        <v>0</v>
      </c>
      <c r="BQ48" s="29">
        <f t="shared" ca="1" si="27"/>
        <v>2</v>
      </c>
      <c r="BR48" s="29">
        <f t="shared" ca="1" si="27"/>
        <v>0</v>
      </c>
      <c r="BS48" s="29">
        <f t="shared" ca="1" si="27"/>
        <v>0</v>
      </c>
      <c r="BT48" s="29">
        <f t="shared" ca="1" si="27"/>
        <v>1</v>
      </c>
      <c r="BU48" s="29">
        <f t="shared" ca="1" si="27"/>
        <v>1</v>
      </c>
      <c r="BV48" s="29">
        <f t="shared" ca="1" si="27"/>
        <v>0</v>
      </c>
      <c r="BW48" s="29">
        <f t="shared" ca="1" si="27"/>
        <v>0</v>
      </c>
      <c r="BX48" s="29">
        <f t="shared" ca="1" si="27"/>
        <v>3</v>
      </c>
      <c r="BY48" s="29">
        <f t="shared" ca="1" si="27"/>
        <v>2</v>
      </c>
      <c r="BZ48" s="29">
        <f t="shared" ca="1" si="27"/>
        <v>2</v>
      </c>
      <c r="CA48" s="29">
        <f t="shared" ca="1" si="27"/>
        <v>0</v>
      </c>
      <c r="CB48" s="29">
        <f t="shared" ca="1" si="24"/>
        <v>0</v>
      </c>
      <c r="CC48" s="29">
        <f t="shared" ca="1" si="24"/>
        <v>1</v>
      </c>
      <c r="CD48" s="29">
        <f t="shared" ca="1" si="24"/>
        <v>0</v>
      </c>
      <c r="CE48" s="29">
        <f t="shared" ca="1" si="24"/>
        <v>0</v>
      </c>
      <c r="CF48" s="29">
        <f t="shared" ca="1" si="24"/>
        <v>0</v>
      </c>
      <c r="CG48" s="29">
        <f t="shared" ca="1" si="24"/>
        <v>0</v>
      </c>
      <c r="CH48" s="29">
        <f t="shared" ca="1" si="24"/>
        <v>1</v>
      </c>
      <c r="CI48" s="29">
        <f t="shared" ca="1" si="24"/>
        <v>0</v>
      </c>
      <c r="CJ48" s="29">
        <f t="shared" ca="1" si="24"/>
        <v>1</v>
      </c>
      <c r="CK48" s="29">
        <f t="shared" ca="1" si="24"/>
        <v>3</v>
      </c>
      <c r="CL48" s="29">
        <f t="shared" ca="1" si="24"/>
        <v>1</v>
      </c>
      <c r="CM48" s="29">
        <f t="shared" ca="1" si="24"/>
        <v>1</v>
      </c>
      <c r="CN48" s="29">
        <f t="shared" ca="1" si="24"/>
        <v>0</v>
      </c>
      <c r="CO48" s="29">
        <f t="shared" ca="1" si="24"/>
        <v>0</v>
      </c>
      <c r="CP48" s="29">
        <f t="shared" ca="1" si="24"/>
        <v>0</v>
      </c>
      <c r="CQ48" s="29">
        <f t="shared" ca="1" si="30"/>
        <v>0</v>
      </c>
      <c r="CR48" s="29">
        <f t="shared" ca="1" si="30"/>
        <v>1</v>
      </c>
      <c r="CS48" s="29">
        <f t="shared" ca="1" si="30"/>
        <v>1</v>
      </c>
      <c r="CT48" s="29">
        <f t="shared" ca="1" si="30"/>
        <v>2</v>
      </c>
      <c r="CU48" s="29">
        <f t="shared" ca="1" si="30"/>
        <v>0</v>
      </c>
      <c r="CV48" s="29">
        <f t="shared" ca="1" si="34"/>
        <v>1</v>
      </c>
      <c r="CW48" s="29">
        <f t="shared" ca="1" si="34"/>
        <v>0</v>
      </c>
      <c r="CX48" s="29">
        <f t="shared" ca="1" si="34"/>
        <v>2</v>
      </c>
      <c r="CY48" s="29">
        <f t="shared" ca="1" si="34"/>
        <v>1</v>
      </c>
      <c r="CZ48" s="29">
        <f t="shared" ca="1" si="34"/>
        <v>0</v>
      </c>
      <c r="DA48" s="29">
        <f t="shared" ca="1" si="34"/>
        <v>0</v>
      </c>
      <c r="DB48" s="29">
        <f t="shared" ca="1" si="34"/>
        <v>0</v>
      </c>
      <c r="DC48" s="29">
        <f t="shared" ca="1" si="34"/>
        <v>0</v>
      </c>
      <c r="DD48" s="29">
        <f t="shared" ca="1" si="34"/>
        <v>0</v>
      </c>
      <c r="DE48" s="29">
        <f t="shared" ca="1" si="34"/>
        <v>1</v>
      </c>
      <c r="DF48" s="29">
        <f t="shared" ca="1" si="34"/>
        <v>1</v>
      </c>
      <c r="DG48" s="29">
        <f t="shared" ca="1" si="34"/>
        <v>1</v>
      </c>
      <c r="DH48" s="29">
        <f t="shared" ca="1" si="34"/>
        <v>0</v>
      </c>
      <c r="DI48" s="29">
        <f t="shared" ca="1" si="34"/>
        <v>1</v>
      </c>
      <c r="DJ48" s="29">
        <f t="shared" ca="1" si="34"/>
        <v>1</v>
      </c>
      <c r="DK48" s="29">
        <f t="shared" ca="1" si="34"/>
        <v>2</v>
      </c>
      <c r="DL48" s="29">
        <f t="shared" ca="1" si="33"/>
        <v>1</v>
      </c>
    </row>
    <row r="49" spans="1:116" ht="14.4" x14ac:dyDescent="0.3">
      <c r="A49" s="31">
        <v>117</v>
      </c>
      <c r="B49" s="28">
        <v>1.35</v>
      </c>
      <c r="C49" s="30">
        <v>14.43</v>
      </c>
      <c r="D49" s="28">
        <v>1.25</v>
      </c>
      <c r="E49" s="34">
        <f t="shared" si="0"/>
        <v>2.5000000000000001E-2</v>
      </c>
      <c r="F49" s="35">
        <f t="shared" si="1"/>
        <v>3.6074999999999999</v>
      </c>
      <c r="G49" s="34">
        <f t="shared" si="2"/>
        <v>31.25</v>
      </c>
      <c r="H49" s="33">
        <f t="shared" si="7"/>
        <v>20.475925925925925</v>
      </c>
      <c r="I49" s="28">
        <f t="shared" si="8"/>
        <v>79.55</v>
      </c>
      <c r="J49" s="32">
        <v>1</v>
      </c>
      <c r="K49" s="30">
        <f t="shared" si="3"/>
        <v>3.6074999999999999</v>
      </c>
      <c r="L49" s="30"/>
      <c r="M49" s="30"/>
      <c r="N49" s="30"/>
      <c r="O49" s="30"/>
      <c r="Q49" s="29">
        <f t="shared" ca="1" si="4"/>
        <v>1</v>
      </c>
      <c r="R49" s="29">
        <f t="shared" ca="1" si="29"/>
        <v>2</v>
      </c>
      <c r="S49" s="29">
        <f t="shared" ca="1" si="29"/>
        <v>4</v>
      </c>
      <c r="T49" s="29">
        <f t="shared" ca="1" si="29"/>
        <v>1</v>
      </c>
      <c r="U49" s="29">
        <f t="shared" ca="1" si="29"/>
        <v>2</v>
      </c>
      <c r="V49" s="29">
        <f t="shared" ca="1" si="29"/>
        <v>2</v>
      </c>
      <c r="W49" s="29">
        <f t="shared" ca="1" si="29"/>
        <v>2</v>
      </c>
      <c r="X49" s="29">
        <f t="shared" ca="1" si="29"/>
        <v>1</v>
      </c>
      <c r="Y49" s="29">
        <f t="shared" ca="1" si="29"/>
        <v>0</v>
      </c>
      <c r="Z49" s="29">
        <f t="shared" ca="1" si="29"/>
        <v>0</v>
      </c>
      <c r="AA49" s="29">
        <f t="shared" ca="1" si="29"/>
        <v>1</v>
      </c>
      <c r="AB49" s="29">
        <f t="shared" ca="1" si="29"/>
        <v>0</v>
      </c>
      <c r="AC49" s="29">
        <f t="shared" ca="1" si="29"/>
        <v>2</v>
      </c>
      <c r="AD49" s="29">
        <f t="shared" ca="1" si="29"/>
        <v>2</v>
      </c>
      <c r="AE49" s="29">
        <f t="shared" ca="1" si="29"/>
        <v>0</v>
      </c>
      <c r="AF49" s="29">
        <f t="shared" ca="1" si="29"/>
        <v>1</v>
      </c>
      <c r="AG49" s="29">
        <f t="shared" ca="1" si="26"/>
        <v>1</v>
      </c>
      <c r="AH49" s="29">
        <f t="shared" ca="1" si="26"/>
        <v>1</v>
      </c>
      <c r="AI49" s="29">
        <f t="shared" ca="1" si="26"/>
        <v>3</v>
      </c>
      <c r="AJ49" s="29">
        <f t="shared" ca="1" si="26"/>
        <v>1</v>
      </c>
      <c r="AK49" s="29">
        <f t="shared" ca="1" si="26"/>
        <v>3</v>
      </c>
      <c r="AL49" s="29">
        <f t="shared" ca="1" si="26"/>
        <v>1</v>
      </c>
      <c r="AM49" s="29">
        <f t="shared" ca="1" si="26"/>
        <v>0</v>
      </c>
      <c r="AN49" s="29">
        <f t="shared" ca="1" si="26"/>
        <v>0</v>
      </c>
      <c r="AO49" s="29">
        <f t="shared" ca="1" si="26"/>
        <v>0</v>
      </c>
      <c r="AP49" s="29">
        <f t="shared" ca="1" si="26"/>
        <v>1</v>
      </c>
      <c r="AQ49" s="29">
        <f t="shared" ca="1" si="26"/>
        <v>3</v>
      </c>
      <c r="AR49" s="29">
        <f t="shared" ca="1" si="26"/>
        <v>0</v>
      </c>
      <c r="AS49" s="29">
        <f t="shared" ca="1" si="26"/>
        <v>1</v>
      </c>
      <c r="AT49" s="29">
        <f t="shared" ca="1" si="26"/>
        <v>2</v>
      </c>
      <c r="AU49" s="29">
        <f t="shared" ca="1" si="26"/>
        <v>1</v>
      </c>
      <c r="AV49" s="29">
        <f t="shared" ca="1" si="32"/>
        <v>0</v>
      </c>
      <c r="AW49" s="29">
        <f t="shared" ca="1" si="32"/>
        <v>1</v>
      </c>
      <c r="AX49" s="29">
        <f t="shared" ca="1" si="32"/>
        <v>3</v>
      </c>
      <c r="AY49" s="29">
        <f t="shared" ca="1" si="32"/>
        <v>2</v>
      </c>
      <c r="AZ49" s="29">
        <f t="shared" ca="1" si="32"/>
        <v>1</v>
      </c>
      <c r="BA49" s="29">
        <f t="shared" ca="1" si="32"/>
        <v>2</v>
      </c>
      <c r="BB49" s="29">
        <f t="shared" ca="1" si="32"/>
        <v>1</v>
      </c>
      <c r="BC49" s="29">
        <f t="shared" ca="1" si="32"/>
        <v>1</v>
      </c>
      <c r="BD49" s="29">
        <f t="shared" ca="1" si="32"/>
        <v>2</v>
      </c>
      <c r="BE49" s="29">
        <f t="shared" ca="1" si="32"/>
        <v>0</v>
      </c>
      <c r="BF49" s="29">
        <f t="shared" ca="1" si="32"/>
        <v>2</v>
      </c>
      <c r="BG49" s="29">
        <f t="shared" ca="1" si="32"/>
        <v>4</v>
      </c>
      <c r="BH49" s="29">
        <f t="shared" ca="1" si="32"/>
        <v>2</v>
      </c>
      <c r="BI49" s="29">
        <f t="shared" ca="1" si="32"/>
        <v>1</v>
      </c>
      <c r="BJ49" s="29">
        <f t="shared" ca="1" si="32"/>
        <v>1</v>
      </c>
      <c r="BK49" s="29">
        <f t="shared" ca="1" si="32"/>
        <v>3</v>
      </c>
      <c r="BL49" s="29">
        <f t="shared" ca="1" si="31"/>
        <v>2</v>
      </c>
      <c r="BM49" s="29">
        <f t="shared" ca="1" si="31"/>
        <v>1</v>
      </c>
      <c r="BN49" s="29">
        <f t="shared" ca="1" si="31"/>
        <v>3</v>
      </c>
      <c r="BO49" s="29">
        <f t="shared" ca="1" si="31"/>
        <v>0</v>
      </c>
      <c r="BP49" s="29">
        <f t="shared" ca="1" si="27"/>
        <v>2</v>
      </c>
      <c r="BQ49" s="29">
        <f t="shared" ca="1" si="27"/>
        <v>0</v>
      </c>
      <c r="BR49" s="29">
        <f t="shared" ca="1" si="27"/>
        <v>3</v>
      </c>
      <c r="BS49" s="29">
        <f t="shared" ca="1" si="27"/>
        <v>0</v>
      </c>
      <c r="BT49" s="29">
        <f t="shared" ca="1" si="27"/>
        <v>2</v>
      </c>
      <c r="BU49" s="29">
        <f t="shared" ca="1" si="27"/>
        <v>2</v>
      </c>
      <c r="BV49" s="29">
        <f t="shared" ca="1" si="27"/>
        <v>1</v>
      </c>
      <c r="BW49" s="29">
        <f t="shared" ca="1" si="27"/>
        <v>2</v>
      </c>
      <c r="BX49" s="29">
        <f t="shared" ca="1" si="27"/>
        <v>3</v>
      </c>
      <c r="BY49" s="29">
        <f t="shared" ca="1" si="27"/>
        <v>2</v>
      </c>
      <c r="BZ49" s="29">
        <f t="shared" ca="1" si="27"/>
        <v>3</v>
      </c>
      <c r="CA49" s="29">
        <f t="shared" ca="1" si="27"/>
        <v>0</v>
      </c>
      <c r="CB49" s="29">
        <f t="shared" ca="1" si="24"/>
        <v>1</v>
      </c>
      <c r="CC49" s="29">
        <f t="shared" ca="1" si="24"/>
        <v>2</v>
      </c>
      <c r="CD49" s="29">
        <f t="shared" ca="1" si="24"/>
        <v>1</v>
      </c>
      <c r="CE49" s="29">
        <f t="shared" ca="1" si="24"/>
        <v>1</v>
      </c>
      <c r="CF49" s="29">
        <f t="shared" ca="1" si="24"/>
        <v>2</v>
      </c>
      <c r="CG49" s="29">
        <f t="shared" ca="1" si="24"/>
        <v>0</v>
      </c>
      <c r="CH49" s="29">
        <f t="shared" ca="1" si="24"/>
        <v>0</v>
      </c>
      <c r="CI49" s="29">
        <f t="shared" ca="1" si="24"/>
        <v>3</v>
      </c>
      <c r="CJ49" s="29">
        <f t="shared" ca="1" si="24"/>
        <v>1</v>
      </c>
      <c r="CK49" s="29">
        <f t="shared" ca="1" si="24"/>
        <v>0</v>
      </c>
      <c r="CL49" s="29">
        <f t="shared" ca="1" si="24"/>
        <v>0</v>
      </c>
      <c r="CM49" s="29">
        <f t="shared" ca="1" si="24"/>
        <v>1</v>
      </c>
      <c r="CN49" s="29">
        <f t="shared" ca="1" si="24"/>
        <v>2</v>
      </c>
      <c r="CO49" s="29">
        <f t="shared" ca="1" si="24"/>
        <v>0</v>
      </c>
      <c r="CP49" s="29">
        <f t="shared" ca="1" si="24"/>
        <v>1</v>
      </c>
      <c r="CQ49" s="29">
        <f t="shared" ca="1" si="30"/>
        <v>2</v>
      </c>
      <c r="CR49" s="29">
        <f t="shared" ca="1" si="30"/>
        <v>1</v>
      </c>
      <c r="CS49" s="29">
        <f t="shared" ca="1" si="30"/>
        <v>0</v>
      </c>
      <c r="CT49" s="29">
        <f t="shared" ca="1" si="30"/>
        <v>0</v>
      </c>
      <c r="CU49" s="29">
        <f t="shared" ca="1" si="30"/>
        <v>0</v>
      </c>
      <c r="CV49" s="29">
        <f t="shared" ca="1" si="34"/>
        <v>2</v>
      </c>
      <c r="CW49" s="29">
        <f t="shared" ca="1" si="34"/>
        <v>2</v>
      </c>
      <c r="CX49" s="29">
        <f t="shared" ca="1" si="34"/>
        <v>1</v>
      </c>
      <c r="CY49" s="29">
        <f t="shared" ca="1" si="34"/>
        <v>2</v>
      </c>
      <c r="CZ49" s="29">
        <f t="shared" ca="1" si="34"/>
        <v>2</v>
      </c>
      <c r="DA49" s="29">
        <f t="shared" ca="1" si="34"/>
        <v>0</v>
      </c>
      <c r="DB49" s="29">
        <f t="shared" ca="1" si="34"/>
        <v>0</v>
      </c>
      <c r="DC49" s="29">
        <f t="shared" ca="1" si="34"/>
        <v>4</v>
      </c>
      <c r="DD49" s="29">
        <f t="shared" ca="1" si="34"/>
        <v>2</v>
      </c>
      <c r="DE49" s="29">
        <f t="shared" ca="1" si="34"/>
        <v>2</v>
      </c>
      <c r="DF49" s="29">
        <f t="shared" ca="1" si="34"/>
        <v>2</v>
      </c>
      <c r="DG49" s="29">
        <f t="shared" ca="1" si="34"/>
        <v>1</v>
      </c>
      <c r="DH49" s="29">
        <f t="shared" ca="1" si="34"/>
        <v>2</v>
      </c>
      <c r="DI49" s="29">
        <f t="shared" ca="1" si="34"/>
        <v>1</v>
      </c>
      <c r="DJ49" s="29">
        <f t="shared" ca="1" si="34"/>
        <v>1</v>
      </c>
      <c r="DK49" s="29">
        <f t="shared" ca="1" si="34"/>
        <v>1</v>
      </c>
      <c r="DL49" s="29">
        <f t="shared" ca="1" si="33"/>
        <v>0</v>
      </c>
    </row>
    <row r="50" spans="1:116" ht="14.4" x14ac:dyDescent="0.3">
      <c r="A50" s="31">
        <v>461</v>
      </c>
      <c r="B50" s="28">
        <v>1.36</v>
      </c>
      <c r="C50" s="30">
        <v>35.17</v>
      </c>
      <c r="D50" s="28">
        <v>1.46</v>
      </c>
      <c r="E50" s="34">
        <f t="shared" si="0"/>
        <v>2.92E-2</v>
      </c>
      <c r="F50" s="35">
        <f t="shared" si="1"/>
        <v>8.7925000000000004</v>
      </c>
      <c r="G50" s="34">
        <f t="shared" si="2"/>
        <v>36.5</v>
      </c>
      <c r="H50" s="33">
        <f t="shared" si="7"/>
        <v>20.37316176470588</v>
      </c>
      <c r="I50" s="28">
        <f t="shared" si="8"/>
        <v>80.91</v>
      </c>
      <c r="J50" s="32">
        <v>1</v>
      </c>
      <c r="K50" s="30">
        <f t="shared" si="3"/>
        <v>8.7925000000000004</v>
      </c>
      <c r="L50" s="30"/>
      <c r="M50" s="30"/>
      <c r="N50" s="30"/>
      <c r="O50" s="30"/>
      <c r="Q50" s="29">
        <f t="shared" ca="1" si="4"/>
        <v>0</v>
      </c>
      <c r="R50" s="29">
        <f t="shared" ca="1" si="29"/>
        <v>2</v>
      </c>
      <c r="S50" s="29">
        <f t="shared" ca="1" si="29"/>
        <v>0</v>
      </c>
      <c r="T50" s="29">
        <f t="shared" ca="1" si="29"/>
        <v>1</v>
      </c>
      <c r="U50" s="29">
        <f t="shared" ca="1" si="29"/>
        <v>3</v>
      </c>
      <c r="V50" s="29">
        <f t="shared" ca="1" si="29"/>
        <v>2</v>
      </c>
      <c r="W50" s="29">
        <f t="shared" ca="1" si="29"/>
        <v>2</v>
      </c>
      <c r="X50" s="29">
        <f t="shared" ca="1" si="29"/>
        <v>0</v>
      </c>
      <c r="Y50" s="29">
        <f t="shared" ca="1" si="29"/>
        <v>2</v>
      </c>
      <c r="Z50" s="29">
        <f t="shared" ca="1" si="29"/>
        <v>1</v>
      </c>
      <c r="AA50" s="29">
        <f t="shared" ca="1" si="29"/>
        <v>1</v>
      </c>
      <c r="AB50" s="29">
        <f t="shared" ca="1" si="29"/>
        <v>1</v>
      </c>
      <c r="AC50" s="29">
        <f t="shared" ca="1" si="29"/>
        <v>1</v>
      </c>
      <c r="AD50" s="29">
        <f t="shared" ca="1" si="29"/>
        <v>0</v>
      </c>
      <c r="AE50" s="29">
        <f t="shared" ca="1" si="29"/>
        <v>2</v>
      </c>
      <c r="AF50" s="29">
        <f t="shared" ca="1" si="29"/>
        <v>2</v>
      </c>
      <c r="AG50" s="29">
        <f t="shared" ca="1" si="26"/>
        <v>1</v>
      </c>
      <c r="AH50" s="29">
        <f t="shared" ca="1" si="26"/>
        <v>0</v>
      </c>
      <c r="AI50" s="29">
        <f t="shared" ca="1" si="26"/>
        <v>0</v>
      </c>
      <c r="AJ50" s="29">
        <f t="shared" ca="1" si="26"/>
        <v>0</v>
      </c>
      <c r="AK50" s="29">
        <f t="shared" ca="1" si="26"/>
        <v>1</v>
      </c>
      <c r="AL50" s="29">
        <f t="shared" ca="1" si="26"/>
        <v>1</v>
      </c>
      <c r="AM50" s="29">
        <f t="shared" ca="1" si="26"/>
        <v>4</v>
      </c>
      <c r="AN50" s="29">
        <f t="shared" ca="1" si="26"/>
        <v>2</v>
      </c>
      <c r="AO50" s="29">
        <f t="shared" ca="1" si="26"/>
        <v>3</v>
      </c>
      <c r="AP50" s="29">
        <f t="shared" ca="1" si="26"/>
        <v>1</v>
      </c>
      <c r="AQ50" s="29">
        <f t="shared" ca="1" si="26"/>
        <v>2</v>
      </c>
      <c r="AR50" s="29">
        <f t="shared" ca="1" si="26"/>
        <v>0</v>
      </c>
      <c r="AS50" s="29">
        <f t="shared" ca="1" si="26"/>
        <v>1</v>
      </c>
      <c r="AT50" s="29">
        <f t="shared" ca="1" si="26"/>
        <v>2</v>
      </c>
      <c r="AU50" s="29">
        <f t="shared" ca="1" si="26"/>
        <v>2</v>
      </c>
      <c r="AV50" s="29">
        <f t="shared" ca="1" si="32"/>
        <v>1</v>
      </c>
      <c r="AW50" s="29">
        <f t="shared" ca="1" si="32"/>
        <v>2</v>
      </c>
      <c r="AX50" s="29">
        <f t="shared" ca="1" si="32"/>
        <v>1</v>
      </c>
      <c r="AY50" s="29">
        <f t="shared" ca="1" si="32"/>
        <v>2</v>
      </c>
      <c r="AZ50" s="29">
        <f t="shared" ca="1" si="32"/>
        <v>1</v>
      </c>
      <c r="BA50" s="29">
        <f t="shared" ca="1" si="32"/>
        <v>0</v>
      </c>
      <c r="BB50" s="29">
        <f t="shared" ca="1" si="32"/>
        <v>2</v>
      </c>
      <c r="BC50" s="29">
        <f t="shared" ca="1" si="32"/>
        <v>1</v>
      </c>
      <c r="BD50" s="29">
        <f t="shared" ca="1" si="32"/>
        <v>0</v>
      </c>
      <c r="BE50" s="29">
        <f t="shared" ca="1" si="32"/>
        <v>0</v>
      </c>
      <c r="BF50" s="29">
        <f t="shared" ca="1" si="32"/>
        <v>0</v>
      </c>
      <c r="BG50" s="29">
        <f t="shared" ca="1" si="32"/>
        <v>3</v>
      </c>
      <c r="BH50" s="29">
        <f t="shared" ca="1" si="32"/>
        <v>2</v>
      </c>
      <c r="BI50" s="29">
        <f t="shared" ca="1" si="32"/>
        <v>2</v>
      </c>
      <c r="BJ50" s="29">
        <f t="shared" ca="1" si="32"/>
        <v>3</v>
      </c>
      <c r="BK50" s="29">
        <f t="shared" ca="1" si="32"/>
        <v>2</v>
      </c>
      <c r="BL50" s="29">
        <f t="shared" ca="1" si="31"/>
        <v>2</v>
      </c>
      <c r="BM50" s="29">
        <f t="shared" ca="1" si="31"/>
        <v>0</v>
      </c>
      <c r="BN50" s="29">
        <f t="shared" ca="1" si="31"/>
        <v>1</v>
      </c>
      <c r="BO50" s="29">
        <f t="shared" ca="1" si="31"/>
        <v>0</v>
      </c>
      <c r="BP50" s="29">
        <f t="shared" ca="1" si="27"/>
        <v>1</v>
      </c>
      <c r="BQ50" s="29">
        <f t="shared" ca="1" si="27"/>
        <v>2</v>
      </c>
      <c r="BR50" s="29">
        <f t="shared" ca="1" si="27"/>
        <v>5</v>
      </c>
      <c r="BS50" s="29">
        <f t="shared" ca="1" si="27"/>
        <v>2</v>
      </c>
      <c r="BT50" s="29">
        <f t="shared" ca="1" si="27"/>
        <v>2</v>
      </c>
      <c r="BU50" s="29">
        <f t="shared" ca="1" si="27"/>
        <v>3</v>
      </c>
      <c r="BV50" s="29">
        <f t="shared" ca="1" si="27"/>
        <v>1</v>
      </c>
      <c r="BW50" s="29">
        <f t="shared" ca="1" si="27"/>
        <v>0</v>
      </c>
      <c r="BX50" s="29">
        <f t="shared" ca="1" si="27"/>
        <v>3</v>
      </c>
      <c r="BY50" s="29">
        <f t="shared" ca="1" si="27"/>
        <v>1</v>
      </c>
      <c r="BZ50" s="29">
        <f t="shared" ca="1" si="27"/>
        <v>0</v>
      </c>
      <c r="CA50" s="29">
        <f t="shared" ca="1" si="27"/>
        <v>2</v>
      </c>
      <c r="CB50" s="29">
        <f t="shared" ca="1" si="24"/>
        <v>0</v>
      </c>
      <c r="CC50" s="29">
        <f t="shared" ca="1" si="24"/>
        <v>1</v>
      </c>
      <c r="CD50" s="29">
        <f t="shared" ca="1" si="24"/>
        <v>0</v>
      </c>
      <c r="CE50" s="29">
        <f t="shared" ca="1" si="24"/>
        <v>1</v>
      </c>
      <c r="CF50" s="29">
        <f t="shared" ca="1" si="24"/>
        <v>0</v>
      </c>
      <c r="CG50" s="29">
        <f t="shared" ca="1" si="24"/>
        <v>0</v>
      </c>
      <c r="CH50" s="29">
        <f t="shared" ca="1" si="24"/>
        <v>0</v>
      </c>
      <c r="CI50" s="29">
        <f t="shared" ca="1" si="24"/>
        <v>1</v>
      </c>
      <c r="CJ50" s="29">
        <f t="shared" ca="1" si="24"/>
        <v>0</v>
      </c>
      <c r="CK50" s="29">
        <f t="shared" ca="1" si="24"/>
        <v>0</v>
      </c>
      <c r="CL50" s="29">
        <f t="shared" ca="1" si="24"/>
        <v>2</v>
      </c>
      <c r="CM50" s="29">
        <f t="shared" ca="1" si="24"/>
        <v>2</v>
      </c>
      <c r="CN50" s="29">
        <f t="shared" ca="1" si="24"/>
        <v>1</v>
      </c>
      <c r="CO50" s="29">
        <f t="shared" ca="1" si="24"/>
        <v>1</v>
      </c>
      <c r="CP50" s="29">
        <f t="shared" ca="1" si="24"/>
        <v>1</v>
      </c>
      <c r="CQ50" s="29">
        <f t="shared" ca="1" si="30"/>
        <v>2</v>
      </c>
      <c r="CR50" s="29">
        <f t="shared" ca="1" si="30"/>
        <v>1</v>
      </c>
      <c r="CS50" s="29">
        <f t="shared" ca="1" si="30"/>
        <v>2</v>
      </c>
      <c r="CT50" s="29">
        <f t="shared" ca="1" si="30"/>
        <v>0</v>
      </c>
      <c r="CU50" s="29">
        <f t="shared" ca="1" si="30"/>
        <v>2</v>
      </c>
      <c r="CV50" s="29">
        <f t="shared" ca="1" si="34"/>
        <v>0</v>
      </c>
      <c r="CW50" s="29">
        <f t="shared" ca="1" si="34"/>
        <v>0</v>
      </c>
      <c r="CX50" s="29">
        <f t="shared" ca="1" si="34"/>
        <v>1</v>
      </c>
      <c r="CY50" s="29">
        <f t="shared" ca="1" si="34"/>
        <v>0</v>
      </c>
      <c r="CZ50" s="29">
        <f t="shared" ca="1" si="34"/>
        <v>1</v>
      </c>
      <c r="DA50" s="29">
        <f t="shared" ca="1" si="34"/>
        <v>2</v>
      </c>
      <c r="DB50" s="29">
        <f t="shared" ca="1" si="34"/>
        <v>0</v>
      </c>
      <c r="DC50" s="29">
        <f t="shared" ca="1" si="34"/>
        <v>0</v>
      </c>
      <c r="DD50" s="29">
        <f t="shared" ca="1" si="34"/>
        <v>1</v>
      </c>
      <c r="DE50" s="29">
        <f t="shared" ca="1" si="34"/>
        <v>3</v>
      </c>
      <c r="DF50" s="29">
        <f t="shared" ca="1" si="34"/>
        <v>0</v>
      </c>
      <c r="DG50" s="29">
        <f t="shared" ca="1" si="34"/>
        <v>1</v>
      </c>
      <c r="DH50" s="29">
        <f t="shared" ca="1" si="34"/>
        <v>2</v>
      </c>
      <c r="DI50" s="29">
        <f t="shared" ca="1" si="34"/>
        <v>2</v>
      </c>
      <c r="DJ50" s="29">
        <f t="shared" ca="1" si="34"/>
        <v>0</v>
      </c>
      <c r="DK50" s="29">
        <f t="shared" ca="1" si="34"/>
        <v>2</v>
      </c>
      <c r="DL50" s="29">
        <f t="shared" ca="1" si="33"/>
        <v>4</v>
      </c>
    </row>
    <row r="51" spans="1:116" ht="14.4" x14ac:dyDescent="0.3">
      <c r="A51" s="31">
        <v>853</v>
      </c>
      <c r="B51" s="28">
        <v>2.06</v>
      </c>
      <c r="C51" s="30">
        <v>77.38</v>
      </c>
      <c r="D51" s="28">
        <v>2.4500000000000002</v>
      </c>
      <c r="E51" s="34">
        <f t="shared" si="0"/>
        <v>4.9000000000000002E-2</v>
      </c>
      <c r="F51" s="35">
        <f t="shared" si="1"/>
        <v>19.344999999999999</v>
      </c>
      <c r="G51" s="34">
        <f t="shared" si="2"/>
        <v>61.250000000000007</v>
      </c>
      <c r="H51" s="33">
        <f t="shared" si="7"/>
        <v>20.342233009708742</v>
      </c>
      <c r="I51" s="28">
        <f t="shared" si="8"/>
        <v>82.97</v>
      </c>
      <c r="J51" s="32">
        <v>1</v>
      </c>
      <c r="K51" s="30">
        <f t="shared" si="3"/>
        <v>19.344999999999999</v>
      </c>
      <c r="L51" s="30"/>
      <c r="M51" s="30"/>
      <c r="N51" s="30"/>
      <c r="O51" s="30"/>
      <c r="Q51" s="29">
        <f t="shared" ca="1" si="4"/>
        <v>1</v>
      </c>
      <c r="R51" s="29">
        <f t="shared" ca="1" si="29"/>
        <v>1</v>
      </c>
      <c r="S51" s="29">
        <f t="shared" ca="1" si="29"/>
        <v>4</v>
      </c>
      <c r="T51" s="29">
        <f t="shared" ca="1" si="29"/>
        <v>1</v>
      </c>
      <c r="U51" s="29">
        <f t="shared" ca="1" si="29"/>
        <v>1</v>
      </c>
      <c r="V51" s="29">
        <f t="shared" ca="1" si="29"/>
        <v>3</v>
      </c>
      <c r="W51" s="29">
        <f t="shared" ca="1" si="29"/>
        <v>2</v>
      </c>
      <c r="X51" s="29">
        <f t="shared" ca="1" si="29"/>
        <v>4</v>
      </c>
      <c r="Y51" s="29">
        <f t="shared" ca="1" si="29"/>
        <v>5</v>
      </c>
      <c r="Z51" s="29">
        <f t="shared" ca="1" si="29"/>
        <v>1</v>
      </c>
      <c r="AA51" s="29">
        <f t="shared" ca="1" si="29"/>
        <v>5</v>
      </c>
      <c r="AB51" s="29">
        <f t="shared" ca="1" si="29"/>
        <v>3</v>
      </c>
      <c r="AC51" s="29">
        <f t="shared" ca="1" si="29"/>
        <v>4</v>
      </c>
      <c r="AD51" s="29">
        <f t="shared" ca="1" si="29"/>
        <v>5</v>
      </c>
      <c r="AE51" s="29">
        <f t="shared" ca="1" si="29"/>
        <v>5</v>
      </c>
      <c r="AF51" s="29">
        <f t="shared" ca="1" si="29"/>
        <v>8</v>
      </c>
      <c r="AG51" s="29">
        <f t="shared" ca="1" si="26"/>
        <v>5</v>
      </c>
      <c r="AH51" s="29">
        <f t="shared" ca="1" si="26"/>
        <v>1</v>
      </c>
      <c r="AI51" s="29">
        <f t="shared" ca="1" si="26"/>
        <v>3</v>
      </c>
      <c r="AJ51" s="29">
        <f t="shared" ca="1" si="26"/>
        <v>0</v>
      </c>
      <c r="AK51" s="29">
        <f t="shared" ca="1" si="26"/>
        <v>0</v>
      </c>
      <c r="AL51" s="29">
        <f t="shared" ca="1" si="26"/>
        <v>1</v>
      </c>
      <c r="AM51" s="29">
        <f t="shared" ca="1" si="26"/>
        <v>3</v>
      </c>
      <c r="AN51" s="29">
        <f t="shared" ca="1" si="26"/>
        <v>3</v>
      </c>
      <c r="AO51" s="29">
        <f t="shared" ca="1" si="26"/>
        <v>7</v>
      </c>
      <c r="AP51" s="29">
        <f t="shared" ca="1" si="26"/>
        <v>0</v>
      </c>
      <c r="AQ51" s="29">
        <f t="shared" ca="1" si="26"/>
        <v>1</v>
      </c>
      <c r="AR51" s="29">
        <f t="shared" ca="1" si="26"/>
        <v>3</v>
      </c>
      <c r="AS51" s="29">
        <f t="shared" ca="1" si="26"/>
        <v>0</v>
      </c>
      <c r="AT51" s="29">
        <f t="shared" ca="1" si="26"/>
        <v>0</v>
      </c>
      <c r="AU51" s="29">
        <f t="shared" ca="1" si="26"/>
        <v>3</v>
      </c>
      <c r="AV51" s="29">
        <f t="shared" ca="1" si="32"/>
        <v>4</v>
      </c>
      <c r="AW51" s="29">
        <f t="shared" ca="1" si="32"/>
        <v>2</v>
      </c>
      <c r="AX51" s="29">
        <f t="shared" ca="1" si="32"/>
        <v>2</v>
      </c>
      <c r="AY51" s="29">
        <f t="shared" ca="1" si="32"/>
        <v>0</v>
      </c>
      <c r="AZ51" s="29">
        <f t="shared" ca="1" si="32"/>
        <v>4</v>
      </c>
      <c r="BA51" s="29">
        <f t="shared" ca="1" si="32"/>
        <v>4</v>
      </c>
      <c r="BB51" s="29">
        <f t="shared" ca="1" si="32"/>
        <v>2</v>
      </c>
      <c r="BC51" s="29">
        <f t="shared" ca="1" si="32"/>
        <v>2</v>
      </c>
      <c r="BD51" s="29">
        <f t="shared" ca="1" si="32"/>
        <v>4</v>
      </c>
      <c r="BE51" s="29">
        <f t="shared" ca="1" si="32"/>
        <v>5</v>
      </c>
      <c r="BF51" s="29">
        <f t="shared" ca="1" si="32"/>
        <v>4</v>
      </c>
      <c r="BG51" s="29">
        <f t="shared" ca="1" si="32"/>
        <v>3</v>
      </c>
      <c r="BH51" s="29">
        <f t="shared" ca="1" si="32"/>
        <v>2</v>
      </c>
      <c r="BI51" s="29">
        <f t="shared" ca="1" si="32"/>
        <v>3</v>
      </c>
      <c r="BJ51" s="29">
        <f t="shared" ca="1" si="32"/>
        <v>0</v>
      </c>
      <c r="BK51" s="29">
        <f t="shared" ca="1" si="32"/>
        <v>1</v>
      </c>
      <c r="BL51" s="29">
        <f t="shared" ca="1" si="31"/>
        <v>5</v>
      </c>
      <c r="BM51" s="29">
        <f t="shared" ca="1" si="31"/>
        <v>5</v>
      </c>
      <c r="BN51" s="29">
        <f t="shared" ca="1" si="31"/>
        <v>0</v>
      </c>
      <c r="BO51" s="29">
        <f t="shared" ca="1" si="31"/>
        <v>1</v>
      </c>
      <c r="BP51" s="29">
        <f t="shared" ca="1" si="27"/>
        <v>2</v>
      </c>
      <c r="BQ51" s="29">
        <f t="shared" ca="1" si="27"/>
        <v>2</v>
      </c>
      <c r="BR51" s="29">
        <f t="shared" ca="1" si="27"/>
        <v>2</v>
      </c>
      <c r="BS51" s="29">
        <f t="shared" ca="1" si="27"/>
        <v>4</v>
      </c>
      <c r="BT51" s="29">
        <f t="shared" ca="1" si="27"/>
        <v>6</v>
      </c>
      <c r="BU51" s="29">
        <f t="shared" ca="1" si="27"/>
        <v>3</v>
      </c>
      <c r="BV51" s="29">
        <f t="shared" ca="1" si="27"/>
        <v>1</v>
      </c>
      <c r="BW51" s="29">
        <f t="shared" ca="1" si="27"/>
        <v>2</v>
      </c>
      <c r="BX51" s="29">
        <f t="shared" ca="1" si="27"/>
        <v>3</v>
      </c>
      <c r="BY51" s="29">
        <f t="shared" ca="1" si="27"/>
        <v>5</v>
      </c>
      <c r="BZ51" s="29">
        <f t="shared" ca="1" si="27"/>
        <v>1</v>
      </c>
      <c r="CA51" s="29">
        <f t="shared" ca="1" si="27"/>
        <v>1</v>
      </c>
      <c r="CB51" s="29">
        <f t="shared" ca="1" si="24"/>
        <v>4</v>
      </c>
      <c r="CC51" s="29">
        <f t="shared" ca="1" si="24"/>
        <v>1</v>
      </c>
      <c r="CD51" s="29">
        <f t="shared" ca="1" si="24"/>
        <v>6</v>
      </c>
      <c r="CE51" s="29">
        <f t="shared" ca="1" si="24"/>
        <v>2</v>
      </c>
      <c r="CF51" s="29">
        <f t="shared" ca="1" si="24"/>
        <v>3</v>
      </c>
      <c r="CG51" s="29">
        <f t="shared" ca="1" si="24"/>
        <v>3</v>
      </c>
      <c r="CH51" s="29">
        <f t="shared" ca="1" si="24"/>
        <v>1</v>
      </c>
      <c r="CI51" s="29">
        <f t="shared" ca="1" si="24"/>
        <v>4</v>
      </c>
      <c r="CJ51" s="29">
        <f t="shared" ca="1" si="24"/>
        <v>1</v>
      </c>
      <c r="CK51" s="29">
        <f t="shared" ca="1" si="24"/>
        <v>1</v>
      </c>
      <c r="CL51" s="29">
        <f t="shared" ca="1" si="24"/>
        <v>4</v>
      </c>
      <c r="CM51" s="29">
        <f t="shared" ca="1" si="24"/>
        <v>4</v>
      </c>
      <c r="CN51" s="29">
        <f t="shared" ca="1" si="24"/>
        <v>1</v>
      </c>
      <c r="CO51" s="29">
        <f t="shared" ca="1" si="24"/>
        <v>4</v>
      </c>
      <c r="CP51" s="29">
        <f t="shared" ca="1" si="24"/>
        <v>2</v>
      </c>
      <c r="CQ51" s="29">
        <f t="shared" ca="1" si="30"/>
        <v>5</v>
      </c>
      <c r="CR51" s="29">
        <f t="shared" ca="1" si="30"/>
        <v>1</v>
      </c>
      <c r="CS51" s="29">
        <f t="shared" ca="1" si="30"/>
        <v>2</v>
      </c>
      <c r="CT51" s="29">
        <f t="shared" ca="1" si="30"/>
        <v>0</v>
      </c>
      <c r="CU51" s="29">
        <f t="shared" ca="1" si="30"/>
        <v>5</v>
      </c>
      <c r="CV51" s="29">
        <f t="shared" ca="1" si="34"/>
        <v>1</v>
      </c>
      <c r="CW51" s="29">
        <f t="shared" ca="1" si="34"/>
        <v>2</v>
      </c>
      <c r="CX51" s="29">
        <f t="shared" ca="1" si="34"/>
        <v>4</v>
      </c>
      <c r="CY51" s="29">
        <f t="shared" ca="1" si="34"/>
        <v>4</v>
      </c>
      <c r="CZ51" s="29">
        <f t="shared" ca="1" si="34"/>
        <v>1</v>
      </c>
      <c r="DA51" s="29">
        <f t="shared" ca="1" si="34"/>
        <v>2</v>
      </c>
      <c r="DB51" s="29">
        <f t="shared" ca="1" si="34"/>
        <v>5</v>
      </c>
      <c r="DC51" s="29">
        <f t="shared" ca="1" si="34"/>
        <v>0</v>
      </c>
      <c r="DD51" s="29">
        <f t="shared" ca="1" si="34"/>
        <v>6</v>
      </c>
      <c r="DE51" s="29">
        <f t="shared" ca="1" si="34"/>
        <v>2</v>
      </c>
      <c r="DF51" s="29">
        <f t="shared" ca="1" si="34"/>
        <v>4</v>
      </c>
      <c r="DG51" s="29">
        <f t="shared" ca="1" si="34"/>
        <v>5</v>
      </c>
      <c r="DH51" s="29">
        <f t="shared" ca="1" si="34"/>
        <v>3</v>
      </c>
      <c r="DI51" s="29">
        <f t="shared" ca="1" si="34"/>
        <v>2</v>
      </c>
      <c r="DJ51" s="29">
        <f t="shared" ca="1" si="34"/>
        <v>2</v>
      </c>
      <c r="DK51" s="29">
        <f t="shared" ca="1" si="34"/>
        <v>3</v>
      </c>
      <c r="DL51" s="29">
        <f t="shared" ca="1" si="33"/>
        <v>0</v>
      </c>
    </row>
    <row r="52" spans="1:116" ht="14.4" x14ac:dyDescent="0.3">
      <c r="A52" s="31">
        <v>676</v>
      </c>
      <c r="B52" s="28">
        <v>2.88</v>
      </c>
      <c r="C52" s="30">
        <v>10.36</v>
      </c>
      <c r="D52" s="28">
        <v>2.41</v>
      </c>
      <c r="E52" s="34">
        <f t="shared" si="0"/>
        <v>4.82E-2</v>
      </c>
      <c r="F52" s="35">
        <f t="shared" si="1"/>
        <v>2.59</v>
      </c>
      <c r="G52" s="34">
        <f t="shared" si="2"/>
        <v>60.25</v>
      </c>
      <c r="H52" s="33">
        <f t="shared" si="7"/>
        <v>20.020833333333332</v>
      </c>
      <c r="I52" s="28">
        <f t="shared" si="8"/>
        <v>85.85</v>
      </c>
      <c r="J52" s="32">
        <v>1</v>
      </c>
      <c r="K52" s="30">
        <f t="shared" si="3"/>
        <v>2.59</v>
      </c>
      <c r="L52" s="30"/>
      <c r="M52" s="30"/>
      <c r="N52" s="30"/>
      <c r="O52" s="30"/>
      <c r="Q52" s="29">
        <f t="shared" ca="1" si="4"/>
        <v>4</v>
      </c>
      <c r="R52" s="29">
        <f t="shared" ca="1" si="29"/>
        <v>2</v>
      </c>
      <c r="S52" s="29">
        <f t="shared" ca="1" si="29"/>
        <v>3</v>
      </c>
      <c r="T52" s="29">
        <f t="shared" ca="1" si="29"/>
        <v>2</v>
      </c>
      <c r="U52" s="29">
        <f t="shared" ca="1" si="29"/>
        <v>1</v>
      </c>
      <c r="V52" s="29">
        <f t="shared" ca="1" si="29"/>
        <v>3</v>
      </c>
      <c r="W52" s="29">
        <f t="shared" ca="1" si="29"/>
        <v>3</v>
      </c>
      <c r="X52" s="29">
        <f t="shared" ca="1" si="29"/>
        <v>0</v>
      </c>
      <c r="Y52" s="29">
        <f t="shared" ca="1" si="29"/>
        <v>6</v>
      </c>
      <c r="Z52" s="29">
        <f t="shared" ca="1" si="29"/>
        <v>0</v>
      </c>
      <c r="AA52" s="29">
        <f t="shared" ca="1" si="29"/>
        <v>3</v>
      </c>
      <c r="AB52" s="29">
        <f t="shared" ca="1" si="29"/>
        <v>2</v>
      </c>
      <c r="AC52" s="29">
        <f t="shared" ca="1" si="29"/>
        <v>3</v>
      </c>
      <c r="AD52" s="29">
        <f t="shared" ca="1" si="29"/>
        <v>2</v>
      </c>
      <c r="AE52" s="29">
        <f t="shared" ca="1" si="29"/>
        <v>2</v>
      </c>
      <c r="AF52" s="29">
        <f t="shared" ca="1" si="29"/>
        <v>4</v>
      </c>
      <c r="AG52" s="29">
        <f t="shared" ca="1" si="26"/>
        <v>2</v>
      </c>
      <c r="AH52" s="29">
        <f t="shared" ca="1" si="26"/>
        <v>2</v>
      </c>
      <c r="AI52" s="29">
        <f t="shared" ca="1" si="26"/>
        <v>2</v>
      </c>
      <c r="AJ52" s="29">
        <f t="shared" ca="1" si="26"/>
        <v>5</v>
      </c>
      <c r="AK52" s="29">
        <f t="shared" ca="1" si="26"/>
        <v>2</v>
      </c>
      <c r="AL52" s="29">
        <f t="shared" ca="1" si="26"/>
        <v>0</v>
      </c>
      <c r="AM52" s="29">
        <f t="shared" ca="1" si="26"/>
        <v>1</v>
      </c>
      <c r="AN52" s="29">
        <f t="shared" ca="1" si="26"/>
        <v>2</v>
      </c>
      <c r="AO52" s="29">
        <f t="shared" ca="1" si="26"/>
        <v>5</v>
      </c>
      <c r="AP52" s="29">
        <f t="shared" ca="1" si="26"/>
        <v>3</v>
      </c>
      <c r="AQ52" s="29">
        <f t="shared" ca="1" si="26"/>
        <v>1</v>
      </c>
      <c r="AR52" s="29">
        <f t="shared" ca="1" si="26"/>
        <v>2</v>
      </c>
      <c r="AS52" s="29">
        <f t="shared" ca="1" si="26"/>
        <v>5</v>
      </c>
      <c r="AT52" s="29">
        <f t="shared" ca="1" si="26"/>
        <v>2</v>
      </c>
      <c r="AU52" s="29">
        <f t="shared" ca="1" si="26"/>
        <v>4</v>
      </c>
      <c r="AV52" s="29">
        <f t="shared" ca="1" si="32"/>
        <v>1</v>
      </c>
      <c r="AW52" s="29">
        <f t="shared" ca="1" si="32"/>
        <v>3</v>
      </c>
      <c r="AX52" s="29">
        <f t="shared" ca="1" si="32"/>
        <v>2</v>
      </c>
      <c r="AY52" s="29">
        <f t="shared" ca="1" si="32"/>
        <v>3</v>
      </c>
      <c r="AZ52" s="29">
        <f t="shared" ca="1" si="32"/>
        <v>0</v>
      </c>
      <c r="BA52" s="29">
        <f t="shared" ca="1" si="32"/>
        <v>1</v>
      </c>
      <c r="BB52" s="29">
        <f t="shared" ca="1" si="32"/>
        <v>1</v>
      </c>
      <c r="BC52" s="29">
        <f t="shared" ca="1" si="32"/>
        <v>6</v>
      </c>
      <c r="BD52" s="29">
        <f t="shared" ca="1" si="32"/>
        <v>3</v>
      </c>
      <c r="BE52" s="29">
        <f t="shared" ca="1" si="32"/>
        <v>1</v>
      </c>
      <c r="BF52" s="29">
        <f t="shared" ca="1" si="32"/>
        <v>2</v>
      </c>
      <c r="BG52" s="29">
        <f t="shared" ca="1" si="32"/>
        <v>1</v>
      </c>
      <c r="BH52" s="29">
        <f t="shared" ca="1" si="32"/>
        <v>2</v>
      </c>
      <c r="BI52" s="29">
        <f t="shared" ca="1" si="32"/>
        <v>2</v>
      </c>
      <c r="BJ52" s="29">
        <f t="shared" ca="1" si="32"/>
        <v>2</v>
      </c>
      <c r="BK52" s="29">
        <f t="shared" ca="1" si="32"/>
        <v>3</v>
      </c>
      <c r="BL52" s="29">
        <f t="shared" ca="1" si="31"/>
        <v>3</v>
      </c>
      <c r="BM52" s="29">
        <f t="shared" ca="1" si="31"/>
        <v>6</v>
      </c>
      <c r="BN52" s="29">
        <f t="shared" ca="1" si="31"/>
        <v>0</v>
      </c>
      <c r="BO52" s="29">
        <f t="shared" ca="1" si="31"/>
        <v>2</v>
      </c>
      <c r="BP52" s="29">
        <f t="shared" ca="1" si="27"/>
        <v>1</v>
      </c>
      <c r="BQ52" s="29">
        <f t="shared" ca="1" si="27"/>
        <v>6</v>
      </c>
      <c r="BR52" s="29">
        <f t="shared" ca="1" si="27"/>
        <v>2</v>
      </c>
      <c r="BS52" s="29">
        <f t="shared" ca="1" si="27"/>
        <v>0</v>
      </c>
      <c r="BT52" s="29">
        <f t="shared" ca="1" si="27"/>
        <v>1</v>
      </c>
      <c r="BU52" s="29">
        <f t="shared" ca="1" si="27"/>
        <v>2</v>
      </c>
      <c r="BV52" s="29">
        <f t="shared" ca="1" si="27"/>
        <v>1</v>
      </c>
      <c r="BW52" s="29">
        <f t="shared" ca="1" si="27"/>
        <v>4</v>
      </c>
      <c r="BX52" s="29">
        <f t="shared" ca="1" si="27"/>
        <v>6</v>
      </c>
      <c r="BY52" s="29">
        <f t="shared" ca="1" si="27"/>
        <v>1</v>
      </c>
      <c r="BZ52" s="29">
        <f t="shared" ca="1" si="27"/>
        <v>5</v>
      </c>
      <c r="CA52" s="29">
        <f t="shared" ca="1" si="27"/>
        <v>3</v>
      </c>
      <c r="CB52" s="29">
        <f t="shared" ca="1" si="24"/>
        <v>0</v>
      </c>
      <c r="CC52" s="29">
        <f t="shared" ca="1" si="24"/>
        <v>0</v>
      </c>
      <c r="CD52" s="29">
        <f t="shared" ca="1" si="24"/>
        <v>1</v>
      </c>
      <c r="CE52" s="29">
        <f t="shared" ca="1" si="24"/>
        <v>1</v>
      </c>
      <c r="CF52" s="29">
        <f t="shared" ca="1" si="24"/>
        <v>2</v>
      </c>
      <c r="CG52" s="29">
        <f t="shared" ca="1" si="24"/>
        <v>0</v>
      </c>
      <c r="CH52" s="29">
        <f t="shared" ca="1" si="24"/>
        <v>5</v>
      </c>
      <c r="CI52" s="29">
        <f t="shared" ca="1" si="24"/>
        <v>3</v>
      </c>
      <c r="CJ52" s="29">
        <f t="shared" ca="1" si="24"/>
        <v>5</v>
      </c>
      <c r="CK52" s="29">
        <f t="shared" ca="1" si="24"/>
        <v>2</v>
      </c>
      <c r="CL52" s="29">
        <f t="shared" ca="1" si="24"/>
        <v>2</v>
      </c>
      <c r="CM52" s="29">
        <f t="shared" ca="1" si="24"/>
        <v>2</v>
      </c>
      <c r="CN52" s="29">
        <f t="shared" ca="1" si="24"/>
        <v>1</v>
      </c>
      <c r="CO52" s="29">
        <f t="shared" ca="1" si="24"/>
        <v>2</v>
      </c>
      <c r="CP52" s="29">
        <f t="shared" ca="1" si="24"/>
        <v>4</v>
      </c>
      <c r="CQ52" s="29">
        <f t="shared" ca="1" si="30"/>
        <v>2</v>
      </c>
      <c r="CR52" s="29">
        <f t="shared" ca="1" si="30"/>
        <v>1</v>
      </c>
      <c r="CS52" s="29">
        <f t="shared" ca="1" si="30"/>
        <v>1</v>
      </c>
      <c r="CT52" s="29">
        <f t="shared" ca="1" si="30"/>
        <v>2</v>
      </c>
      <c r="CU52" s="29">
        <f t="shared" ca="1" si="30"/>
        <v>0</v>
      </c>
      <c r="CV52" s="29">
        <f t="shared" ca="1" si="34"/>
        <v>1</v>
      </c>
      <c r="CW52" s="29">
        <f t="shared" ca="1" si="34"/>
        <v>0</v>
      </c>
      <c r="CX52" s="29">
        <f t="shared" ca="1" si="34"/>
        <v>1</v>
      </c>
      <c r="CY52" s="29">
        <f t="shared" ca="1" si="34"/>
        <v>2</v>
      </c>
      <c r="CZ52" s="29">
        <f t="shared" ca="1" si="34"/>
        <v>0</v>
      </c>
      <c r="DA52" s="29">
        <f t="shared" ca="1" si="34"/>
        <v>3</v>
      </c>
      <c r="DB52" s="29">
        <f t="shared" ca="1" si="34"/>
        <v>6</v>
      </c>
      <c r="DC52" s="29">
        <f t="shared" ca="1" si="34"/>
        <v>2</v>
      </c>
      <c r="DD52" s="29">
        <f t="shared" ca="1" si="34"/>
        <v>1</v>
      </c>
      <c r="DE52" s="29">
        <f t="shared" ca="1" si="34"/>
        <v>3</v>
      </c>
      <c r="DF52" s="29">
        <f t="shared" ca="1" si="34"/>
        <v>1</v>
      </c>
      <c r="DG52" s="29">
        <f t="shared" ca="1" si="34"/>
        <v>1</v>
      </c>
      <c r="DH52" s="29">
        <f t="shared" ca="1" si="34"/>
        <v>1</v>
      </c>
      <c r="DI52" s="29">
        <f t="shared" ca="1" si="34"/>
        <v>1</v>
      </c>
      <c r="DJ52" s="29">
        <f t="shared" ca="1" si="34"/>
        <v>3</v>
      </c>
      <c r="DK52" s="29">
        <f t="shared" ca="1" si="34"/>
        <v>2</v>
      </c>
      <c r="DL52" s="29">
        <f t="shared" ca="1" si="33"/>
        <v>4</v>
      </c>
    </row>
    <row r="53" spans="1:116" ht="14.4" x14ac:dyDescent="0.3">
      <c r="A53" s="31">
        <v>479</v>
      </c>
      <c r="B53" s="28">
        <v>2.6</v>
      </c>
      <c r="C53" s="30">
        <v>52.65</v>
      </c>
      <c r="D53" s="28">
        <v>2.6</v>
      </c>
      <c r="E53" s="34">
        <f t="shared" si="0"/>
        <v>5.2000000000000005E-2</v>
      </c>
      <c r="F53" s="35">
        <f t="shared" si="1"/>
        <v>13.1625</v>
      </c>
      <c r="G53" s="34">
        <f t="shared" si="2"/>
        <v>65</v>
      </c>
      <c r="H53" s="33">
        <f t="shared" si="7"/>
        <v>19.9375</v>
      </c>
      <c r="I53" s="28">
        <f t="shared" si="8"/>
        <v>88.449999999999989</v>
      </c>
      <c r="J53" s="32">
        <v>1</v>
      </c>
      <c r="K53" s="30">
        <f t="shared" si="3"/>
        <v>13.1625</v>
      </c>
      <c r="L53" s="30"/>
      <c r="M53" s="30"/>
      <c r="N53" s="30"/>
      <c r="O53" s="30"/>
      <c r="Q53" s="29">
        <f t="shared" ca="1" si="4"/>
        <v>5</v>
      </c>
      <c r="R53" s="29">
        <f t="shared" ca="1" si="29"/>
        <v>1</v>
      </c>
      <c r="S53" s="29">
        <f t="shared" ca="1" si="29"/>
        <v>3</v>
      </c>
      <c r="T53" s="29">
        <f t="shared" ca="1" si="29"/>
        <v>5</v>
      </c>
      <c r="U53" s="29">
        <f t="shared" ca="1" si="29"/>
        <v>2</v>
      </c>
      <c r="V53" s="29">
        <f t="shared" ca="1" si="29"/>
        <v>6</v>
      </c>
      <c r="W53" s="29">
        <f t="shared" ca="1" si="29"/>
        <v>3</v>
      </c>
      <c r="X53" s="29">
        <f t="shared" ca="1" si="29"/>
        <v>2</v>
      </c>
      <c r="Y53" s="29">
        <f t="shared" ca="1" si="29"/>
        <v>2</v>
      </c>
      <c r="Z53" s="29">
        <f t="shared" ca="1" si="29"/>
        <v>2</v>
      </c>
      <c r="AA53" s="29">
        <f t="shared" ca="1" si="29"/>
        <v>1</v>
      </c>
      <c r="AB53" s="29">
        <f t="shared" ca="1" si="29"/>
        <v>1</v>
      </c>
      <c r="AC53" s="29">
        <f t="shared" ca="1" si="29"/>
        <v>1</v>
      </c>
      <c r="AD53" s="29">
        <f t="shared" ca="1" si="29"/>
        <v>1</v>
      </c>
      <c r="AE53" s="29">
        <f t="shared" ca="1" si="29"/>
        <v>3</v>
      </c>
      <c r="AF53" s="29">
        <f t="shared" ca="1" si="29"/>
        <v>1</v>
      </c>
      <c r="AG53" s="29">
        <f t="shared" ca="1" si="26"/>
        <v>3</v>
      </c>
      <c r="AH53" s="29">
        <f t="shared" ca="1" si="26"/>
        <v>1</v>
      </c>
      <c r="AI53" s="29">
        <f t="shared" ca="1" si="26"/>
        <v>1</v>
      </c>
      <c r="AJ53" s="29">
        <f t="shared" ca="1" si="26"/>
        <v>1</v>
      </c>
      <c r="AK53" s="29">
        <f t="shared" ca="1" si="26"/>
        <v>2</v>
      </c>
      <c r="AL53" s="29">
        <f t="shared" ca="1" si="26"/>
        <v>3</v>
      </c>
      <c r="AM53" s="29">
        <f t="shared" ca="1" si="26"/>
        <v>4</v>
      </c>
      <c r="AN53" s="29">
        <f t="shared" ca="1" si="26"/>
        <v>2</v>
      </c>
      <c r="AO53" s="29">
        <f t="shared" ca="1" si="26"/>
        <v>2</v>
      </c>
      <c r="AP53" s="29">
        <f t="shared" ca="1" si="26"/>
        <v>1</v>
      </c>
      <c r="AQ53" s="29">
        <f t="shared" ca="1" si="26"/>
        <v>2</v>
      </c>
      <c r="AR53" s="29">
        <f t="shared" ca="1" si="26"/>
        <v>2</v>
      </c>
      <c r="AS53" s="29">
        <f t="shared" ca="1" si="26"/>
        <v>3</v>
      </c>
      <c r="AT53" s="29">
        <f t="shared" ca="1" si="26"/>
        <v>2</v>
      </c>
      <c r="AU53" s="29">
        <f t="shared" ca="1" si="26"/>
        <v>2</v>
      </c>
      <c r="AV53" s="29">
        <f t="shared" ca="1" si="32"/>
        <v>3</v>
      </c>
      <c r="AW53" s="29">
        <f t="shared" ca="1" si="32"/>
        <v>3</v>
      </c>
      <c r="AX53" s="29">
        <f t="shared" ca="1" si="32"/>
        <v>3</v>
      </c>
      <c r="AY53" s="29">
        <f t="shared" ca="1" si="32"/>
        <v>3</v>
      </c>
      <c r="AZ53" s="29">
        <f t="shared" ca="1" si="32"/>
        <v>0</v>
      </c>
      <c r="BA53" s="29">
        <f t="shared" ca="1" si="32"/>
        <v>5</v>
      </c>
      <c r="BB53" s="29">
        <f t="shared" ca="1" si="32"/>
        <v>3</v>
      </c>
      <c r="BC53" s="29">
        <f t="shared" ca="1" si="32"/>
        <v>4</v>
      </c>
      <c r="BD53" s="29">
        <f t="shared" ca="1" si="32"/>
        <v>2</v>
      </c>
      <c r="BE53" s="29">
        <f t="shared" ca="1" si="32"/>
        <v>2</v>
      </c>
      <c r="BF53" s="29">
        <f t="shared" ca="1" si="32"/>
        <v>1</v>
      </c>
      <c r="BG53" s="29">
        <f t="shared" ca="1" si="32"/>
        <v>5</v>
      </c>
      <c r="BH53" s="29">
        <f t="shared" ca="1" si="32"/>
        <v>4</v>
      </c>
      <c r="BI53" s="29">
        <f t="shared" ca="1" si="32"/>
        <v>1</v>
      </c>
      <c r="BJ53" s="29">
        <f t="shared" ca="1" si="32"/>
        <v>2</v>
      </c>
      <c r="BK53" s="29">
        <f t="shared" ca="1" si="32"/>
        <v>2</v>
      </c>
      <c r="BL53" s="29">
        <f t="shared" ca="1" si="31"/>
        <v>1</v>
      </c>
      <c r="BM53" s="29">
        <f t="shared" ca="1" si="31"/>
        <v>5</v>
      </c>
      <c r="BN53" s="29">
        <f t="shared" ca="1" si="31"/>
        <v>2</v>
      </c>
      <c r="BO53" s="29">
        <f t="shared" ca="1" si="31"/>
        <v>1</v>
      </c>
      <c r="BP53" s="29">
        <f t="shared" ca="1" si="27"/>
        <v>3</v>
      </c>
      <c r="BQ53" s="29">
        <f t="shared" ca="1" si="27"/>
        <v>2</v>
      </c>
      <c r="BR53" s="29">
        <f t="shared" ca="1" si="27"/>
        <v>4</v>
      </c>
      <c r="BS53" s="29">
        <f t="shared" ca="1" si="27"/>
        <v>3</v>
      </c>
      <c r="BT53" s="29">
        <f t="shared" ca="1" si="27"/>
        <v>3</v>
      </c>
      <c r="BU53" s="29">
        <f t="shared" ca="1" si="27"/>
        <v>4</v>
      </c>
      <c r="BV53" s="29">
        <f t="shared" ca="1" si="27"/>
        <v>0</v>
      </c>
      <c r="BW53" s="29">
        <f t="shared" ca="1" si="27"/>
        <v>1</v>
      </c>
      <c r="BX53" s="29">
        <f t="shared" ca="1" si="27"/>
        <v>4</v>
      </c>
      <c r="BY53" s="29">
        <f t="shared" ca="1" si="27"/>
        <v>4</v>
      </c>
      <c r="BZ53" s="29">
        <f t="shared" ca="1" si="27"/>
        <v>3</v>
      </c>
      <c r="CA53" s="29">
        <f t="shared" ca="1" si="27"/>
        <v>5</v>
      </c>
      <c r="CB53" s="29">
        <f t="shared" ca="1" si="24"/>
        <v>2</v>
      </c>
      <c r="CC53" s="29">
        <f t="shared" ca="1" si="24"/>
        <v>2</v>
      </c>
      <c r="CD53" s="29">
        <f t="shared" ca="1" si="24"/>
        <v>2</v>
      </c>
      <c r="CE53" s="29">
        <f t="shared" ca="1" si="24"/>
        <v>1</v>
      </c>
      <c r="CF53" s="29">
        <f t="shared" ca="1" si="24"/>
        <v>2</v>
      </c>
      <c r="CG53" s="29">
        <f t="shared" ca="1" si="24"/>
        <v>0</v>
      </c>
      <c r="CH53" s="29">
        <f t="shared" ca="1" si="24"/>
        <v>4</v>
      </c>
      <c r="CI53" s="29">
        <f t="shared" ca="1" si="24"/>
        <v>0</v>
      </c>
      <c r="CJ53" s="29">
        <f t="shared" ca="1" si="24"/>
        <v>3</v>
      </c>
      <c r="CK53" s="29">
        <f t="shared" ca="1" si="24"/>
        <v>2</v>
      </c>
      <c r="CL53" s="29">
        <f t="shared" ca="1" si="24"/>
        <v>4</v>
      </c>
      <c r="CM53" s="29">
        <f t="shared" ca="1" si="24"/>
        <v>2</v>
      </c>
      <c r="CN53" s="29">
        <f t="shared" ca="1" si="24"/>
        <v>1</v>
      </c>
      <c r="CO53" s="29">
        <f t="shared" ca="1" si="24"/>
        <v>5</v>
      </c>
      <c r="CP53" s="29">
        <f t="shared" ca="1" si="24"/>
        <v>2</v>
      </c>
      <c r="CQ53" s="29">
        <f t="shared" ca="1" si="30"/>
        <v>2</v>
      </c>
      <c r="CR53" s="29">
        <f t="shared" ca="1" si="30"/>
        <v>2</v>
      </c>
      <c r="CS53" s="29">
        <f t="shared" ca="1" si="30"/>
        <v>1</v>
      </c>
      <c r="CT53" s="29">
        <f t="shared" ca="1" si="30"/>
        <v>3</v>
      </c>
      <c r="CU53" s="29">
        <f t="shared" ca="1" si="30"/>
        <v>2</v>
      </c>
      <c r="CV53" s="29">
        <f t="shared" ca="1" si="34"/>
        <v>5</v>
      </c>
      <c r="CW53" s="29">
        <f t="shared" ca="1" si="34"/>
        <v>2</v>
      </c>
      <c r="CX53" s="29">
        <f t="shared" ca="1" si="34"/>
        <v>2</v>
      </c>
      <c r="CY53" s="29">
        <f t="shared" ca="1" si="34"/>
        <v>2</v>
      </c>
      <c r="CZ53" s="29">
        <f t="shared" ca="1" si="34"/>
        <v>4</v>
      </c>
      <c r="DA53" s="29">
        <f t="shared" ca="1" si="34"/>
        <v>1</v>
      </c>
      <c r="DB53" s="29">
        <f t="shared" ca="1" si="34"/>
        <v>2</v>
      </c>
      <c r="DC53" s="29">
        <f t="shared" ca="1" si="34"/>
        <v>1</v>
      </c>
      <c r="DD53" s="29">
        <f t="shared" ca="1" si="34"/>
        <v>6</v>
      </c>
      <c r="DE53" s="29">
        <f t="shared" ca="1" si="34"/>
        <v>1</v>
      </c>
      <c r="DF53" s="29">
        <f t="shared" ca="1" si="34"/>
        <v>1</v>
      </c>
      <c r="DG53" s="29">
        <f t="shared" ca="1" si="34"/>
        <v>3</v>
      </c>
      <c r="DH53" s="29">
        <f t="shared" ca="1" si="34"/>
        <v>0</v>
      </c>
      <c r="DI53" s="29">
        <f t="shared" ca="1" si="34"/>
        <v>1</v>
      </c>
      <c r="DJ53" s="29">
        <f t="shared" ca="1" si="34"/>
        <v>3</v>
      </c>
      <c r="DK53" s="29">
        <f t="shared" ca="1" si="34"/>
        <v>2</v>
      </c>
      <c r="DL53" s="29">
        <f t="shared" ca="1" si="33"/>
        <v>1</v>
      </c>
    </row>
    <row r="54" spans="1:116" ht="14.4" x14ac:dyDescent="0.3">
      <c r="A54" s="31">
        <v>441</v>
      </c>
      <c r="B54" s="28">
        <v>0.98</v>
      </c>
      <c r="C54" s="30">
        <v>46.52</v>
      </c>
      <c r="D54" s="28">
        <v>1.24</v>
      </c>
      <c r="E54" s="34">
        <f t="shared" si="0"/>
        <v>2.4799999999999999E-2</v>
      </c>
      <c r="F54" s="35">
        <f t="shared" si="1"/>
        <v>11.63</v>
      </c>
      <c r="G54" s="34">
        <f t="shared" si="2"/>
        <v>31</v>
      </c>
      <c r="H54" s="33">
        <f t="shared" si="7"/>
        <v>19.765306122448976</v>
      </c>
      <c r="I54" s="28">
        <f t="shared" si="8"/>
        <v>89.429999999999993</v>
      </c>
      <c r="J54" s="32">
        <v>1</v>
      </c>
      <c r="K54" s="30">
        <f t="shared" si="3"/>
        <v>11.63</v>
      </c>
      <c r="L54" s="30"/>
      <c r="M54" s="30"/>
      <c r="N54" s="30"/>
      <c r="O54" s="30"/>
      <c r="Q54" s="29">
        <f t="shared" ca="1" si="4"/>
        <v>1</v>
      </c>
      <c r="R54" s="29">
        <f t="shared" ca="1" si="29"/>
        <v>4</v>
      </c>
      <c r="S54" s="29">
        <f t="shared" ca="1" si="29"/>
        <v>2</v>
      </c>
      <c r="T54" s="29">
        <f t="shared" ca="1" si="29"/>
        <v>2</v>
      </c>
      <c r="U54" s="29">
        <f t="shared" ca="1" si="29"/>
        <v>1</v>
      </c>
      <c r="V54" s="29">
        <f t="shared" ca="1" si="29"/>
        <v>0</v>
      </c>
      <c r="W54" s="29">
        <f t="shared" ca="1" si="29"/>
        <v>0</v>
      </c>
      <c r="X54" s="29">
        <f t="shared" ca="1" si="29"/>
        <v>0</v>
      </c>
      <c r="Y54" s="29">
        <f t="shared" ca="1" si="29"/>
        <v>0</v>
      </c>
      <c r="Z54" s="29">
        <f t="shared" ca="1" si="29"/>
        <v>2</v>
      </c>
      <c r="AA54" s="29">
        <f t="shared" ca="1" si="29"/>
        <v>0</v>
      </c>
      <c r="AB54" s="29">
        <f t="shared" ca="1" si="29"/>
        <v>2</v>
      </c>
      <c r="AC54" s="29">
        <f t="shared" ca="1" si="29"/>
        <v>1</v>
      </c>
      <c r="AD54" s="29">
        <f t="shared" ca="1" si="29"/>
        <v>2</v>
      </c>
      <c r="AE54" s="29">
        <f t="shared" ca="1" si="29"/>
        <v>2</v>
      </c>
      <c r="AF54" s="29">
        <f t="shared" ca="1" si="29"/>
        <v>1</v>
      </c>
      <c r="AG54" s="29">
        <f t="shared" ca="1" si="26"/>
        <v>0</v>
      </c>
      <c r="AH54" s="29">
        <f t="shared" ca="1" si="26"/>
        <v>1</v>
      </c>
      <c r="AI54" s="29">
        <f t="shared" ca="1" si="26"/>
        <v>0</v>
      </c>
      <c r="AJ54" s="29">
        <f t="shared" ca="1" si="26"/>
        <v>1</v>
      </c>
      <c r="AK54" s="29">
        <f t="shared" ca="1" si="26"/>
        <v>3</v>
      </c>
      <c r="AL54" s="29">
        <f t="shared" ca="1" si="26"/>
        <v>0</v>
      </c>
      <c r="AM54" s="29">
        <f t="shared" ca="1" si="26"/>
        <v>1</v>
      </c>
      <c r="AN54" s="29">
        <f t="shared" ca="1" si="26"/>
        <v>2</v>
      </c>
      <c r="AO54" s="29">
        <f t="shared" ca="1" si="26"/>
        <v>2</v>
      </c>
      <c r="AP54" s="29">
        <f t="shared" ca="1" si="26"/>
        <v>0</v>
      </c>
      <c r="AQ54" s="29">
        <f t="shared" ca="1" si="26"/>
        <v>0</v>
      </c>
      <c r="AR54" s="29">
        <f t="shared" ca="1" si="26"/>
        <v>4</v>
      </c>
      <c r="AS54" s="29">
        <f t="shared" ca="1" si="26"/>
        <v>1</v>
      </c>
      <c r="AT54" s="29">
        <f t="shared" ca="1" si="26"/>
        <v>0</v>
      </c>
      <c r="AU54" s="29">
        <f t="shared" ca="1" si="26"/>
        <v>0</v>
      </c>
      <c r="AV54" s="29">
        <f t="shared" ca="1" si="32"/>
        <v>1</v>
      </c>
      <c r="AW54" s="29">
        <f t="shared" ca="1" si="32"/>
        <v>2</v>
      </c>
      <c r="AX54" s="29">
        <f t="shared" ca="1" si="32"/>
        <v>0</v>
      </c>
      <c r="AY54" s="29">
        <f t="shared" ca="1" si="32"/>
        <v>3</v>
      </c>
      <c r="AZ54" s="29">
        <f t="shared" ca="1" si="32"/>
        <v>1</v>
      </c>
      <c r="BA54" s="29">
        <f t="shared" ca="1" si="32"/>
        <v>1</v>
      </c>
      <c r="BB54" s="29">
        <f t="shared" ca="1" si="32"/>
        <v>0</v>
      </c>
      <c r="BC54" s="29">
        <f t="shared" ca="1" si="32"/>
        <v>0</v>
      </c>
      <c r="BD54" s="29">
        <f t="shared" ca="1" si="32"/>
        <v>1</v>
      </c>
      <c r="BE54" s="29">
        <f t="shared" ca="1" si="32"/>
        <v>4</v>
      </c>
      <c r="BF54" s="29">
        <f t="shared" ca="1" si="32"/>
        <v>0</v>
      </c>
      <c r="BG54" s="29">
        <f t="shared" ca="1" si="32"/>
        <v>4</v>
      </c>
      <c r="BH54" s="29">
        <f t="shared" ca="1" si="32"/>
        <v>1</v>
      </c>
      <c r="BI54" s="29">
        <f t="shared" ca="1" si="32"/>
        <v>2</v>
      </c>
      <c r="BJ54" s="29">
        <f t="shared" ca="1" si="32"/>
        <v>3</v>
      </c>
      <c r="BK54" s="29">
        <f t="shared" ca="1" si="32"/>
        <v>0</v>
      </c>
      <c r="BL54" s="29">
        <f t="shared" ca="1" si="31"/>
        <v>1</v>
      </c>
      <c r="BM54" s="29">
        <f t="shared" ca="1" si="31"/>
        <v>2</v>
      </c>
      <c r="BN54" s="29">
        <f t="shared" ca="1" si="31"/>
        <v>1</v>
      </c>
      <c r="BO54" s="29">
        <f t="shared" ca="1" si="31"/>
        <v>4</v>
      </c>
      <c r="BP54" s="29">
        <f t="shared" ca="1" si="27"/>
        <v>2</v>
      </c>
      <c r="BQ54" s="29">
        <f t="shared" ca="1" si="27"/>
        <v>0</v>
      </c>
      <c r="BR54" s="29">
        <f t="shared" ca="1" si="27"/>
        <v>4</v>
      </c>
      <c r="BS54" s="29">
        <f t="shared" ca="1" si="27"/>
        <v>2</v>
      </c>
      <c r="BT54" s="29">
        <f t="shared" ca="1" si="27"/>
        <v>0</v>
      </c>
      <c r="BU54" s="29">
        <f t="shared" ca="1" si="27"/>
        <v>2</v>
      </c>
      <c r="BV54" s="29">
        <f t="shared" ca="1" si="27"/>
        <v>3</v>
      </c>
      <c r="BW54" s="29">
        <f t="shared" ca="1" si="27"/>
        <v>0</v>
      </c>
      <c r="BX54" s="29">
        <f t="shared" ca="1" si="27"/>
        <v>2</v>
      </c>
      <c r="BY54" s="29">
        <f t="shared" ca="1" si="27"/>
        <v>3</v>
      </c>
      <c r="BZ54" s="29">
        <f t="shared" ca="1" si="27"/>
        <v>2</v>
      </c>
      <c r="CA54" s="29">
        <f t="shared" ca="1" si="27"/>
        <v>2</v>
      </c>
      <c r="CB54" s="29">
        <f t="shared" ca="1" si="24"/>
        <v>0</v>
      </c>
      <c r="CC54" s="29">
        <f t="shared" ca="1" si="24"/>
        <v>1</v>
      </c>
      <c r="CD54" s="29">
        <f t="shared" ca="1" si="24"/>
        <v>1</v>
      </c>
      <c r="CE54" s="29">
        <f t="shared" ca="1" si="24"/>
        <v>1</v>
      </c>
      <c r="CF54" s="29">
        <f t="shared" ca="1" si="24"/>
        <v>1</v>
      </c>
      <c r="CG54" s="29">
        <f t="shared" ca="1" si="24"/>
        <v>2</v>
      </c>
      <c r="CH54" s="29">
        <f t="shared" ca="1" si="24"/>
        <v>1</v>
      </c>
      <c r="CI54" s="29">
        <f t="shared" ca="1" si="24"/>
        <v>1</v>
      </c>
      <c r="CJ54" s="29">
        <f t="shared" ca="1" si="24"/>
        <v>2</v>
      </c>
      <c r="CK54" s="29">
        <f t="shared" ca="1" si="24"/>
        <v>0</v>
      </c>
      <c r="CL54" s="29">
        <f t="shared" ca="1" si="24"/>
        <v>0</v>
      </c>
      <c r="CM54" s="29">
        <f t="shared" ca="1" si="24"/>
        <v>0</v>
      </c>
      <c r="CN54" s="29">
        <f t="shared" ca="1" si="24"/>
        <v>1</v>
      </c>
      <c r="CO54" s="29">
        <f t="shared" ca="1" si="24"/>
        <v>2</v>
      </c>
      <c r="CP54" s="29">
        <f t="shared" ca="1" si="24"/>
        <v>1</v>
      </c>
      <c r="CQ54" s="29">
        <f t="shared" ca="1" si="30"/>
        <v>0</v>
      </c>
      <c r="CR54" s="29">
        <f t="shared" ca="1" si="30"/>
        <v>1</v>
      </c>
      <c r="CS54" s="29">
        <f t="shared" ca="1" si="30"/>
        <v>1</v>
      </c>
      <c r="CT54" s="29">
        <f t="shared" ca="1" si="30"/>
        <v>1</v>
      </c>
      <c r="CU54" s="29">
        <f t="shared" ca="1" si="30"/>
        <v>0</v>
      </c>
      <c r="CV54" s="29">
        <f t="shared" ca="1" si="34"/>
        <v>0</v>
      </c>
      <c r="CW54" s="29">
        <f t="shared" ca="1" si="34"/>
        <v>0</v>
      </c>
      <c r="CX54" s="29">
        <f t="shared" ca="1" si="34"/>
        <v>0</v>
      </c>
      <c r="CY54" s="29">
        <f t="shared" ca="1" si="34"/>
        <v>3</v>
      </c>
      <c r="CZ54" s="29">
        <f t="shared" ca="1" si="34"/>
        <v>2</v>
      </c>
      <c r="DA54" s="29">
        <f t="shared" ca="1" si="34"/>
        <v>1</v>
      </c>
      <c r="DB54" s="29">
        <f t="shared" ca="1" si="34"/>
        <v>2</v>
      </c>
      <c r="DC54" s="29">
        <f t="shared" ca="1" si="34"/>
        <v>2</v>
      </c>
      <c r="DD54" s="29">
        <f t="shared" ca="1" si="34"/>
        <v>0</v>
      </c>
      <c r="DE54" s="29">
        <f t="shared" ca="1" si="34"/>
        <v>1</v>
      </c>
      <c r="DF54" s="29">
        <f t="shared" ca="1" si="34"/>
        <v>0</v>
      </c>
      <c r="DG54" s="29">
        <f t="shared" ca="1" si="34"/>
        <v>0</v>
      </c>
      <c r="DH54" s="29">
        <f t="shared" ca="1" si="34"/>
        <v>0</v>
      </c>
      <c r="DI54" s="29">
        <f t="shared" ca="1" si="34"/>
        <v>1</v>
      </c>
      <c r="DJ54" s="29">
        <f t="shared" ca="1" si="34"/>
        <v>2</v>
      </c>
      <c r="DK54" s="29">
        <f t="shared" ca="1" si="34"/>
        <v>3</v>
      </c>
      <c r="DL54" s="29">
        <f t="shared" ca="1" si="33"/>
        <v>1</v>
      </c>
    </row>
    <row r="55" spans="1:116" ht="14.4" x14ac:dyDescent="0.3">
      <c r="A55" s="31">
        <v>798</v>
      </c>
      <c r="B55" s="28">
        <v>1.73</v>
      </c>
      <c r="C55" s="30">
        <v>45.42</v>
      </c>
      <c r="D55" s="28">
        <v>1.81</v>
      </c>
      <c r="E55" s="34">
        <f t="shared" si="0"/>
        <v>3.6200000000000003E-2</v>
      </c>
      <c r="F55" s="35">
        <f t="shared" si="1"/>
        <v>11.355</v>
      </c>
      <c r="G55" s="34">
        <f t="shared" si="2"/>
        <v>45.25</v>
      </c>
      <c r="H55" s="33">
        <f t="shared" si="7"/>
        <v>19.592485549132945</v>
      </c>
      <c r="I55" s="28">
        <f t="shared" si="8"/>
        <v>91.16</v>
      </c>
      <c r="J55" s="32">
        <v>1</v>
      </c>
      <c r="K55" s="30">
        <f t="shared" si="3"/>
        <v>11.355</v>
      </c>
      <c r="L55" s="30"/>
      <c r="M55" s="30"/>
      <c r="N55" s="30"/>
      <c r="O55" s="30"/>
      <c r="Q55" s="29">
        <f t="shared" ca="1" si="4"/>
        <v>1</v>
      </c>
      <c r="R55" s="29">
        <f t="shared" ca="1" si="29"/>
        <v>2</v>
      </c>
      <c r="S55" s="29">
        <f t="shared" ca="1" si="29"/>
        <v>2</v>
      </c>
      <c r="T55" s="29">
        <f t="shared" ca="1" si="29"/>
        <v>2</v>
      </c>
      <c r="U55" s="29">
        <f t="shared" ca="1" si="29"/>
        <v>1</v>
      </c>
      <c r="V55" s="29">
        <f t="shared" ca="1" si="29"/>
        <v>1</v>
      </c>
      <c r="W55" s="29">
        <f t="shared" ca="1" si="29"/>
        <v>2</v>
      </c>
      <c r="X55" s="29">
        <f t="shared" ca="1" si="29"/>
        <v>2</v>
      </c>
      <c r="Y55" s="29">
        <f t="shared" ca="1" si="29"/>
        <v>1</v>
      </c>
      <c r="Z55" s="29">
        <f t="shared" ca="1" si="29"/>
        <v>1</v>
      </c>
      <c r="AA55" s="29">
        <f t="shared" ca="1" si="29"/>
        <v>1</v>
      </c>
      <c r="AB55" s="29">
        <f t="shared" ca="1" si="29"/>
        <v>1</v>
      </c>
      <c r="AC55" s="29">
        <f t="shared" ca="1" si="29"/>
        <v>1</v>
      </c>
      <c r="AD55" s="29">
        <f t="shared" ca="1" si="29"/>
        <v>5</v>
      </c>
      <c r="AE55" s="29">
        <f t="shared" ca="1" si="29"/>
        <v>1</v>
      </c>
      <c r="AF55" s="29">
        <f t="shared" ca="1" si="29"/>
        <v>3</v>
      </c>
      <c r="AG55" s="29">
        <f t="shared" ca="1" si="26"/>
        <v>2</v>
      </c>
      <c r="AH55" s="29">
        <f t="shared" ca="1" si="26"/>
        <v>2</v>
      </c>
      <c r="AI55" s="29">
        <f t="shared" ca="1" si="26"/>
        <v>1</v>
      </c>
      <c r="AJ55" s="29">
        <f t="shared" ca="1" si="26"/>
        <v>2</v>
      </c>
      <c r="AK55" s="29">
        <f t="shared" ca="1" si="26"/>
        <v>1</v>
      </c>
      <c r="AL55" s="29">
        <f t="shared" ca="1" si="26"/>
        <v>3</v>
      </c>
      <c r="AM55" s="29">
        <f t="shared" ca="1" si="26"/>
        <v>2</v>
      </c>
      <c r="AN55" s="29">
        <f t="shared" ca="1" si="26"/>
        <v>1</v>
      </c>
      <c r="AO55" s="29">
        <f t="shared" ca="1" si="26"/>
        <v>2</v>
      </c>
      <c r="AP55" s="29">
        <f t="shared" ca="1" si="26"/>
        <v>1</v>
      </c>
      <c r="AQ55" s="29">
        <f t="shared" ca="1" si="26"/>
        <v>0</v>
      </c>
      <c r="AR55" s="29">
        <f t="shared" ca="1" si="26"/>
        <v>0</v>
      </c>
      <c r="AS55" s="29">
        <f t="shared" ca="1" si="26"/>
        <v>4</v>
      </c>
      <c r="AT55" s="29">
        <f t="shared" ca="1" si="26"/>
        <v>3</v>
      </c>
      <c r="AU55" s="29">
        <f t="shared" ca="1" si="26"/>
        <v>2</v>
      </c>
      <c r="AV55" s="29">
        <f t="shared" ca="1" si="32"/>
        <v>0</v>
      </c>
      <c r="AW55" s="29">
        <f t="shared" ca="1" si="32"/>
        <v>2</v>
      </c>
      <c r="AX55" s="29">
        <f t="shared" ca="1" si="32"/>
        <v>2</v>
      </c>
      <c r="AY55" s="29">
        <f t="shared" ca="1" si="32"/>
        <v>3</v>
      </c>
      <c r="AZ55" s="29">
        <f t="shared" ca="1" si="32"/>
        <v>1</v>
      </c>
      <c r="BA55" s="29">
        <f t="shared" ca="1" si="32"/>
        <v>2</v>
      </c>
      <c r="BB55" s="29">
        <f t="shared" ca="1" si="32"/>
        <v>1</v>
      </c>
      <c r="BC55" s="29">
        <f t="shared" ca="1" si="32"/>
        <v>2</v>
      </c>
      <c r="BD55" s="29">
        <f t="shared" ca="1" si="32"/>
        <v>3</v>
      </c>
      <c r="BE55" s="29">
        <f t="shared" ca="1" si="32"/>
        <v>3</v>
      </c>
      <c r="BF55" s="29">
        <f t="shared" ca="1" si="32"/>
        <v>1</v>
      </c>
      <c r="BG55" s="29">
        <f t="shared" ca="1" si="32"/>
        <v>0</v>
      </c>
      <c r="BH55" s="29">
        <f t="shared" ca="1" si="32"/>
        <v>1</v>
      </c>
      <c r="BI55" s="29">
        <f t="shared" ca="1" si="32"/>
        <v>0</v>
      </c>
      <c r="BJ55" s="29">
        <f t="shared" ca="1" si="32"/>
        <v>3</v>
      </c>
      <c r="BK55" s="29">
        <f t="shared" ca="1" si="32"/>
        <v>0</v>
      </c>
      <c r="BL55" s="29">
        <f t="shared" ca="1" si="31"/>
        <v>3</v>
      </c>
      <c r="BM55" s="29">
        <f t="shared" ca="1" si="31"/>
        <v>2</v>
      </c>
      <c r="BN55" s="29">
        <f t="shared" ca="1" si="31"/>
        <v>3</v>
      </c>
      <c r="BO55" s="29">
        <f t="shared" ca="1" si="31"/>
        <v>1</v>
      </c>
      <c r="BP55" s="29">
        <f t="shared" ca="1" si="27"/>
        <v>1</v>
      </c>
      <c r="BQ55" s="29">
        <f t="shared" ca="1" si="27"/>
        <v>0</v>
      </c>
      <c r="BR55" s="29">
        <f t="shared" ca="1" si="27"/>
        <v>3</v>
      </c>
      <c r="BS55" s="29">
        <f t="shared" ca="1" si="27"/>
        <v>2</v>
      </c>
      <c r="BT55" s="29">
        <f t="shared" ca="1" si="27"/>
        <v>2</v>
      </c>
      <c r="BU55" s="29">
        <f t="shared" ca="1" si="27"/>
        <v>2</v>
      </c>
      <c r="BV55" s="29">
        <f t="shared" ca="1" si="27"/>
        <v>3</v>
      </c>
      <c r="BW55" s="29">
        <f t="shared" ca="1" si="27"/>
        <v>2</v>
      </c>
      <c r="BX55" s="29">
        <f t="shared" ca="1" si="27"/>
        <v>4</v>
      </c>
      <c r="BY55" s="29">
        <f t="shared" ca="1" si="27"/>
        <v>1</v>
      </c>
      <c r="BZ55" s="29">
        <f t="shared" ca="1" si="27"/>
        <v>2</v>
      </c>
      <c r="CA55" s="29">
        <f t="shared" ca="1" si="27"/>
        <v>0</v>
      </c>
      <c r="CB55" s="29">
        <f t="shared" ca="1" si="24"/>
        <v>2</v>
      </c>
      <c r="CC55" s="29">
        <f t="shared" ca="1" si="24"/>
        <v>0</v>
      </c>
      <c r="CD55" s="29">
        <f t="shared" ca="1" si="24"/>
        <v>4</v>
      </c>
      <c r="CE55" s="29">
        <f t="shared" ca="1" si="24"/>
        <v>2</v>
      </c>
      <c r="CF55" s="29">
        <f t="shared" ca="1" si="24"/>
        <v>2</v>
      </c>
      <c r="CG55" s="29">
        <f t="shared" ca="1" si="24"/>
        <v>2</v>
      </c>
      <c r="CH55" s="29">
        <f t="shared" ca="1" si="24"/>
        <v>2</v>
      </c>
      <c r="CI55" s="29">
        <f t="shared" ca="1" si="24"/>
        <v>2</v>
      </c>
      <c r="CJ55" s="29">
        <f t="shared" ca="1" si="24"/>
        <v>3</v>
      </c>
      <c r="CK55" s="29">
        <f t="shared" ca="1" si="24"/>
        <v>0</v>
      </c>
      <c r="CL55" s="29">
        <f t="shared" ca="1" si="24"/>
        <v>1</v>
      </c>
      <c r="CM55" s="29">
        <f t="shared" ca="1" si="24"/>
        <v>1</v>
      </c>
      <c r="CN55" s="29">
        <f t="shared" ca="1" si="24"/>
        <v>3</v>
      </c>
      <c r="CO55" s="29">
        <f t="shared" ca="1" si="24"/>
        <v>2</v>
      </c>
      <c r="CP55" s="29">
        <f t="shared" ca="1" si="24"/>
        <v>1</v>
      </c>
      <c r="CQ55" s="29">
        <f t="shared" ca="1" si="30"/>
        <v>2</v>
      </c>
      <c r="CR55" s="29">
        <f t="shared" ca="1" si="30"/>
        <v>2</v>
      </c>
      <c r="CS55" s="29">
        <f t="shared" ca="1" si="30"/>
        <v>1</v>
      </c>
      <c r="CT55" s="29">
        <f t="shared" ca="1" si="30"/>
        <v>3</v>
      </c>
      <c r="CU55" s="29">
        <f t="shared" ca="1" si="30"/>
        <v>1</v>
      </c>
      <c r="CV55" s="29">
        <f t="shared" ca="1" si="34"/>
        <v>2</v>
      </c>
      <c r="CW55" s="29">
        <f t="shared" ca="1" si="34"/>
        <v>1</v>
      </c>
      <c r="CX55" s="29">
        <f t="shared" ca="1" si="34"/>
        <v>0</v>
      </c>
      <c r="CY55" s="29">
        <f t="shared" ca="1" si="34"/>
        <v>3</v>
      </c>
      <c r="CZ55" s="29">
        <f t="shared" ca="1" si="34"/>
        <v>1</v>
      </c>
      <c r="DA55" s="29">
        <f t="shared" ca="1" si="34"/>
        <v>4</v>
      </c>
      <c r="DB55" s="29">
        <f t="shared" ca="1" si="34"/>
        <v>2</v>
      </c>
      <c r="DC55" s="29">
        <f t="shared" ca="1" si="34"/>
        <v>1</v>
      </c>
      <c r="DD55" s="29">
        <f t="shared" ca="1" si="34"/>
        <v>3</v>
      </c>
      <c r="DE55" s="29">
        <f t="shared" ca="1" si="34"/>
        <v>0</v>
      </c>
      <c r="DF55" s="29">
        <f t="shared" ca="1" si="34"/>
        <v>2</v>
      </c>
      <c r="DG55" s="29">
        <f t="shared" ca="1" si="34"/>
        <v>0</v>
      </c>
      <c r="DH55" s="29">
        <f t="shared" ca="1" si="34"/>
        <v>2</v>
      </c>
      <c r="DI55" s="29">
        <f t="shared" ca="1" si="34"/>
        <v>0</v>
      </c>
      <c r="DJ55" s="29">
        <f t="shared" ca="1" si="34"/>
        <v>0</v>
      </c>
      <c r="DK55" s="29">
        <f t="shared" ca="1" si="34"/>
        <v>3</v>
      </c>
      <c r="DL55" s="29">
        <f t="shared" ca="1" si="33"/>
        <v>1</v>
      </c>
    </row>
    <row r="56" spans="1:116" ht="14.4" x14ac:dyDescent="0.3">
      <c r="A56" s="31">
        <v>123</v>
      </c>
      <c r="B56" s="28">
        <v>2.81</v>
      </c>
      <c r="C56" s="30">
        <v>48.04</v>
      </c>
      <c r="D56" s="28">
        <v>2.68</v>
      </c>
      <c r="E56" s="34">
        <f t="shared" si="0"/>
        <v>5.3600000000000002E-2</v>
      </c>
      <c r="F56" s="35">
        <f t="shared" si="1"/>
        <v>12.01</v>
      </c>
      <c r="G56" s="34">
        <f t="shared" si="2"/>
        <v>67</v>
      </c>
      <c r="H56" s="33">
        <f t="shared" si="7"/>
        <v>19.569395017793596</v>
      </c>
      <c r="I56" s="28">
        <f t="shared" si="8"/>
        <v>93.97</v>
      </c>
      <c r="J56" s="32">
        <v>1</v>
      </c>
      <c r="K56" s="30">
        <f t="shared" si="3"/>
        <v>12.01</v>
      </c>
      <c r="L56" s="30"/>
      <c r="M56" s="30"/>
      <c r="N56" s="30"/>
      <c r="O56" s="30"/>
      <c r="Q56" s="29">
        <f t="shared" ca="1" si="4"/>
        <v>2</v>
      </c>
      <c r="R56" s="29">
        <f t="shared" ca="1" si="29"/>
        <v>3</v>
      </c>
      <c r="S56" s="29">
        <f t="shared" ca="1" si="29"/>
        <v>1</v>
      </c>
      <c r="T56" s="29">
        <f t="shared" ca="1" si="29"/>
        <v>4</v>
      </c>
      <c r="U56" s="29">
        <f t="shared" ca="1" si="29"/>
        <v>4</v>
      </c>
      <c r="V56" s="29">
        <f t="shared" ca="1" si="29"/>
        <v>1</v>
      </c>
      <c r="W56" s="29">
        <f t="shared" ca="1" si="29"/>
        <v>2</v>
      </c>
      <c r="X56" s="29">
        <f t="shared" ca="1" si="29"/>
        <v>2</v>
      </c>
      <c r="Y56" s="29">
        <f t="shared" ca="1" si="29"/>
        <v>1</v>
      </c>
      <c r="Z56" s="29">
        <f t="shared" ca="1" si="29"/>
        <v>2</v>
      </c>
      <c r="AA56" s="29">
        <f t="shared" ca="1" si="29"/>
        <v>5</v>
      </c>
      <c r="AB56" s="29">
        <f t="shared" ca="1" si="29"/>
        <v>4</v>
      </c>
      <c r="AC56" s="29">
        <f t="shared" ca="1" si="29"/>
        <v>3</v>
      </c>
      <c r="AD56" s="29">
        <f t="shared" ca="1" si="29"/>
        <v>3</v>
      </c>
      <c r="AE56" s="29">
        <f t="shared" ca="1" si="29"/>
        <v>0</v>
      </c>
      <c r="AF56" s="29">
        <f t="shared" ca="1" si="29"/>
        <v>2</v>
      </c>
      <c r="AG56" s="29">
        <f t="shared" ca="1" si="26"/>
        <v>3</v>
      </c>
      <c r="AH56" s="29">
        <f t="shared" ca="1" si="26"/>
        <v>2</v>
      </c>
      <c r="AI56" s="29">
        <f t="shared" ca="1" si="26"/>
        <v>2</v>
      </c>
      <c r="AJ56" s="29">
        <f t="shared" ca="1" si="26"/>
        <v>0</v>
      </c>
      <c r="AK56" s="29">
        <f t="shared" ca="1" si="26"/>
        <v>4</v>
      </c>
      <c r="AL56" s="29">
        <f t="shared" ca="1" si="26"/>
        <v>4</v>
      </c>
      <c r="AM56" s="29">
        <f t="shared" ca="1" si="26"/>
        <v>2</v>
      </c>
      <c r="AN56" s="29">
        <f t="shared" ca="1" si="26"/>
        <v>3</v>
      </c>
      <c r="AO56" s="29">
        <f t="shared" ca="1" si="26"/>
        <v>1</v>
      </c>
      <c r="AP56" s="29">
        <f t="shared" ca="1" si="26"/>
        <v>3</v>
      </c>
      <c r="AQ56" s="29">
        <f t="shared" ca="1" si="26"/>
        <v>2</v>
      </c>
      <c r="AR56" s="29">
        <f t="shared" ca="1" si="26"/>
        <v>6</v>
      </c>
      <c r="AS56" s="29">
        <f t="shared" ca="1" si="26"/>
        <v>3</v>
      </c>
      <c r="AT56" s="29">
        <f t="shared" ca="1" si="26"/>
        <v>0</v>
      </c>
      <c r="AU56" s="29">
        <f t="shared" ca="1" si="26"/>
        <v>2</v>
      </c>
      <c r="AV56" s="29">
        <f t="shared" ca="1" si="32"/>
        <v>1</v>
      </c>
      <c r="AW56" s="29">
        <f t="shared" ca="1" si="32"/>
        <v>1</v>
      </c>
      <c r="AX56" s="29">
        <f t="shared" ca="1" si="32"/>
        <v>3</v>
      </c>
      <c r="AY56" s="29">
        <f t="shared" ca="1" si="32"/>
        <v>0</v>
      </c>
      <c r="AZ56" s="29">
        <f t="shared" ca="1" si="32"/>
        <v>2</v>
      </c>
      <c r="BA56" s="29">
        <f t="shared" ca="1" si="32"/>
        <v>0</v>
      </c>
      <c r="BB56" s="29">
        <f t="shared" ca="1" si="32"/>
        <v>2</v>
      </c>
      <c r="BC56" s="29">
        <f t="shared" ca="1" si="32"/>
        <v>4</v>
      </c>
      <c r="BD56" s="29">
        <f t="shared" ca="1" si="32"/>
        <v>1</v>
      </c>
      <c r="BE56" s="29">
        <f t="shared" ca="1" si="32"/>
        <v>3</v>
      </c>
      <c r="BF56" s="29">
        <f t="shared" ca="1" si="32"/>
        <v>5</v>
      </c>
      <c r="BG56" s="29">
        <f t="shared" ca="1" si="32"/>
        <v>3</v>
      </c>
      <c r="BH56" s="29">
        <f t="shared" ca="1" si="32"/>
        <v>0</v>
      </c>
      <c r="BI56" s="29">
        <f t="shared" ca="1" si="32"/>
        <v>2</v>
      </c>
      <c r="BJ56" s="29">
        <f t="shared" ca="1" si="32"/>
        <v>2</v>
      </c>
      <c r="BK56" s="29">
        <f t="shared" ca="1" si="32"/>
        <v>1</v>
      </c>
      <c r="BL56" s="29">
        <f t="shared" ca="1" si="31"/>
        <v>2</v>
      </c>
      <c r="BM56" s="29">
        <f t="shared" ca="1" si="31"/>
        <v>5</v>
      </c>
      <c r="BN56" s="29">
        <f t="shared" ca="1" si="31"/>
        <v>4</v>
      </c>
      <c r="BO56" s="29">
        <f t="shared" ca="1" si="31"/>
        <v>2</v>
      </c>
      <c r="BP56" s="29">
        <f t="shared" ca="1" si="27"/>
        <v>3</v>
      </c>
      <c r="BQ56" s="29">
        <f t="shared" ca="1" si="27"/>
        <v>5</v>
      </c>
      <c r="BR56" s="29">
        <f t="shared" ca="1" si="27"/>
        <v>4</v>
      </c>
      <c r="BS56" s="29">
        <f t="shared" ca="1" si="27"/>
        <v>3</v>
      </c>
      <c r="BT56" s="29">
        <f t="shared" ca="1" si="27"/>
        <v>1</v>
      </c>
      <c r="BU56" s="29">
        <f t="shared" ca="1" si="27"/>
        <v>3</v>
      </c>
      <c r="BV56" s="29">
        <f t="shared" ca="1" si="27"/>
        <v>2</v>
      </c>
      <c r="BW56" s="29">
        <f t="shared" ca="1" si="27"/>
        <v>1</v>
      </c>
      <c r="BX56" s="29">
        <f t="shared" ca="1" si="27"/>
        <v>6</v>
      </c>
      <c r="BY56" s="29">
        <f t="shared" ca="1" si="27"/>
        <v>3</v>
      </c>
      <c r="BZ56" s="29">
        <f t="shared" ca="1" si="27"/>
        <v>0</v>
      </c>
      <c r="CA56" s="29">
        <f t="shared" ca="1" si="27"/>
        <v>3</v>
      </c>
      <c r="CB56" s="29">
        <f t="shared" ca="1" si="24"/>
        <v>3</v>
      </c>
      <c r="CC56" s="29">
        <f t="shared" ca="1" si="24"/>
        <v>3</v>
      </c>
      <c r="CD56" s="29">
        <f t="shared" ca="1" si="24"/>
        <v>2</v>
      </c>
      <c r="CE56" s="29">
        <f t="shared" ca="1" si="24"/>
        <v>1</v>
      </c>
      <c r="CF56" s="29">
        <f t="shared" ca="1" si="24"/>
        <v>3</v>
      </c>
      <c r="CG56" s="29">
        <f t="shared" ca="1" si="24"/>
        <v>1</v>
      </c>
      <c r="CH56" s="29">
        <f t="shared" ca="1" si="24"/>
        <v>2</v>
      </c>
      <c r="CI56" s="29">
        <f t="shared" ca="1" si="24"/>
        <v>3</v>
      </c>
      <c r="CJ56" s="29">
        <f t="shared" ca="1" si="24"/>
        <v>2</v>
      </c>
      <c r="CK56" s="29">
        <f t="shared" ca="1" si="24"/>
        <v>0</v>
      </c>
      <c r="CL56" s="29">
        <f t="shared" ca="1" si="24"/>
        <v>2</v>
      </c>
      <c r="CM56" s="29">
        <f t="shared" ca="1" si="24"/>
        <v>4</v>
      </c>
      <c r="CN56" s="29">
        <f t="shared" ca="1" si="24"/>
        <v>5</v>
      </c>
      <c r="CO56" s="29">
        <f t="shared" ca="1" si="24"/>
        <v>4</v>
      </c>
      <c r="CP56" s="29">
        <f t="shared" ca="1" si="24"/>
        <v>2</v>
      </c>
      <c r="CQ56" s="29">
        <f t="shared" ca="1" si="30"/>
        <v>1</v>
      </c>
      <c r="CR56" s="29">
        <f t="shared" ca="1" si="30"/>
        <v>2</v>
      </c>
      <c r="CS56" s="29">
        <f t="shared" ca="1" si="30"/>
        <v>2</v>
      </c>
      <c r="CT56" s="29">
        <f t="shared" ca="1" si="30"/>
        <v>2</v>
      </c>
      <c r="CU56" s="29">
        <f t="shared" ca="1" si="30"/>
        <v>4</v>
      </c>
      <c r="CV56" s="29">
        <f t="shared" ca="1" si="34"/>
        <v>1</v>
      </c>
      <c r="CW56" s="29">
        <f t="shared" ca="1" si="34"/>
        <v>1</v>
      </c>
      <c r="CX56" s="29">
        <f t="shared" ca="1" si="34"/>
        <v>4</v>
      </c>
      <c r="CY56" s="29">
        <f t="shared" ca="1" si="34"/>
        <v>0</v>
      </c>
      <c r="CZ56" s="29">
        <f t="shared" ca="1" si="34"/>
        <v>2</v>
      </c>
      <c r="DA56" s="29">
        <f t="shared" ca="1" si="34"/>
        <v>4</v>
      </c>
      <c r="DB56" s="29">
        <f t="shared" ca="1" si="34"/>
        <v>3</v>
      </c>
      <c r="DC56" s="29">
        <f t="shared" ca="1" si="34"/>
        <v>4</v>
      </c>
      <c r="DD56" s="29">
        <f t="shared" ca="1" si="34"/>
        <v>2</v>
      </c>
      <c r="DE56" s="29">
        <f t="shared" ca="1" si="34"/>
        <v>2</v>
      </c>
      <c r="DF56" s="29">
        <f t="shared" ca="1" si="34"/>
        <v>4</v>
      </c>
      <c r="DG56" s="29">
        <f t="shared" ca="1" si="34"/>
        <v>4</v>
      </c>
      <c r="DH56" s="29">
        <f t="shared" ca="1" si="34"/>
        <v>1</v>
      </c>
      <c r="DI56" s="29">
        <f t="shared" ca="1" si="34"/>
        <v>1</v>
      </c>
      <c r="DJ56" s="29">
        <f t="shared" ca="1" si="34"/>
        <v>2</v>
      </c>
      <c r="DK56" s="29">
        <f t="shared" ca="1" si="34"/>
        <v>2</v>
      </c>
      <c r="DL56" s="29">
        <f t="shared" ca="1" si="33"/>
        <v>3</v>
      </c>
    </row>
    <row r="57" spans="1:116" ht="14.4" x14ac:dyDescent="0.3">
      <c r="A57" s="31">
        <v>688</v>
      </c>
      <c r="B57" s="28">
        <v>2.4500000000000002</v>
      </c>
      <c r="C57" s="30">
        <v>42.91</v>
      </c>
      <c r="D57" s="28">
        <v>2.34</v>
      </c>
      <c r="E57" s="34">
        <f t="shared" si="0"/>
        <v>4.6799999999999994E-2</v>
      </c>
      <c r="F57" s="35">
        <f t="shared" si="1"/>
        <v>10.727499999999999</v>
      </c>
      <c r="G57" s="34">
        <f t="shared" si="2"/>
        <v>58.5</v>
      </c>
      <c r="H57" s="33">
        <f t="shared" si="7"/>
        <v>19.498979591836733</v>
      </c>
      <c r="I57" s="28">
        <f t="shared" si="8"/>
        <v>96.42</v>
      </c>
      <c r="J57" s="32">
        <v>1</v>
      </c>
      <c r="K57" s="30">
        <f t="shared" si="3"/>
        <v>10.727499999999999</v>
      </c>
      <c r="L57" s="30"/>
      <c r="M57" s="30"/>
      <c r="N57" s="30"/>
      <c r="O57" s="30"/>
      <c r="Q57" s="29">
        <f t="shared" ca="1" si="4"/>
        <v>2</v>
      </c>
      <c r="R57" s="29">
        <f t="shared" ca="1" si="29"/>
        <v>2</v>
      </c>
      <c r="S57" s="29">
        <f t="shared" ca="1" si="29"/>
        <v>2</v>
      </c>
      <c r="T57" s="29">
        <f t="shared" ca="1" si="29"/>
        <v>4</v>
      </c>
      <c r="U57" s="29">
        <f t="shared" ca="1" si="29"/>
        <v>5</v>
      </c>
      <c r="V57" s="29">
        <f t="shared" ca="1" si="29"/>
        <v>1</v>
      </c>
      <c r="W57" s="29">
        <f t="shared" ca="1" si="29"/>
        <v>2</v>
      </c>
      <c r="X57" s="29">
        <f t="shared" ca="1" si="29"/>
        <v>3</v>
      </c>
      <c r="Y57" s="29">
        <f t="shared" ca="1" si="29"/>
        <v>3</v>
      </c>
      <c r="Z57" s="29">
        <f t="shared" ca="1" si="29"/>
        <v>4</v>
      </c>
      <c r="AA57" s="29">
        <f t="shared" ca="1" si="29"/>
        <v>2</v>
      </c>
      <c r="AB57" s="29">
        <f t="shared" ca="1" si="29"/>
        <v>3</v>
      </c>
      <c r="AC57" s="29">
        <f t="shared" ca="1" si="29"/>
        <v>2</v>
      </c>
      <c r="AD57" s="29">
        <f t="shared" ca="1" si="29"/>
        <v>3</v>
      </c>
      <c r="AE57" s="29">
        <f t="shared" ca="1" si="29"/>
        <v>3</v>
      </c>
      <c r="AF57" s="29">
        <f t="shared" ref="AF57:AU72" ca="1" si="35">_xlfn.BINOM.INV(50,$E57,RAND())</f>
        <v>3</v>
      </c>
      <c r="AG57" s="29">
        <f t="shared" ca="1" si="35"/>
        <v>3</v>
      </c>
      <c r="AH57" s="29">
        <f t="shared" ca="1" si="35"/>
        <v>3</v>
      </c>
      <c r="AI57" s="29">
        <f t="shared" ca="1" si="35"/>
        <v>4</v>
      </c>
      <c r="AJ57" s="29">
        <f t="shared" ca="1" si="35"/>
        <v>3</v>
      </c>
      <c r="AK57" s="29">
        <f t="shared" ca="1" si="35"/>
        <v>0</v>
      </c>
      <c r="AL57" s="29">
        <f t="shared" ca="1" si="35"/>
        <v>3</v>
      </c>
      <c r="AM57" s="29">
        <f t="shared" ca="1" si="35"/>
        <v>2</v>
      </c>
      <c r="AN57" s="29">
        <f t="shared" ca="1" si="35"/>
        <v>3</v>
      </c>
      <c r="AO57" s="29">
        <f t="shared" ca="1" si="35"/>
        <v>4</v>
      </c>
      <c r="AP57" s="29">
        <f t="shared" ca="1" si="35"/>
        <v>2</v>
      </c>
      <c r="AQ57" s="29">
        <f t="shared" ca="1" si="35"/>
        <v>4</v>
      </c>
      <c r="AR57" s="29">
        <f t="shared" ca="1" si="35"/>
        <v>2</v>
      </c>
      <c r="AS57" s="29">
        <f t="shared" ca="1" si="35"/>
        <v>1</v>
      </c>
      <c r="AT57" s="29">
        <f t="shared" ca="1" si="35"/>
        <v>4</v>
      </c>
      <c r="AU57" s="29">
        <f t="shared" ca="1" si="35"/>
        <v>0</v>
      </c>
      <c r="AV57" s="29">
        <f t="shared" ca="1" si="32"/>
        <v>3</v>
      </c>
      <c r="AW57" s="29">
        <f t="shared" ca="1" si="32"/>
        <v>2</v>
      </c>
      <c r="AX57" s="29">
        <f t="shared" ca="1" si="32"/>
        <v>2</v>
      </c>
      <c r="AY57" s="29">
        <f t="shared" ca="1" si="32"/>
        <v>2</v>
      </c>
      <c r="AZ57" s="29">
        <f t="shared" ca="1" si="32"/>
        <v>1</v>
      </c>
      <c r="BA57" s="29">
        <f t="shared" ca="1" si="32"/>
        <v>1</v>
      </c>
      <c r="BB57" s="29">
        <f t="shared" ca="1" si="32"/>
        <v>1</v>
      </c>
      <c r="BC57" s="29">
        <f t="shared" ca="1" si="32"/>
        <v>1</v>
      </c>
      <c r="BD57" s="29">
        <f t="shared" ca="1" si="32"/>
        <v>1</v>
      </c>
      <c r="BE57" s="29">
        <f t="shared" ca="1" si="32"/>
        <v>3</v>
      </c>
      <c r="BF57" s="29">
        <f t="shared" ca="1" si="32"/>
        <v>2</v>
      </c>
      <c r="BG57" s="29">
        <f t="shared" ca="1" si="32"/>
        <v>3</v>
      </c>
      <c r="BH57" s="29">
        <f t="shared" ca="1" si="32"/>
        <v>4</v>
      </c>
      <c r="BI57" s="29">
        <f t="shared" ca="1" si="32"/>
        <v>3</v>
      </c>
      <c r="BJ57" s="29">
        <f t="shared" ca="1" si="32"/>
        <v>1</v>
      </c>
      <c r="BK57" s="29">
        <f t="shared" ca="1" si="32"/>
        <v>3</v>
      </c>
      <c r="BL57" s="29">
        <f t="shared" ca="1" si="31"/>
        <v>1</v>
      </c>
      <c r="BM57" s="29">
        <f t="shared" ca="1" si="31"/>
        <v>2</v>
      </c>
      <c r="BN57" s="29">
        <f t="shared" ca="1" si="31"/>
        <v>4</v>
      </c>
      <c r="BO57" s="29">
        <f t="shared" ca="1" si="31"/>
        <v>1</v>
      </c>
      <c r="BP57" s="29">
        <f t="shared" ca="1" si="27"/>
        <v>0</v>
      </c>
      <c r="BQ57" s="29">
        <f t="shared" ca="1" si="27"/>
        <v>4</v>
      </c>
      <c r="BR57" s="29">
        <f t="shared" ca="1" si="27"/>
        <v>5</v>
      </c>
      <c r="BS57" s="29">
        <f t="shared" ca="1" si="27"/>
        <v>2</v>
      </c>
      <c r="BT57" s="29">
        <f t="shared" ca="1" si="27"/>
        <v>2</v>
      </c>
      <c r="BU57" s="29">
        <f t="shared" ca="1" si="27"/>
        <v>2</v>
      </c>
      <c r="BV57" s="29">
        <f t="shared" ca="1" si="27"/>
        <v>1</v>
      </c>
      <c r="BW57" s="29">
        <f t="shared" ca="1" si="27"/>
        <v>4</v>
      </c>
      <c r="BX57" s="29">
        <f t="shared" ca="1" si="27"/>
        <v>5</v>
      </c>
      <c r="BY57" s="29">
        <f t="shared" ca="1" si="27"/>
        <v>5</v>
      </c>
      <c r="BZ57" s="29">
        <f t="shared" ca="1" si="27"/>
        <v>4</v>
      </c>
      <c r="CA57" s="29">
        <f t="shared" ca="1" si="27"/>
        <v>1</v>
      </c>
      <c r="CB57" s="29">
        <f t="shared" ca="1" si="24"/>
        <v>4</v>
      </c>
      <c r="CC57" s="29">
        <f t="shared" ca="1" si="24"/>
        <v>1</v>
      </c>
      <c r="CD57" s="29">
        <f t="shared" ca="1" si="24"/>
        <v>3</v>
      </c>
      <c r="CE57" s="29">
        <f t="shared" ca="1" si="24"/>
        <v>5</v>
      </c>
      <c r="CF57" s="29">
        <f t="shared" ca="1" si="24"/>
        <v>1</v>
      </c>
      <c r="CG57" s="29">
        <f t="shared" ca="1" si="24"/>
        <v>1</v>
      </c>
      <c r="CH57" s="29">
        <f t="shared" ca="1" si="24"/>
        <v>4</v>
      </c>
      <c r="CI57" s="29">
        <f t="shared" ca="1" si="24"/>
        <v>1</v>
      </c>
      <c r="CJ57" s="29">
        <f t="shared" ca="1" si="24"/>
        <v>2</v>
      </c>
      <c r="CK57" s="29">
        <f t="shared" ca="1" si="24"/>
        <v>2</v>
      </c>
      <c r="CL57" s="29">
        <f t="shared" ca="1" si="24"/>
        <v>1</v>
      </c>
      <c r="CM57" s="29">
        <f t="shared" ca="1" si="24"/>
        <v>4</v>
      </c>
      <c r="CN57" s="29">
        <f t="shared" ca="1" si="24"/>
        <v>3</v>
      </c>
      <c r="CO57" s="29">
        <f t="shared" ca="1" si="24"/>
        <v>3</v>
      </c>
      <c r="CP57" s="29">
        <f t="shared" ca="1" si="24"/>
        <v>0</v>
      </c>
      <c r="CQ57" s="29">
        <f t="shared" ca="1" si="30"/>
        <v>1</v>
      </c>
      <c r="CR57" s="29">
        <f t="shared" ca="1" si="30"/>
        <v>2</v>
      </c>
      <c r="CS57" s="29">
        <f t="shared" ca="1" si="30"/>
        <v>1</v>
      </c>
      <c r="CT57" s="29">
        <f t="shared" ca="1" si="30"/>
        <v>5</v>
      </c>
      <c r="CU57" s="29">
        <f t="shared" ca="1" si="30"/>
        <v>4</v>
      </c>
      <c r="CV57" s="29">
        <f t="shared" ca="1" si="34"/>
        <v>1</v>
      </c>
      <c r="CW57" s="29">
        <f t="shared" ca="1" si="34"/>
        <v>2</v>
      </c>
      <c r="CX57" s="29">
        <f t="shared" ca="1" si="34"/>
        <v>1</v>
      </c>
      <c r="CY57" s="29">
        <f t="shared" ca="1" si="34"/>
        <v>1</v>
      </c>
      <c r="CZ57" s="29">
        <f t="shared" ca="1" si="34"/>
        <v>2</v>
      </c>
      <c r="DA57" s="29">
        <f t="shared" ca="1" si="34"/>
        <v>3</v>
      </c>
      <c r="DB57" s="29">
        <f t="shared" ca="1" si="34"/>
        <v>1</v>
      </c>
      <c r="DC57" s="29">
        <f t="shared" ca="1" si="34"/>
        <v>4</v>
      </c>
      <c r="DD57" s="29">
        <f t="shared" ca="1" si="34"/>
        <v>6</v>
      </c>
      <c r="DE57" s="29">
        <f t="shared" ca="1" si="34"/>
        <v>1</v>
      </c>
      <c r="DF57" s="29">
        <f t="shared" ca="1" si="34"/>
        <v>4</v>
      </c>
      <c r="DG57" s="29">
        <f t="shared" ca="1" si="34"/>
        <v>4</v>
      </c>
      <c r="DH57" s="29">
        <f t="shared" ca="1" si="34"/>
        <v>3</v>
      </c>
      <c r="DI57" s="29">
        <f t="shared" ca="1" si="34"/>
        <v>0</v>
      </c>
      <c r="DJ57" s="29">
        <f t="shared" ca="1" si="34"/>
        <v>3</v>
      </c>
      <c r="DK57" s="29">
        <f t="shared" ca="1" si="34"/>
        <v>4</v>
      </c>
      <c r="DL57" s="29">
        <f t="shared" ca="1" si="33"/>
        <v>3</v>
      </c>
    </row>
    <row r="58" spans="1:116" ht="14.4" x14ac:dyDescent="0.3">
      <c r="A58" s="31">
        <v>336</v>
      </c>
      <c r="B58" s="28">
        <v>2</v>
      </c>
      <c r="C58" s="30">
        <v>61.73</v>
      </c>
      <c r="D58" s="28">
        <v>2.17</v>
      </c>
      <c r="E58" s="34">
        <f t="shared" si="0"/>
        <v>4.3400000000000001E-2</v>
      </c>
      <c r="F58" s="35">
        <f t="shared" si="1"/>
        <v>15.432499999999999</v>
      </c>
      <c r="G58" s="34">
        <f t="shared" si="2"/>
        <v>54.25</v>
      </c>
      <c r="H58" s="33">
        <f t="shared" si="7"/>
        <v>19.408750000000001</v>
      </c>
      <c r="I58" s="28">
        <f t="shared" si="8"/>
        <v>98.42</v>
      </c>
      <c r="J58" s="32">
        <v>1</v>
      </c>
      <c r="K58" s="30">
        <f t="shared" si="3"/>
        <v>15.432499999999999</v>
      </c>
      <c r="L58" s="30"/>
      <c r="M58" s="30"/>
      <c r="N58" s="30"/>
      <c r="O58" s="30"/>
      <c r="Q58" s="29">
        <f t="shared" ca="1" si="4"/>
        <v>2</v>
      </c>
      <c r="R58" s="29">
        <f t="shared" ref="R58:AF73" ca="1" si="36">_xlfn.BINOM.INV(50,$E58,RAND())</f>
        <v>1</v>
      </c>
      <c r="S58" s="29">
        <f t="shared" ca="1" si="36"/>
        <v>3</v>
      </c>
      <c r="T58" s="29">
        <f t="shared" ca="1" si="36"/>
        <v>3</v>
      </c>
      <c r="U58" s="29">
        <f t="shared" ca="1" si="36"/>
        <v>3</v>
      </c>
      <c r="V58" s="29">
        <f t="shared" ca="1" si="36"/>
        <v>4</v>
      </c>
      <c r="W58" s="29">
        <f t="shared" ca="1" si="36"/>
        <v>4</v>
      </c>
      <c r="X58" s="29">
        <f t="shared" ca="1" si="36"/>
        <v>1</v>
      </c>
      <c r="Y58" s="29">
        <f t="shared" ca="1" si="36"/>
        <v>1</v>
      </c>
      <c r="Z58" s="29">
        <f t="shared" ca="1" si="36"/>
        <v>1</v>
      </c>
      <c r="AA58" s="29">
        <f t="shared" ca="1" si="36"/>
        <v>2</v>
      </c>
      <c r="AB58" s="29">
        <f t="shared" ca="1" si="36"/>
        <v>5</v>
      </c>
      <c r="AC58" s="29">
        <f t="shared" ca="1" si="36"/>
        <v>4</v>
      </c>
      <c r="AD58" s="29">
        <f t="shared" ca="1" si="36"/>
        <v>2</v>
      </c>
      <c r="AE58" s="29">
        <f t="shared" ca="1" si="36"/>
        <v>3</v>
      </c>
      <c r="AF58" s="29">
        <f t="shared" ca="1" si="36"/>
        <v>0</v>
      </c>
      <c r="AG58" s="29">
        <f t="shared" ca="1" si="35"/>
        <v>2</v>
      </c>
      <c r="AH58" s="29">
        <f t="shared" ca="1" si="35"/>
        <v>4</v>
      </c>
      <c r="AI58" s="29">
        <f t="shared" ca="1" si="35"/>
        <v>4</v>
      </c>
      <c r="AJ58" s="29">
        <f t="shared" ca="1" si="35"/>
        <v>3</v>
      </c>
      <c r="AK58" s="29">
        <f t="shared" ca="1" si="35"/>
        <v>2</v>
      </c>
      <c r="AL58" s="29">
        <f t="shared" ca="1" si="35"/>
        <v>4</v>
      </c>
      <c r="AM58" s="29">
        <f t="shared" ca="1" si="35"/>
        <v>2</v>
      </c>
      <c r="AN58" s="29">
        <f t="shared" ca="1" si="35"/>
        <v>4</v>
      </c>
      <c r="AO58" s="29">
        <f t="shared" ca="1" si="35"/>
        <v>2</v>
      </c>
      <c r="AP58" s="29">
        <f t="shared" ca="1" si="35"/>
        <v>4</v>
      </c>
      <c r="AQ58" s="29">
        <f t="shared" ca="1" si="35"/>
        <v>4</v>
      </c>
      <c r="AR58" s="29">
        <f t="shared" ca="1" si="35"/>
        <v>5</v>
      </c>
      <c r="AS58" s="29">
        <f t="shared" ca="1" si="35"/>
        <v>2</v>
      </c>
      <c r="AT58" s="29">
        <f t="shared" ca="1" si="35"/>
        <v>2</v>
      </c>
      <c r="AU58" s="29">
        <f t="shared" ca="1" si="35"/>
        <v>3</v>
      </c>
      <c r="AV58" s="29">
        <f t="shared" ca="1" si="32"/>
        <v>0</v>
      </c>
      <c r="AW58" s="29">
        <f t="shared" ca="1" si="32"/>
        <v>3</v>
      </c>
      <c r="AX58" s="29">
        <f t="shared" ca="1" si="32"/>
        <v>4</v>
      </c>
      <c r="AY58" s="29">
        <f t="shared" ca="1" si="32"/>
        <v>3</v>
      </c>
      <c r="AZ58" s="29">
        <f t="shared" ca="1" si="32"/>
        <v>4</v>
      </c>
      <c r="BA58" s="29">
        <f t="shared" ca="1" si="32"/>
        <v>4</v>
      </c>
      <c r="BB58" s="29">
        <f t="shared" ca="1" si="32"/>
        <v>0</v>
      </c>
      <c r="BC58" s="29">
        <f t="shared" ca="1" si="32"/>
        <v>2</v>
      </c>
      <c r="BD58" s="29">
        <f t="shared" ca="1" si="32"/>
        <v>3</v>
      </c>
      <c r="BE58" s="29">
        <f t="shared" ca="1" si="32"/>
        <v>1</v>
      </c>
      <c r="BF58" s="29">
        <f t="shared" ca="1" si="32"/>
        <v>1</v>
      </c>
      <c r="BG58" s="29">
        <f t="shared" ca="1" si="32"/>
        <v>1</v>
      </c>
      <c r="BH58" s="29">
        <f t="shared" ca="1" si="32"/>
        <v>2</v>
      </c>
      <c r="BI58" s="29">
        <f t="shared" ca="1" si="32"/>
        <v>2</v>
      </c>
      <c r="BJ58" s="29">
        <f t="shared" ca="1" si="32"/>
        <v>3</v>
      </c>
      <c r="BK58" s="29">
        <f t="shared" ca="1" si="32"/>
        <v>4</v>
      </c>
      <c r="BL58" s="29">
        <f t="shared" ca="1" si="31"/>
        <v>1</v>
      </c>
      <c r="BM58" s="29">
        <f t="shared" ca="1" si="31"/>
        <v>3</v>
      </c>
      <c r="BN58" s="29">
        <f t="shared" ca="1" si="31"/>
        <v>3</v>
      </c>
      <c r="BO58" s="29">
        <f t="shared" ca="1" si="31"/>
        <v>1</v>
      </c>
      <c r="BP58" s="29">
        <f t="shared" ca="1" si="27"/>
        <v>3</v>
      </c>
      <c r="BQ58" s="29">
        <f t="shared" ca="1" si="27"/>
        <v>2</v>
      </c>
      <c r="BR58" s="29">
        <f t="shared" ca="1" si="27"/>
        <v>2</v>
      </c>
      <c r="BS58" s="29">
        <f t="shared" ca="1" si="27"/>
        <v>5</v>
      </c>
      <c r="BT58" s="29">
        <f t="shared" ca="1" si="27"/>
        <v>2</v>
      </c>
      <c r="BU58" s="29">
        <f t="shared" ca="1" si="27"/>
        <v>2</v>
      </c>
      <c r="BV58" s="29">
        <f t="shared" ca="1" si="27"/>
        <v>0</v>
      </c>
      <c r="BW58" s="29">
        <f t="shared" ca="1" si="27"/>
        <v>2</v>
      </c>
      <c r="BX58" s="29">
        <f t="shared" ca="1" si="27"/>
        <v>2</v>
      </c>
      <c r="BY58" s="29">
        <f t="shared" ca="1" si="27"/>
        <v>1</v>
      </c>
      <c r="BZ58" s="29">
        <f t="shared" ca="1" si="27"/>
        <v>3</v>
      </c>
      <c r="CA58" s="29">
        <f t="shared" ca="1" si="27"/>
        <v>1</v>
      </c>
      <c r="CB58" s="29">
        <f t="shared" ca="1" si="24"/>
        <v>1</v>
      </c>
      <c r="CC58" s="29">
        <f t="shared" ca="1" si="24"/>
        <v>3</v>
      </c>
      <c r="CD58" s="29">
        <f t="shared" ca="1" si="24"/>
        <v>3</v>
      </c>
      <c r="CE58" s="29">
        <f t="shared" ca="1" si="24"/>
        <v>1</v>
      </c>
      <c r="CF58" s="29">
        <f t="shared" ca="1" si="24"/>
        <v>4</v>
      </c>
      <c r="CG58" s="29">
        <f t="shared" ca="1" si="24"/>
        <v>1</v>
      </c>
      <c r="CH58" s="29">
        <f t="shared" ca="1" si="24"/>
        <v>3</v>
      </c>
      <c r="CI58" s="29">
        <f t="shared" ca="1" si="24"/>
        <v>7</v>
      </c>
      <c r="CJ58" s="29">
        <f t="shared" ca="1" si="24"/>
        <v>6</v>
      </c>
      <c r="CK58" s="29">
        <f t="shared" ca="1" si="24"/>
        <v>2</v>
      </c>
      <c r="CL58" s="29">
        <f t="shared" ca="1" si="24"/>
        <v>0</v>
      </c>
      <c r="CM58" s="29">
        <f t="shared" ca="1" si="24"/>
        <v>0</v>
      </c>
      <c r="CN58" s="29">
        <f t="shared" ca="1" si="24"/>
        <v>7</v>
      </c>
      <c r="CO58" s="29">
        <f t="shared" ca="1" si="24"/>
        <v>2</v>
      </c>
      <c r="CP58" s="29">
        <f t="shared" ca="1" si="24"/>
        <v>5</v>
      </c>
      <c r="CQ58" s="29">
        <f t="shared" ca="1" si="30"/>
        <v>3</v>
      </c>
      <c r="CR58" s="29">
        <f t="shared" ca="1" si="30"/>
        <v>3</v>
      </c>
      <c r="CS58" s="29">
        <f t="shared" ca="1" si="30"/>
        <v>1</v>
      </c>
      <c r="CT58" s="29">
        <f t="shared" ca="1" si="30"/>
        <v>1</v>
      </c>
      <c r="CU58" s="29">
        <f t="shared" ca="1" si="30"/>
        <v>1</v>
      </c>
      <c r="CV58" s="29">
        <f t="shared" ca="1" si="34"/>
        <v>5</v>
      </c>
      <c r="CW58" s="29">
        <f t="shared" ca="1" si="34"/>
        <v>2</v>
      </c>
      <c r="CX58" s="29">
        <f t="shared" ca="1" si="34"/>
        <v>1</v>
      </c>
      <c r="CY58" s="29">
        <f t="shared" ca="1" si="34"/>
        <v>2</v>
      </c>
      <c r="CZ58" s="29">
        <f t="shared" ca="1" si="34"/>
        <v>1</v>
      </c>
      <c r="DA58" s="29">
        <f t="shared" ca="1" si="34"/>
        <v>3</v>
      </c>
      <c r="DB58" s="29">
        <f t="shared" ca="1" si="34"/>
        <v>2</v>
      </c>
      <c r="DC58" s="29">
        <f t="shared" ca="1" si="34"/>
        <v>3</v>
      </c>
      <c r="DD58" s="29">
        <f t="shared" ca="1" si="34"/>
        <v>2</v>
      </c>
      <c r="DE58" s="29">
        <f t="shared" ca="1" si="34"/>
        <v>0</v>
      </c>
      <c r="DF58" s="29">
        <f t="shared" ca="1" si="34"/>
        <v>3</v>
      </c>
      <c r="DG58" s="29">
        <f t="shared" ca="1" si="34"/>
        <v>3</v>
      </c>
      <c r="DH58" s="29">
        <f t="shared" ca="1" si="34"/>
        <v>0</v>
      </c>
      <c r="DI58" s="29">
        <f t="shared" ca="1" si="34"/>
        <v>4</v>
      </c>
      <c r="DJ58" s="29">
        <f t="shared" ca="1" si="34"/>
        <v>3</v>
      </c>
      <c r="DK58" s="29">
        <f t="shared" ca="1" si="34"/>
        <v>4</v>
      </c>
      <c r="DL58" s="29">
        <f t="shared" ca="1" si="33"/>
        <v>1</v>
      </c>
    </row>
    <row r="59" spans="1:116" ht="14.4" x14ac:dyDescent="0.3">
      <c r="A59" s="31">
        <v>524</v>
      </c>
      <c r="B59" s="28">
        <v>2.97</v>
      </c>
      <c r="C59" s="30">
        <v>45.15</v>
      </c>
      <c r="D59" s="28">
        <v>2.75</v>
      </c>
      <c r="E59" s="34">
        <f t="shared" si="0"/>
        <v>5.5E-2</v>
      </c>
      <c r="F59" s="35">
        <f t="shared" si="1"/>
        <v>11.2875</v>
      </c>
      <c r="G59" s="34">
        <f t="shared" si="2"/>
        <v>68.75</v>
      </c>
      <c r="H59" s="33">
        <f t="shared" si="7"/>
        <v>19.347643097643097</v>
      </c>
      <c r="I59" s="28">
        <f t="shared" si="8"/>
        <v>101.39</v>
      </c>
      <c r="J59" s="32">
        <v>1</v>
      </c>
      <c r="K59" s="30">
        <f t="shared" si="3"/>
        <v>11.2875</v>
      </c>
      <c r="L59" s="30"/>
      <c r="M59" s="30"/>
      <c r="N59" s="30"/>
      <c r="O59" s="30"/>
      <c r="Q59" s="29">
        <f t="shared" ca="1" si="4"/>
        <v>2</v>
      </c>
      <c r="R59" s="29">
        <f t="shared" ca="1" si="36"/>
        <v>3</v>
      </c>
      <c r="S59" s="29">
        <f t="shared" ca="1" si="36"/>
        <v>2</v>
      </c>
      <c r="T59" s="29">
        <f t="shared" ca="1" si="36"/>
        <v>1</v>
      </c>
      <c r="U59" s="29">
        <f t="shared" ca="1" si="36"/>
        <v>4</v>
      </c>
      <c r="V59" s="29">
        <f t="shared" ca="1" si="36"/>
        <v>3</v>
      </c>
      <c r="W59" s="29">
        <f t="shared" ca="1" si="36"/>
        <v>4</v>
      </c>
      <c r="X59" s="29">
        <f t="shared" ca="1" si="36"/>
        <v>2</v>
      </c>
      <c r="Y59" s="29">
        <f t="shared" ca="1" si="36"/>
        <v>4</v>
      </c>
      <c r="Z59" s="29">
        <f t="shared" ca="1" si="36"/>
        <v>5</v>
      </c>
      <c r="AA59" s="29">
        <f t="shared" ca="1" si="36"/>
        <v>1</v>
      </c>
      <c r="AB59" s="29">
        <f t="shared" ca="1" si="36"/>
        <v>4</v>
      </c>
      <c r="AC59" s="29">
        <f t="shared" ca="1" si="36"/>
        <v>5</v>
      </c>
      <c r="AD59" s="29">
        <f t="shared" ca="1" si="36"/>
        <v>4</v>
      </c>
      <c r="AE59" s="29">
        <f t="shared" ca="1" si="36"/>
        <v>4</v>
      </c>
      <c r="AF59" s="29">
        <f t="shared" ca="1" si="36"/>
        <v>2</v>
      </c>
      <c r="AG59" s="29">
        <f t="shared" ca="1" si="35"/>
        <v>2</v>
      </c>
      <c r="AH59" s="29">
        <f t="shared" ca="1" si="35"/>
        <v>4</v>
      </c>
      <c r="AI59" s="29">
        <f t="shared" ca="1" si="35"/>
        <v>1</v>
      </c>
      <c r="AJ59" s="29">
        <f t="shared" ca="1" si="35"/>
        <v>2</v>
      </c>
      <c r="AK59" s="29">
        <f t="shared" ca="1" si="35"/>
        <v>3</v>
      </c>
      <c r="AL59" s="29">
        <f t="shared" ca="1" si="35"/>
        <v>2</v>
      </c>
      <c r="AM59" s="29">
        <f t="shared" ca="1" si="35"/>
        <v>3</v>
      </c>
      <c r="AN59" s="29">
        <f t="shared" ca="1" si="35"/>
        <v>4</v>
      </c>
      <c r="AO59" s="29">
        <f t="shared" ca="1" si="35"/>
        <v>0</v>
      </c>
      <c r="AP59" s="29">
        <f t="shared" ca="1" si="35"/>
        <v>2</v>
      </c>
      <c r="AQ59" s="29">
        <f t="shared" ca="1" si="35"/>
        <v>3</v>
      </c>
      <c r="AR59" s="29">
        <f t="shared" ca="1" si="35"/>
        <v>4</v>
      </c>
      <c r="AS59" s="29">
        <f t="shared" ca="1" si="35"/>
        <v>1</v>
      </c>
      <c r="AT59" s="29">
        <f t="shared" ca="1" si="35"/>
        <v>1</v>
      </c>
      <c r="AU59" s="29">
        <f t="shared" ca="1" si="35"/>
        <v>3</v>
      </c>
      <c r="AV59" s="29">
        <f t="shared" ca="1" si="32"/>
        <v>1</v>
      </c>
      <c r="AW59" s="29">
        <f t="shared" ca="1" si="32"/>
        <v>2</v>
      </c>
      <c r="AX59" s="29">
        <f t="shared" ca="1" si="32"/>
        <v>1</v>
      </c>
      <c r="AY59" s="29">
        <f t="shared" ca="1" si="32"/>
        <v>2</v>
      </c>
      <c r="AZ59" s="29">
        <f t="shared" ca="1" si="32"/>
        <v>2</v>
      </c>
      <c r="BA59" s="29">
        <f t="shared" ca="1" si="32"/>
        <v>2</v>
      </c>
      <c r="BB59" s="29">
        <f t="shared" ca="1" si="32"/>
        <v>3</v>
      </c>
      <c r="BC59" s="29">
        <f t="shared" ca="1" si="32"/>
        <v>5</v>
      </c>
      <c r="BD59" s="29">
        <f t="shared" ca="1" si="32"/>
        <v>2</v>
      </c>
      <c r="BE59" s="29">
        <f t="shared" ca="1" si="32"/>
        <v>5</v>
      </c>
      <c r="BF59" s="29">
        <f t="shared" ca="1" si="32"/>
        <v>5</v>
      </c>
      <c r="BG59" s="29">
        <f t="shared" ca="1" si="32"/>
        <v>3</v>
      </c>
      <c r="BH59" s="29">
        <f t="shared" ca="1" si="32"/>
        <v>2</v>
      </c>
      <c r="BI59" s="29">
        <f t="shared" ca="1" si="32"/>
        <v>3</v>
      </c>
      <c r="BJ59" s="29">
        <f t="shared" ca="1" si="32"/>
        <v>4</v>
      </c>
      <c r="BK59" s="29">
        <f t="shared" ca="1" si="32"/>
        <v>0</v>
      </c>
      <c r="BL59" s="29">
        <f t="shared" ca="1" si="31"/>
        <v>3</v>
      </c>
      <c r="BM59" s="29">
        <f t="shared" ca="1" si="31"/>
        <v>2</v>
      </c>
      <c r="BN59" s="29">
        <f t="shared" ca="1" si="31"/>
        <v>2</v>
      </c>
      <c r="BO59" s="29">
        <f t="shared" ca="1" si="31"/>
        <v>3</v>
      </c>
      <c r="BP59" s="29">
        <f t="shared" ca="1" si="27"/>
        <v>4</v>
      </c>
      <c r="BQ59" s="29">
        <f t="shared" ca="1" si="27"/>
        <v>5</v>
      </c>
      <c r="BR59" s="29">
        <f t="shared" ca="1" si="27"/>
        <v>3</v>
      </c>
      <c r="BS59" s="29">
        <f t="shared" ca="1" si="27"/>
        <v>3</v>
      </c>
      <c r="BT59" s="29">
        <f t="shared" ca="1" si="27"/>
        <v>1</v>
      </c>
      <c r="BU59" s="29">
        <f t="shared" ca="1" si="27"/>
        <v>1</v>
      </c>
      <c r="BV59" s="29">
        <f t="shared" ca="1" si="27"/>
        <v>7</v>
      </c>
      <c r="BW59" s="29">
        <f t="shared" ca="1" si="27"/>
        <v>2</v>
      </c>
      <c r="BX59" s="29">
        <f t="shared" ca="1" si="27"/>
        <v>3</v>
      </c>
      <c r="BY59" s="29">
        <f t="shared" ca="1" si="27"/>
        <v>3</v>
      </c>
      <c r="BZ59" s="29">
        <f t="shared" ca="1" si="27"/>
        <v>2</v>
      </c>
      <c r="CA59" s="29">
        <f t="shared" ca="1" si="27"/>
        <v>1</v>
      </c>
      <c r="CB59" s="29">
        <f t="shared" ca="1" si="24"/>
        <v>1</v>
      </c>
      <c r="CC59" s="29">
        <f t="shared" ca="1" si="24"/>
        <v>3</v>
      </c>
      <c r="CD59" s="29">
        <f t="shared" ca="1" si="24"/>
        <v>3</v>
      </c>
      <c r="CE59" s="29">
        <f t="shared" ca="1" si="24"/>
        <v>3</v>
      </c>
      <c r="CF59" s="29">
        <f t="shared" ca="1" si="24"/>
        <v>3</v>
      </c>
      <c r="CG59" s="29">
        <f t="shared" ca="1" si="24"/>
        <v>4</v>
      </c>
      <c r="CH59" s="29">
        <f t="shared" ca="1" si="24"/>
        <v>3</v>
      </c>
      <c r="CI59" s="29">
        <f t="shared" ca="1" si="24"/>
        <v>3</v>
      </c>
      <c r="CJ59" s="29">
        <f t="shared" ca="1" si="24"/>
        <v>5</v>
      </c>
      <c r="CK59" s="29">
        <f t="shared" ca="1" si="24"/>
        <v>4</v>
      </c>
      <c r="CL59" s="29">
        <f t="shared" ca="1" si="24"/>
        <v>2</v>
      </c>
      <c r="CM59" s="29">
        <f t="shared" ca="1" si="24"/>
        <v>1</v>
      </c>
      <c r="CN59" s="29">
        <f t="shared" ca="1" si="24"/>
        <v>3</v>
      </c>
      <c r="CO59" s="29">
        <f t="shared" ca="1" si="24"/>
        <v>4</v>
      </c>
      <c r="CP59" s="29">
        <f t="shared" ca="1" si="24"/>
        <v>3</v>
      </c>
      <c r="CQ59" s="29">
        <f t="shared" ca="1" si="30"/>
        <v>1</v>
      </c>
      <c r="CR59" s="29">
        <f t="shared" ca="1" si="30"/>
        <v>3</v>
      </c>
      <c r="CS59" s="29">
        <f t="shared" ca="1" si="30"/>
        <v>3</v>
      </c>
      <c r="CT59" s="29">
        <f t="shared" ca="1" si="30"/>
        <v>1</v>
      </c>
      <c r="CU59" s="29">
        <f t="shared" ca="1" si="30"/>
        <v>4</v>
      </c>
      <c r="CV59" s="29">
        <f t="shared" ca="1" si="34"/>
        <v>5</v>
      </c>
      <c r="CW59" s="29">
        <f t="shared" ca="1" si="34"/>
        <v>0</v>
      </c>
      <c r="CX59" s="29">
        <f t="shared" ca="1" si="34"/>
        <v>1</v>
      </c>
      <c r="CY59" s="29">
        <f t="shared" ca="1" si="34"/>
        <v>2</v>
      </c>
      <c r="CZ59" s="29">
        <f t="shared" ca="1" si="34"/>
        <v>4</v>
      </c>
      <c r="DA59" s="29">
        <f t="shared" ca="1" si="34"/>
        <v>5</v>
      </c>
      <c r="DB59" s="29">
        <f t="shared" ca="1" si="34"/>
        <v>3</v>
      </c>
      <c r="DC59" s="29">
        <f t="shared" ca="1" si="34"/>
        <v>4</v>
      </c>
      <c r="DD59" s="29">
        <f t="shared" ca="1" si="34"/>
        <v>6</v>
      </c>
      <c r="DE59" s="29">
        <f t="shared" ca="1" si="34"/>
        <v>2</v>
      </c>
      <c r="DF59" s="29">
        <f t="shared" ca="1" si="34"/>
        <v>1</v>
      </c>
      <c r="DG59" s="29">
        <f t="shared" ca="1" si="34"/>
        <v>3</v>
      </c>
      <c r="DH59" s="29">
        <f t="shared" ca="1" si="34"/>
        <v>4</v>
      </c>
      <c r="DI59" s="29">
        <f t="shared" ca="1" si="34"/>
        <v>0</v>
      </c>
      <c r="DJ59" s="29">
        <f t="shared" ca="1" si="34"/>
        <v>4</v>
      </c>
      <c r="DK59" s="29">
        <f t="shared" ca="1" si="34"/>
        <v>4</v>
      </c>
      <c r="DL59" s="29">
        <f t="shared" ca="1" si="33"/>
        <v>2</v>
      </c>
    </row>
    <row r="60" spans="1:116" ht="14.4" x14ac:dyDescent="0.3">
      <c r="A60" s="31">
        <v>470</v>
      </c>
      <c r="B60" s="28">
        <v>2.35</v>
      </c>
      <c r="C60" s="30">
        <v>44.38</v>
      </c>
      <c r="D60" s="28">
        <v>2.2599999999999998</v>
      </c>
      <c r="E60" s="34">
        <f t="shared" si="0"/>
        <v>4.5199999999999997E-2</v>
      </c>
      <c r="F60" s="35">
        <f t="shared" si="1"/>
        <v>11.095000000000001</v>
      </c>
      <c r="G60" s="34">
        <f t="shared" si="2"/>
        <v>56.499999999999993</v>
      </c>
      <c r="H60" s="33">
        <f t="shared" si="7"/>
        <v>19.321276595744678</v>
      </c>
      <c r="I60" s="28">
        <f t="shared" si="8"/>
        <v>103.74</v>
      </c>
      <c r="J60" s="32">
        <v>1</v>
      </c>
      <c r="K60" s="30">
        <f t="shared" si="3"/>
        <v>11.095000000000001</v>
      </c>
      <c r="L60" s="30"/>
      <c r="M60" s="30"/>
      <c r="N60" s="30"/>
      <c r="O60" s="30"/>
      <c r="Q60" s="29">
        <f t="shared" ca="1" si="4"/>
        <v>2</v>
      </c>
      <c r="R60" s="29">
        <f t="shared" ca="1" si="36"/>
        <v>1</v>
      </c>
      <c r="S60" s="29">
        <f t="shared" ca="1" si="36"/>
        <v>1</v>
      </c>
      <c r="T60" s="29">
        <f t="shared" ca="1" si="36"/>
        <v>4</v>
      </c>
      <c r="U60" s="29">
        <f t="shared" ca="1" si="36"/>
        <v>2</v>
      </c>
      <c r="V60" s="29">
        <f t="shared" ca="1" si="36"/>
        <v>1</v>
      </c>
      <c r="W60" s="29">
        <f t="shared" ca="1" si="36"/>
        <v>2</v>
      </c>
      <c r="X60" s="29">
        <f t="shared" ca="1" si="36"/>
        <v>4</v>
      </c>
      <c r="Y60" s="29">
        <f t="shared" ca="1" si="36"/>
        <v>0</v>
      </c>
      <c r="Z60" s="29">
        <f t="shared" ca="1" si="36"/>
        <v>4</v>
      </c>
      <c r="AA60" s="29">
        <f t="shared" ca="1" si="36"/>
        <v>1</v>
      </c>
      <c r="AB60" s="29">
        <f t="shared" ca="1" si="36"/>
        <v>0</v>
      </c>
      <c r="AC60" s="29">
        <f t="shared" ca="1" si="36"/>
        <v>6</v>
      </c>
      <c r="AD60" s="29">
        <f t="shared" ca="1" si="36"/>
        <v>3</v>
      </c>
      <c r="AE60" s="29">
        <f t="shared" ca="1" si="36"/>
        <v>2</v>
      </c>
      <c r="AF60" s="29">
        <f t="shared" ca="1" si="36"/>
        <v>2</v>
      </c>
      <c r="AG60" s="29">
        <f t="shared" ca="1" si="35"/>
        <v>2</v>
      </c>
      <c r="AH60" s="29">
        <f t="shared" ca="1" si="35"/>
        <v>1</v>
      </c>
      <c r="AI60" s="29">
        <f t="shared" ca="1" si="35"/>
        <v>0</v>
      </c>
      <c r="AJ60" s="29">
        <f t="shared" ca="1" si="35"/>
        <v>2</v>
      </c>
      <c r="AK60" s="29">
        <f t="shared" ca="1" si="35"/>
        <v>3</v>
      </c>
      <c r="AL60" s="29">
        <f t="shared" ca="1" si="35"/>
        <v>2</v>
      </c>
      <c r="AM60" s="29">
        <f t="shared" ca="1" si="35"/>
        <v>1</v>
      </c>
      <c r="AN60" s="29">
        <f t="shared" ca="1" si="35"/>
        <v>2</v>
      </c>
      <c r="AO60" s="29">
        <f t="shared" ca="1" si="35"/>
        <v>0</v>
      </c>
      <c r="AP60" s="29">
        <f t="shared" ca="1" si="35"/>
        <v>2</v>
      </c>
      <c r="AQ60" s="29">
        <f t="shared" ca="1" si="35"/>
        <v>1</v>
      </c>
      <c r="AR60" s="29">
        <f t="shared" ca="1" si="35"/>
        <v>0</v>
      </c>
      <c r="AS60" s="29">
        <f t="shared" ca="1" si="35"/>
        <v>2</v>
      </c>
      <c r="AT60" s="29">
        <f t="shared" ca="1" si="35"/>
        <v>2</v>
      </c>
      <c r="AU60" s="29">
        <f t="shared" ca="1" si="35"/>
        <v>1</v>
      </c>
      <c r="AV60" s="29">
        <f t="shared" ca="1" si="32"/>
        <v>3</v>
      </c>
      <c r="AW60" s="29">
        <f t="shared" ca="1" si="32"/>
        <v>4</v>
      </c>
      <c r="AX60" s="29">
        <f t="shared" ca="1" si="32"/>
        <v>1</v>
      </c>
      <c r="AY60" s="29">
        <f t="shared" ca="1" si="32"/>
        <v>1</v>
      </c>
      <c r="AZ60" s="29">
        <f t="shared" ca="1" si="32"/>
        <v>1</v>
      </c>
      <c r="BA60" s="29">
        <f t="shared" ca="1" si="32"/>
        <v>5</v>
      </c>
      <c r="BB60" s="29">
        <f t="shared" ca="1" si="32"/>
        <v>2</v>
      </c>
      <c r="BC60" s="29">
        <f t="shared" ca="1" si="32"/>
        <v>1</v>
      </c>
      <c r="BD60" s="29">
        <f t="shared" ca="1" si="32"/>
        <v>2</v>
      </c>
      <c r="BE60" s="29">
        <f t="shared" ca="1" si="32"/>
        <v>2</v>
      </c>
      <c r="BF60" s="29">
        <f t="shared" ca="1" si="32"/>
        <v>5</v>
      </c>
      <c r="BG60" s="29">
        <f t="shared" ca="1" si="32"/>
        <v>0</v>
      </c>
      <c r="BH60" s="29">
        <f t="shared" ca="1" si="32"/>
        <v>1</v>
      </c>
      <c r="BI60" s="29">
        <f t="shared" ca="1" si="32"/>
        <v>0</v>
      </c>
      <c r="BJ60" s="29">
        <f t="shared" ca="1" si="32"/>
        <v>4</v>
      </c>
      <c r="BK60" s="29">
        <f t="shared" ref="BK60:BZ75" ca="1" si="37">_xlfn.BINOM.INV(50,$E60,RAND())</f>
        <v>0</v>
      </c>
      <c r="BL60" s="29">
        <f t="shared" ca="1" si="37"/>
        <v>0</v>
      </c>
      <c r="BM60" s="29">
        <f t="shared" ca="1" si="37"/>
        <v>2</v>
      </c>
      <c r="BN60" s="29">
        <f t="shared" ca="1" si="37"/>
        <v>2</v>
      </c>
      <c r="BO60" s="29">
        <f t="shared" ca="1" si="37"/>
        <v>1</v>
      </c>
      <c r="BP60" s="29">
        <f t="shared" ca="1" si="37"/>
        <v>4</v>
      </c>
      <c r="BQ60" s="29">
        <f t="shared" ca="1" si="37"/>
        <v>3</v>
      </c>
      <c r="BR60" s="29">
        <f t="shared" ca="1" si="37"/>
        <v>1</v>
      </c>
      <c r="BS60" s="29">
        <f t="shared" ca="1" si="37"/>
        <v>1</v>
      </c>
      <c r="BT60" s="29">
        <f t="shared" ca="1" si="37"/>
        <v>1</v>
      </c>
      <c r="BU60" s="29">
        <f t="shared" ca="1" si="37"/>
        <v>3</v>
      </c>
      <c r="BV60" s="29">
        <f t="shared" ca="1" si="37"/>
        <v>2</v>
      </c>
      <c r="BW60" s="29">
        <f t="shared" ca="1" si="37"/>
        <v>4</v>
      </c>
      <c r="BX60" s="29">
        <f t="shared" ca="1" si="37"/>
        <v>5</v>
      </c>
      <c r="BY60" s="29">
        <f t="shared" ca="1" si="37"/>
        <v>2</v>
      </c>
      <c r="BZ60" s="29">
        <f t="shared" ca="1" si="37"/>
        <v>3</v>
      </c>
      <c r="CA60" s="29">
        <f t="shared" ca="1" si="27"/>
        <v>2</v>
      </c>
      <c r="CB60" s="29">
        <f t="shared" ca="1" si="24"/>
        <v>3</v>
      </c>
      <c r="CC60" s="29">
        <f t="shared" ca="1" si="24"/>
        <v>1</v>
      </c>
      <c r="CD60" s="29">
        <f t="shared" ca="1" si="24"/>
        <v>1</v>
      </c>
      <c r="CE60" s="29">
        <f t="shared" ca="1" si="24"/>
        <v>2</v>
      </c>
      <c r="CF60" s="29">
        <f t="shared" ca="1" si="24"/>
        <v>2</v>
      </c>
      <c r="CG60" s="29">
        <f t="shared" ca="1" si="24"/>
        <v>2</v>
      </c>
      <c r="CH60" s="29">
        <f t="shared" ref="CH60:CW108" ca="1" si="38">_xlfn.BINOM.INV(50,$E60,RAND())</f>
        <v>4</v>
      </c>
      <c r="CI60" s="29">
        <f t="shared" ca="1" si="38"/>
        <v>3</v>
      </c>
      <c r="CJ60" s="29">
        <f t="shared" ca="1" si="38"/>
        <v>5</v>
      </c>
      <c r="CK60" s="29">
        <f t="shared" ca="1" si="38"/>
        <v>3</v>
      </c>
      <c r="CL60" s="29">
        <f t="shared" ca="1" si="38"/>
        <v>3</v>
      </c>
      <c r="CM60" s="29">
        <f t="shared" ca="1" si="38"/>
        <v>3</v>
      </c>
      <c r="CN60" s="29">
        <f t="shared" ca="1" si="38"/>
        <v>1</v>
      </c>
      <c r="CO60" s="29">
        <f t="shared" ca="1" si="38"/>
        <v>1</v>
      </c>
      <c r="CP60" s="29">
        <f t="shared" ca="1" si="38"/>
        <v>1</v>
      </c>
      <c r="CQ60" s="29">
        <f t="shared" ca="1" si="38"/>
        <v>1</v>
      </c>
      <c r="CR60" s="29">
        <f t="shared" ca="1" si="38"/>
        <v>2</v>
      </c>
      <c r="CS60" s="29">
        <f t="shared" ca="1" si="38"/>
        <v>5</v>
      </c>
      <c r="CT60" s="29">
        <f t="shared" ca="1" si="38"/>
        <v>2</v>
      </c>
      <c r="CU60" s="29">
        <f t="shared" ca="1" si="38"/>
        <v>3</v>
      </c>
      <c r="CV60" s="29">
        <f t="shared" ca="1" si="38"/>
        <v>0</v>
      </c>
      <c r="CW60" s="29">
        <f t="shared" ca="1" si="38"/>
        <v>4</v>
      </c>
      <c r="CX60" s="29">
        <f t="shared" ca="1" si="34"/>
        <v>2</v>
      </c>
      <c r="CY60" s="29">
        <f t="shared" ca="1" si="34"/>
        <v>1</v>
      </c>
      <c r="CZ60" s="29">
        <f t="shared" ca="1" si="34"/>
        <v>3</v>
      </c>
      <c r="DA60" s="29">
        <f t="shared" ca="1" si="34"/>
        <v>3</v>
      </c>
      <c r="DB60" s="29">
        <f t="shared" ca="1" si="34"/>
        <v>2</v>
      </c>
      <c r="DC60" s="29">
        <f t="shared" ca="1" si="34"/>
        <v>2</v>
      </c>
      <c r="DD60" s="29">
        <f t="shared" ca="1" si="34"/>
        <v>1</v>
      </c>
      <c r="DE60" s="29">
        <f t="shared" ca="1" si="34"/>
        <v>1</v>
      </c>
      <c r="DF60" s="29">
        <f t="shared" ca="1" si="34"/>
        <v>2</v>
      </c>
      <c r="DG60" s="29">
        <f t="shared" ca="1" si="34"/>
        <v>5</v>
      </c>
      <c r="DH60" s="29">
        <f t="shared" ca="1" si="34"/>
        <v>3</v>
      </c>
      <c r="DI60" s="29">
        <f t="shared" ca="1" si="34"/>
        <v>4</v>
      </c>
      <c r="DJ60" s="29">
        <f t="shared" ca="1" si="34"/>
        <v>1</v>
      </c>
      <c r="DK60" s="29">
        <f t="shared" ca="1" si="34"/>
        <v>2</v>
      </c>
      <c r="DL60" s="29">
        <f t="shared" ca="1" si="33"/>
        <v>2</v>
      </c>
    </row>
    <row r="61" spans="1:116" ht="14.4" x14ac:dyDescent="0.3">
      <c r="A61" s="31">
        <v>175</v>
      </c>
      <c r="B61" s="28">
        <v>2.14</v>
      </c>
      <c r="C61" s="30">
        <v>67.17</v>
      </c>
      <c r="D61" s="28">
        <v>2.2999999999999998</v>
      </c>
      <c r="E61" s="34">
        <f t="shared" si="0"/>
        <v>4.5999999999999999E-2</v>
      </c>
      <c r="F61" s="35">
        <f t="shared" si="1"/>
        <v>16.7925</v>
      </c>
      <c r="G61" s="34">
        <f t="shared" si="2"/>
        <v>57.499999999999993</v>
      </c>
      <c r="H61" s="33">
        <f t="shared" si="7"/>
        <v>19.02219626168224</v>
      </c>
      <c r="I61" s="28">
        <f t="shared" si="8"/>
        <v>105.88</v>
      </c>
      <c r="J61" s="32">
        <v>1</v>
      </c>
      <c r="K61" s="30">
        <f t="shared" si="3"/>
        <v>16.7925</v>
      </c>
      <c r="L61" s="30"/>
      <c r="M61" s="30"/>
      <c r="N61" s="30"/>
      <c r="O61" s="30"/>
      <c r="Q61" s="29">
        <f t="shared" ca="1" si="4"/>
        <v>1</v>
      </c>
      <c r="R61" s="29">
        <f t="shared" ca="1" si="36"/>
        <v>2</v>
      </c>
      <c r="S61" s="29">
        <f t="shared" ca="1" si="36"/>
        <v>1</v>
      </c>
      <c r="T61" s="29">
        <f t="shared" ca="1" si="36"/>
        <v>1</v>
      </c>
      <c r="U61" s="29">
        <f t="shared" ca="1" si="36"/>
        <v>3</v>
      </c>
      <c r="V61" s="29">
        <f t="shared" ca="1" si="36"/>
        <v>3</v>
      </c>
      <c r="W61" s="29">
        <f t="shared" ca="1" si="36"/>
        <v>3</v>
      </c>
      <c r="X61" s="29">
        <f t="shared" ca="1" si="36"/>
        <v>1</v>
      </c>
      <c r="Y61" s="29">
        <f t="shared" ca="1" si="36"/>
        <v>2</v>
      </c>
      <c r="Z61" s="29">
        <f t="shared" ca="1" si="36"/>
        <v>2</v>
      </c>
      <c r="AA61" s="29">
        <f t="shared" ca="1" si="36"/>
        <v>2</v>
      </c>
      <c r="AB61" s="29">
        <f t="shared" ca="1" si="36"/>
        <v>1</v>
      </c>
      <c r="AC61" s="29">
        <f t="shared" ca="1" si="36"/>
        <v>1</v>
      </c>
      <c r="AD61" s="29">
        <f t="shared" ca="1" si="36"/>
        <v>2</v>
      </c>
      <c r="AE61" s="29">
        <f t="shared" ca="1" si="36"/>
        <v>0</v>
      </c>
      <c r="AF61" s="29">
        <f t="shared" ca="1" si="36"/>
        <v>3</v>
      </c>
      <c r="AG61" s="29">
        <f t="shared" ca="1" si="35"/>
        <v>4</v>
      </c>
      <c r="AH61" s="29">
        <f t="shared" ca="1" si="35"/>
        <v>2</v>
      </c>
      <c r="AI61" s="29">
        <f t="shared" ca="1" si="35"/>
        <v>3</v>
      </c>
      <c r="AJ61" s="29">
        <f t="shared" ca="1" si="35"/>
        <v>1</v>
      </c>
      <c r="AK61" s="29">
        <f t="shared" ca="1" si="35"/>
        <v>4</v>
      </c>
      <c r="AL61" s="29">
        <f t="shared" ca="1" si="35"/>
        <v>4</v>
      </c>
      <c r="AM61" s="29">
        <f t="shared" ca="1" si="35"/>
        <v>0</v>
      </c>
      <c r="AN61" s="29">
        <f t="shared" ca="1" si="35"/>
        <v>1</v>
      </c>
      <c r="AO61" s="29">
        <f t="shared" ca="1" si="35"/>
        <v>2</v>
      </c>
      <c r="AP61" s="29">
        <f t="shared" ca="1" si="35"/>
        <v>4</v>
      </c>
      <c r="AQ61" s="29">
        <f t="shared" ca="1" si="35"/>
        <v>4</v>
      </c>
      <c r="AR61" s="29">
        <f t="shared" ca="1" si="35"/>
        <v>2</v>
      </c>
      <c r="AS61" s="29">
        <f t="shared" ca="1" si="35"/>
        <v>1</v>
      </c>
      <c r="AT61" s="29">
        <f t="shared" ca="1" si="35"/>
        <v>2</v>
      </c>
      <c r="AU61" s="29">
        <f t="shared" ca="1" si="35"/>
        <v>2</v>
      </c>
      <c r="AV61" s="29">
        <f t="shared" ref="AV61:BK76" ca="1" si="39">_xlfn.BINOM.INV(50,$E61,RAND())</f>
        <v>4</v>
      </c>
      <c r="AW61" s="29">
        <f t="shared" ca="1" si="39"/>
        <v>1</v>
      </c>
      <c r="AX61" s="29">
        <f t="shared" ca="1" si="39"/>
        <v>5</v>
      </c>
      <c r="AY61" s="29">
        <f t="shared" ca="1" si="39"/>
        <v>4</v>
      </c>
      <c r="AZ61" s="29">
        <f t="shared" ca="1" si="39"/>
        <v>1</v>
      </c>
      <c r="BA61" s="29">
        <f t="shared" ca="1" si="39"/>
        <v>3</v>
      </c>
      <c r="BB61" s="29">
        <f t="shared" ca="1" si="39"/>
        <v>3</v>
      </c>
      <c r="BC61" s="29">
        <f t="shared" ca="1" si="39"/>
        <v>1</v>
      </c>
      <c r="BD61" s="29">
        <f t="shared" ca="1" si="39"/>
        <v>6</v>
      </c>
      <c r="BE61" s="29">
        <f t="shared" ca="1" si="39"/>
        <v>1</v>
      </c>
      <c r="BF61" s="29">
        <f t="shared" ca="1" si="39"/>
        <v>3</v>
      </c>
      <c r="BG61" s="29">
        <f t="shared" ca="1" si="39"/>
        <v>3</v>
      </c>
      <c r="BH61" s="29">
        <f t="shared" ca="1" si="39"/>
        <v>3</v>
      </c>
      <c r="BI61" s="29">
        <f t="shared" ca="1" si="39"/>
        <v>1</v>
      </c>
      <c r="BJ61" s="29">
        <f t="shared" ca="1" si="39"/>
        <v>2</v>
      </c>
      <c r="BK61" s="29">
        <f t="shared" ca="1" si="39"/>
        <v>3</v>
      </c>
      <c r="BL61" s="29">
        <f t="shared" ca="1" si="37"/>
        <v>2</v>
      </c>
      <c r="BM61" s="29">
        <f t="shared" ca="1" si="37"/>
        <v>1</v>
      </c>
      <c r="BN61" s="29">
        <f t="shared" ca="1" si="37"/>
        <v>3</v>
      </c>
      <c r="BO61" s="29">
        <f t="shared" ca="1" si="37"/>
        <v>1</v>
      </c>
      <c r="BP61" s="29">
        <f t="shared" ca="1" si="37"/>
        <v>1</v>
      </c>
      <c r="BQ61" s="29">
        <f t="shared" ca="1" si="37"/>
        <v>1</v>
      </c>
      <c r="BR61" s="29">
        <f t="shared" ca="1" si="37"/>
        <v>3</v>
      </c>
      <c r="BS61" s="29">
        <f t="shared" ca="1" si="37"/>
        <v>2</v>
      </c>
      <c r="BT61" s="29">
        <f t="shared" ca="1" si="37"/>
        <v>1</v>
      </c>
      <c r="BU61" s="29">
        <f t="shared" ca="1" si="37"/>
        <v>2</v>
      </c>
      <c r="BV61" s="29">
        <f t="shared" ca="1" si="37"/>
        <v>1</v>
      </c>
      <c r="BW61" s="29">
        <f t="shared" ca="1" si="37"/>
        <v>4</v>
      </c>
      <c r="BX61" s="29">
        <f t="shared" ca="1" si="37"/>
        <v>2</v>
      </c>
      <c r="BY61" s="29">
        <f t="shared" ca="1" si="37"/>
        <v>3</v>
      </c>
      <c r="BZ61" s="29">
        <f t="shared" ca="1" si="37"/>
        <v>3</v>
      </c>
      <c r="CA61" s="29">
        <f t="shared" ca="1" si="27"/>
        <v>2</v>
      </c>
      <c r="CB61" s="29">
        <f t="shared" ref="CB61:CQ77" ca="1" si="40">_xlfn.BINOM.INV(50,$E61,RAND())</f>
        <v>4</v>
      </c>
      <c r="CC61" s="29">
        <f t="shared" ca="1" si="40"/>
        <v>3</v>
      </c>
      <c r="CD61" s="29">
        <f t="shared" ca="1" si="40"/>
        <v>2</v>
      </c>
      <c r="CE61" s="29">
        <f t="shared" ca="1" si="40"/>
        <v>3</v>
      </c>
      <c r="CF61" s="29">
        <f t="shared" ca="1" si="40"/>
        <v>3</v>
      </c>
      <c r="CG61" s="29">
        <f t="shared" ca="1" si="40"/>
        <v>2</v>
      </c>
      <c r="CH61" s="29">
        <f t="shared" ca="1" si="40"/>
        <v>3</v>
      </c>
      <c r="CI61" s="29">
        <f t="shared" ca="1" si="40"/>
        <v>3</v>
      </c>
      <c r="CJ61" s="29">
        <f t="shared" ca="1" si="40"/>
        <v>3</v>
      </c>
      <c r="CK61" s="29">
        <f t="shared" ca="1" si="40"/>
        <v>1</v>
      </c>
      <c r="CL61" s="29">
        <f t="shared" ca="1" si="40"/>
        <v>1</v>
      </c>
      <c r="CM61" s="29">
        <f t="shared" ca="1" si="40"/>
        <v>3</v>
      </c>
      <c r="CN61" s="29">
        <f t="shared" ca="1" si="40"/>
        <v>4</v>
      </c>
      <c r="CO61" s="29">
        <f t="shared" ca="1" si="40"/>
        <v>2</v>
      </c>
      <c r="CP61" s="29">
        <f t="shared" ca="1" si="40"/>
        <v>9</v>
      </c>
      <c r="CQ61" s="29">
        <f t="shared" ca="1" si="40"/>
        <v>2</v>
      </c>
      <c r="CR61" s="29">
        <f t="shared" ca="1" si="38"/>
        <v>2</v>
      </c>
      <c r="CS61" s="29">
        <f t="shared" ca="1" si="38"/>
        <v>2</v>
      </c>
      <c r="CT61" s="29">
        <f t="shared" ca="1" si="38"/>
        <v>1</v>
      </c>
      <c r="CU61" s="29">
        <f t="shared" ca="1" si="38"/>
        <v>3</v>
      </c>
      <c r="CV61" s="29">
        <f t="shared" ca="1" si="38"/>
        <v>1</v>
      </c>
      <c r="CW61" s="29">
        <f t="shared" ca="1" si="38"/>
        <v>0</v>
      </c>
      <c r="CX61" s="29">
        <f t="shared" ca="1" si="34"/>
        <v>2</v>
      </c>
      <c r="CY61" s="29">
        <f t="shared" ca="1" si="34"/>
        <v>3</v>
      </c>
      <c r="CZ61" s="29">
        <f t="shared" ca="1" si="34"/>
        <v>4</v>
      </c>
      <c r="DA61" s="29">
        <f t="shared" ca="1" si="34"/>
        <v>0</v>
      </c>
      <c r="DB61" s="29">
        <f t="shared" ca="1" si="34"/>
        <v>0</v>
      </c>
      <c r="DC61" s="29">
        <f t="shared" ca="1" si="34"/>
        <v>2</v>
      </c>
      <c r="DD61" s="29">
        <f t="shared" ca="1" si="34"/>
        <v>4</v>
      </c>
      <c r="DE61" s="29">
        <f t="shared" ca="1" si="34"/>
        <v>0</v>
      </c>
      <c r="DF61" s="29">
        <f t="shared" ca="1" si="34"/>
        <v>3</v>
      </c>
      <c r="DG61" s="29">
        <f t="shared" ca="1" si="34"/>
        <v>0</v>
      </c>
      <c r="DH61" s="29">
        <f t="shared" ca="1" si="34"/>
        <v>2</v>
      </c>
      <c r="DI61" s="29">
        <f t="shared" ca="1" si="34"/>
        <v>1</v>
      </c>
      <c r="DJ61" s="29">
        <f t="shared" ca="1" si="34"/>
        <v>3</v>
      </c>
      <c r="DK61" s="29">
        <f t="shared" ca="1" si="34"/>
        <v>2</v>
      </c>
      <c r="DL61" s="29">
        <f t="shared" ca="1" si="33"/>
        <v>0</v>
      </c>
    </row>
    <row r="62" spans="1:116" ht="14.4" x14ac:dyDescent="0.3">
      <c r="A62" s="31">
        <v>244</v>
      </c>
      <c r="B62" s="28">
        <v>1.3</v>
      </c>
      <c r="C62" s="30">
        <v>63.74</v>
      </c>
      <c r="D62" s="28">
        <v>1.62</v>
      </c>
      <c r="E62" s="34">
        <f t="shared" si="0"/>
        <v>3.2400000000000005E-2</v>
      </c>
      <c r="F62" s="35">
        <f t="shared" si="1"/>
        <v>15.935</v>
      </c>
      <c r="G62" s="34">
        <f t="shared" si="2"/>
        <v>40.5</v>
      </c>
      <c r="H62" s="33">
        <f t="shared" si="7"/>
        <v>18.896153846153844</v>
      </c>
      <c r="I62" s="28">
        <f t="shared" si="8"/>
        <v>107.17999999999999</v>
      </c>
      <c r="J62" s="32">
        <v>1</v>
      </c>
      <c r="K62" s="30">
        <f t="shared" si="3"/>
        <v>15.935</v>
      </c>
      <c r="L62" s="30"/>
      <c r="M62" s="30"/>
      <c r="N62" s="30"/>
      <c r="O62" s="30"/>
      <c r="Q62" s="29">
        <f t="shared" ca="1" si="4"/>
        <v>1</v>
      </c>
      <c r="R62" s="29">
        <f t="shared" ca="1" si="36"/>
        <v>4</v>
      </c>
      <c r="S62" s="29">
        <f t="shared" ca="1" si="36"/>
        <v>1</v>
      </c>
      <c r="T62" s="29">
        <f t="shared" ca="1" si="36"/>
        <v>1</v>
      </c>
      <c r="U62" s="29">
        <f t="shared" ca="1" si="36"/>
        <v>2</v>
      </c>
      <c r="V62" s="29">
        <f t="shared" ca="1" si="36"/>
        <v>1</v>
      </c>
      <c r="W62" s="29">
        <f t="shared" ca="1" si="36"/>
        <v>1</v>
      </c>
      <c r="X62" s="29">
        <f t="shared" ca="1" si="36"/>
        <v>0</v>
      </c>
      <c r="Y62" s="29">
        <f t="shared" ca="1" si="36"/>
        <v>1</v>
      </c>
      <c r="Z62" s="29">
        <f t="shared" ca="1" si="36"/>
        <v>1</v>
      </c>
      <c r="AA62" s="29">
        <f t="shared" ca="1" si="36"/>
        <v>1</v>
      </c>
      <c r="AB62" s="29">
        <f t="shared" ca="1" si="36"/>
        <v>3</v>
      </c>
      <c r="AC62" s="29">
        <f t="shared" ca="1" si="36"/>
        <v>1</v>
      </c>
      <c r="AD62" s="29">
        <f t="shared" ca="1" si="36"/>
        <v>2</v>
      </c>
      <c r="AE62" s="29">
        <f t="shared" ca="1" si="36"/>
        <v>2</v>
      </c>
      <c r="AF62" s="29">
        <f t="shared" ca="1" si="36"/>
        <v>1</v>
      </c>
      <c r="AG62" s="29">
        <f t="shared" ca="1" si="35"/>
        <v>1</v>
      </c>
      <c r="AH62" s="29">
        <f t="shared" ca="1" si="35"/>
        <v>2</v>
      </c>
      <c r="AI62" s="29">
        <f t="shared" ca="1" si="35"/>
        <v>1</v>
      </c>
      <c r="AJ62" s="29">
        <f t="shared" ca="1" si="35"/>
        <v>1</v>
      </c>
      <c r="AK62" s="29">
        <f t="shared" ca="1" si="35"/>
        <v>1</v>
      </c>
      <c r="AL62" s="29">
        <f t="shared" ca="1" si="35"/>
        <v>3</v>
      </c>
      <c r="AM62" s="29">
        <f t="shared" ca="1" si="35"/>
        <v>3</v>
      </c>
      <c r="AN62" s="29">
        <f t="shared" ca="1" si="35"/>
        <v>2</v>
      </c>
      <c r="AO62" s="29">
        <f t="shared" ca="1" si="35"/>
        <v>2</v>
      </c>
      <c r="AP62" s="29">
        <f t="shared" ca="1" si="35"/>
        <v>3</v>
      </c>
      <c r="AQ62" s="29">
        <f t="shared" ca="1" si="35"/>
        <v>0</v>
      </c>
      <c r="AR62" s="29">
        <f t="shared" ca="1" si="35"/>
        <v>4</v>
      </c>
      <c r="AS62" s="29">
        <f t="shared" ca="1" si="35"/>
        <v>2</v>
      </c>
      <c r="AT62" s="29">
        <f t="shared" ca="1" si="35"/>
        <v>1</v>
      </c>
      <c r="AU62" s="29">
        <f t="shared" ca="1" si="35"/>
        <v>4</v>
      </c>
      <c r="AV62" s="29">
        <f t="shared" ca="1" si="39"/>
        <v>1</v>
      </c>
      <c r="AW62" s="29">
        <f t="shared" ca="1" si="39"/>
        <v>3</v>
      </c>
      <c r="AX62" s="29">
        <f t="shared" ca="1" si="39"/>
        <v>4</v>
      </c>
      <c r="AY62" s="29">
        <f t="shared" ca="1" si="39"/>
        <v>0</v>
      </c>
      <c r="AZ62" s="29">
        <f t="shared" ca="1" si="39"/>
        <v>0</v>
      </c>
      <c r="BA62" s="29">
        <f t="shared" ca="1" si="39"/>
        <v>3</v>
      </c>
      <c r="BB62" s="29">
        <f t="shared" ca="1" si="39"/>
        <v>1</v>
      </c>
      <c r="BC62" s="29">
        <f t="shared" ca="1" si="39"/>
        <v>1</v>
      </c>
      <c r="BD62" s="29">
        <f t="shared" ca="1" si="39"/>
        <v>3</v>
      </c>
      <c r="BE62" s="29">
        <f t="shared" ca="1" si="39"/>
        <v>2</v>
      </c>
      <c r="BF62" s="29">
        <f t="shared" ca="1" si="39"/>
        <v>0</v>
      </c>
      <c r="BG62" s="29">
        <f t="shared" ca="1" si="39"/>
        <v>3</v>
      </c>
      <c r="BH62" s="29">
        <f t="shared" ca="1" si="39"/>
        <v>1</v>
      </c>
      <c r="BI62" s="29">
        <f t="shared" ca="1" si="39"/>
        <v>0</v>
      </c>
      <c r="BJ62" s="29">
        <f t="shared" ca="1" si="39"/>
        <v>1</v>
      </c>
      <c r="BK62" s="29">
        <f t="shared" ca="1" si="39"/>
        <v>1</v>
      </c>
      <c r="BL62" s="29">
        <f t="shared" ca="1" si="37"/>
        <v>1</v>
      </c>
      <c r="BM62" s="29">
        <f t="shared" ca="1" si="37"/>
        <v>2</v>
      </c>
      <c r="BN62" s="29">
        <f t="shared" ca="1" si="37"/>
        <v>3</v>
      </c>
      <c r="BO62" s="29">
        <f t="shared" ca="1" si="37"/>
        <v>1</v>
      </c>
      <c r="BP62" s="29">
        <f t="shared" ca="1" si="37"/>
        <v>0</v>
      </c>
      <c r="BQ62" s="29">
        <f t="shared" ca="1" si="37"/>
        <v>0</v>
      </c>
      <c r="BR62" s="29">
        <f t="shared" ca="1" si="37"/>
        <v>1</v>
      </c>
      <c r="BS62" s="29">
        <f t="shared" ca="1" si="37"/>
        <v>2</v>
      </c>
      <c r="BT62" s="29">
        <f t="shared" ca="1" si="37"/>
        <v>2</v>
      </c>
      <c r="BU62" s="29">
        <f t="shared" ca="1" si="37"/>
        <v>2</v>
      </c>
      <c r="BV62" s="29">
        <f t="shared" ca="1" si="37"/>
        <v>0</v>
      </c>
      <c r="BW62" s="29">
        <f t="shared" ca="1" si="37"/>
        <v>0</v>
      </c>
      <c r="BX62" s="29">
        <f t="shared" ca="1" si="37"/>
        <v>2</v>
      </c>
      <c r="BY62" s="29">
        <f t="shared" ca="1" si="37"/>
        <v>1</v>
      </c>
      <c r="BZ62" s="29">
        <f t="shared" ca="1" si="37"/>
        <v>1</v>
      </c>
      <c r="CA62" s="29">
        <f t="shared" ca="1" si="27"/>
        <v>3</v>
      </c>
      <c r="CB62" s="29">
        <f t="shared" ca="1" si="40"/>
        <v>1</v>
      </c>
      <c r="CC62" s="29">
        <f t="shared" ca="1" si="40"/>
        <v>1</v>
      </c>
      <c r="CD62" s="29">
        <f t="shared" ca="1" si="40"/>
        <v>2</v>
      </c>
      <c r="CE62" s="29">
        <f t="shared" ca="1" si="40"/>
        <v>1</v>
      </c>
      <c r="CF62" s="29">
        <f t="shared" ca="1" si="40"/>
        <v>2</v>
      </c>
      <c r="CG62" s="29">
        <f t="shared" ca="1" si="40"/>
        <v>3</v>
      </c>
      <c r="CH62" s="29">
        <f t="shared" ca="1" si="40"/>
        <v>4</v>
      </c>
      <c r="CI62" s="29">
        <f t="shared" ca="1" si="40"/>
        <v>5</v>
      </c>
      <c r="CJ62" s="29">
        <f t="shared" ca="1" si="40"/>
        <v>1</v>
      </c>
      <c r="CK62" s="29">
        <f t="shared" ca="1" si="40"/>
        <v>2</v>
      </c>
      <c r="CL62" s="29">
        <f t="shared" ca="1" si="40"/>
        <v>0</v>
      </c>
      <c r="CM62" s="29">
        <f t="shared" ca="1" si="40"/>
        <v>1</v>
      </c>
      <c r="CN62" s="29">
        <f t="shared" ca="1" si="40"/>
        <v>3</v>
      </c>
      <c r="CO62" s="29">
        <f t="shared" ca="1" si="40"/>
        <v>2</v>
      </c>
      <c r="CP62" s="29">
        <f t="shared" ca="1" si="40"/>
        <v>2</v>
      </c>
      <c r="CQ62" s="29">
        <f t="shared" ca="1" si="40"/>
        <v>2</v>
      </c>
      <c r="CR62" s="29">
        <f t="shared" ca="1" si="38"/>
        <v>1</v>
      </c>
      <c r="CS62" s="29">
        <f t="shared" ca="1" si="38"/>
        <v>1</v>
      </c>
      <c r="CT62" s="29">
        <f t="shared" ca="1" si="38"/>
        <v>1</v>
      </c>
      <c r="CU62" s="29">
        <f t="shared" ca="1" si="38"/>
        <v>1</v>
      </c>
      <c r="CV62" s="29">
        <f t="shared" ca="1" si="38"/>
        <v>3</v>
      </c>
      <c r="CW62" s="29">
        <f t="shared" ca="1" si="38"/>
        <v>2</v>
      </c>
      <c r="CX62" s="29">
        <f t="shared" ca="1" si="34"/>
        <v>2</v>
      </c>
      <c r="CY62" s="29">
        <f t="shared" ca="1" si="34"/>
        <v>1</v>
      </c>
      <c r="CZ62" s="29">
        <f t="shared" ca="1" si="34"/>
        <v>5</v>
      </c>
      <c r="DA62" s="29">
        <f t="shared" ca="1" si="34"/>
        <v>1</v>
      </c>
      <c r="DB62" s="29">
        <f t="shared" ca="1" si="34"/>
        <v>3</v>
      </c>
      <c r="DC62" s="29">
        <f t="shared" ca="1" si="34"/>
        <v>1</v>
      </c>
      <c r="DD62" s="29">
        <f t="shared" ca="1" si="34"/>
        <v>3</v>
      </c>
      <c r="DE62" s="29">
        <f t="shared" ca="1" si="34"/>
        <v>4</v>
      </c>
      <c r="DF62" s="29">
        <f t="shared" ca="1" si="34"/>
        <v>2</v>
      </c>
      <c r="DG62" s="29">
        <f t="shared" ca="1" si="34"/>
        <v>7</v>
      </c>
      <c r="DH62" s="29">
        <f t="shared" ca="1" si="34"/>
        <v>1</v>
      </c>
      <c r="DI62" s="29">
        <f t="shared" ca="1" si="34"/>
        <v>1</v>
      </c>
      <c r="DJ62" s="29">
        <f t="shared" ca="1" si="34"/>
        <v>2</v>
      </c>
      <c r="DK62" s="29">
        <f t="shared" ca="1" si="34"/>
        <v>3</v>
      </c>
      <c r="DL62" s="29">
        <f t="shared" ca="1" si="33"/>
        <v>2</v>
      </c>
    </row>
    <row r="63" spans="1:116" ht="14.4" x14ac:dyDescent="0.3">
      <c r="A63" s="31">
        <v>567</v>
      </c>
      <c r="B63" s="28">
        <v>2.5</v>
      </c>
      <c r="C63" s="30">
        <v>14.12</v>
      </c>
      <c r="D63" s="28">
        <v>2.0299999999999998</v>
      </c>
      <c r="E63" s="34">
        <f t="shared" si="0"/>
        <v>4.0599999999999997E-2</v>
      </c>
      <c r="F63" s="35">
        <f t="shared" si="1"/>
        <v>3.53</v>
      </c>
      <c r="G63" s="34">
        <f t="shared" si="2"/>
        <v>50.749999999999993</v>
      </c>
      <c r="H63" s="33">
        <f t="shared" si="7"/>
        <v>18.887999999999998</v>
      </c>
      <c r="I63" s="28">
        <f t="shared" si="8"/>
        <v>109.67999999999999</v>
      </c>
      <c r="J63" s="32">
        <v>1</v>
      </c>
      <c r="K63" s="30">
        <f t="shared" si="3"/>
        <v>3.53</v>
      </c>
      <c r="L63" s="30"/>
      <c r="M63" s="30"/>
      <c r="N63" s="30"/>
      <c r="O63" s="30"/>
      <c r="Q63" s="29">
        <f t="shared" ca="1" si="4"/>
        <v>2</v>
      </c>
      <c r="R63" s="29">
        <f t="shared" ca="1" si="36"/>
        <v>3</v>
      </c>
      <c r="S63" s="29">
        <f t="shared" ca="1" si="36"/>
        <v>3</v>
      </c>
      <c r="T63" s="29">
        <f t="shared" ca="1" si="36"/>
        <v>1</v>
      </c>
      <c r="U63" s="29">
        <f t="shared" ca="1" si="36"/>
        <v>0</v>
      </c>
      <c r="V63" s="29">
        <f t="shared" ca="1" si="36"/>
        <v>4</v>
      </c>
      <c r="W63" s="29">
        <f t="shared" ca="1" si="36"/>
        <v>4</v>
      </c>
      <c r="X63" s="29">
        <f t="shared" ca="1" si="36"/>
        <v>1</v>
      </c>
      <c r="Y63" s="29">
        <f t="shared" ca="1" si="36"/>
        <v>4</v>
      </c>
      <c r="Z63" s="29">
        <f t="shared" ca="1" si="36"/>
        <v>1</v>
      </c>
      <c r="AA63" s="29">
        <f t="shared" ca="1" si="36"/>
        <v>1</v>
      </c>
      <c r="AB63" s="29">
        <f t="shared" ca="1" si="36"/>
        <v>1</v>
      </c>
      <c r="AC63" s="29">
        <f t="shared" ca="1" si="36"/>
        <v>1</v>
      </c>
      <c r="AD63" s="29">
        <f t="shared" ca="1" si="36"/>
        <v>1</v>
      </c>
      <c r="AE63" s="29">
        <f t="shared" ca="1" si="36"/>
        <v>1</v>
      </c>
      <c r="AF63" s="29">
        <f t="shared" ca="1" si="36"/>
        <v>2</v>
      </c>
      <c r="AG63" s="29">
        <f t="shared" ca="1" si="35"/>
        <v>3</v>
      </c>
      <c r="AH63" s="29">
        <f t="shared" ca="1" si="35"/>
        <v>1</v>
      </c>
      <c r="AI63" s="29">
        <f t="shared" ca="1" si="35"/>
        <v>2</v>
      </c>
      <c r="AJ63" s="29">
        <f t="shared" ca="1" si="35"/>
        <v>3</v>
      </c>
      <c r="AK63" s="29">
        <f t="shared" ca="1" si="35"/>
        <v>1</v>
      </c>
      <c r="AL63" s="29">
        <f t="shared" ca="1" si="35"/>
        <v>1</v>
      </c>
      <c r="AM63" s="29">
        <f t="shared" ca="1" si="35"/>
        <v>3</v>
      </c>
      <c r="AN63" s="29">
        <f t="shared" ca="1" si="35"/>
        <v>3</v>
      </c>
      <c r="AO63" s="29">
        <f t="shared" ca="1" si="35"/>
        <v>2</v>
      </c>
      <c r="AP63" s="29">
        <f t="shared" ca="1" si="35"/>
        <v>3</v>
      </c>
      <c r="AQ63" s="29">
        <f t="shared" ca="1" si="35"/>
        <v>2</v>
      </c>
      <c r="AR63" s="29">
        <f t="shared" ca="1" si="35"/>
        <v>0</v>
      </c>
      <c r="AS63" s="29">
        <f t="shared" ca="1" si="35"/>
        <v>5</v>
      </c>
      <c r="AT63" s="29">
        <f t="shared" ca="1" si="35"/>
        <v>2</v>
      </c>
      <c r="AU63" s="29">
        <f t="shared" ca="1" si="35"/>
        <v>1</v>
      </c>
      <c r="AV63" s="29">
        <f t="shared" ca="1" si="39"/>
        <v>2</v>
      </c>
      <c r="AW63" s="29">
        <f t="shared" ca="1" si="39"/>
        <v>1</v>
      </c>
      <c r="AX63" s="29">
        <f t="shared" ca="1" si="39"/>
        <v>1</v>
      </c>
      <c r="AY63" s="29">
        <f t="shared" ca="1" si="39"/>
        <v>2</v>
      </c>
      <c r="AZ63" s="29">
        <f t="shared" ca="1" si="39"/>
        <v>1</v>
      </c>
      <c r="BA63" s="29">
        <f t="shared" ca="1" si="39"/>
        <v>1</v>
      </c>
      <c r="BB63" s="29">
        <f t="shared" ca="1" si="39"/>
        <v>0</v>
      </c>
      <c r="BC63" s="29">
        <f t="shared" ca="1" si="39"/>
        <v>3</v>
      </c>
      <c r="BD63" s="29">
        <f t="shared" ca="1" si="39"/>
        <v>1</v>
      </c>
      <c r="BE63" s="29">
        <f t="shared" ca="1" si="39"/>
        <v>1</v>
      </c>
      <c r="BF63" s="29">
        <f t="shared" ca="1" si="39"/>
        <v>1</v>
      </c>
      <c r="BG63" s="29">
        <f t="shared" ca="1" si="39"/>
        <v>2</v>
      </c>
      <c r="BH63" s="29">
        <f t="shared" ca="1" si="39"/>
        <v>2</v>
      </c>
      <c r="BI63" s="29">
        <f t="shared" ca="1" si="39"/>
        <v>0</v>
      </c>
      <c r="BJ63" s="29">
        <f t="shared" ca="1" si="39"/>
        <v>0</v>
      </c>
      <c r="BK63" s="29">
        <f t="shared" ca="1" si="39"/>
        <v>2</v>
      </c>
      <c r="BL63" s="29">
        <f t="shared" ca="1" si="37"/>
        <v>4</v>
      </c>
      <c r="BM63" s="29">
        <f t="shared" ca="1" si="37"/>
        <v>4</v>
      </c>
      <c r="BN63" s="29">
        <f t="shared" ca="1" si="37"/>
        <v>2</v>
      </c>
      <c r="BO63" s="29">
        <f t="shared" ca="1" si="37"/>
        <v>1</v>
      </c>
      <c r="BP63" s="29">
        <f t="shared" ca="1" si="37"/>
        <v>2</v>
      </c>
      <c r="BQ63" s="29">
        <f t="shared" ca="1" si="37"/>
        <v>0</v>
      </c>
      <c r="BR63" s="29">
        <f t="shared" ca="1" si="37"/>
        <v>1</v>
      </c>
      <c r="BS63" s="29">
        <f t="shared" ca="1" si="37"/>
        <v>3</v>
      </c>
      <c r="BT63" s="29">
        <f t="shared" ca="1" si="37"/>
        <v>0</v>
      </c>
      <c r="BU63" s="29">
        <f t="shared" ca="1" si="37"/>
        <v>2</v>
      </c>
      <c r="BV63" s="29">
        <f t="shared" ca="1" si="37"/>
        <v>6</v>
      </c>
      <c r="BW63" s="29">
        <f t="shared" ca="1" si="37"/>
        <v>2</v>
      </c>
      <c r="BX63" s="29">
        <f t="shared" ca="1" si="37"/>
        <v>0</v>
      </c>
      <c r="BY63" s="29">
        <f t="shared" ca="1" si="37"/>
        <v>0</v>
      </c>
      <c r="BZ63" s="29">
        <f t="shared" ca="1" si="37"/>
        <v>2</v>
      </c>
      <c r="CA63" s="29">
        <f t="shared" ca="1" si="27"/>
        <v>0</v>
      </c>
      <c r="CB63" s="29">
        <f t="shared" ca="1" si="40"/>
        <v>3</v>
      </c>
      <c r="CC63" s="29">
        <f t="shared" ca="1" si="40"/>
        <v>1</v>
      </c>
      <c r="CD63" s="29">
        <f t="shared" ca="1" si="40"/>
        <v>3</v>
      </c>
      <c r="CE63" s="29">
        <f t="shared" ca="1" si="40"/>
        <v>2</v>
      </c>
      <c r="CF63" s="29">
        <f t="shared" ca="1" si="40"/>
        <v>2</v>
      </c>
      <c r="CG63" s="29">
        <f t="shared" ca="1" si="40"/>
        <v>1</v>
      </c>
      <c r="CH63" s="29">
        <f t="shared" ca="1" si="40"/>
        <v>2</v>
      </c>
      <c r="CI63" s="29">
        <f t="shared" ca="1" si="40"/>
        <v>2</v>
      </c>
      <c r="CJ63" s="29">
        <f t="shared" ca="1" si="40"/>
        <v>1</v>
      </c>
      <c r="CK63" s="29">
        <f t="shared" ca="1" si="40"/>
        <v>2</v>
      </c>
      <c r="CL63" s="29">
        <f t="shared" ca="1" si="40"/>
        <v>3</v>
      </c>
      <c r="CM63" s="29">
        <f t="shared" ca="1" si="40"/>
        <v>1</v>
      </c>
      <c r="CN63" s="29">
        <f t="shared" ca="1" si="40"/>
        <v>2</v>
      </c>
      <c r="CO63" s="29">
        <f t="shared" ca="1" si="40"/>
        <v>1</v>
      </c>
      <c r="CP63" s="29">
        <f t="shared" ca="1" si="40"/>
        <v>1</v>
      </c>
      <c r="CQ63" s="29">
        <f t="shared" ca="1" si="40"/>
        <v>1</v>
      </c>
      <c r="CR63" s="29">
        <f t="shared" ca="1" si="38"/>
        <v>3</v>
      </c>
      <c r="CS63" s="29">
        <f t="shared" ca="1" si="38"/>
        <v>1</v>
      </c>
      <c r="CT63" s="29">
        <f t="shared" ca="1" si="38"/>
        <v>3</v>
      </c>
      <c r="CU63" s="29">
        <f t="shared" ca="1" si="38"/>
        <v>0</v>
      </c>
      <c r="CV63" s="29">
        <f t="shared" ca="1" si="38"/>
        <v>4</v>
      </c>
      <c r="CW63" s="29">
        <f t="shared" ca="1" si="38"/>
        <v>2</v>
      </c>
      <c r="CX63" s="29">
        <f t="shared" ca="1" si="34"/>
        <v>1</v>
      </c>
      <c r="CY63" s="29">
        <f t="shared" ca="1" si="34"/>
        <v>3</v>
      </c>
      <c r="CZ63" s="29">
        <f t="shared" ca="1" si="34"/>
        <v>2</v>
      </c>
      <c r="DA63" s="29">
        <f t="shared" ca="1" si="34"/>
        <v>2</v>
      </c>
      <c r="DB63" s="29">
        <f t="shared" ca="1" si="34"/>
        <v>0</v>
      </c>
      <c r="DC63" s="29">
        <f t="shared" ref="DC63:DL63" ca="1" si="41">_xlfn.BINOM.INV(50,$E63,RAND())</f>
        <v>1</v>
      </c>
      <c r="DD63" s="29">
        <f t="shared" ca="1" si="41"/>
        <v>3</v>
      </c>
      <c r="DE63" s="29">
        <f t="shared" ca="1" si="41"/>
        <v>1</v>
      </c>
      <c r="DF63" s="29">
        <f t="shared" ca="1" si="41"/>
        <v>1</v>
      </c>
      <c r="DG63" s="29">
        <f t="shared" ca="1" si="41"/>
        <v>2</v>
      </c>
      <c r="DH63" s="29">
        <f t="shared" ca="1" si="41"/>
        <v>3</v>
      </c>
      <c r="DI63" s="29">
        <f t="shared" ca="1" si="41"/>
        <v>4</v>
      </c>
      <c r="DJ63" s="29">
        <f t="shared" ca="1" si="41"/>
        <v>4</v>
      </c>
      <c r="DK63" s="29">
        <f t="shared" ca="1" si="41"/>
        <v>3</v>
      </c>
      <c r="DL63" s="29">
        <f t="shared" ca="1" si="41"/>
        <v>2</v>
      </c>
    </row>
    <row r="64" spans="1:116" ht="14.4" x14ac:dyDescent="0.3">
      <c r="A64" s="31">
        <v>1100</v>
      </c>
      <c r="B64" s="28">
        <v>2.75</v>
      </c>
      <c r="C64" s="30">
        <v>7.42</v>
      </c>
      <c r="D64" s="28">
        <v>2.11</v>
      </c>
      <c r="E64" s="34">
        <f t="shared" si="0"/>
        <v>4.2199999999999994E-2</v>
      </c>
      <c r="F64" s="35">
        <f t="shared" si="1"/>
        <v>1.855</v>
      </c>
      <c r="G64" s="34">
        <f t="shared" si="2"/>
        <v>52.75</v>
      </c>
      <c r="H64" s="33">
        <f t="shared" si="7"/>
        <v>18.507272727272728</v>
      </c>
      <c r="I64" s="28">
        <f t="shared" si="8"/>
        <v>112.42999999999999</v>
      </c>
      <c r="J64" s="32">
        <v>1</v>
      </c>
      <c r="K64" s="30">
        <f t="shared" si="3"/>
        <v>1.855</v>
      </c>
      <c r="L64" s="30"/>
      <c r="M64" s="30"/>
      <c r="N64" s="30"/>
      <c r="O64" s="30"/>
      <c r="Q64" s="29">
        <f t="shared" ca="1" si="4"/>
        <v>4</v>
      </c>
      <c r="R64" s="29">
        <f t="shared" ca="1" si="36"/>
        <v>2</v>
      </c>
      <c r="S64" s="29">
        <f t="shared" ca="1" si="36"/>
        <v>3</v>
      </c>
      <c r="T64" s="29">
        <f t="shared" ca="1" si="36"/>
        <v>2</v>
      </c>
      <c r="U64" s="29">
        <f t="shared" ca="1" si="36"/>
        <v>1</v>
      </c>
      <c r="V64" s="29">
        <f t="shared" ca="1" si="36"/>
        <v>6</v>
      </c>
      <c r="W64" s="29">
        <f t="shared" ca="1" si="36"/>
        <v>2</v>
      </c>
      <c r="X64" s="29">
        <f t="shared" ca="1" si="36"/>
        <v>3</v>
      </c>
      <c r="Y64" s="29">
        <f t="shared" ca="1" si="36"/>
        <v>3</v>
      </c>
      <c r="Z64" s="29">
        <f t="shared" ca="1" si="36"/>
        <v>2</v>
      </c>
      <c r="AA64" s="29">
        <f t="shared" ca="1" si="36"/>
        <v>2</v>
      </c>
      <c r="AB64" s="29">
        <f t="shared" ca="1" si="36"/>
        <v>0</v>
      </c>
      <c r="AC64" s="29">
        <f t="shared" ca="1" si="36"/>
        <v>2</v>
      </c>
      <c r="AD64" s="29">
        <f t="shared" ca="1" si="36"/>
        <v>0</v>
      </c>
      <c r="AE64" s="29">
        <f t="shared" ca="1" si="36"/>
        <v>3</v>
      </c>
      <c r="AF64" s="29">
        <f t="shared" ca="1" si="36"/>
        <v>5</v>
      </c>
      <c r="AG64" s="29">
        <f t="shared" ca="1" si="35"/>
        <v>1</v>
      </c>
      <c r="AH64" s="29">
        <f t="shared" ca="1" si="35"/>
        <v>2</v>
      </c>
      <c r="AI64" s="29">
        <f t="shared" ca="1" si="35"/>
        <v>3</v>
      </c>
      <c r="AJ64" s="29">
        <f t="shared" ca="1" si="35"/>
        <v>0</v>
      </c>
      <c r="AK64" s="29">
        <f t="shared" ca="1" si="35"/>
        <v>0</v>
      </c>
      <c r="AL64" s="29">
        <f t="shared" ca="1" si="35"/>
        <v>2</v>
      </c>
      <c r="AM64" s="29">
        <f t="shared" ca="1" si="35"/>
        <v>3</v>
      </c>
      <c r="AN64" s="29">
        <f t="shared" ca="1" si="35"/>
        <v>4</v>
      </c>
      <c r="AO64" s="29">
        <f t="shared" ca="1" si="35"/>
        <v>3</v>
      </c>
      <c r="AP64" s="29">
        <f t="shared" ca="1" si="35"/>
        <v>1</v>
      </c>
      <c r="AQ64" s="29">
        <f t="shared" ca="1" si="35"/>
        <v>2</v>
      </c>
      <c r="AR64" s="29">
        <f t="shared" ca="1" si="35"/>
        <v>0</v>
      </c>
      <c r="AS64" s="29">
        <f t="shared" ca="1" si="35"/>
        <v>2</v>
      </c>
      <c r="AT64" s="29">
        <f t="shared" ca="1" si="35"/>
        <v>2</v>
      </c>
      <c r="AU64" s="29">
        <f t="shared" ca="1" si="35"/>
        <v>3</v>
      </c>
      <c r="AV64" s="29">
        <f t="shared" ca="1" si="39"/>
        <v>5</v>
      </c>
      <c r="AW64" s="29">
        <f t="shared" ca="1" si="39"/>
        <v>0</v>
      </c>
      <c r="AX64" s="29">
        <f t="shared" ca="1" si="39"/>
        <v>2</v>
      </c>
      <c r="AY64" s="29">
        <f t="shared" ca="1" si="39"/>
        <v>4</v>
      </c>
      <c r="AZ64" s="29">
        <f t="shared" ca="1" si="39"/>
        <v>0</v>
      </c>
      <c r="BA64" s="29">
        <f t="shared" ca="1" si="39"/>
        <v>2</v>
      </c>
      <c r="BB64" s="29">
        <f t="shared" ca="1" si="39"/>
        <v>1</v>
      </c>
      <c r="BC64" s="29">
        <f t="shared" ca="1" si="39"/>
        <v>0</v>
      </c>
      <c r="BD64" s="29">
        <f t="shared" ca="1" si="39"/>
        <v>2</v>
      </c>
      <c r="BE64" s="29">
        <f t="shared" ca="1" si="39"/>
        <v>3</v>
      </c>
      <c r="BF64" s="29">
        <f t="shared" ca="1" si="39"/>
        <v>1</v>
      </c>
      <c r="BG64" s="29">
        <f t="shared" ca="1" si="39"/>
        <v>2</v>
      </c>
      <c r="BH64" s="29">
        <f t="shared" ca="1" si="39"/>
        <v>3</v>
      </c>
      <c r="BI64" s="29">
        <f t="shared" ca="1" si="39"/>
        <v>3</v>
      </c>
      <c r="BJ64" s="29">
        <f t="shared" ca="1" si="39"/>
        <v>4</v>
      </c>
      <c r="BK64" s="29">
        <f t="shared" ca="1" si="39"/>
        <v>0</v>
      </c>
      <c r="BL64" s="29">
        <f t="shared" ca="1" si="37"/>
        <v>2</v>
      </c>
      <c r="BM64" s="29">
        <f t="shared" ca="1" si="37"/>
        <v>1</v>
      </c>
      <c r="BN64" s="29">
        <f t="shared" ca="1" si="37"/>
        <v>2</v>
      </c>
      <c r="BO64" s="29">
        <f t="shared" ca="1" si="37"/>
        <v>2</v>
      </c>
      <c r="BP64" s="29">
        <f t="shared" ca="1" si="37"/>
        <v>1</v>
      </c>
      <c r="BQ64" s="29">
        <f t="shared" ca="1" si="37"/>
        <v>1</v>
      </c>
      <c r="BR64" s="29">
        <f t="shared" ca="1" si="37"/>
        <v>3</v>
      </c>
      <c r="BS64" s="29">
        <f t="shared" ca="1" si="37"/>
        <v>2</v>
      </c>
      <c r="BT64" s="29">
        <f t="shared" ca="1" si="37"/>
        <v>3</v>
      </c>
      <c r="BU64" s="29">
        <f t="shared" ca="1" si="37"/>
        <v>2</v>
      </c>
      <c r="BV64" s="29">
        <f t="shared" ca="1" si="37"/>
        <v>2</v>
      </c>
      <c r="BW64" s="29">
        <f t="shared" ca="1" si="37"/>
        <v>2</v>
      </c>
      <c r="BX64" s="29">
        <f t="shared" ca="1" si="37"/>
        <v>1</v>
      </c>
      <c r="BY64" s="29">
        <f t="shared" ca="1" si="37"/>
        <v>2</v>
      </c>
      <c r="BZ64" s="29">
        <f t="shared" ca="1" si="37"/>
        <v>1</v>
      </c>
      <c r="CA64" s="29">
        <f t="shared" ca="1" si="27"/>
        <v>7</v>
      </c>
      <c r="CB64" s="29">
        <f t="shared" ca="1" si="40"/>
        <v>0</v>
      </c>
      <c r="CC64" s="29">
        <f t="shared" ca="1" si="40"/>
        <v>2</v>
      </c>
      <c r="CD64" s="29">
        <f t="shared" ca="1" si="40"/>
        <v>2</v>
      </c>
      <c r="CE64" s="29">
        <f t="shared" ca="1" si="40"/>
        <v>2</v>
      </c>
      <c r="CF64" s="29">
        <f t="shared" ca="1" si="40"/>
        <v>5</v>
      </c>
      <c r="CG64" s="29">
        <f t="shared" ca="1" si="40"/>
        <v>1</v>
      </c>
      <c r="CH64" s="29">
        <f t="shared" ca="1" si="40"/>
        <v>2</v>
      </c>
      <c r="CI64" s="29">
        <f t="shared" ca="1" si="40"/>
        <v>3</v>
      </c>
      <c r="CJ64" s="29">
        <f t="shared" ca="1" si="40"/>
        <v>4</v>
      </c>
      <c r="CK64" s="29">
        <f t="shared" ca="1" si="40"/>
        <v>4</v>
      </c>
      <c r="CL64" s="29">
        <f t="shared" ca="1" si="40"/>
        <v>2</v>
      </c>
      <c r="CM64" s="29">
        <f t="shared" ca="1" si="40"/>
        <v>4</v>
      </c>
      <c r="CN64" s="29">
        <f t="shared" ca="1" si="40"/>
        <v>4</v>
      </c>
      <c r="CO64" s="29">
        <f t="shared" ca="1" si="40"/>
        <v>1</v>
      </c>
      <c r="CP64" s="29">
        <f t="shared" ca="1" si="40"/>
        <v>0</v>
      </c>
      <c r="CQ64" s="29">
        <f t="shared" ca="1" si="40"/>
        <v>3</v>
      </c>
      <c r="CR64" s="29">
        <f t="shared" ca="1" si="38"/>
        <v>2</v>
      </c>
      <c r="CS64" s="29">
        <f t="shared" ca="1" si="38"/>
        <v>2</v>
      </c>
      <c r="CT64" s="29">
        <f t="shared" ca="1" si="38"/>
        <v>2</v>
      </c>
      <c r="CU64" s="29">
        <f t="shared" ca="1" si="38"/>
        <v>5</v>
      </c>
      <c r="CV64" s="29">
        <f t="shared" ca="1" si="38"/>
        <v>2</v>
      </c>
      <c r="CW64" s="29">
        <f t="shared" ca="1" si="38"/>
        <v>4</v>
      </c>
      <c r="CX64" s="29">
        <f t="shared" ref="CX64:DL80" ca="1" si="42">_xlfn.BINOM.INV(50,$E64,RAND())</f>
        <v>1</v>
      </c>
      <c r="CY64" s="29">
        <f t="shared" ca="1" si="42"/>
        <v>2</v>
      </c>
      <c r="CZ64" s="29">
        <f t="shared" ca="1" si="42"/>
        <v>1</v>
      </c>
      <c r="DA64" s="29">
        <f t="shared" ca="1" si="42"/>
        <v>3</v>
      </c>
      <c r="DB64" s="29">
        <f t="shared" ca="1" si="42"/>
        <v>0</v>
      </c>
      <c r="DC64" s="29">
        <f t="shared" ca="1" si="42"/>
        <v>1</v>
      </c>
      <c r="DD64" s="29">
        <f t="shared" ca="1" si="42"/>
        <v>1</v>
      </c>
      <c r="DE64" s="29">
        <f t="shared" ca="1" si="42"/>
        <v>6</v>
      </c>
      <c r="DF64" s="29">
        <f t="shared" ca="1" si="42"/>
        <v>1</v>
      </c>
      <c r="DG64" s="29">
        <f t="shared" ca="1" si="42"/>
        <v>0</v>
      </c>
      <c r="DH64" s="29">
        <f t="shared" ca="1" si="42"/>
        <v>6</v>
      </c>
      <c r="DI64" s="29">
        <f t="shared" ca="1" si="42"/>
        <v>0</v>
      </c>
      <c r="DJ64" s="29">
        <f t="shared" ca="1" si="42"/>
        <v>3</v>
      </c>
      <c r="DK64" s="29">
        <f t="shared" ca="1" si="42"/>
        <v>2</v>
      </c>
      <c r="DL64" s="29">
        <f t="shared" ca="1" si="42"/>
        <v>3</v>
      </c>
    </row>
    <row r="65" spans="1:116" ht="14.4" x14ac:dyDescent="0.3">
      <c r="A65" s="31">
        <v>154</v>
      </c>
      <c r="B65" s="28">
        <v>3.44</v>
      </c>
      <c r="C65" s="30">
        <v>13.07</v>
      </c>
      <c r="D65" s="28">
        <v>2.67</v>
      </c>
      <c r="E65" s="34">
        <f t="shared" si="0"/>
        <v>5.3399999999999996E-2</v>
      </c>
      <c r="F65" s="35">
        <f t="shared" si="1"/>
        <v>3.2675000000000001</v>
      </c>
      <c r="G65" s="34">
        <f t="shared" si="2"/>
        <v>66.75</v>
      </c>
      <c r="H65" s="33">
        <f t="shared" si="7"/>
        <v>18.45421511627907</v>
      </c>
      <c r="I65" s="28">
        <f t="shared" si="8"/>
        <v>115.86999999999999</v>
      </c>
      <c r="J65" s="32">
        <v>1</v>
      </c>
      <c r="K65" s="30">
        <f t="shared" si="3"/>
        <v>3.2675000000000001</v>
      </c>
      <c r="L65" s="30"/>
      <c r="M65" s="30"/>
      <c r="N65" s="30"/>
      <c r="O65" s="30"/>
      <c r="Q65" s="29">
        <f t="shared" ca="1" si="4"/>
        <v>0</v>
      </c>
      <c r="R65" s="29">
        <f t="shared" ca="1" si="36"/>
        <v>0</v>
      </c>
      <c r="S65" s="29">
        <f t="shared" ca="1" si="36"/>
        <v>5</v>
      </c>
      <c r="T65" s="29">
        <f t="shared" ca="1" si="36"/>
        <v>5</v>
      </c>
      <c r="U65" s="29">
        <f t="shared" ca="1" si="36"/>
        <v>3</v>
      </c>
      <c r="V65" s="29">
        <f t="shared" ca="1" si="36"/>
        <v>2</v>
      </c>
      <c r="W65" s="29">
        <f t="shared" ca="1" si="36"/>
        <v>0</v>
      </c>
      <c r="X65" s="29">
        <f t="shared" ca="1" si="36"/>
        <v>0</v>
      </c>
      <c r="Y65" s="29">
        <f t="shared" ca="1" si="36"/>
        <v>3</v>
      </c>
      <c r="Z65" s="29">
        <f t="shared" ca="1" si="36"/>
        <v>5</v>
      </c>
      <c r="AA65" s="29">
        <f t="shared" ca="1" si="36"/>
        <v>1</v>
      </c>
      <c r="AB65" s="29">
        <f t="shared" ca="1" si="36"/>
        <v>5</v>
      </c>
      <c r="AC65" s="29">
        <f t="shared" ca="1" si="36"/>
        <v>3</v>
      </c>
      <c r="AD65" s="29">
        <f t="shared" ca="1" si="36"/>
        <v>1</v>
      </c>
      <c r="AE65" s="29">
        <f t="shared" ca="1" si="36"/>
        <v>2</v>
      </c>
      <c r="AF65" s="29">
        <f t="shared" ca="1" si="36"/>
        <v>3</v>
      </c>
      <c r="AG65" s="29">
        <f t="shared" ca="1" si="35"/>
        <v>3</v>
      </c>
      <c r="AH65" s="29">
        <f t="shared" ca="1" si="35"/>
        <v>0</v>
      </c>
      <c r="AI65" s="29">
        <f t="shared" ca="1" si="35"/>
        <v>4</v>
      </c>
      <c r="AJ65" s="29">
        <f t="shared" ca="1" si="35"/>
        <v>3</v>
      </c>
      <c r="AK65" s="29">
        <f t="shared" ca="1" si="35"/>
        <v>1</v>
      </c>
      <c r="AL65" s="29">
        <f t="shared" ca="1" si="35"/>
        <v>4</v>
      </c>
      <c r="AM65" s="29">
        <f t="shared" ca="1" si="35"/>
        <v>1</v>
      </c>
      <c r="AN65" s="29">
        <f t="shared" ca="1" si="35"/>
        <v>4</v>
      </c>
      <c r="AO65" s="29">
        <f t="shared" ca="1" si="35"/>
        <v>3</v>
      </c>
      <c r="AP65" s="29">
        <f t="shared" ca="1" si="35"/>
        <v>2</v>
      </c>
      <c r="AQ65" s="29">
        <f t="shared" ca="1" si="35"/>
        <v>4</v>
      </c>
      <c r="AR65" s="29">
        <f t="shared" ca="1" si="35"/>
        <v>4</v>
      </c>
      <c r="AS65" s="29">
        <f t="shared" ca="1" si="35"/>
        <v>3</v>
      </c>
      <c r="AT65" s="29">
        <f t="shared" ca="1" si="35"/>
        <v>4</v>
      </c>
      <c r="AU65" s="29">
        <f t="shared" ca="1" si="35"/>
        <v>5</v>
      </c>
      <c r="AV65" s="29">
        <f t="shared" ca="1" si="39"/>
        <v>2</v>
      </c>
      <c r="AW65" s="29">
        <f t="shared" ca="1" si="39"/>
        <v>2</v>
      </c>
      <c r="AX65" s="29">
        <f t="shared" ca="1" si="39"/>
        <v>5</v>
      </c>
      <c r="AY65" s="29">
        <f t="shared" ca="1" si="39"/>
        <v>3</v>
      </c>
      <c r="AZ65" s="29">
        <f t="shared" ca="1" si="39"/>
        <v>3</v>
      </c>
      <c r="BA65" s="29">
        <f t="shared" ca="1" si="39"/>
        <v>5</v>
      </c>
      <c r="BB65" s="29">
        <f t="shared" ca="1" si="39"/>
        <v>3</v>
      </c>
      <c r="BC65" s="29">
        <f t="shared" ca="1" si="39"/>
        <v>1</v>
      </c>
      <c r="BD65" s="29">
        <f t="shared" ca="1" si="39"/>
        <v>6</v>
      </c>
      <c r="BE65" s="29">
        <f t="shared" ca="1" si="39"/>
        <v>2</v>
      </c>
      <c r="BF65" s="29">
        <f t="shared" ca="1" si="39"/>
        <v>3</v>
      </c>
      <c r="BG65" s="29">
        <f t="shared" ca="1" si="39"/>
        <v>2</v>
      </c>
      <c r="BH65" s="29">
        <f t="shared" ca="1" si="39"/>
        <v>4</v>
      </c>
      <c r="BI65" s="29">
        <f t="shared" ca="1" si="39"/>
        <v>1</v>
      </c>
      <c r="BJ65" s="29">
        <f t="shared" ca="1" si="39"/>
        <v>1</v>
      </c>
      <c r="BK65" s="29">
        <f t="shared" ca="1" si="39"/>
        <v>4</v>
      </c>
      <c r="BL65" s="29">
        <f t="shared" ca="1" si="37"/>
        <v>2</v>
      </c>
      <c r="BM65" s="29">
        <f t="shared" ca="1" si="37"/>
        <v>2</v>
      </c>
      <c r="BN65" s="29">
        <f t="shared" ca="1" si="37"/>
        <v>3</v>
      </c>
      <c r="BO65" s="29">
        <f t="shared" ca="1" si="37"/>
        <v>3</v>
      </c>
      <c r="BP65" s="29">
        <f t="shared" ca="1" si="37"/>
        <v>6</v>
      </c>
      <c r="BQ65" s="29">
        <f t="shared" ca="1" si="37"/>
        <v>5</v>
      </c>
      <c r="BR65" s="29">
        <f t="shared" ca="1" si="37"/>
        <v>3</v>
      </c>
      <c r="BS65" s="29">
        <f t="shared" ca="1" si="37"/>
        <v>3</v>
      </c>
      <c r="BT65" s="29">
        <f t="shared" ca="1" si="37"/>
        <v>2</v>
      </c>
      <c r="BU65" s="29">
        <f t="shared" ca="1" si="37"/>
        <v>1</v>
      </c>
      <c r="BV65" s="29">
        <f t="shared" ca="1" si="37"/>
        <v>2</v>
      </c>
      <c r="BW65" s="29">
        <f t="shared" ca="1" si="37"/>
        <v>2</v>
      </c>
      <c r="BX65" s="29">
        <f t="shared" ca="1" si="37"/>
        <v>1</v>
      </c>
      <c r="BY65" s="29">
        <f t="shared" ca="1" si="37"/>
        <v>1</v>
      </c>
      <c r="BZ65" s="29">
        <f t="shared" ca="1" si="37"/>
        <v>2</v>
      </c>
      <c r="CA65" s="29">
        <f t="shared" ca="1" si="27"/>
        <v>3</v>
      </c>
      <c r="CB65" s="29">
        <f t="shared" ca="1" si="40"/>
        <v>2</v>
      </c>
      <c r="CC65" s="29">
        <f t="shared" ca="1" si="40"/>
        <v>5</v>
      </c>
      <c r="CD65" s="29">
        <f t="shared" ca="1" si="40"/>
        <v>4</v>
      </c>
      <c r="CE65" s="29">
        <f t="shared" ca="1" si="40"/>
        <v>1</v>
      </c>
      <c r="CF65" s="29">
        <f t="shared" ca="1" si="40"/>
        <v>3</v>
      </c>
      <c r="CG65" s="29">
        <f t="shared" ca="1" si="40"/>
        <v>0</v>
      </c>
      <c r="CH65" s="29">
        <f t="shared" ca="1" si="40"/>
        <v>2</v>
      </c>
      <c r="CI65" s="29">
        <f t="shared" ca="1" si="40"/>
        <v>3</v>
      </c>
      <c r="CJ65" s="29">
        <f t="shared" ca="1" si="40"/>
        <v>0</v>
      </c>
      <c r="CK65" s="29">
        <f t="shared" ca="1" si="40"/>
        <v>2</v>
      </c>
      <c r="CL65" s="29">
        <f t="shared" ca="1" si="40"/>
        <v>2</v>
      </c>
      <c r="CM65" s="29">
        <f t="shared" ca="1" si="40"/>
        <v>4</v>
      </c>
      <c r="CN65" s="29">
        <f t="shared" ca="1" si="40"/>
        <v>2</v>
      </c>
      <c r="CO65" s="29">
        <f t="shared" ca="1" si="40"/>
        <v>2</v>
      </c>
      <c r="CP65" s="29">
        <f t="shared" ca="1" si="40"/>
        <v>1</v>
      </c>
      <c r="CQ65" s="29">
        <f t="shared" ca="1" si="40"/>
        <v>1</v>
      </c>
      <c r="CR65" s="29">
        <f t="shared" ca="1" si="38"/>
        <v>5</v>
      </c>
      <c r="CS65" s="29">
        <f t="shared" ca="1" si="38"/>
        <v>0</v>
      </c>
      <c r="CT65" s="29">
        <f t="shared" ca="1" si="38"/>
        <v>2</v>
      </c>
      <c r="CU65" s="29">
        <f t="shared" ca="1" si="38"/>
        <v>6</v>
      </c>
      <c r="CV65" s="29">
        <f t="shared" ca="1" si="38"/>
        <v>6</v>
      </c>
      <c r="CW65" s="29">
        <f t="shared" ca="1" si="38"/>
        <v>2</v>
      </c>
      <c r="CX65" s="29">
        <f t="shared" ca="1" si="42"/>
        <v>3</v>
      </c>
      <c r="CY65" s="29">
        <f t="shared" ca="1" si="42"/>
        <v>1</v>
      </c>
      <c r="CZ65" s="29">
        <f t="shared" ca="1" si="42"/>
        <v>2</v>
      </c>
      <c r="DA65" s="29">
        <f t="shared" ca="1" si="42"/>
        <v>1</v>
      </c>
      <c r="DB65" s="29">
        <f t="shared" ca="1" si="42"/>
        <v>3</v>
      </c>
      <c r="DC65" s="29">
        <f t="shared" ca="1" si="42"/>
        <v>0</v>
      </c>
      <c r="DD65" s="29">
        <f t="shared" ca="1" si="42"/>
        <v>1</v>
      </c>
      <c r="DE65" s="29">
        <f t="shared" ca="1" si="42"/>
        <v>3</v>
      </c>
      <c r="DF65" s="29">
        <f t="shared" ca="1" si="42"/>
        <v>5</v>
      </c>
      <c r="DG65" s="29">
        <f t="shared" ca="1" si="42"/>
        <v>2</v>
      </c>
      <c r="DH65" s="29">
        <f t="shared" ca="1" si="42"/>
        <v>2</v>
      </c>
      <c r="DI65" s="29">
        <f t="shared" ca="1" si="42"/>
        <v>1</v>
      </c>
      <c r="DJ65" s="29">
        <f t="shared" ca="1" si="42"/>
        <v>3</v>
      </c>
      <c r="DK65" s="29">
        <f t="shared" ca="1" si="42"/>
        <v>2</v>
      </c>
      <c r="DL65" s="29">
        <f t="shared" ca="1" si="42"/>
        <v>2</v>
      </c>
    </row>
    <row r="66" spans="1:116" ht="14.4" x14ac:dyDescent="0.3">
      <c r="A66" s="31">
        <v>384</v>
      </c>
      <c r="B66" s="28">
        <v>1.85</v>
      </c>
      <c r="C66" s="30">
        <v>57.43</v>
      </c>
      <c r="D66" s="28">
        <v>1.93</v>
      </c>
      <c r="E66" s="34">
        <f t="shared" ref="E66:E129" si="43">D66/50</f>
        <v>3.8599999999999995E-2</v>
      </c>
      <c r="F66" s="35">
        <f t="shared" ref="F66:F129" si="44">0.25*C66</f>
        <v>14.3575</v>
      </c>
      <c r="G66" s="34">
        <f t="shared" ref="G66:G129" si="45">25*D66</f>
        <v>48.25</v>
      </c>
      <c r="H66" s="33">
        <f t="shared" ref="H66:H129" si="46">(G66-F66)/B66</f>
        <v>18.320270270270267</v>
      </c>
      <c r="I66" s="28">
        <f t="shared" si="8"/>
        <v>117.71999999999998</v>
      </c>
      <c r="J66" s="32">
        <v>1</v>
      </c>
      <c r="K66" s="30">
        <f t="shared" ref="K66:K129" si="47">J66*F66+(1-J66)*G66</f>
        <v>14.3575</v>
      </c>
      <c r="L66" s="30"/>
      <c r="M66" s="30"/>
      <c r="N66" s="30"/>
      <c r="O66" s="30"/>
      <c r="Q66" s="29">
        <f t="shared" ref="Q66:Q129" ca="1" si="48">_xlfn.BINOM.INV(50,$E66,RAND())</f>
        <v>0</v>
      </c>
      <c r="R66" s="29">
        <f t="shared" ca="1" si="36"/>
        <v>3</v>
      </c>
      <c r="S66" s="29">
        <f t="shared" ca="1" si="36"/>
        <v>2</v>
      </c>
      <c r="T66" s="29">
        <f t="shared" ca="1" si="36"/>
        <v>3</v>
      </c>
      <c r="U66" s="29">
        <f t="shared" ca="1" si="36"/>
        <v>1</v>
      </c>
      <c r="V66" s="29">
        <f t="shared" ca="1" si="36"/>
        <v>1</v>
      </c>
      <c r="W66" s="29">
        <f t="shared" ca="1" si="36"/>
        <v>3</v>
      </c>
      <c r="X66" s="29">
        <f t="shared" ca="1" si="36"/>
        <v>3</v>
      </c>
      <c r="Y66" s="29">
        <f t="shared" ca="1" si="36"/>
        <v>2</v>
      </c>
      <c r="Z66" s="29">
        <f t="shared" ca="1" si="36"/>
        <v>4</v>
      </c>
      <c r="AA66" s="29">
        <f t="shared" ca="1" si="36"/>
        <v>1</v>
      </c>
      <c r="AB66" s="29">
        <f t="shared" ca="1" si="36"/>
        <v>5</v>
      </c>
      <c r="AC66" s="29">
        <f t="shared" ca="1" si="36"/>
        <v>2</v>
      </c>
      <c r="AD66" s="29">
        <f t="shared" ca="1" si="36"/>
        <v>2</v>
      </c>
      <c r="AE66" s="29">
        <f t="shared" ca="1" si="36"/>
        <v>3</v>
      </c>
      <c r="AF66" s="29">
        <f t="shared" ca="1" si="36"/>
        <v>3</v>
      </c>
      <c r="AG66" s="29">
        <f t="shared" ca="1" si="35"/>
        <v>3</v>
      </c>
      <c r="AH66" s="29">
        <f t="shared" ca="1" si="35"/>
        <v>0</v>
      </c>
      <c r="AI66" s="29">
        <f t="shared" ca="1" si="35"/>
        <v>1</v>
      </c>
      <c r="AJ66" s="29">
        <f t="shared" ca="1" si="35"/>
        <v>0</v>
      </c>
      <c r="AK66" s="29">
        <f t="shared" ca="1" si="35"/>
        <v>2</v>
      </c>
      <c r="AL66" s="29">
        <f t="shared" ca="1" si="35"/>
        <v>4</v>
      </c>
      <c r="AM66" s="29">
        <f t="shared" ca="1" si="35"/>
        <v>2</v>
      </c>
      <c r="AN66" s="29">
        <f t="shared" ca="1" si="35"/>
        <v>2</v>
      </c>
      <c r="AO66" s="29">
        <f t="shared" ca="1" si="35"/>
        <v>1</v>
      </c>
      <c r="AP66" s="29">
        <f t="shared" ca="1" si="35"/>
        <v>3</v>
      </c>
      <c r="AQ66" s="29">
        <f t="shared" ca="1" si="35"/>
        <v>3</v>
      </c>
      <c r="AR66" s="29">
        <f t="shared" ca="1" si="35"/>
        <v>2</v>
      </c>
      <c r="AS66" s="29">
        <f t="shared" ca="1" si="35"/>
        <v>0</v>
      </c>
      <c r="AT66" s="29">
        <f t="shared" ca="1" si="35"/>
        <v>4</v>
      </c>
      <c r="AU66" s="29">
        <f t="shared" ca="1" si="35"/>
        <v>2</v>
      </c>
      <c r="AV66" s="29">
        <f t="shared" ca="1" si="39"/>
        <v>1</v>
      </c>
      <c r="AW66" s="29">
        <f t="shared" ca="1" si="39"/>
        <v>2</v>
      </c>
      <c r="AX66" s="29">
        <f t="shared" ca="1" si="39"/>
        <v>5</v>
      </c>
      <c r="AY66" s="29">
        <f t="shared" ca="1" si="39"/>
        <v>1</v>
      </c>
      <c r="AZ66" s="29">
        <f t="shared" ca="1" si="39"/>
        <v>2</v>
      </c>
      <c r="BA66" s="29">
        <f t="shared" ca="1" si="39"/>
        <v>1</v>
      </c>
      <c r="BB66" s="29">
        <f t="shared" ca="1" si="39"/>
        <v>2</v>
      </c>
      <c r="BC66" s="29">
        <f t="shared" ca="1" si="39"/>
        <v>4</v>
      </c>
      <c r="BD66" s="29">
        <f t="shared" ca="1" si="39"/>
        <v>1</v>
      </c>
      <c r="BE66" s="29">
        <f t="shared" ca="1" si="39"/>
        <v>0</v>
      </c>
      <c r="BF66" s="29">
        <f t="shared" ca="1" si="39"/>
        <v>1</v>
      </c>
      <c r="BG66" s="29">
        <f t="shared" ca="1" si="39"/>
        <v>3</v>
      </c>
      <c r="BH66" s="29">
        <f t="shared" ca="1" si="39"/>
        <v>1</v>
      </c>
      <c r="BI66" s="29">
        <f t="shared" ca="1" si="39"/>
        <v>0</v>
      </c>
      <c r="BJ66" s="29">
        <f t="shared" ca="1" si="39"/>
        <v>3</v>
      </c>
      <c r="BK66" s="29">
        <f t="shared" ca="1" si="39"/>
        <v>1</v>
      </c>
      <c r="BL66" s="29">
        <f t="shared" ca="1" si="37"/>
        <v>1</v>
      </c>
      <c r="BM66" s="29">
        <f t="shared" ca="1" si="37"/>
        <v>2</v>
      </c>
      <c r="BN66" s="29">
        <f t="shared" ca="1" si="37"/>
        <v>4</v>
      </c>
      <c r="BO66" s="29">
        <f t="shared" ca="1" si="37"/>
        <v>1</v>
      </c>
      <c r="BP66" s="29">
        <f t="shared" ca="1" si="37"/>
        <v>2</v>
      </c>
      <c r="BQ66" s="29">
        <f t="shared" ca="1" si="37"/>
        <v>1</v>
      </c>
      <c r="BR66" s="29">
        <f t="shared" ca="1" si="37"/>
        <v>2</v>
      </c>
      <c r="BS66" s="29">
        <f t="shared" ca="1" si="37"/>
        <v>5</v>
      </c>
      <c r="BT66" s="29">
        <f t="shared" ca="1" si="37"/>
        <v>1</v>
      </c>
      <c r="BU66" s="29">
        <f t="shared" ca="1" si="37"/>
        <v>3</v>
      </c>
      <c r="BV66" s="29">
        <f t="shared" ca="1" si="37"/>
        <v>2</v>
      </c>
      <c r="BW66" s="29">
        <f t="shared" ca="1" si="37"/>
        <v>6</v>
      </c>
      <c r="BX66" s="29">
        <f t="shared" ca="1" si="37"/>
        <v>3</v>
      </c>
      <c r="BY66" s="29">
        <f t="shared" ca="1" si="37"/>
        <v>3</v>
      </c>
      <c r="BZ66" s="29">
        <f t="shared" ca="1" si="37"/>
        <v>1</v>
      </c>
      <c r="CA66" s="29">
        <f t="shared" ca="1" si="27"/>
        <v>3</v>
      </c>
      <c r="CB66" s="29">
        <f t="shared" ca="1" si="40"/>
        <v>1</v>
      </c>
      <c r="CC66" s="29">
        <f t="shared" ca="1" si="40"/>
        <v>3</v>
      </c>
      <c r="CD66" s="29">
        <f t="shared" ca="1" si="40"/>
        <v>1</v>
      </c>
      <c r="CE66" s="29">
        <f t="shared" ca="1" si="40"/>
        <v>5</v>
      </c>
      <c r="CF66" s="29">
        <f t="shared" ca="1" si="40"/>
        <v>1</v>
      </c>
      <c r="CG66" s="29">
        <f t="shared" ca="1" si="40"/>
        <v>1</v>
      </c>
      <c r="CH66" s="29">
        <f t="shared" ca="1" si="40"/>
        <v>0</v>
      </c>
      <c r="CI66" s="29">
        <f t="shared" ca="1" si="40"/>
        <v>1</v>
      </c>
      <c r="CJ66" s="29">
        <f t="shared" ca="1" si="40"/>
        <v>2</v>
      </c>
      <c r="CK66" s="29">
        <f t="shared" ca="1" si="40"/>
        <v>0</v>
      </c>
      <c r="CL66" s="29">
        <f t="shared" ca="1" si="40"/>
        <v>2</v>
      </c>
      <c r="CM66" s="29">
        <f t="shared" ca="1" si="40"/>
        <v>1</v>
      </c>
      <c r="CN66" s="29">
        <f t="shared" ca="1" si="40"/>
        <v>3</v>
      </c>
      <c r="CO66" s="29">
        <f t="shared" ca="1" si="40"/>
        <v>1</v>
      </c>
      <c r="CP66" s="29">
        <f t="shared" ca="1" si="40"/>
        <v>3</v>
      </c>
      <c r="CQ66" s="29">
        <f t="shared" ca="1" si="40"/>
        <v>0</v>
      </c>
      <c r="CR66" s="29">
        <f t="shared" ca="1" si="38"/>
        <v>2</v>
      </c>
      <c r="CS66" s="29">
        <f t="shared" ca="1" si="38"/>
        <v>2</v>
      </c>
      <c r="CT66" s="29">
        <f t="shared" ca="1" si="38"/>
        <v>3</v>
      </c>
      <c r="CU66" s="29">
        <f t="shared" ca="1" si="38"/>
        <v>2</v>
      </c>
      <c r="CV66" s="29">
        <f t="shared" ca="1" si="38"/>
        <v>0</v>
      </c>
      <c r="CW66" s="29">
        <f t="shared" ca="1" si="38"/>
        <v>2</v>
      </c>
      <c r="CX66" s="29">
        <f t="shared" ca="1" si="42"/>
        <v>2</v>
      </c>
      <c r="CY66" s="29">
        <f t="shared" ca="1" si="42"/>
        <v>0</v>
      </c>
      <c r="CZ66" s="29">
        <f t="shared" ca="1" si="42"/>
        <v>4</v>
      </c>
      <c r="DA66" s="29">
        <f t="shared" ca="1" si="42"/>
        <v>2</v>
      </c>
      <c r="DB66" s="29">
        <f t="shared" ca="1" si="42"/>
        <v>2</v>
      </c>
      <c r="DC66" s="29">
        <f t="shared" ca="1" si="42"/>
        <v>2</v>
      </c>
      <c r="DD66" s="29">
        <f t="shared" ca="1" si="42"/>
        <v>3</v>
      </c>
      <c r="DE66" s="29">
        <f t="shared" ca="1" si="42"/>
        <v>0</v>
      </c>
      <c r="DF66" s="29">
        <f t="shared" ca="1" si="42"/>
        <v>1</v>
      </c>
      <c r="DG66" s="29">
        <f t="shared" ca="1" si="42"/>
        <v>0</v>
      </c>
      <c r="DH66" s="29">
        <f t="shared" ca="1" si="42"/>
        <v>3</v>
      </c>
      <c r="DI66" s="29">
        <f t="shared" ca="1" si="42"/>
        <v>2</v>
      </c>
      <c r="DJ66" s="29">
        <f t="shared" ca="1" si="42"/>
        <v>2</v>
      </c>
      <c r="DK66" s="29">
        <f t="shared" ca="1" si="42"/>
        <v>2</v>
      </c>
      <c r="DL66" s="29">
        <f t="shared" ca="1" si="42"/>
        <v>2</v>
      </c>
    </row>
    <row r="67" spans="1:116" ht="14.4" x14ac:dyDescent="0.3">
      <c r="A67" s="31">
        <v>959</v>
      </c>
      <c r="B67" s="28">
        <v>2</v>
      </c>
      <c r="C67" s="30">
        <v>75.08</v>
      </c>
      <c r="D67" s="28">
        <v>2.2000000000000002</v>
      </c>
      <c r="E67" s="34">
        <f t="shared" si="43"/>
        <v>4.4000000000000004E-2</v>
      </c>
      <c r="F67" s="35">
        <f t="shared" si="44"/>
        <v>18.77</v>
      </c>
      <c r="G67" s="34">
        <f t="shared" si="45"/>
        <v>55.000000000000007</v>
      </c>
      <c r="H67" s="33">
        <f t="shared" si="46"/>
        <v>18.115000000000002</v>
      </c>
      <c r="I67" s="28">
        <f t="shared" si="8"/>
        <v>119.71999999999998</v>
      </c>
      <c r="J67" s="32">
        <v>1</v>
      </c>
      <c r="K67" s="30">
        <f t="shared" si="47"/>
        <v>18.77</v>
      </c>
      <c r="L67" s="30"/>
      <c r="M67" s="30"/>
      <c r="N67" s="30"/>
      <c r="O67" s="30"/>
      <c r="Q67" s="29">
        <f t="shared" ca="1" si="48"/>
        <v>3</v>
      </c>
      <c r="R67" s="29">
        <f t="shared" ca="1" si="36"/>
        <v>3</v>
      </c>
      <c r="S67" s="29">
        <f t="shared" ca="1" si="36"/>
        <v>1</v>
      </c>
      <c r="T67" s="29">
        <f t="shared" ca="1" si="36"/>
        <v>1</v>
      </c>
      <c r="U67" s="29">
        <f t="shared" ca="1" si="36"/>
        <v>4</v>
      </c>
      <c r="V67" s="29">
        <f t="shared" ca="1" si="36"/>
        <v>1</v>
      </c>
      <c r="W67" s="29">
        <f t="shared" ca="1" si="36"/>
        <v>0</v>
      </c>
      <c r="X67" s="29">
        <f t="shared" ca="1" si="36"/>
        <v>4</v>
      </c>
      <c r="Y67" s="29">
        <f t="shared" ca="1" si="36"/>
        <v>3</v>
      </c>
      <c r="Z67" s="29">
        <f t="shared" ca="1" si="36"/>
        <v>1</v>
      </c>
      <c r="AA67" s="29">
        <f t="shared" ca="1" si="36"/>
        <v>2</v>
      </c>
      <c r="AB67" s="29">
        <f t="shared" ca="1" si="36"/>
        <v>1</v>
      </c>
      <c r="AC67" s="29">
        <f t="shared" ca="1" si="36"/>
        <v>2</v>
      </c>
      <c r="AD67" s="29">
        <f t="shared" ca="1" si="36"/>
        <v>3</v>
      </c>
      <c r="AE67" s="29">
        <f t="shared" ca="1" si="36"/>
        <v>1</v>
      </c>
      <c r="AF67" s="29">
        <f t="shared" ca="1" si="36"/>
        <v>2</v>
      </c>
      <c r="AG67" s="29">
        <f t="shared" ca="1" si="35"/>
        <v>1</v>
      </c>
      <c r="AH67" s="29">
        <f t="shared" ca="1" si="35"/>
        <v>0</v>
      </c>
      <c r="AI67" s="29">
        <f t="shared" ca="1" si="35"/>
        <v>1</v>
      </c>
      <c r="AJ67" s="29">
        <f t="shared" ca="1" si="35"/>
        <v>3</v>
      </c>
      <c r="AK67" s="29">
        <f t="shared" ca="1" si="35"/>
        <v>2</v>
      </c>
      <c r="AL67" s="29">
        <f t="shared" ca="1" si="35"/>
        <v>1</v>
      </c>
      <c r="AM67" s="29">
        <f t="shared" ca="1" si="35"/>
        <v>2</v>
      </c>
      <c r="AN67" s="29">
        <f t="shared" ca="1" si="35"/>
        <v>2</v>
      </c>
      <c r="AO67" s="29">
        <f t="shared" ca="1" si="35"/>
        <v>4</v>
      </c>
      <c r="AP67" s="29">
        <f t="shared" ca="1" si="35"/>
        <v>1</v>
      </c>
      <c r="AQ67" s="29">
        <f t="shared" ca="1" si="35"/>
        <v>1</v>
      </c>
      <c r="AR67" s="29">
        <f t="shared" ca="1" si="35"/>
        <v>1</v>
      </c>
      <c r="AS67" s="29">
        <f t="shared" ca="1" si="35"/>
        <v>3</v>
      </c>
      <c r="AT67" s="29">
        <f t="shared" ca="1" si="35"/>
        <v>2</v>
      </c>
      <c r="AU67" s="29">
        <f t="shared" ca="1" si="35"/>
        <v>1</v>
      </c>
      <c r="AV67" s="29">
        <f t="shared" ca="1" si="39"/>
        <v>2</v>
      </c>
      <c r="AW67" s="29">
        <f t="shared" ca="1" si="39"/>
        <v>5</v>
      </c>
      <c r="AX67" s="29">
        <f t="shared" ca="1" si="39"/>
        <v>2</v>
      </c>
      <c r="AY67" s="29">
        <f t="shared" ca="1" si="39"/>
        <v>2</v>
      </c>
      <c r="AZ67" s="29">
        <f t="shared" ca="1" si="39"/>
        <v>3</v>
      </c>
      <c r="BA67" s="29">
        <f t="shared" ca="1" si="39"/>
        <v>1</v>
      </c>
      <c r="BB67" s="29">
        <f t="shared" ca="1" si="39"/>
        <v>0</v>
      </c>
      <c r="BC67" s="29">
        <f t="shared" ca="1" si="39"/>
        <v>3</v>
      </c>
      <c r="BD67" s="29">
        <f t="shared" ca="1" si="39"/>
        <v>2</v>
      </c>
      <c r="BE67" s="29">
        <f t="shared" ca="1" si="39"/>
        <v>1</v>
      </c>
      <c r="BF67" s="29">
        <f t="shared" ca="1" si="39"/>
        <v>5</v>
      </c>
      <c r="BG67" s="29">
        <f t="shared" ca="1" si="39"/>
        <v>2</v>
      </c>
      <c r="BH67" s="29">
        <f t="shared" ca="1" si="39"/>
        <v>5</v>
      </c>
      <c r="BI67" s="29">
        <f t="shared" ca="1" si="39"/>
        <v>2</v>
      </c>
      <c r="BJ67" s="29">
        <f t="shared" ca="1" si="39"/>
        <v>2</v>
      </c>
      <c r="BK67" s="29">
        <f t="shared" ca="1" si="39"/>
        <v>4</v>
      </c>
      <c r="BL67" s="29">
        <f t="shared" ca="1" si="37"/>
        <v>2</v>
      </c>
      <c r="BM67" s="29">
        <f t="shared" ca="1" si="37"/>
        <v>2</v>
      </c>
      <c r="BN67" s="29">
        <f t="shared" ca="1" si="37"/>
        <v>2</v>
      </c>
      <c r="BO67" s="29">
        <f t="shared" ca="1" si="37"/>
        <v>1</v>
      </c>
      <c r="BP67" s="29">
        <f t="shared" ca="1" si="37"/>
        <v>2</v>
      </c>
      <c r="BQ67" s="29">
        <f t="shared" ca="1" si="37"/>
        <v>4</v>
      </c>
      <c r="BR67" s="29">
        <f t="shared" ca="1" si="37"/>
        <v>4</v>
      </c>
      <c r="BS67" s="29">
        <f t="shared" ca="1" si="37"/>
        <v>1</v>
      </c>
      <c r="BT67" s="29">
        <f t="shared" ca="1" si="37"/>
        <v>2</v>
      </c>
      <c r="BU67" s="29">
        <f t="shared" ca="1" si="37"/>
        <v>4</v>
      </c>
      <c r="BV67" s="29">
        <f t="shared" ca="1" si="37"/>
        <v>3</v>
      </c>
      <c r="BW67" s="29">
        <f t="shared" ca="1" si="37"/>
        <v>3</v>
      </c>
      <c r="BX67" s="29">
        <f t="shared" ca="1" si="37"/>
        <v>3</v>
      </c>
      <c r="BY67" s="29">
        <f t="shared" ca="1" si="37"/>
        <v>2</v>
      </c>
      <c r="BZ67" s="29">
        <f t="shared" ca="1" si="37"/>
        <v>0</v>
      </c>
      <c r="CA67" s="29">
        <f t="shared" ca="1" si="27"/>
        <v>3</v>
      </c>
      <c r="CB67" s="29">
        <f t="shared" ca="1" si="40"/>
        <v>7</v>
      </c>
      <c r="CC67" s="29">
        <f t="shared" ca="1" si="40"/>
        <v>4</v>
      </c>
      <c r="CD67" s="29">
        <f t="shared" ca="1" si="40"/>
        <v>3</v>
      </c>
      <c r="CE67" s="29">
        <f t="shared" ca="1" si="40"/>
        <v>3</v>
      </c>
      <c r="CF67" s="29">
        <f t="shared" ca="1" si="40"/>
        <v>6</v>
      </c>
      <c r="CG67" s="29">
        <f t="shared" ca="1" si="40"/>
        <v>2</v>
      </c>
      <c r="CH67" s="29">
        <f t="shared" ca="1" si="40"/>
        <v>2</v>
      </c>
      <c r="CI67" s="29">
        <f t="shared" ca="1" si="40"/>
        <v>2</v>
      </c>
      <c r="CJ67" s="29">
        <f t="shared" ca="1" si="40"/>
        <v>1</v>
      </c>
      <c r="CK67" s="29">
        <f t="shared" ca="1" si="40"/>
        <v>4</v>
      </c>
      <c r="CL67" s="29">
        <f t="shared" ca="1" si="40"/>
        <v>4</v>
      </c>
      <c r="CM67" s="29">
        <f t="shared" ca="1" si="40"/>
        <v>2</v>
      </c>
      <c r="CN67" s="29">
        <f t="shared" ca="1" si="40"/>
        <v>3</v>
      </c>
      <c r="CO67" s="29">
        <f t="shared" ca="1" si="40"/>
        <v>3</v>
      </c>
      <c r="CP67" s="29">
        <f t="shared" ca="1" si="40"/>
        <v>4</v>
      </c>
      <c r="CQ67" s="29">
        <f t="shared" ca="1" si="40"/>
        <v>2</v>
      </c>
      <c r="CR67" s="29">
        <f t="shared" ca="1" si="38"/>
        <v>2</v>
      </c>
      <c r="CS67" s="29">
        <f t="shared" ca="1" si="38"/>
        <v>4</v>
      </c>
      <c r="CT67" s="29">
        <f t="shared" ca="1" si="38"/>
        <v>4</v>
      </c>
      <c r="CU67" s="29">
        <f t="shared" ca="1" si="38"/>
        <v>1</v>
      </c>
      <c r="CV67" s="29">
        <f t="shared" ca="1" si="38"/>
        <v>1</v>
      </c>
      <c r="CW67" s="29">
        <f t="shared" ca="1" si="38"/>
        <v>6</v>
      </c>
      <c r="CX67" s="29">
        <f t="shared" ca="1" si="42"/>
        <v>0</v>
      </c>
      <c r="CY67" s="29">
        <f t="shared" ca="1" si="42"/>
        <v>1</v>
      </c>
      <c r="CZ67" s="29">
        <f t="shared" ca="1" si="42"/>
        <v>2</v>
      </c>
      <c r="DA67" s="29">
        <f t="shared" ca="1" si="42"/>
        <v>3</v>
      </c>
      <c r="DB67" s="29">
        <f t="shared" ca="1" si="42"/>
        <v>1</v>
      </c>
      <c r="DC67" s="29">
        <f t="shared" ca="1" si="42"/>
        <v>5</v>
      </c>
      <c r="DD67" s="29">
        <f t="shared" ca="1" si="42"/>
        <v>1</v>
      </c>
      <c r="DE67" s="29">
        <f t="shared" ca="1" si="42"/>
        <v>3</v>
      </c>
      <c r="DF67" s="29">
        <f t="shared" ca="1" si="42"/>
        <v>2</v>
      </c>
      <c r="DG67" s="29">
        <f t="shared" ca="1" si="42"/>
        <v>1</v>
      </c>
      <c r="DH67" s="29">
        <f t="shared" ca="1" si="42"/>
        <v>2</v>
      </c>
      <c r="DI67" s="29">
        <f t="shared" ca="1" si="42"/>
        <v>2</v>
      </c>
      <c r="DJ67" s="29">
        <f t="shared" ca="1" si="42"/>
        <v>3</v>
      </c>
      <c r="DK67" s="29">
        <f t="shared" ca="1" si="42"/>
        <v>1</v>
      </c>
      <c r="DL67" s="29">
        <f t="shared" ca="1" si="42"/>
        <v>1</v>
      </c>
    </row>
    <row r="68" spans="1:116" ht="14.4" x14ac:dyDescent="0.3">
      <c r="A68" s="31">
        <v>768</v>
      </c>
      <c r="B68" s="28">
        <v>2.75</v>
      </c>
      <c r="C68" s="30">
        <v>22.01</v>
      </c>
      <c r="D68" s="28">
        <v>2.19</v>
      </c>
      <c r="E68" s="34">
        <f t="shared" si="43"/>
        <v>4.3799999999999999E-2</v>
      </c>
      <c r="F68" s="35">
        <f t="shared" si="44"/>
        <v>5.5025000000000004</v>
      </c>
      <c r="G68" s="34">
        <f t="shared" si="45"/>
        <v>54.75</v>
      </c>
      <c r="H68" s="33">
        <f t="shared" si="46"/>
        <v>17.90818181818182</v>
      </c>
      <c r="I68" s="28">
        <f t="shared" ref="I68:I131" si="49">B68+I67</f>
        <v>122.46999999999998</v>
      </c>
      <c r="J68" s="32">
        <v>1</v>
      </c>
      <c r="K68" s="30">
        <f t="shared" si="47"/>
        <v>5.5025000000000004</v>
      </c>
      <c r="L68" s="30"/>
      <c r="M68" s="30"/>
      <c r="N68" s="30"/>
      <c r="O68" s="30"/>
      <c r="Q68" s="29">
        <f t="shared" ca="1" si="48"/>
        <v>3</v>
      </c>
      <c r="R68" s="29">
        <f t="shared" ca="1" si="36"/>
        <v>2</v>
      </c>
      <c r="S68" s="29">
        <f t="shared" ca="1" si="36"/>
        <v>1</v>
      </c>
      <c r="T68" s="29">
        <f t="shared" ca="1" si="36"/>
        <v>2</v>
      </c>
      <c r="U68" s="29">
        <f t="shared" ca="1" si="36"/>
        <v>1</v>
      </c>
      <c r="V68" s="29">
        <f t="shared" ca="1" si="36"/>
        <v>3</v>
      </c>
      <c r="W68" s="29">
        <f t="shared" ca="1" si="36"/>
        <v>1</v>
      </c>
      <c r="X68" s="29">
        <f t="shared" ca="1" si="36"/>
        <v>2</v>
      </c>
      <c r="Y68" s="29">
        <f t="shared" ca="1" si="36"/>
        <v>4</v>
      </c>
      <c r="Z68" s="29">
        <f t="shared" ca="1" si="36"/>
        <v>4</v>
      </c>
      <c r="AA68" s="29">
        <f t="shared" ca="1" si="36"/>
        <v>2</v>
      </c>
      <c r="AB68" s="29">
        <f t="shared" ca="1" si="36"/>
        <v>1</v>
      </c>
      <c r="AC68" s="29">
        <f t="shared" ca="1" si="36"/>
        <v>1</v>
      </c>
      <c r="AD68" s="29">
        <f t="shared" ca="1" si="36"/>
        <v>2</v>
      </c>
      <c r="AE68" s="29">
        <f t="shared" ca="1" si="36"/>
        <v>4</v>
      </c>
      <c r="AF68" s="29">
        <f t="shared" ca="1" si="36"/>
        <v>1</v>
      </c>
      <c r="AG68" s="29">
        <f t="shared" ca="1" si="35"/>
        <v>3</v>
      </c>
      <c r="AH68" s="29">
        <f t="shared" ca="1" si="35"/>
        <v>2</v>
      </c>
      <c r="AI68" s="29">
        <f t="shared" ca="1" si="35"/>
        <v>3</v>
      </c>
      <c r="AJ68" s="29">
        <f t="shared" ca="1" si="35"/>
        <v>0</v>
      </c>
      <c r="AK68" s="29">
        <f t="shared" ca="1" si="35"/>
        <v>1</v>
      </c>
      <c r="AL68" s="29">
        <f t="shared" ca="1" si="35"/>
        <v>1</v>
      </c>
      <c r="AM68" s="29">
        <f t="shared" ca="1" si="35"/>
        <v>2</v>
      </c>
      <c r="AN68" s="29">
        <f t="shared" ca="1" si="35"/>
        <v>3</v>
      </c>
      <c r="AO68" s="29">
        <f t="shared" ca="1" si="35"/>
        <v>2</v>
      </c>
      <c r="AP68" s="29">
        <f t="shared" ca="1" si="35"/>
        <v>2</v>
      </c>
      <c r="AQ68" s="29">
        <f t="shared" ca="1" si="35"/>
        <v>0</v>
      </c>
      <c r="AR68" s="29">
        <f t="shared" ca="1" si="35"/>
        <v>2</v>
      </c>
      <c r="AS68" s="29">
        <f t="shared" ca="1" si="35"/>
        <v>3</v>
      </c>
      <c r="AT68" s="29">
        <f t="shared" ca="1" si="35"/>
        <v>1</v>
      </c>
      <c r="AU68" s="29">
        <f t="shared" ca="1" si="35"/>
        <v>1</v>
      </c>
      <c r="AV68" s="29">
        <f t="shared" ca="1" si="39"/>
        <v>2</v>
      </c>
      <c r="AW68" s="29">
        <f t="shared" ca="1" si="39"/>
        <v>2</v>
      </c>
      <c r="AX68" s="29">
        <f t="shared" ca="1" si="39"/>
        <v>2</v>
      </c>
      <c r="AY68" s="29">
        <f t="shared" ca="1" si="39"/>
        <v>0</v>
      </c>
      <c r="AZ68" s="29">
        <f t="shared" ca="1" si="39"/>
        <v>1</v>
      </c>
      <c r="BA68" s="29">
        <f t="shared" ca="1" si="39"/>
        <v>3</v>
      </c>
      <c r="BB68" s="29">
        <f t="shared" ca="1" si="39"/>
        <v>2</v>
      </c>
      <c r="BC68" s="29">
        <f t="shared" ca="1" si="39"/>
        <v>1</v>
      </c>
      <c r="BD68" s="29">
        <f t="shared" ca="1" si="39"/>
        <v>1</v>
      </c>
      <c r="BE68" s="29">
        <f t="shared" ca="1" si="39"/>
        <v>3</v>
      </c>
      <c r="BF68" s="29">
        <f t="shared" ca="1" si="39"/>
        <v>1</v>
      </c>
      <c r="BG68" s="29">
        <f t="shared" ca="1" si="39"/>
        <v>2</v>
      </c>
      <c r="BH68" s="29">
        <f t="shared" ca="1" si="39"/>
        <v>2</v>
      </c>
      <c r="BI68" s="29">
        <f t="shared" ca="1" si="39"/>
        <v>7</v>
      </c>
      <c r="BJ68" s="29">
        <f t="shared" ca="1" si="39"/>
        <v>1</v>
      </c>
      <c r="BK68" s="29">
        <f t="shared" ca="1" si="39"/>
        <v>1</v>
      </c>
      <c r="BL68" s="29">
        <f t="shared" ca="1" si="37"/>
        <v>1</v>
      </c>
      <c r="BM68" s="29">
        <f t="shared" ca="1" si="37"/>
        <v>2</v>
      </c>
      <c r="BN68" s="29">
        <f t="shared" ca="1" si="37"/>
        <v>1</v>
      </c>
      <c r="BO68" s="29">
        <f t="shared" ca="1" si="37"/>
        <v>1</v>
      </c>
      <c r="BP68" s="29">
        <f t="shared" ca="1" si="37"/>
        <v>3</v>
      </c>
      <c r="BQ68" s="29">
        <f t="shared" ca="1" si="37"/>
        <v>1</v>
      </c>
      <c r="BR68" s="29">
        <f t="shared" ca="1" si="37"/>
        <v>2</v>
      </c>
      <c r="BS68" s="29">
        <f t="shared" ca="1" si="37"/>
        <v>4</v>
      </c>
      <c r="BT68" s="29">
        <f t="shared" ca="1" si="37"/>
        <v>3</v>
      </c>
      <c r="BU68" s="29">
        <f t="shared" ca="1" si="37"/>
        <v>0</v>
      </c>
      <c r="BV68" s="29">
        <f t="shared" ca="1" si="37"/>
        <v>2</v>
      </c>
      <c r="BW68" s="29">
        <f t="shared" ca="1" si="37"/>
        <v>0</v>
      </c>
      <c r="BX68" s="29">
        <f t="shared" ca="1" si="37"/>
        <v>2</v>
      </c>
      <c r="BY68" s="29">
        <f t="shared" ca="1" si="37"/>
        <v>1</v>
      </c>
      <c r="BZ68" s="29">
        <f t="shared" ca="1" si="37"/>
        <v>4</v>
      </c>
      <c r="CA68" s="29">
        <f t="shared" ca="1" si="27"/>
        <v>3</v>
      </c>
      <c r="CB68" s="29">
        <f t="shared" ca="1" si="40"/>
        <v>4</v>
      </c>
      <c r="CC68" s="29">
        <f t="shared" ca="1" si="40"/>
        <v>2</v>
      </c>
      <c r="CD68" s="29">
        <f t="shared" ca="1" si="40"/>
        <v>1</v>
      </c>
      <c r="CE68" s="29">
        <f t="shared" ca="1" si="40"/>
        <v>2</v>
      </c>
      <c r="CF68" s="29">
        <f t="shared" ca="1" si="40"/>
        <v>3</v>
      </c>
      <c r="CG68" s="29">
        <f t="shared" ca="1" si="40"/>
        <v>1</v>
      </c>
      <c r="CH68" s="29">
        <f t="shared" ca="1" si="40"/>
        <v>3</v>
      </c>
      <c r="CI68" s="29">
        <f t="shared" ca="1" si="40"/>
        <v>1</v>
      </c>
      <c r="CJ68" s="29">
        <f t="shared" ca="1" si="40"/>
        <v>2</v>
      </c>
      <c r="CK68" s="29">
        <f t="shared" ca="1" si="40"/>
        <v>3</v>
      </c>
      <c r="CL68" s="29">
        <f t="shared" ca="1" si="40"/>
        <v>3</v>
      </c>
      <c r="CM68" s="29">
        <f t="shared" ca="1" si="40"/>
        <v>3</v>
      </c>
      <c r="CN68" s="29">
        <f t="shared" ca="1" si="40"/>
        <v>1</v>
      </c>
      <c r="CO68" s="29">
        <f t="shared" ca="1" si="40"/>
        <v>1</v>
      </c>
      <c r="CP68" s="29">
        <f t="shared" ca="1" si="40"/>
        <v>2</v>
      </c>
      <c r="CQ68" s="29">
        <f t="shared" ca="1" si="40"/>
        <v>3</v>
      </c>
      <c r="CR68" s="29">
        <f t="shared" ca="1" si="38"/>
        <v>3</v>
      </c>
      <c r="CS68" s="29">
        <f t="shared" ca="1" si="38"/>
        <v>0</v>
      </c>
      <c r="CT68" s="29">
        <f t="shared" ca="1" si="38"/>
        <v>0</v>
      </c>
      <c r="CU68" s="29">
        <f t="shared" ca="1" si="38"/>
        <v>3</v>
      </c>
      <c r="CV68" s="29">
        <f t="shared" ca="1" si="38"/>
        <v>2</v>
      </c>
      <c r="CW68" s="29">
        <f t="shared" ca="1" si="38"/>
        <v>2</v>
      </c>
      <c r="CX68" s="29">
        <f t="shared" ca="1" si="42"/>
        <v>5</v>
      </c>
      <c r="CY68" s="29">
        <f t="shared" ca="1" si="42"/>
        <v>2</v>
      </c>
      <c r="CZ68" s="29">
        <f t="shared" ca="1" si="42"/>
        <v>3</v>
      </c>
      <c r="DA68" s="29">
        <f t="shared" ca="1" si="42"/>
        <v>3</v>
      </c>
      <c r="DB68" s="29">
        <f t="shared" ca="1" si="42"/>
        <v>0</v>
      </c>
      <c r="DC68" s="29">
        <f t="shared" ca="1" si="42"/>
        <v>2</v>
      </c>
      <c r="DD68" s="29">
        <f t="shared" ca="1" si="42"/>
        <v>0</v>
      </c>
      <c r="DE68" s="29">
        <f t="shared" ca="1" si="42"/>
        <v>1</v>
      </c>
      <c r="DF68" s="29">
        <f t="shared" ca="1" si="42"/>
        <v>3</v>
      </c>
      <c r="DG68" s="29">
        <f t="shared" ca="1" si="42"/>
        <v>5</v>
      </c>
      <c r="DH68" s="29">
        <f t="shared" ca="1" si="42"/>
        <v>2</v>
      </c>
      <c r="DI68" s="29">
        <f t="shared" ca="1" si="42"/>
        <v>4</v>
      </c>
      <c r="DJ68" s="29">
        <f t="shared" ca="1" si="42"/>
        <v>3</v>
      </c>
      <c r="DK68" s="29">
        <f t="shared" ca="1" si="42"/>
        <v>1</v>
      </c>
      <c r="DL68" s="29">
        <f t="shared" ca="1" si="42"/>
        <v>4</v>
      </c>
    </row>
    <row r="69" spans="1:116" ht="14.4" x14ac:dyDescent="0.3">
      <c r="A69" s="31">
        <v>956</v>
      </c>
      <c r="B69" s="28">
        <v>1.38</v>
      </c>
      <c r="C69" s="30">
        <v>95.37</v>
      </c>
      <c r="D69" s="28">
        <v>1.94</v>
      </c>
      <c r="E69" s="34">
        <f t="shared" si="43"/>
        <v>3.8800000000000001E-2</v>
      </c>
      <c r="F69" s="35">
        <f t="shared" si="44"/>
        <v>23.842500000000001</v>
      </c>
      <c r="G69" s="34">
        <f t="shared" si="45"/>
        <v>48.5</v>
      </c>
      <c r="H69" s="33">
        <f t="shared" si="46"/>
        <v>17.867753623188406</v>
      </c>
      <c r="I69" s="28">
        <f t="shared" si="49"/>
        <v>123.84999999999998</v>
      </c>
      <c r="J69" s="32">
        <v>1</v>
      </c>
      <c r="K69" s="30">
        <f t="shared" si="47"/>
        <v>23.842500000000001</v>
      </c>
      <c r="L69" s="30"/>
      <c r="M69" s="30"/>
      <c r="N69" s="30"/>
      <c r="O69" s="30"/>
      <c r="Q69" s="29">
        <f t="shared" ca="1" si="48"/>
        <v>0</v>
      </c>
      <c r="R69" s="29">
        <f t="shared" ca="1" si="36"/>
        <v>1</v>
      </c>
      <c r="S69" s="29">
        <f t="shared" ca="1" si="36"/>
        <v>2</v>
      </c>
      <c r="T69" s="29">
        <f t="shared" ca="1" si="36"/>
        <v>1</v>
      </c>
      <c r="U69" s="29">
        <f t="shared" ca="1" si="36"/>
        <v>2</v>
      </c>
      <c r="V69" s="29">
        <f t="shared" ca="1" si="36"/>
        <v>2</v>
      </c>
      <c r="W69" s="29">
        <f t="shared" ca="1" si="36"/>
        <v>0</v>
      </c>
      <c r="X69" s="29">
        <f t="shared" ca="1" si="36"/>
        <v>1</v>
      </c>
      <c r="Y69" s="29">
        <f t="shared" ca="1" si="36"/>
        <v>1</v>
      </c>
      <c r="Z69" s="29">
        <f t="shared" ca="1" si="36"/>
        <v>5</v>
      </c>
      <c r="AA69" s="29">
        <f t="shared" ca="1" si="36"/>
        <v>3</v>
      </c>
      <c r="AB69" s="29">
        <f t="shared" ca="1" si="36"/>
        <v>0</v>
      </c>
      <c r="AC69" s="29">
        <f t="shared" ca="1" si="36"/>
        <v>4</v>
      </c>
      <c r="AD69" s="29">
        <f t="shared" ca="1" si="36"/>
        <v>3</v>
      </c>
      <c r="AE69" s="29">
        <f t="shared" ca="1" si="36"/>
        <v>1</v>
      </c>
      <c r="AF69" s="29">
        <f t="shared" ca="1" si="36"/>
        <v>2</v>
      </c>
      <c r="AG69" s="29">
        <f t="shared" ca="1" si="35"/>
        <v>1</v>
      </c>
      <c r="AH69" s="29">
        <f t="shared" ca="1" si="35"/>
        <v>4</v>
      </c>
      <c r="AI69" s="29">
        <f t="shared" ca="1" si="35"/>
        <v>1</v>
      </c>
      <c r="AJ69" s="29">
        <f t="shared" ca="1" si="35"/>
        <v>2</v>
      </c>
      <c r="AK69" s="29">
        <f t="shared" ca="1" si="35"/>
        <v>1</v>
      </c>
      <c r="AL69" s="29">
        <f t="shared" ca="1" si="35"/>
        <v>1</v>
      </c>
      <c r="AM69" s="29">
        <f t="shared" ca="1" si="35"/>
        <v>3</v>
      </c>
      <c r="AN69" s="29">
        <f t="shared" ca="1" si="35"/>
        <v>3</v>
      </c>
      <c r="AO69" s="29">
        <f t="shared" ca="1" si="35"/>
        <v>2</v>
      </c>
      <c r="AP69" s="29">
        <f t="shared" ca="1" si="35"/>
        <v>1</v>
      </c>
      <c r="AQ69" s="29">
        <f t="shared" ca="1" si="35"/>
        <v>2</v>
      </c>
      <c r="AR69" s="29">
        <f t="shared" ca="1" si="35"/>
        <v>2</v>
      </c>
      <c r="AS69" s="29">
        <f t="shared" ca="1" si="35"/>
        <v>4</v>
      </c>
      <c r="AT69" s="29">
        <f t="shared" ca="1" si="35"/>
        <v>2</v>
      </c>
      <c r="AU69" s="29">
        <f t="shared" ca="1" si="35"/>
        <v>1</v>
      </c>
      <c r="AV69" s="29">
        <f t="shared" ca="1" si="39"/>
        <v>1</v>
      </c>
      <c r="AW69" s="29">
        <f t="shared" ca="1" si="39"/>
        <v>1</v>
      </c>
      <c r="AX69" s="29">
        <f t="shared" ca="1" si="39"/>
        <v>3</v>
      </c>
      <c r="AY69" s="29">
        <f t="shared" ca="1" si="39"/>
        <v>0</v>
      </c>
      <c r="AZ69" s="29">
        <f t="shared" ca="1" si="39"/>
        <v>4</v>
      </c>
      <c r="BA69" s="29">
        <f t="shared" ca="1" si="39"/>
        <v>1</v>
      </c>
      <c r="BB69" s="29">
        <f t="shared" ca="1" si="39"/>
        <v>2</v>
      </c>
      <c r="BC69" s="29">
        <f t="shared" ca="1" si="39"/>
        <v>2</v>
      </c>
      <c r="BD69" s="29">
        <f t="shared" ca="1" si="39"/>
        <v>1</v>
      </c>
      <c r="BE69" s="29">
        <f t="shared" ca="1" si="39"/>
        <v>1</v>
      </c>
      <c r="BF69" s="29">
        <f t="shared" ca="1" si="39"/>
        <v>2</v>
      </c>
      <c r="BG69" s="29">
        <f t="shared" ca="1" si="39"/>
        <v>3</v>
      </c>
      <c r="BH69" s="29">
        <f t="shared" ca="1" si="39"/>
        <v>0</v>
      </c>
      <c r="BI69" s="29">
        <f t="shared" ca="1" si="39"/>
        <v>1</v>
      </c>
      <c r="BJ69" s="29">
        <f t="shared" ca="1" si="39"/>
        <v>5</v>
      </c>
      <c r="BK69" s="29">
        <f t="shared" ca="1" si="39"/>
        <v>1</v>
      </c>
      <c r="BL69" s="29">
        <f t="shared" ca="1" si="37"/>
        <v>3</v>
      </c>
      <c r="BM69" s="29">
        <f t="shared" ca="1" si="37"/>
        <v>2</v>
      </c>
      <c r="BN69" s="29">
        <f t="shared" ca="1" si="37"/>
        <v>1</v>
      </c>
      <c r="BO69" s="29">
        <f t="shared" ca="1" si="37"/>
        <v>1</v>
      </c>
      <c r="BP69" s="29">
        <f t="shared" ca="1" si="37"/>
        <v>1</v>
      </c>
      <c r="BQ69" s="29">
        <f t="shared" ca="1" si="37"/>
        <v>4</v>
      </c>
      <c r="BR69" s="29">
        <f t="shared" ca="1" si="37"/>
        <v>0</v>
      </c>
      <c r="BS69" s="29">
        <f t="shared" ca="1" si="37"/>
        <v>2</v>
      </c>
      <c r="BT69" s="29">
        <f t="shared" ca="1" si="37"/>
        <v>1</v>
      </c>
      <c r="BU69" s="29">
        <f t="shared" ca="1" si="37"/>
        <v>3</v>
      </c>
      <c r="BV69" s="29">
        <f t="shared" ca="1" si="37"/>
        <v>0</v>
      </c>
      <c r="BW69" s="29">
        <f t="shared" ca="1" si="37"/>
        <v>1</v>
      </c>
      <c r="BX69" s="29">
        <f t="shared" ca="1" si="37"/>
        <v>3</v>
      </c>
      <c r="BY69" s="29">
        <f t="shared" ca="1" si="37"/>
        <v>2</v>
      </c>
      <c r="BZ69" s="29">
        <f t="shared" ca="1" si="37"/>
        <v>3</v>
      </c>
      <c r="CA69" s="29">
        <f t="shared" ca="1" si="27"/>
        <v>2</v>
      </c>
      <c r="CB69" s="29">
        <f t="shared" ca="1" si="40"/>
        <v>1</v>
      </c>
      <c r="CC69" s="29">
        <f t="shared" ca="1" si="40"/>
        <v>5</v>
      </c>
      <c r="CD69" s="29">
        <f t="shared" ca="1" si="40"/>
        <v>1</v>
      </c>
      <c r="CE69" s="29">
        <f t="shared" ca="1" si="40"/>
        <v>2</v>
      </c>
      <c r="CF69" s="29">
        <f t="shared" ca="1" si="40"/>
        <v>4</v>
      </c>
      <c r="CG69" s="29">
        <f t="shared" ca="1" si="40"/>
        <v>1</v>
      </c>
      <c r="CH69" s="29">
        <f t="shared" ca="1" si="40"/>
        <v>2</v>
      </c>
      <c r="CI69" s="29">
        <f t="shared" ca="1" si="40"/>
        <v>2</v>
      </c>
      <c r="CJ69" s="29">
        <f t="shared" ca="1" si="40"/>
        <v>2</v>
      </c>
      <c r="CK69" s="29">
        <f t="shared" ca="1" si="40"/>
        <v>3</v>
      </c>
      <c r="CL69" s="29">
        <f t="shared" ca="1" si="40"/>
        <v>1</v>
      </c>
      <c r="CM69" s="29">
        <f t="shared" ca="1" si="40"/>
        <v>1</v>
      </c>
      <c r="CN69" s="29">
        <f t="shared" ca="1" si="40"/>
        <v>3</v>
      </c>
      <c r="CO69" s="29">
        <f t="shared" ca="1" si="40"/>
        <v>1</v>
      </c>
      <c r="CP69" s="29">
        <f t="shared" ca="1" si="40"/>
        <v>1</v>
      </c>
      <c r="CQ69" s="29">
        <f t="shared" ca="1" si="40"/>
        <v>1</v>
      </c>
      <c r="CR69" s="29">
        <f t="shared" ca="1" si="38"/>
        <v>0</v>
      </c>
      <c r="CS69" s="29">
        <f t="shared" ca="1" si="38"/>
        <v>0</v>
      </c>
      <c r="CT69" s="29">
        <f t="shared" ca="1" si="38"/>
        <v>3</v>
      </c>
      <c r="CU69" s="29">
        <f t="shared" ca="1" si="38"/>
        <v>1</v>
      </c>
      <c r="CV69" s="29">
        <f t="shared" ca="1" si="38"/>
        <v>2</v>
      </c>
      <c r="CW69" s="29">
        <f t="shared" ca="1" si="38"/>
        <v>2</v>
      </c>
      <c r="CX69" s="29">
        <f t="shared" ca="1" si="42"/>
        <v>2</v>
      </c>
      <c r="CY69" s="29">
        <f t="shared" ca="1" si="42"/>
        <v>1</v>
      </c>
      <c r="CZ69" s="29">
        <f t="shared" ca="1" si="42"/>
        <v>5</v>
      </c>
      <c r="DA69" s="29">
        <f t="shared" ca="1" si="42"/>
        <v>2</v>
      </c>
      <c r="DB69" s="29">
        <f t="shared" ca="1" si="42"/>
        <v>0</v>
      </c>
      <c r="DC69" s="29">
        <f t="shared" ca="1" si="42"/>
        <v>3</v>
      </c>
      <c r="DD69" s="29">
        <f t="shared" ca="1" si="42"/>
        <v>3</v>
      </c>
      <c r="DE69" s="29">
        <f t="shared" ca="1" si="42"/>
        <v>3</v>
      </c>
      <c r="DF69" s="29">
        <f t="shared" ca="1" si="42"/>
        <v>2</v>
      </c>
      <c r="DG69" s="29">
        <f t="shared" ca="1" si="42"/>
        <v>5</v>
      </c>
      <c r="DH69" s="29">
        <f t="shared" ca="1" si="42"/>
        <v>1</v>
      </c>
      <c r="DI69" s="29">
        <f t="shared" ca="1" si="42"/>
        <v>0</v>
      </c>
      <c r="DJ69" s="29">
        <f t="shared" ca="1" si="42"/>
        <v>4</v>
      </c>
      <c r="DK69" s="29">
        <f t="shared" ca="1" si="42"/>
        <v>0</v>
      </c>
      <c r="DL69" s="29">
        <f t="shared" ca="1" si="42"/>
        <v>1</v>
      </c>
    </row>
    <row r="70" spans="1:116" ht="14.4" x14ac:dyDescent="0.3">
      <c r="A70" s="31">
        <v>431</v>
      </c>
      <c r="B70" s="28">
        <v>2.9</v>
      </c>
      <c r="C70" s="30">
        <v>28.18</v>
      </c>
      <c r="D70" s="28">
        <v>2.35</v>
      </c>
      <c r="E70" s="34">
        <f t="shared" si="43"/>
        <v>4.7E-2</v>
      </c>
      <c r="F70" s="35">
        <f t="shared" si="44"/>
        <v>7.0449999999999999</v>
      </c>
      <c r="G70" s="34">
        <f t="shared" si="45"/>
        <v>58.75</v>
      </c>
      <c r="H70" s="33">
        <f t="shared" si="46"/>
        <v>17.829310344827586</v>
      </c>
      <c r="I70" s="28">
        <f t="shared" si="49"/>
        <v>126.74999999999999</v>
      </c>
      <c r="J70" s="32">
        <v>1</v>
      </c>
      <c r="K70" s="30">
        <f t="shared" si="47"/>
        <v>7.0449999999999999</v>
      </c>
      <c r="L70" s="30"/>
      <c r="M70" s="30"/>
      <c r="N70" s="30"/>
      <c r="O70" s="30"/>
      <c r="Q70" s="29">
        <f t="shared" ca="1" si="48"/>
        <v>1</v>
      </c>
      <c r="R70" s="29">
        <f t="shared" ca="1" si="36"/>
        <v>3</v>
      </c>
      <c r="S70" s="29">
        <f t="shared" ca="1" si="36"/>
        <v>5</v>
      </c>
      <c r="T70" s="29">
        <f t="shared" ca="1" si="36"/>
        <v>3</v>
      </c>
      <c r="U70" s="29">
        <f t="shared" ca="1" si="36"/>
        <v>5</v>
      </c>
      <c r="V70" s="29">
        <f t="shared" ca="1" si="36"/>
        <v>0</v>
      </c>
      <c r="W70" s="29">
        <f t="shared" ca="1" si="36"/>
        <v>3</v>
      </c>
      <c r="X70" s="29">
        <f t="shared" ca="1" si="36"/>
        <v>2</v>
      </c>
      <c r="Y70" s="29">
        <f t="shared" ca="1" si="36"/>
        <v>1</v>
      </c>
      <c r="Z70" s="29">
        <f t="shared" ca="1" si="36"/>
        <v>3</v>
      </c>
      <c r="AA70" s="29">
        <f t="shared" ca="1" si="36"/>
        <v>2</v>
      </c>
      <c r="AB70" s="29">
        <f t="shared" ca="1" si="36"/>
        <v>2</v>
      </c>
      <c r="AC70" s="29">
        <f t="shared" ca="1" si="36"/>
        <v>2</v>
      </c>
      <c r="AD70" s="29">
        <f t="shared" ca="1" si="36"/>
        <v>2</v>
      </c>
      <c r="AE70" s="29">
        <f t="shared" ca="1" si="36"/>
        <v>5</v>
      </c>
      <c r="AF70" s="29">
        <f t="shared" ca="1" si="36"/>
        <v>1</v>
      </c>
      <c r="AG70" s="29">
        <f t="shared" ca="1" si="35"/>
        <v>2</v>
      </c>
      <c r="AH70" s="29">
        <f t="shared" ca="1" si="35"/>
        <v>3</v>
      </c>
      <c r="AI70" s="29">
        <f t="shared" ca="1" si="35"/>
        <v>2</v>
      </c>
      <c r="AJ70" s="29">
        <f t="shared" ca="1" si="35"/>
        <v>3</v>
      </c>
      <c r="AK70" s="29">
        <f t="shared" ca="1" si="35"/>
        <v>4</v>
      </c>
      <c r="AL70" s="29">
        <f t="shared" ca="1" si="35"/>
        <v>1</v>
      </c>
      <c r="AM70" s="29">
        <f t="shared" ca="1" si="35"/>
        <v>3</v>
      </c>
      <c r="AN70" s="29">
        <f t="shared" ca="1" si="35"/>
        <v>3</v>
      </c>
      <c r="AO70" s="29">
        <f t="shared" ca="1" si="35"/>
        <v>1</v>
      </c>
      <c r="AP70" s="29">
        <f t="shared" ca="1" si="35"/>
        <v>4</v>
      </c>
      <c r="AQ70" s="29">
        <f t="shared" ca="1" si="35"/>
        <v>2</v>
      </c>
      <c r="AR70" s="29">
        <f t="shared" ca="1" si="35"/>
        <v>0</v>
      </c>
      <c r="AS70" s="29">
        <f t="shared" ca="1" si="35"/>
        <v>0</v>
      </c>
      <c r="AT70" s="29">
        <f t="shared" ca="1" si="35"/>
        <v>3</v>
      </c>
      <c r="AU70" s="29">
        <f t="shared" ca="1" si="35"/>
        <v>1</v>
      </c>
      <c r="AV70" s="29">
        <f t="shared" ca="1" si="39"/>
        <v>1</v>
      </c>
      <c r="AW70" s="29">
        <f t="shared" ca="1" si="39"/>
        <v>2</v>
      </c>
      <c r="AX70" s="29">
        <f t="shared" ca="1" si="39"/>
        <v>0</v>
      </c>
      <c r="AY70" s="29">
        <f t="shared" ca="1" si="39"/>
        <v>4</v>
      </c>
      <c r="AZ70" s="29">
        <f t="shared" ca="1" si="39"/>
        <v>4</v>
      </c>
      <c r="BA70" s="29">
        <f t="shared" ca="1" si="39"/>
        <v>1</v>
      </c>
      <c r="BB70" s="29">
        <f t="shared" ca="1" si="39"/>
        <v>1</v>
      </c>
      <c r="BC70" s="29">
        <f t="shared" ca="1" si="39"/>
        <v>4</v>
      </c>
      <c r="BD70" s="29">
        <f t="shared" ca="1" si="39"/>
        <v>0</v>
      </c>
      <c r="BE70" s="29">
        <f t="shared" ca="1" si="39"/>
        <v>1</v>
      </c>
      <c r="BF70" s="29">
        <f t="shared" ca="1" si="39"/>
        <v>2</v>
      </c>
      <c r="BG70" s="29">
        <f t="shared" ca="1" si="39"/>
        <v>3</v>
      </c>
      <c r="BH70" s="29">
        <f t="shared" ca="1" si="39"/>
        <v>2</v>
      </c>
      <c r="BI70" s="29">
        <f t="shared" ca="1" si="39"/>
        <v>3</v>
      </c>
      <c r="BJ70" s="29">
        <f t="shared" ca="1" si="39"/>
        <v>2</v>
      </c>
      <c r="BK70" s="29">
        <f t="shared" ca="1" si="39"/>
        <v>4</v>
      </c>
      <c r="BL70" s="29">
        <f t="shared" ca="1" si="37"/>
        <v>7</v>
      </c>
      <c r="BM70" s="29">
        <f t="shared" ca="1" si="37"/>
        <v>0</v>
      </c>
      <c r="BN70" s="29">
        <f t="shared" ca="1" si="37"/>
        <v>0</v>
      </c>
      <c r="BO70" s="29">
        <f t="shared" ca="1" si="37"/>
        <v>1</v>
      </c>
      <c r="BP70" s="29">
        <f t="shared" ca="1" si="37"/>
        <v>6</v>
      </c>
      <c r="BQ70" s="29">
        <f t="shared" ca="1" si="37"/>
        <v>1</v>
      </c>
      <c r="BR70" s="29">
        <f t="shared" ca="1" si="37"/>
        <v>4</v>
      </c>
      <c r="BS70" s="29">
        <f t="shared" ca="1" si="37"/>
        <v>1</v>
      </c>
      <c r="BT70" s="29">
        <f t="shared" ca="1" si="37"/>
        <v>5</v>
      </c>
      <c r="BU70" s="29">
        <f t="shared" ca="1" si="37"/>
        <v>5</v>
      </c>
      <c r="BV70" s="29">
        <f t="shared" ca="1" si="37"/>
        <v>0</v>
      </c>
      <c r="BW70" s="29">
        <f t="shared" ca="1" si="37"/>
        <v>4</v>
      </c>
      <c r="BX70" s="29">
        <f t="shared" ca="1" si="37"/>
        <v>1</v>
      </c>
      <c r="BY70" s="29">
        <f t="shared" ca="1" si="37"/>
        <v>1</v>
      </c>
      <c r="BZ70" s="29">
        <f t="shared" ca="1" si="37"/>
        <v>0</v>
      </c>
      <c r="CA70" s="29">
        <f t="shared" ca="1" si="27"/>
        <v>1</v>
      </c>
      <c r="CB70" s="29">
        <f t="shared" ca="1" si="40"/>
        <v>3</v>
      </c>
      <c r="CC70" s="29">
        <f t="shared" ca="1" si="40"/>
        <v>3</v>
      </c>
      <c r="CD70" s="29">
        <f t="shared" ca="1" si="40"/>
        <v>1</v>
      </c>
      <c r="CE70" s="29">
        <f t="shared" ca="1" si="40"/>
        <v>0</v>
      </c>
      <c r="CF70" s="29">
        <f t="shared" ca="1" si="40"/>
        <v>1</v>
      </c>
      <c r="CG70" s="29">
        <f t="shared" ca="1" si="40"/>
        <v>5</v>
      </c>
      <c r="CH70" s="29">
        <f t="shared" ca="1" si="40"/>
        <v>4</v>
      </c>
      <c r="CI70" s="29">
        <f t="shared" ca="1" si="40"/>
        <v>2</v>
      </c>
      <c r="CJ70" s="29">
        <f t="shared" ca="1" si="40"/>
        <v>3</v>
      </c>
      <c r="CK70" s="29">
        <f t="shared" ca="1" si="40"/>
        <v>4</v>
      </c>
      <c r="CL70" s="29">
        <f t="shared" ca="1" si="40"/>
        <v>1</v>
      </c>
      <c r="CM70" s="29">
        <f t="shared" ca="1" si="40"/>
        <v>2</v>
      </c>
      <c r="CN70" s="29">
        <f t="shared" ca="1" si="40"/>
        <v>2</v>
      </c>
      <c r="CO70" s="29">
        <f t="shared" ca="1" si="40"/>
        <v>1</v>
      </c>
      <c r="CP70" s="29">
        <f t="shared" ca="1" si="40"/>
        <v>3</v>
      </c>
      <c r="CQ70" s="29">
        <f t="shared" ca="1" si="40"/>
        <v>2</v>
      </c>
      <c r="CR70" s="29">
        <f t="shared" ca="1" si="38"/>
        <v>0</v>
      </c>
      <c r="CS70" s="29">
        <f t="shared" ca="1" si="38"/>
        <v>2</v>
      </c>
      <c r="CT70" s="29">
        <f t="shared" ca="1" si="38"/>
        <v>4</v>
      </c>
      <c r="CU70" s="29">
        <f t="shared" ca="1" si="38"/>
        <v>6</v>
      </c>
      <c r="CV70" s="29">
        <f t="shared" ca="1" si="38"/>
        <v>1</v>
      </c>
      <c r="CW70" s="29">
        <f t="shared" ca="1" si="38"/>
        <v>0</v>
      </c>
      <c r="CX70" s="29">
        <f t="shared" ca="1" si="42"/>
        <v>1</v>
      </c>
      <c r="CY70" s="29">
        <f t="shared" ca="1" si="42"/>
        <v>1</v>
      </c>
      <c r="CZ70" s="29">
        <f t="shared" ca="1" si="42"/>
        <v>2</v>
      </c>
      <c r="DA70" s="29">
        <f t="shared" ca="1" si="42"/>
        <v>0</v>
      </c>
      <c r="DB70" s="29">
        <f t="shared" ca="1" si="42"/>
        <v>5</v>
      </c>
      <c r="DC70" s="29">
        <f t="shared" ca="1" si="42"/>
        <v>3</v>
      </c>
      <c r="DD70" s="29">
        <f t="shared" ca="1" si="42"/>
        <v>1</v>
      </c>
      <c r="DE70" s="29">
        <f t="shared" ca="1" si="42"/>
        <v>3</v>
      </c>
      <c r="DF70" s="29">
        <f t="shared" ca="1" si="42"/>
        <v>3</v>
      </c>
      <c r="DG70" s="29">
        <f t="shared" ca="1" si="42"/>
        <v>2</v>
      </c>
      <c r="DH70" s="29">
        <f t="shared" ca="1" si="42"/>
        <v>0</v>
      </c>
      <c r="DI70" s="29">
        <f t="shared" ca="1" si="42"/>
        <v>3</v>
      </c>
      <c r="DJ70" s="29">
        <f t="shared" ca="1" si="42"/>
        <v>3</v>
      </c>
      <c r="DK70" s="29">
        <f t="shared" ca="1" si="42"/>
        <v>1</v>
      </c>
      <c r="DL70" s="29">
        <f t="shared" ca="1" si="42"/>
        <v>1</v>
      </c>
    </row>
    <row r="71" spans="1:116" ht="14.4" x14ac:dyDescent="0.3">
      <c r="A71" s="31">
        <v>363</v>
      </c>
      <c r="B71" s="28">
        <v>3.23</v>
      </c>
      <c r="C71" s="30">
        <v>64.12</v>
      </c>
      <c r="D71" s="28">
        <v>2.91</v>
      </c>
      <c r="E71" s="34">
        <f t="shared" si="43"/>
        <v>5.8200000000000002E-2</v>
      </c>
      <c r="F71" s="35">
        <f t="shared" si="44"/>
        <v>16.03</v>
      </c>
      <c r="G71" s="34">
        <f t="shared" si="45"/>
        <v>72.75</v>
      </c>
      <c r="H71" s="33">
        <f t="shared" si="46"/>
        <v>17.560371517027864</v>
      </c>
      <c r="I71" s="28">
        <f t="shared" si="49"/>
        <v>129.97999999999999</v>
      </c>
      <c r="J71" s="32">
        <v>1</v>
      </c>
      <c r="K71" s="30">
        <f t="shared" si="47"/>
        <v>16.03</v>
      </c>
      <c r="L71" s="30"/>
      <c r="M71" s="30"/>
      <c r="N71" s="30"/>
      <c r="O71" s="30"/>
      <c r="Q71" s="29">
        <f t="shared" ca="1" si="48"/>
        <v>3</v>
      </c>
      <c r="R71" s="29">
        <f t="shared" ca="1" si="36"/>
        <v>4</v>
      </c>
      <c r="S71" s="29">
        <f t="shared" ca="1" si="36"/>
        <v>2</v>
      </c>
      <c r="T71" s="29">
        <f t="shared" ca="1" si="36"/>
        <v>4</v>
      </c>
      <c r="U71" s="29">
        <f t="shared" ca="1" si="36"/>
        <v>2</v>
      </c>
      <c r="V71" s="29">
        <f t="shared" ca="1" si="36"/>
        <v>3</v>
      </c>
      <c r="W71" s="29">
        <f t="shared" ca="1" si="36"/>
        <v>4</v>
      </c>
      <c r="X71" s="29">
        <f t="shared" ca="1" si="36"/>
        <v>0</v>
      </c>
      <c r="Y71" s="29">
        <f t="shared" ca="1" si="36"/>
        <v>2</v>
      </c>
      <c r="Z71" s="29">
        <f t="shared" ca="1" si="36"/>
        <v>2</v>
      </c>
      <c r="AA71" s="29">
        <f t="shared" ca="1" si="36"/>
        <v>4</v>
      </c>
      <c r="AB71" s="29">
        <f t="shared" ca="1" si="36"/>
        <v>2</v>
      </c>
      <c r="AC71" s="29">
        <f t="shared" ca="1" si="36"/>
        <v>1</v>
      </c>
      <c r="AD71" s="29">
        <f t="shared" ca="1" si="36"/>
        <v>7</v>
      </c>
      <c r="AE71" s="29">
        <f t="shared" ca="1" si="36"/>
        <v>1</v>
      </c>
      <c r="AF71" s="29">
        <f t="shared" ca="1" si="36"/>
        <v>2</v>
      </c>
      <c r="AG71" s="29">
        <f t="shared" ca="1" si="35"/>
        <v>1</v>
      </c>
      <c r="AH71" s="29">
        <f t="shared" ca="1" si="35"/>
        <v>3</v>
      </c>
      <c r="AI71" s="29">
        <f t="shared" ca="1" si="35"/>
        <v>4</v>
      </c>
      <c r="AJ71" s="29">
        <f t="shared" ca="1" si="35"/>
        <v>4</v>
      </c>
      <c r="AK71" s="29">
        <f t="shared" ca="1" si="35"/>
        <v>4</v>
      </c>
      <c r="AL71" s="29">
        <f t="shared" ca="1" si="35"/>
        <v>4</v>
      </c>
      <c r="AM71" s="29">
        <f t="shared" ca="1" si="35"/>
        <v>4</v>
      </c>
      <c r="AN71" s="29">
        <f t="shared" ca="1" si="35"/>
        <v>3</v>
      </c>
      <c r="AO71" s="29">
        <f t="shared" ca="1" si="35"/>
        <v>1</v>
      </c>
      <c r="AP71" s="29">
        <f t="shared" ca="1" si="35"/>
        <v>4</v>
      </c>
      <c r="AQ71" s="29">
        <f t="shared" ca="1" si="35"/>
        <v>2</v>
      </c>
      <c r="AR71" s="29">
        <f t="shared" ca="1" si="35"/>
        <v>3</v>
      </c>
      <c r="AS71" s="29">
        <f t="shared" ca="1" si="35"/>
        <v>1</v>
      </c>
      <c r="AT71" s="29">
        <f t="shared" ca="1" si="35"/>
        <v>1</v>
      </c>
      <c r="AU71" s="29">
        <f t="shared" ca="1" si="35"/>
        <v>4</v>
      </c>
      <c r="AV71" s="29">
        <f t="shared" ca="1" si="39"/>
        <v>3</v>
      </c>
      <c r="AW71" s="29">
        <f t="shared" ca="1" si="39"/>
        <v>0</v>
      </c>
      <c r="AX71" s="29">
        <f t="shared" ca="1" si="39"/>
        <v>3</v>
      </c>
      <c r="AY71" s="29">
        <f t="shared" ca="1" si="39"/>
        <v>4</v>
      </c>
      <c r="AZ71" s="29">
        <f t="shared" ca="1" si="39"/>
        <v>2</v>
      </c>
      <c r="BA71" s="29">
        <f t="shared" ca="1" si="39"/>
        <v>6</v>
      </c>
      <c r="BB71" s="29">
        <f t="shared" ca="1" si="39"/>
        <v>5</v>
      </c>
      <c r="BC71" s="29">
        <f t="shared" ca="1" si="39"/>
        <v>2</v>
      </c>
      <c r="BD71" s="29">
        <f t="shared" ca="1" si="39"/>
        <v>4</v>
      </c>
      <c r="BE71" s="29">
        <f t="shared" ca="1" si="39"/>
        <v>2</v>
      </c>
      <c r="BF71" s="29">
        <f t="shared" ca="1" si="39"/>
        <v>1</v>
      </c>
      <c r="BG71" s="29">
        <f t="shared" ca="1" si="39"/>
        <v>6</v>
      </c>
      <c r="BH71" s="29">
        <f t="shared" ca="1" si="39"/>
        <v>2</v>
      </c>
      <c r="BI71" s="29">
        <f t="shared" ca="1" si="39"/>
        <v>1</v>
      </c>
      <c r="BJ71" s="29">
        <f t="shared" ca="1" si="39"/>
        <v>7</v>
      </c>
      <c r="BK71" s="29">
        <f t="shared" ca="1" si="39"/>
        <v>6</v>
      </c>
      <c r="BL71" s="29">
        <f t="shared" ca="1" si="37"/>
        <v>2</v>
      </c>
      <c r="BM71" s="29">
        <f t="shared" ca="1" si="37"/>
        <v>1</v>
      </c>
      <c r="BN71" s="29">
        <f t="shared" ca="1" si="37"/>
        <v>5</v>
      </c>
      <c r="BO71" s="29">
        <f t="shared" ca="1" si="37"/>
        <v>2</v>
      </c>
      <c r="BP71" s="29">
        <f t="shared" ca="1" si="37"/>
        <v>4</v>
      </c>
      <c r="BQ71" s="29">
        <f t="shared" ca="1" si="37"/>
        <v>2</v>
      </c>
      <c r="BR71" s="29">
        <f t="shared" ca="1" si="37"/>
        <v>4</v>
      </c>
      <c r="BS71" s="29">
        <f t="shared" ca="1" si="37"/>
        <v>3</v>
      </c>
      <c r="BT71" s="29">
        <f t="shared" ca="1" si="37"/>
        <v>3</v>
      </c>
      <c r="BU71" s="29">
        <f t="shared" ca="1" si="37"/>
        <v>3</v>
      </c>
      <c r="BV71" s="29">
        <f t="shared" ca="1" si="37"/>
        <v>3</v>
      </c>
      <c r="BW71" s="29">
        <f t="shared" ca="1" si="37"/>
        <v>4</v>
      </c>
      <c r="BX71" s="29">
        <f t="shared" ca="1" si="37"/>
        <v>5</v>
      </c>
      <c r="BY71" s="29">
        <f t="shared" ca="1" si="37"/>
        <v>2</v>
      </c>
      <c r="BZ71" s="29">
        <f t="shared" ca="1" si="37"/>
        <v>4</v>
      </c>
      <c r="CA71" s="29">
        <f t="shared" ca="1" si="27"/>
        <v>3</v>
      </c>
      <c r="CB71" s="29">
        <f t="shared" ca="1" si="40"/>
        <v>1</v>
      </c>
      <c r="CC71" s="29">
        <f t="shared" ca="1" si="40"/>
        <v>3</v>
      </c>
      <c r="CD71" s="29">
        <f t="shared" ca="1" si="40"/>
        <v>1</v>
      </c>
      <c r="CE71" s="29">
        <f t="shared" ca="1" si="40"/>
        <v>2</v>
      </c>
      <c r="CF71" s="29">
        <f t="shared" ca="1" si="40"/>
        <v>4</v>
      </c>
      <c r="CG71" s="29">
        <f t="shared" ca="1" si="40"/>
        <v>6</v>
      </c>
      <c r="CH71" s="29">
        <f t="shared" ca="1" si="40"/>
        <v>4</v>
      </c>
      <c r="CI71" s="29">
        <f t="shared" ca="1" si="40"/>
        <v>4</v>
      </c>
      <c r="CJ71" s="29">
        <f t="shared" ca="1" si="40"/>
        <v>2</v>
      </c>
      <c r="CK71" s="29">
        <f t="shared" ca="1" si="40"/>
        <v>3</v>
      </c>
      <c r="CL71" s="29">
        <f t="shared" ca="1" si="40"/>
        <v>0</v>
      </c>
      <c r="CM71" s="29">
        <f t="shared" ca="1" si="40"/>
        <v>2</v>
      </c>
      <c r="CN71" s="29">
        <f t="shared" ca="1" si="40"/>
        <v>2</v>
      </c>
      <c r="CO71" s="29">
        <f t="shared" ca="1" si="40"/>
        <v>1</v>
      </c>
      <c r="CP71" s="29">
        <f t="shared" ca="1" si="40"/>
        <v>1</v>
      </c>
      <c r="CQ71" s="29">
        <f t="shared" ca="1" si="40"/>
        <v>3</v>
      </c>
      <c r="CR71" s="29">
        <f t="shared" ca="1" si="38"/>
        <v>2</v>
      </c>
      <c r="CS71" s="29">
        <f t="shared" ca="1" si="38"/>
        <v>1</v>
      </c>
      <c r="CT71" s="29">
        <f t="shared" ca="1" si="38"/>
        <v>2</v>
      </c>
      <c r="CU71" s="29">
        <f t="shared" ca="1" si="38"/>
        <v>2</v>
      </c>
      <c r="CV71" s="29">
        <f t="shared" ca="1" si="38"/>
        <v>0</v>
      </c>
      <c r="CW71" s="29">
        <f t="shared" ca="1" si="38"/>
        <v>5</v>
      </c>
      <c r="CX71" s="29">
        <f t="shared" ca="1" si="42"/>
        <v>4</v>
      </c>
      <c r="CY71" s="29">
        <f t="shared" ca="1" si="42"/>
        <v>5</v>
      </c>
      <c r="CZ71" s="29">
        <f t="shared" ca="1" si="42"/>
        <v>2</v>
      </c>
      <c r="DA71" s="29">
        <f t="shared" ca="1" si="42"/>
        <v>1</v>
      </c>
      <c r="DB71" s="29">
        <f t="shared" ca="1" si="42"/>
        <v>1</v>
      </c>
      <c r="DC71" s="29">
        <f t="shared" ca="1" si="42"/>
        <v>1</v>
      </c>
      <c r="DD71" s="29">
        <f t="shared" ca="1" si="42"/>
        <v>1</v>
      </c>
      <c r="DE71" s="29">
        <f t="shared" ca="1" si="42"/>
        <v>2</v>
      </c>
      <c r="DF71" s="29">
        <f t="shared" ca="1" si="42"/>
        <v>5</v>
      </c>
      <c r="DG71" s="29">
        <f t="shared" ca="1" si="42"/>
        <v>3</v>
      </c>
      <c r="DH71" s="29">
        <f t="shared" ca="1" si="42"/>
        <v>3</v>
      </c>
      <c r="DI71" s="29">
        <f t="shared" ca="1" si="42"/>
        <v>3</v>
      </c>
      <c r="DJ71" s="29">
        <f t="shared" ca="1" si="42"/>
        <v>4</v>
      </c>
      <c r="DK71" s="29">
        <f t="shared" ca="1" si="42"/>
        <v>5</v>
      </c>
      <c r="DL71" s="29">
        <f t="shared" ca="1" si="42"/>
        <v>2</v>
      </c>
    </row>
    <row r="72" spans="1:116" ht="14.4" x14ac:dyDescent="0.3">
      <c r="A72" s="31">
        <v>985</v>
      </c>
      <c r="B72" s="28">
        <v>3.59</v>
      </c>
      <c r="C72" s="30">
        <v>49.54</v>
      </c>
      <c r="D72" s="28">
        <v>3.01</v>
      </c>
      <c r="E72" s="34">
        <f t="shared" si="43"/>
        <v>6.0199999999999997E-2</v>
      </c>
      <c r="F72" s="35">
        <f t="shared" si="44"/>
        <v>12.385</v>
      </c>
      <c r="G72" s="34">
        <f t="shared" si="45"/>
        <v>75.25</v>
      </c>
      <c r="H72" s="33">
        <f t="shared" si="46"/>
        <v>17.511142061281337</v>
      </c>
      <c r="I72" s="28">
        <f t="shared" si="49"/>
        <v>133.57</v>
      </c>
      <c r="J72" s="32">
        <v>1</v>
      </c>
      <c r="K72" s="30">
        <f t="shared" si="47"/>
        <v>12.385</v>
      </c>
      <c r="L72" s="30"/>
      <c r="M72" s="30"/>
      <c r="N72" s="30"/>
      <c r="O72" s="30"/>
      <c r="Q72" s="29">
        <f t="shared" ca="1" si="48"/>
        <v>2</v>
      </c>
      <c r="R72" s="29">
        <f t="shared" ca="1" si="36"/>
        <v>2</v>
      </c>
      <c r="S72" s="29">
        <f t="shared" ca="1" si="36"/>
        <v>5</v>
      </c>
      <c r="T72" s="29">
        <f t="shared" ca="1" si="36"/>
        <v>4</v>
      </c>
      <c r="U72" s="29">
        <f t="shared" ca="1" si="36"/>
        <v>5</v>
      </c>
      <c r="V72" s="29">
        <f t="shared" ca="1" si="36"/>
        <v>3</v>
      </c>
      <c r="W72" s="29">
        <f t="shared" ca="1" si="36"/>
        <v>1</v>
      </c>
      <c r="X72" s="29">
        <f t="shared" ca="1" si="36"/>
        <v>6</v>
      </c>
      <c r="Y72" s="29">
        <f t="shared" ca="1" si="36"/>
        <v>2</v>
      </c>
      <c r="Z72" s="29">
        <f t="shared" ca="1" si="36"/>
        <v>6</v>
      </c>
      <c r="AA72" s="29">
        <f t="shared" ca="1" si="36"/>
        <v>4</v>
      </c>
      <c r="AB72" s="29">
        <f t="shared" ca="1" si="36"/>
        <v>4</v>
      </c>
      <c r="AC72" s="29">
        <f t="shared" ca="1" si="36"/>
        <v>4</v>
      </c>
      <c r="AD72" s="29">
        <f t="shared" ca="1" si="36"/>
        <v>3</v>
      </c>
      <c r="AE72" s="29">
        <f t="shared" ca="1" si="36"/>
        <v>5</v>
      </c>
      <c r="AF72" s="29">
        <f t="shared" ca="1" si="36"/>
        <v>2</v>
      </c>
      <c r="AG72" s="29">
        <f t="shared" ca="1" si="35"/>
        <v>3</v>
      </c>
      <c r="AH72" s="29">
        <f t="shared" ca="1" si="35"/>
        <v>4</v>
      </c>
      <c r="AI72" s="29">
        <f t="shared" ca="1" si="35"/>
        <v>2</v>
      </c>
      <c r="AJ72" s="29">
        <f t="shared" ca="1" si="35"/>
        <v>3</v>
      </c>
      <c r="AK72" s="29">
        <f t="shared" ca="1" si="35"/>
        <v>6</v>
      </c>
      <c r="AL72" s="29">
        <f t="shared" ca="1" si="35"/>
        <v>5</v>
      </c>
      <c r="AM72" s="29">
        <f t="shared" ca="1" si="35"/>
        <v>3</v>
      </c>
      <c r="AN72" s="29">
        <f t="shared" ca="1" si="35"/>
        <v>0</v>
      </c>
      <c r="AO72" s="29">
        <f t="shared" ca="1" si="35"/>
        <v>2</v>
      </c>
      <c r="AP72" s="29">
        <f t="shared" ca="1" si="35"/>
        <v>3</v>
      </c>
      <c r="AQ72" s="29">
        <f t="shared" ca="1" si="35"/>
        <v>0</v>
      </c>
      <c r="AR72" s="29">
        <f t="shared" ca="1" si="35"/>
        <v>5</v>
      </c>
      <c r="AS72" s="29">
        <f t="shared" ca="1" si="35"/>
        <v>5</v>
      </c>
      <c r="AT72" s="29">
        <f t="shared" ca="1" si="35"/>
        <v>4</v>
      </c>
      <c r="AU72" s="29">
        <f t="shared" ca="1" si="35"/>
        <v>1</v>
      </c>
      <c r="AV72" s="29">
        <f t="shared" ca="1" si="39"/>
        <v>3</v>
      </c>
      <c r="AW72" s="29">
        <f t="shared" ca="1" si="39"/>
        <v>6</v>
      </c>
      <c r="AX72" s="29">
        <f t="shared" ca="1" si="39"/>
        <v>2</v>
      </c>
      <c r="AY72" s="29">
        <f t="shared" ca="1" si="39"/>
        <v>1</v>
      </c>
      <c r="AZ72" s="29">
        <f t="shared" ca="1" si="39"/>
        <v>2</v>
      </c>
      <c r="BA72" s="29">
        <f t="shared" ca="1" si="39"/>
        <v>1</v>
      </c>
      <c r="BB72" s="29">
        <f t="shared" ca="1" si="39"/>
        <v>5</v>
      </c>
      <c r="BC72" s="29">
        <f t="shared" ca="1" si="39"/>
        <v>4</v>
      </c>
      <c r="BD72" s="29">
        <f t="shared" ca="1" si="39"/>
        <v>0</v>
      </c>
      <c r="BE72" s="29">
        <f t="shared" ca="1" si="39"/>
        <v>3</v>
      </c>
      <c r="BF72" s="29">
        <f t="shared" ca="1" si="39"/>
        <v>3</v>
      </c>
      <c r="BG72" s="29">
        <f t="shared" ca="1" si="39"/>
        <v>4</v>
      </c>
      <c r="BH72" s="29">
        <f t="shared" ca="1" si="39"/>
        <v>4</v>
      </c>
      <c r="BI72" s="29">
        <f t="shared" ca="1" si="39"/>
        <v>2</v>
      </c>
      <c r="BJ72" s="29">
        <f t="shared" ca="1" si="39"/>
        <v>4</v>
      </c>
      <c r="BK72" s="29">
        <f t="shared" ca="1" si="39"/>
        <v>5</v>
      </c>
      <c r="BL72" s="29">
        <f t="shared" ca="1" si="37"/>
        <v>3</v>
      </c>
      <c r="BM72" s="29">
        <f t="shared" ca="1" si="37"/>
        <v>5</v>
      </c>
      <c r="BN72" s="29">
        <f t="shared" ca="1" si="37"/>
        <v>4</v>
      </c>
      <c r="BO72" s="29">
        <f t="shared" ca="1" si="37"/>
        <v>1</v>
      </c>
      <c r="BP72" s="29">
        <f t="shared" ca="1" si="37"/>
        <v>2</v>
      </c>
      <c r="BQ72" s="29">
        <f t="shared" ca="1" si="37"/>
        <v>2</v>
      </c>
      <c r="BR72" s="29">
        <f t="shared" ca="1" si="37"/>
        <v>1</v>
      </c>
      <c r="BS72" s="29">
        <f t="shared" ca="1" si="37"/>
        <v>4</v>
      </c>
      <c r="BT72" s="29">
        <f t="shared" ca="1" si="37"/>
        <v>1</v>
      </c>
      <c r="BU72" s="29">
        <f t="shared" ca="1" si="37"/>
        <v>1</v>
      </c>
      <c r="BV72" s="29">
        <f t="shared" ca="1" si="37"/>
        <v>6</v>
      </c>
      <c r="BW72" s="29">
        <f t="shared" ca="1" si="37"/>
        <v>6</v>
      </c>
      <c r="BX72" s="29">
        <f t="shared" ca="1" si="37"/>
        <v>2</v>
      </c>
      <c r="BY72" s="29">
        <f t="shared" ca="1" si="37"/>
        <v>4</v>
      </c>
      <c r="BZ72" s="29">
        <f t="shared" ca="1" si="37"/>
        <v>1</v>
      </c>
      <c r="CA72" s="29">
        <f t="shared" ca="1" si="27"/>
        <v>5</v>
      </c>
      <c r="CB72" s="29">
        <f t="shared" ca="1" si="40"/>
        <v>2</v>
      </c>
      <c r="CC72" s="29">
        <f t="shared" ca="1" si="40"/>
        <v>2</v>
      </c>
      <c r="CD72" s="29">
        <f t="shared" ca="1" si="40"/>
        <v>5</v>
      </c>
      <c r="CE72" s="29">
        <f t="shared" ca="1" si="40"/>
        <v>0</v>
      </c>
      <c r="CF72" s="29">
        <f t="shared" ca="1" si="40"/>
        <v>3</v>
      </c>
      <c r="CG72" s="29">
        <f t="shared" ca="1" si="40"/>
        <v>3</v>
      </c>
      <c r="CH72" s="29">
        <f t="shared" ca="1" si="40"/>
        <v>3</v>
      </c>
      <c r="CI72" s="29">
        <f t="shared" ca="1" si="40"/>
        <v>3</v>
      </c>
      <c r="CJ72" s="29">
        <f t="shared" ca="1" si="40"/>
        <v>5</v>
      </c>
      <c r="CK72" s="29">
        <f t="shared" ca="1" si="40"/>
        <v>1</v>
      </c>
      <c r="CL72" s="29">
        <f t="shared" ca="1" si="40"/>
        <v>3</v>
      </c>
      <c r="CM72" s="29">
        <f t="shared" ca="1" si="40"/>
        <v>3</v>
      </c>
      <c r="CN72" s="29">
        <f t="shared" ca="1" si="40"/>
        <v>1</v>
      </c>
      <c r="CO72" s="29">
        <f t="shared" ca="1" si="40"/>
        <v>0</v>
      </c>
      <c r="CP72" s="29">
        <f t="shared" ca="1" si="40"/>
        <v>1</v>
      </c>
      <c r="CQ72" s="29">
        <f t="shared" ca="1" si="40"/>
        <v>3</v>
      </c>
      <c r="CR72" s="29">
        <f t="shared" ca="1" si="38"/>
        <v>7</v>
      </c>
      <c r="CS72" s="29">
        <f t="shared" ca="1" si="38"/>
        <v>1</v>
      </c>
      <c r="CT72" s="29">
        <f t="shared" ca="1" si="38"/>
        <v>5</v>
      </c>
      <c r="CU72" s="29">
        <f t="shared" ca="1" si="38"/>
        <v>2</v>
      </c>
      <c r="CV72" s="29">
        <f t="shared" ca="1" si="38"/>
        <v>4</v>
      </c>
      <c r="CW72" s="29">
        <f t="shared" ca="1" si="38"/>
        <v>4</v>
      </c>
      <c r="CX72" s="29">
        <f t="shared" ca="1" si="42"/>
        <v>4</v>
      </c>
      <c r="CY72" s="29">
        <f t="shared" ca="1" si="42"/>
        <v>7</v>
      </c>
      <c r="CZ72" s="29">
        <f t="shared" ca="1" si="42"/>
        <v>0</v>
      </c>
      <c r="DA72" s="29">
        <f t="shared" ca="1" si="42"/>
        <v>2</v>
      </c>
      <c r="DB72" s="29">
        <f t="shared" ca="1" si="42"/>
        <v>1</v>
      </c>
      <c r="DC72" s="29">
        <f t="shared" ca="1" si="42"/>
        <v>2</v>
      </c>
      <c r="DD72" s="29">
        <f t="shared" ca="1" si="42"/>
        <v>5</v>
      </c>
      <c r="DE72" s="29">
        <f t="shared" ca="1" si="42"/>
        <v>4</v>
      </c>
      <c r="DF72" s="29">
        <f t="shared" ca="1" si="42"/>
        <v>3</v>
      </c>
      <c r="DG72" s="29">
        <f t="shared" ca="1" si="42"/>
        <v>5</v>
      </c>
      <c r="DH72" s="29">
        <f t="shared" ca="1" si="42"/>
        <v>2</v>
      </c>
      <c r="DI72" s="29">
        <f t="shared" ca="1" si="42"/>
        <v>1</v>
      </c>
      <c r="DJ72" s="29">
        <f t="shared" ca="1" si="42"/>
        <v>1</v>
      </c>
      <c r="DK72" s="29">
        <f t="shared" ca="1" si="42"/>
        <v>0</v>
      </c>
      <c r="DL72" s="29">
        <f t="shared" ca="1" si="42"/>
        <v>3</v>
      </c>
    </row>
    <row r="73" spans="1:116" ht="14.4" x14ac:dyDescent="0.3">
      <c r="A73" s="31">
        <v>685</v>
      </c>
      <c r="B73" s="28">
        <v>2.93</v>
      </c>
      <c r="C73" s="30">
        <v>53.09</v>
      </c>
      <c r="D73" s="28">
        <v>2.58</v>
      </c>
      <c r="E73" s="34">
        <f t="shared" si="43"/>
        <v>5.16E-2</v>
      </c>
      <c r="F73" s="35">
        <f t="shared" si="44"/>
        <v>13.272500000000001</v>
      </c>
      <c r="G73" s="34">
        <f t="shared" si="45"/>
        <v>64.5</v>
      </c>
      <c r="H73" s="33">
        <f t="shared" si="46"/>
        <v>17.483788395904437</v>
      </c>
      <c r="I73" s="28">
        <f t="shared" si="49"/>
        <v>136.5</v>
      </c>
      <c r="J73" s="32">
        <v>1</v>
      </c>
      <c r="K73" s="30">
        <f t="shared" si="47"/>
        <v>13.272500000000001</v>
      </c>
      <c r="L73" s="30"/>
      <c r="M73" s="30"/>
      <c r="N73" s="30"/>
      <c r="O73" s="30"/>
      <c r="Q73" s="29">
        <f t="shared" ca="1" si="48"/>
        <v>2</v>
      </c>
      <c r="R73" s="29">
        <f t="shared" ca="1" si="36"/>
        <v>1</v>
      </c>
      <c r="S73" s="29">
        <f t="shared" ca="1" si="36"/>
        <v>3</v>
      </c>
      <c r="T73" s="29">
        <f t="shared" ca="1" si="36"/>
        <v>4</v>
      </c>
      <c r="U73" s="29">
        <f t="shared" ca="1" si="36"/>
        <v>1</v>
      </c>
      <c r="V73" s="29">
        <f t="shared" ca="1" si="36"/>
        <v>5</v>
      </c>
      <c r="W73" s="29">
        <f t="shared" ca="1" si="36"/>
        <v>1</v>
      </c>
      <c r="X73" s="29">
        <f t="shared" ca="1" si="36"/>
        <v>3</v>
      </c>
      <c r="Y73" s="29">
        <f t="shared" ca="1" si="36"/>
        <v>4</v>
      </c>
      <c r="Z73" s="29">
        <f t="shared" ca="1" si="36"/>
        <v>4</v>
      </c>
      <c r="AA73" s="29">
        <f t="shared" ca="1" si="36"/>
        <v>5</v>
      </c>
      <c r="AB73" s="29">
        <f t="shared" ca="1" si="36"/>
        <v>2</v>
      </c>
      <c r="AC73" s="29">
        <f t="shared" ca="1" si="36"/>
        <v>3</v>
      </c>
      <c r="AD73" s="29">
        <f t="shared" ca="1" si="36"/>
        <v>2</v>
      </c>
      <c r="AE73" s="29">
        <f t="shared" ca="1" si="36"/>
        <v>4</v>
      </c>
      <c r="AF73" s="29">
        <f t="shared" ref="AF73:AU88" ca="1" si="50">_xlfn.BINOM.INV(50,$E73,RAND())</f>
        <v>3</v>
      </c>
      <c r="AG73" s="29">
        <f t="shared" ca="1" si="50"/>
        <v>3</v>
      </c>
      <c r="AH73" s="29">
        <f t="shared" ca="1" si="50"/>
        <v>6</v>
      </c>
      <c r="AI73" s="29">
        <f t="shared" ca="1" si="50"/>
        <v>2</v>
      </c>
      <c r="AJ73" s="29">
        <f t="shared" ca="1" si="50"/>
        <v>3</v>
      </c>
      <c r="AK73" s="29">
        <f t="shared" ca="1" si="50"/>
        <v>1</v>
      </c>
      <c r="AL73" s="29">
        <f t="shared" ca="1" si="50"/>
        <v>3</v>
      </c>
      <c r="AM73" s="29">
        <f t="shared" ca="1" si="50"/>
        <v>4</v>
      </c>
      <c r="AN73" s="29">
        <f t="shared" ca="1" si="50"/>
        <v>4</v>
      </c>
      <c r="AO73" s="29">
        <f t="shared" ca="1" si="50"/>
        <v>1</v>
      </c>
      <c r="AP73" s="29">
        <f t="shared" ca="1" si="50"/>
        <v>1</v>
      </c>
      <c r="AQ73" s="29">
        <f t="shared" ca="1" si="50"/>
        <v>1</v>
      </c>
      <c r="AR73" s="29">
        <f t="shared" ca="1" si="50"/>
        <v>2</v>
      </c>
      <c r="AS73" s="29">
        <f t="shared" ca="1" si="50"/>
        <v>2</v>
      </c>
      <c r="AT73" s="29">
        <f t="shared" ca="1" si="50"/>
        <v>3</v>
      </c>
      <c r="AU73" s="29">
        <f t="shared" ca="1" si="50"/>
        <v>3</v>
      </c>
      <c r="AV73" s="29">
        <f t="shared" ca="1" si="39"/>
        <v>3</v>
      </c>
      <c r="AW73" s="29">
        <f t="shared" ca="1" si="39"/>
        <v>0</v>
      </c>
      <c r="AX73" s="29">
        <f t="shared" ca="1" si="39"/>
        <v>6</v>
      </c>
      <c r="AY73" s="29">
        <f t="shared" ca="1" si="39"/>
        <v>1</v>
      </c>
      <c r="AZ73" s="29">
        <f t="shared" ca="1" si="39"/>
        <v>3</v>
      </c>
      <c r="BA73" s="29">
        <f t="shared" ca="1" si="39"/>
        <v>8</v>
      </c>
      <c r="BB73" s="29">
        <f t="shared" ca="1" si="39"/>
        <v>2</v>
      </c>
      <c r="BC73" s="29">
        <f t="shared" ca="1" si="39"/>
        <v>2</v>
      </c>
      <c r="BD73" s="29">
        <f t="shared" ca="1" si="39"/>
        <v>2</v>
      </c>
      <c r="BE73" s="29">
        <f t="shared" ca="1" si="39"/>
        <v>4</v>
      </c>
      <c r="BF73" s="29">
        <f t="shared" ca="1" si="39"/>
        <v>4</v>
      </c>
      <c r="BG73" s="29">
        <f t="shared" ca="1" si="39"/>
        <v>4</v>
      </c>
      <c r="BH73" s="29">
        <f t="shared" ca="1" si="39"/>
        <v>1</v>
      </c>
      <c r="BI73" s="29">
        <f t="shared" ca="1" si="39"/>
        <v>0</v>
      </c>
      <c r="BJ73" s="29">
        <f t="shared" ca="1" si="39"/>
        <v>1</v>
      </c>
      <c r="BK73" s="29">
        <f t="shared" ca="1" si="39"/>
        <v>1</v>
      </c>
      <c r="BL73" s="29">
        <f t="shared" ca="1" si="37"/>
        <v>1</v>
      </c>
      <c r="BM73" s="29">
        <f t="shared" ca="1" si="37"/>
        <v>2</v>
      </c>
      <c r="BN73" s="29">
        <f t="shared" ca="1" si="37"/>
        <v>4</v>
      </c>
      <c r="BO73" s="29">
        <f t="shared" ca="1" si="37"/>
        <v>1</v>
      </c>
      <c r="BP73" s="29">
        <f t="shared" ca="1" si="37"/>
        <v>1</v>
      </c>
      <c r="BQ73" s="29">
        <f t="shared" ca="1" si="37"/>
        <v>2</v>
      </c>
      <c r="BR73" s="29">
        <f t="shared" ca="1" si="37"/>
        <v>3</v>
      </c>
      <c r="BS73" s="29">
        <f t="shared" ca="1" si="37"/>
        <v>3</v>
      </c>
      <c r="BT73" s="29">
        <f t="shared" ca="1" si="37"/>
        <v>1</v>
      </c>
      <c r="BU73" s="29">
        <f t="shared" ca="1" si="37"/>
        <v>3</v>
      </c>
      <c r="BV73" s="29">
        <f t="shared" ca="1" si="37"/>
        <v>3</v>
      </c>
      <c r="BW73" s="29">
        <f t="shared" ca="1" si="37"/>
        <v>4</v>
      </c>
      <c r="BX73" s="29">
        <f t="shared" ca="1" si="37"/>
        <v>0</v>
      </c>
      <c r="BY73" s="29">
        <f t="shared" ca="1" si="37"/>
        <v>5</v>
      </c>
      <c r="BZ73" s="29">
        <f t="shared" ca="1" si="37"/>
        <v>2</v>
      </c>
      <c r="CA73" s="29">
        <f t="shared" ca="1" si="27"/>
        <v>3</v>
      </c>
      <c r="CB73" s="29">
        <f t="shared" ca="1" si="40"/>
        <v>6</v>
      </c>
      <c r="CC73" s="29">
        <f t="shared" ca="1" si="40"/>
        <v>7</v>
      </c>
      <c r="CD73" s="29">
        <f t="shared" ca="1" si="40"/>
        <v>4</v>
      </c>
      <c r="CE73" s="29">
        <f t="shared" ca="1" si="40"/>
        <v>2</v>
      </c>
      <c r="CF73" s="29">
        <f t="shared" ca="1" si="40"/>
        <v>3</v>
      </c>
      <c r="CG73" s="29">
        <f t="shared" ca="1" si="40"/>
        <v>2</v>
      </c>
      <c r="CH73" s="29">
        <f t="shared" ca="1" si="40"/>
        <v>1</v>
      </c>
      <c r="CI73" s="29">
        <f t="shared" ca="1" si="40"/>
        <v>1</v>
      </c>
      <c r="CJ73" s="29">
        <f t="shared" ca="1" si="40"/>
        <v>3</v>
      </c>
      <c r="CK73" s="29">
        <f t="shared" ca="1" si="40"/>
        <v>5</v>
      </c>
      <c r="CL73" s="29">
        <f t="shared" ca="1" si="40"/>
        <v>2</v>
      </c>
      <c r="CM73" s="29">
        <f t="shared" ca="1" si="40"/>
        <v>3</v>
      </c>
      <c r="CN73" s="29">
        <f t="shared" ca="1" si="40"/>
        <v>2</v>
      </c>
      <c r="CO73" s="29">
        <f t="shared" ca="1" si="40"/>
        <v>1</v>
      </c>
      <c r="CP73" s="29">
        <f t="shared" ca="1" si="40"/>
        <v>3</v>
      </c>
      <c r="CQ73" s="29">
        <f t="shared" ca="1" si="40"/>
        <v>4</v>
      </c>
      <c r="CR73" s="29">
        <f t="shared" ca="1" si="38"/>
        <v>4</v>
      </c>
      <c r="CS73" s="29">
        <f t="shared" ca="1" si="38"/>
        <v>4</v>
      </c>
      <c r="CT73" s="29">
        <f t="shared" ca="1" si="38"/>
        <v>1</v>
      </c>
      <c r="CU73" s="29">
        <f t="shared" ca="1" si="38"/>
        <v>1</v>
      </c>
      <c r="CV73" s="29">
        <f t="shared" ca="1" si="38"/>
        <v>3</v>
      </c>
      <c r="CW73" s="29">
        <f t="shared" ca="1" si="38"/>
        <v>7</v>
      </c>
      <c r="CX73" s="29">
        <f t="shared" ca="1" si="42"/>
        <v>6</v>
      </c>
      <c r="CY73" s="29">
        <f t="shared" ca="1" si="42"/>
        <v>1</v>
      </c>
      <c r="CZ73" s="29">
        <f t="shared" ca="1" si="42"/>
        <v>3</v>
      </c>
      <c r="DA73" s="29">
        <f t="shared" ca="1" si="42"/>
        <v>3</v>
      </c>
      <c r="DB73" s="29">
        <f t="shared" ca="1" si="42"/>
        <v>4</v>
      </c>
      <c r="DC73" s="29">
        <f t="shared" ca="1" si="42"/>
        <v>3</v>
      </c>
      <c r="DD73" s="29">
        <f t="shared" ca="1" si="42"/>
        <v>3</v>
      </c>
      <c r="DE73" s="29">
        <f t="shared" ca="1" si="42"/>
        <v>1</v>
      </c>
      <c r="DF73" s="29">
        <f t="shared" ca="1" si="42"/>
        <v>3</v>
      </c>
      <c r="DG73" s="29">
        <f t="shared" ca="1" si="42"/>
        <v>4</v>
      </c>
      <c r="DH73" s="29">
        <f t="shared" ca="1" si="42"/>
        <v>1</v>
      </c>
      <c r="DI73" s="29">
        <f t="shared" ca="1" si="42"/>
        <v>0</v>
      </c>
      <c r="DJ73" s="29">
        <f t="shared" ca="1" si="42"/>
        <v>0</v>
      </c>
      <c r="DK73" s="29">
        <f t="shared" ca="1" si="42"/>
        <v>2</v>
      </c>
      <c r="DL73" s="29">
        <f t="shared" ca="1" si="42"/>
        <v>2</v>
      </c>
    </row>
    <row r="74" spans="1:116" ht="14.4" x14ac:dyDescent="0.3">
      <c r="A74" s="31">
        <v>897</v>
      </c>
      <c r="B74" s="28">
        <v>3.78</v>
      </c>
      <c r="C74" s="30">
        <v>26.46</v>
      </c>
      <c r="D74" s="28">
        <v>2.9</v>
      </c>
      <c r="E74" s="34">
        <f t="shared" si="43"/>
        <v>5.7999999999999996E-2</v>
      </c>
      <c r="F74" s="35">
        <f t="shared" si="44"/>
        <v>6.6150000000000002</v>
      </c>
      <c r="G74" s="34">
        <f t="shared" si="45"/>
        <v>72.5</v>
      </c>
      <c r="H74" s="33">
        <f t="shared" si="46"/>
        <v>17.42989417989418</v>
      </c>
      <c r="I74" s="28">
        <f t="shared" si="49"/>
        <v>140.28</v>
      </c>
      <c r="J74" s="32">
        <v>1</v>
      </c>
      <c r="K74" s="30">
        <f t="shared" si="47"/>
        <v>6.6150000000000002</v>
      </c>
      <c r="L74" s="30"/>
      <c r="M74" s="30"/>
      <c r="N74" s="30"/>
      <c r="O74" s="30"/>
      <c r="Q74" s="29">
        <f t="shared" ca="1" si="48"/>
        <v>3</v>
      </c>
      <c r="R74" s="29">
        <f t="shared" ref="R74:AF89" ca="1" si="51">_xlfn.BINOM.INV(50,$E74,RAND())</f>
        <v>3</v>
      </c>
      <c r="S74" s="29">
        <f t="shared" ca="1" si="51"/>
        <v>2</v>
      </c>
      <c r="T74" s="29">
        <f t="shared" ca="1" si="51"/>
        <v>3</v>
      </c>
      <c r="U74" s="29">
        <f t="shared" ca="1" si="51"/>
        <v>2</v>
      </c>
      <c r="V74" s="29">
        <f t="shared" ca="1" si="51"/>
        <v>3</v>
      </c>
      <c r="W74" s="29">
        <f t="shared" ca="1" si="51"/>
        <v>1</v>
      </c>
      <c r="X74" s="29">
        <f t="shared" ca="1" si="51"/>
        <v>4</v>
      </c>
      <c r="Y74" s="29">
        <f t="shared" ca="1" si="51"/>
        <v>1</v>
      </c>
      <c r="Z74" s="29">
        <f t="shared" ca="1" si="51"/>
        <v>2</v>
      </c>
      <c r="AA74" s="29">
        <f t="shared" ca="1" si="51"/>
        <v>4</v>
      </c>
      <c r="AB74" s="29">
        <f t="shared" ca="1" si="51"/>
        <v>2</v>
      </c>
      <c r="AC74" s="29">
        <f t="shared" ca="1" si="51"/>
        <v>2</v>
      </c>
      <c r="AD74" s="29">
        <f t="shared" ca="1" si="51"/>
        <v>4</v>
      </c>
      <c r="AE74" s="29">
        <f t="shared" ca="1" si="51"/>
        <v>8</v>
      </c>
      <c r="AF74" s="29">
        <f t="shared" ca="1" si="51"/>
        <v>0</v>
      </c>
      <c r="AG74" s="29">
        <f t="shared" ca="1" si="50"/>
        <v>2</v>
      </c>
      <c r="AH74" s="29">
        <f t="shared" ca="1" si="50"/>
        <v>5</v>
      </c>
      <c r="AI74" s="29">
        <f t="shared" ca="1" si="50"/>
        <v>2</v>
      </c>
      <c r="AJ74" s="29">
        <f t="shared" ca="1" si="50"/>
        <v>2</v>
      </c>
      <c r="AK74" s="29">
        <f t="shared" ca="1" si="50"/>
        <v>0</v>
      </c>
      <c r="AL74" s="29">
        <f t="shared" ca="1" si="50"/>
        <v>2</v>
      </c>
      <c r="AM74" s="29">
        <f t="shared" ca="1" si="50"/>
        <v>1</v>
      </c>
      <c r="AN74" s="29">
        <f t="shared" ca="1" si="50"/>
        <v>1</v>
      </c>
      <c r="AO74" s="29">
        <f t="shared" ca="1" si="50"/>
        <v>3</v>
      </c>
      <c r="AP74" s="29">
        <f t="shared" ca="1" si="50"/>
        <v>5</v>
      </c>
      <c r="AQ74" s="29">
        <f t="shared" ca="1" si="50"/>
        <v>5</v>
      </c>
      <c r="AR74" s="29">
        <f t="shared" ca="1" si="50"/>
        <v>5</v>
      </c>
      <c r="AS74" s="29">
        <f t="shared" ca="1" si="50"/>
        <v>2</v>
      </c>
      <c r="AT74" s="29">
        <f t="shared" ca="1" si="50"/>
        <v>1</v>
      </c>
      <c r="AU74" s="29">
        <f t="shared" ca="1" si="50"/>
        <v>2</v>
      </c>
      <c r="AV74" s="29">
        <f t="shared" ca="1" si="39"/>
        <v>1</v>
      </c>
      <c r="AW74" s="29">
        <f t="shared" ca="1" si="39"/>
        <v>2</v>
      </c>
      <c r="AX74" s="29">
        <f t="shared" ca="1" si="39"/>
        <v>4</v>
      </c>
      <c r="AY74" s="29">
        <f t="shared" ca="1" si="39"/>
        <v>3</v>
      </c>
      <c r="AZ74" s="29">
        <f t="shared" ca="1" si="39"/>
        <v>3</v>
      </c>
      <c r="BA74" s="29">
        <f t="shared" ca="1" si="39"/>
        <v>2</v>
      </c>
      <c r="BB74" s="29">
        <f t="shared" ca="1" si="39"/>
        <v>2</v>
      </c>
      <c r="BC74" s="29">
        <f t="shared" ca="1" si="39"/>
        <v>7</v>
      </c>
      <c r="BD74" s="29">
        <f t="shared" ca="1" si="39"/>
        <v>1</v>
      </c>
      <c r="BE74" s="29">
        <f t="shared" ca="1" si="39"/>
        <v>1</v>
      </c>
      <c r="BF74" s="29">
        <f t="shared" ca="1" si="39"/>
        <v>1</v>
      </c>
      <c r="BG74" s="29">
        <f t="shared" ca="1" si="39"/>
        <v>2</v>
      </c>
      <c r="BH74" s="29">
        <f t="shared" ca="1" si="39"/>
        <v>7</v>
      </c>
      <c r="BI74" s="29">
        <f t="shared" ca="1" si="39"/>
        <v>3</v>
      </c>
      <c r="BJ74" s="29">
        <f t="shared" ca="1" si="39"/>
        <v>2</v>
      </c>
      <c r="BK74" s="29">
        <f t="shared" ca="1" si="39"/>
        <v>1</v>
      </c>
      <c r="BL74" s="29">
        <f t="shared" ca="1" si="37"/>
        <v>1</v>
      </c>
      <c r="BM74" s="29">
        <f t="shared" ca="1" si="37"/>
        <v>4</v>
      </c>
      <c r="BN74" s="29">
        <f t="shared" ca="1" si="37"/>
        <v>1</v>
      </c>
      <c r="BO74" s="29">
        <f t="shared" ca="1" si="37"/>
        <v>3</v>
      </c>
      <c r="BP74" s="29">
        <f t="shared" ca="1" si="37"/>
        <v>5</v>
      </c>
      <c r="BQ74" s="29">
        <f t="shared" ca="1" si="37"/>
        <v>2</v>
      </c>
      <c r="BR74" s="29">
        <f t="shared" ca="1" si="37"/>
        <v>1</v>
      </c>
      <c r="BS74" s="29">
        <f t="shared" ca="1" si="37"/>
        <v>2</v>
      </c>
      <c r="BT74" s="29">
        <f t="shared" ca="1" si="37"/>
        <v>4</v>
      </c>
      <c r="BU74" s="29">
        <f t="shared" ca="1" si="37"/>
        <v>3</v>
      </c>
      <c r="BV74" s="29">
        <f t="shared" ca="1" si="37"/>
        <v>2</v>
      </c>
      <c r="BW74" s="29">
        <f t="shared" ca="1" si="37"/>
        <v>5</v>
      </c>
      <c r="BX74" s="29">
        <f t="shared" ca="1" si="37"/>
        <v>4</v>
      </c>
      <c r="BY74" s="29">
        <f t="shared" ca="1" si="37"/>
        <v>4</v>
      </c>
      <c r="BZ74" s="29">
        <f t="shared" ca="1" si="37"/>
        <v>4</v>
      </c>
      <c r="CA74" s="29">
        <f t="shared" ca="1" si="27"/>
        <v>3</v>
      </c>
      <c r="CB74" s="29">
        <f t="shared" ca="1" si="40"/>
        <v>3</v>
      </c>
      <c r="CC74" s="29">
        <f t="shared" ca="1" si="40"/>
        <v>0</v>
      </c>
      <c r="CD74" s="29">
        <f t="shared" ca="1" si="40"/>
        <v>1</v>
      </c>
      <c r="CE74" s="29">
        <f t="shared" ca="1" si="40"/>
        <v>1</v>
      </c>
      <c r="CF74" s="29">
        <f t="shared" ca="1" si="40"/>
        <v>3</v>
      </c>
      <c r="CG74" s="29">
        <f t="shared" ca="1" si="40"/>
        <v>3</v>
      </c>
      <c r="CH74" s="29">
        <f t="shared" ca="1" si="40"/>
        <v>5</v>
      </c>
      <c r="CI74" s="29">
        <f t="shared" ca="1" si="40"/>
        <v>6</v>
      </c>
      <c r="CJ74" s="29">
        <f t="shared" ca="1" si="40"/>
        <v>0</v>
      </c>
      <c r="CK74" s="29">
        <f t="shared" ca="1" si="40"/>
        <v>4</v>
      </c>
      <c r="CL74" s="29">
        <f t="shared" ca="1" si="40"/>
        <v>4</v>
      </c>
      <c r="CM74" s="29">
        <f t="shared" ca="1" si="40"/>
        <v>2</v>
      </c>
      <c r="CN74" s="29">
        <f t="shared" ca="1" si="40"/>
        <v>0</v>
      </c>
      <c r="CO74" s="29">
        <f t="shared" ca="1" si="40"/>
        <v>3</v>
      </c>
      <c r="CP74" s="29">
        <f t="shared" ca="1" si="40"/>
        <v>3</v>
      </c>
      <c r="CQ74" s="29">
        <f t="shared" ca="1" si="40"/>
        <v>1</v>
      </c>
      <c r="CR74" s="29">
        <f t="shared" ca="1" si="38"/>
        <v>3</v>
      </c>
      <c r="CS74" s="29">
        <f t="shared" ca="1" si="38"/>
        <v>3</v>
      </c>
      <c r="CT74" s="29">
        <f t="shared" ca="1" si="38"/>
        <v>1</v>
      </c>
      <c r="CU74" s="29">
        <f t="shared" ca="1" si="38"/>
        <v>2</v>
      </c>
      <c r="CV74" s="29">
        <f t="shared" ca="1" si="38"/>
        <v>2</v>
      </c>
      <c r="CW74" s="29">
        <f t="shared" ca="1" si="38"/>
        <v>4</v>
      </c>
      <c r="CX74" s="29">
        <f t="shared" ca="1" si="42"/>
        <v>3</v>
      </c>
      <c r="CY74" s="29">
        <f t="shared" ca="1" si="42"/>
        <v>3</v>
      </c>
      <c r="CZ74" s="29">
        <f t="shared" ca="1" si="42"/>
        <v>4</v>
      </c>
      <c r="DA74" s="29">
        <f t="shared" ca="1" si="42"/>
        <v>2</v>
      </c>
      <c r="DB74" s="29">
        <f t="shared" ca="1" si="42"/>
        <v>5</v>
      </c>
      <c r="DC74" s="29">
        <f t="shared" ca="1" si="42"/>
        <v>2</v>
      </c>
      <c r="DD74" s="29">
        <f t="shared" ca="1" si="42"/>
        <v>2</v>
      </c>
      <c r="DE74" s="29">
        <f t="shared" ca="1" si="42"/>
        <v>6</v>
      </c>
      <c r="DF74" s="29">
        <f t="shared" ca="1" si="42"/>
        <v>1</v>
      </c>
      <c r="DG74" s="29">
        <f t="shared" ca="1" si="42"/>
        <v>4</v>
      </c>
      <c r="DH74" s="29">
        <f t="shared" ca="1" si="42"/>
        <v>5</v>
      </c>
      <c r="DI74" s="29">
        <f t="shared" ca="1" si="42"/>
        <v>3</v>
      </c>
      <c r="DJ74" s="29">
        <f t="shared" ca="1" si="42"/>
        <v>5</v>
      </c>
      <c r="DK74" s="29">
        <f t="shared" ca="1" si="42"/>
        <v>4</v>
      </c>
      <c r="DL74" s="29">
        <f t="shared" ca="1" si="42"/>
        <v>1</v>
      </c>
    </row>
    <row r="75" spans="1:116" ht="14.4" x14ac:dyDescent="0.3">
      <c r="A75" s="31">
        <v>666</v>
      </c>
      <c r="B75" s="28">
        <v>2.5099999999999998</v>
      </c>
      <c r="C75" s="30">
        <v>79.47</v>
      </c>
      <c r="D75" s="28">
        <v>2.54</v>
      </c>
      <c r="E75" s="34">
        <f t="shared" si="43"/>
        <v>5.0799999999999998E-2</v>
      </c>
      <c r="F75" s="35">
        <f t="shared" si="44"/>
        <v>19.8675</v>
      </c>
      <c r="G75" s="34">
        <f t="shared" si="45"/>
        <v>63.5</v>
      </c>
      <c r="H75" s="33">
        <f t="shared" si="46"/>
        <v>17.383466135458168</v>
      </c>
      <c r="I75" s="28">
        <f t="shared" si="49"/>
        <v>142.79</v>
      </c>
      <c r="J75" s="32">
        <v>1</v>
      </c>
      <c r="K75" s="30">
        <f t="shared" si="47"/>
        <v>19.8675</v>
      </c>
      <c r="L75" s="30"/>
      <c r="M75" s="30"/>
      <c r="N75" s="30"/>
      <c r="O75" s="30"/>
      <c r="Q75" s="29">
        <f t="shared" ca="1" si="48"/>
        <v>2</v>
      </c>
      <c r="R75" s="29">
        <f t="shared" ca="1" si="51"/>
        <v>1</v>
      </c>
      <c r="S75" s="29">
        <f t="shared" ca="1" si="51"/>
        <v>5</v>
      </c>
      <c r="T75" s="29">
        <f t="shared" ca="1" si="51"/>
        <v>1</v>
      </c>
      <c r="U75" s="29">
        <f t="shared" ca="1" si="51"/>
        <v>1</v>
      </c>
      <c r="V75" s="29">
        <f t="shared" ca="1" si="51"/>
        <v>2</v>
      </c>
      <c r="W75" s="29">
        <f t="shared" ca="1" si="51"/>
        <v>2</v>
      </c>
      <c r="X75" s="29">
        <f t="shared" ca="1" si="51"/>
        <v>1</v>
      </c>
      <c r="Y75" s="29">
        <f t="shared" ca="1" si="51"/>
        <v>4</v>
      </c>
      <c r="Z75" s="29">
        <f t="shared" ca="1" si="51"/>
        <v>3</v>
      </c>
      <c r="AA75" s="29">
        <f t="shared" ca="1" si="51"/>
        <v>5</v>
      </c>
      <c r="AB75" s="29">
        <f t="shared" ca="1" si="51"/>
        <v>5</v>
      </c>
      <c r="AC75" s="29">
        <f t="shared" ca="1" si="51"/>
        <v>2</v>
      </c>
      <c r="AD75" s="29">
        <f t="shared" ca="1" si="51"/>
        <v>1</v>
      </c>
      <c r="AE75" s="29">
        <f t="shared" ca="1" si="51"/>
        <v>5</v>
      </c>
      <c r="AF75" s="29">
        <f t="shared" ca="1" si="51"/>
        <v>6</v>
      </c>
      <c r="AG75" s="29">
        <f t="shared" ca="1" si="50"/>
        <v>0</v>
      </c>
      <c r="AH75" s="29">
        <f t="shared" ca="1" si="50"/>
        <v>3</v>
      </c>
      <c r="AI75" s="29">
        <f t="shared" ca="1" si="50"/>
        <v>1</v>
      </c>
      <c r="AJ75" s="29">
        <f t="shared" ca="1" si="50"/>
        <v>1</v>
      </c>
      <c r="AK75" s="29">
        <f t="shared" ca="1" si="50"/>
        <v>1</v>
      </c>
      <c r="AL75" s="29">
        <f t="shared" ca="1" si="50"/>
        <v>3</v>
      </c>
      <c r="AM75" s="29">
        <f t="shared" ca="1" si="50"/>
        <v>4</v>
      </c>
      <c r="AN75" s="29">
        <f t="shared" ca="1" si="50"/>
        <v>2</v>
      </c>
      <c r="AO75" s="29">
        <f t="shared" ca="1" si="50"/>
        <v>1</v>
      </c>
      <c r="AP75" s="29">
        <f t="shared" ca="1" si="50"/>
        <v>1</v>
      </c>
      <c r="AQ75" s="29">
        <f t="shared" ca="1" si="50"/>
        <v>0</v>
      </c>
      <c r="AR75" s="29">
        <f t="shared" ca="1" si="50"/>
        <v>5</v>
      </c>
      <c r="AS75" s="29">
        <f t="shared" ca="1" si="50"/>
        <v>1</v>
      </c>
      <c r="AT75" s="29">
        <f t="shared" ca="1" si="50"/>
        <v>0</v>
      </c>
      <c r="AU75" s="29">
        <f t="shared" ca="1" si="50"/>
        <v>2</v>
      </c>
      <c r="AV75" s="29">
        <f t="shared" ca="1" si="39"/>
        <v>1</v>
      </c>
      <c r="AW75" s="29">
        <f t="shared" ca="1" si="39"/>
        <v>2</v>
      </c>
      <c r="AX75" s="29">
        <f t="shared" ca="1" si="39"/>
        <v>4</v>
      </c>
      <c r="AY75" s="29">
        <f t="shared" ca="1" si="39"/>
        <v>4</v>
      </c>
      <c r="AZ75" s="29">
        <f t="shared" ca="1" si="39"/>
        <v>2</v>
      </c>
      <c r="BA75" s="29">
        <f t="shared" ca="1" si="39"/>
        <v>3</v>
      </c>
      <c r="BB75" s="29">
        <f t="shared" ca="1" si="39"/>
        <v>2</v>
      </c>
      <c r="BC75" s="29">
        <f t="shared" ca="1" si="39"/>
        <v>2</v>
      </c>
      <c r="BD75" s="29">
        <f t="shared" ca="1" si="39"/>
        <v>2</v>
      </c>
      <c r="BE75" s="29">
        <f t="shared" ca="1" si="39"/>
        <v>4</v>
      </c>
      <c r="BF75" s="29">
        <f t="shared" ca="1" si="39"/>
        <v>2</v>
      </c>
      <c r="BG75" s="29">
        <f t="shared" ca="1" si="39"/>
        <v>2</v>
      </c>
      <c r="BH75" s="29">
        <f t="shared" ca="1" si="39"/>
        <v>2</v>
      </c>
      <c r="BI75" s="29">
        <f t="shared" ca="1" si="39"/>
        <v>2</v>
      </c>
      <c r="BJ75" s="29">
        <f t="shared" ca="1" si="39"/>
        <v>3</v>
      </c>
      <c r="BK75" s="29">
        <f t="shared" ca="1" si="39"/>
        <v>2</v>
      </c>
      <c r="BL75" s="29">
        <f t="shared" ca="1" si="37"/>
        <v>1</v>
      </c>
      <c r="BM75" s="29">
        <f t="shared" ca="1" si="37"/>
        <v>2</v>
      </c>
      <c r="BN75" s="29">
        <f t="shared" ca="1" si="37"/>
        <v>5</v>
      </c>
      <c r="BO75" s="29">
        <f t="shared" ca="1" si="37"/>
        <v>1</v>
      </c>
      <c r="BP75" s="29">
        <f t="shared" ca="1" si="37"/>
        <v>1</v>
      </c>
      <c r="BQ75" s="29">
        <f t="shared" ca="1" si="37"/>
        <v>6</v>
      </c>
      <c r="BR75" s="29">
        <f t="shared" ca="1" si="37"/>
        <v>4</v>
      </c>
      <c r="BS75" s="29">
        <f t="shared" ca="1" si="37"/>
        <v>2</v>
      </c>
      <c r="BT75" s="29">
        <f t="shared" ca="1" si="37"/>
        <v>2</v>
      </c>
      <c r="BU75" s="29">
        <f t="shared" ca="1" si="37"/>
        <v>2</v>
      </c>
      <c r="BV75" s="29">
        <f t="shared" ca="1" si="37"/>
        <v>2</v>
      </c>
      <c r="BW75" s="29">
        <f t="shared" ca="1" si="37"/>
        <v>0</v>
      </c>
      <c r="BX75" s="29">
        <f t="shared" ca="1" si="37"/>
        <v>1</v>
      </c>
      <c r="BY75" s="29">
        <f t="shared" ca="1" si="37"/>
        <v>3</v>
      </c>
      <c r="BZ75" s="29">
        <f t="shared" ca="1" si="37"/>
        <v>2</v>
      </c>
      <c r="CA75" s="29">
        <f t="shared" ref="CA75:CP93" ca="1" si="52">_xlfn.BINOM.INV(50,$E75,RAND())</f>
        <v>4</v>
      </c>
      <c r="CB75" s="29">
        <f t="shared" ca="1" si="52"/>
        <v>5</v>
      </c>
      <c r="CC75" s="29">
        <f t="shared" ca="1" si="52"/>
        <v>1</v>
      </c>
      <c r="CD75" s="29">
        <f t="shared" ca="1" si="40"/>
        <v>3</v>
      </c>
      <c r="CE75" s="29">
        <f t="shared" ca="1" si="40"/>
        <v>1</v>
      </c>
      <c r="CF75" s="29">
        <f t="shared" ca="1" si="40"/>
        <v>0</v>
      </c>
      <c r="CG75" s="29">
        <f t="shared" ca="1" si="40"/>
        <v>3</v>
      </c>
      <c r="CH75" s="29">
        <f t="shared" ca="1" si="40"/>
        <v>5</v>
      </c>
      <c r="CI75" s="29">
        <f t="shared" ca="1" si="40"/>
        <v>5</v>
      </c>
      <c r="CJ75" s="29">
        <f t="shared" ca="1" si="40"/>
        <v>4</v>
      </c>
      <c r="CK75" s="29">
        <f t="shared" ca="1" si="40"/>
        <v>6</v>
      </c>
      <c r="CL75" s="29">
        <f t="shared" ca="1" si="40"/>
        <v>4</v>
      </c>
      <c r="CM75" s="29">
        <f t="shared" ca="1" si="40"/>
        <v>1</v>
      </c>
      <c r="CN75" s="29">
        <f t="shared" ca="1" si="40"/>
        <v>3</v>
      </c>
      <c r="CO75" s="29">
        <f t="shared" ca="1" si="40"/>
        <v>2</v>
      </c>
      <c r="CP75" s="29">
        <f t="shared" ca="1" si="40"/>
        <v>5</v>
      </c>
      <c r="CQ75" s="29">
        <f t="shared" ca="1" si="40"/>
        <v>1</v>
      </c>
      <c r="CR75" s="29">
        <f t="shared" ca="1" si="38"/>
        <v>3</v>
      </c>
      <c r="CS75" s="29">
        <f t="shared" ca="1" si="38"/>
        <v>1</v>
      </c>
      <c r="CT75" s="29">
        <f t="shared" ca="1" si="38"/>
        <v>2</v>
      </c>
      <c r="CU75" s="29">
        <f t="shared" ca="1" si="38"/>
        <v>3</v>
      </c>
      <c r="CV75" s="29">
        <f t="shared" ca="1" si="38"/>
        <v>4</v>
      </c>
      <c r="CW75" s="29">
        <f t="shared" ca="1" si="38"/>
        <v>3</v>
      </c>
      <c r="CX75" s="29">
        <f t="shared" ca="1" si="42"/>
        <v>0</v>
      </c>
      <c r="CY75" s="29">
        <f t="shared" ca="1" si="42"/>
        <v>1</v>
      </c>
      <c r="CZ75" s="29">
        <f t="shared" ca="1" si="42"/>
        <v>2</v>
      </c>
      <c r="DA75" s="29">
        <f t="shared" ca="1" si="42"/>
        <v>0</v>
      </c>
      <c r="DB75" s="29">
        <f t="shared" ca="1" si="42"/>
        <v>7</v>
      </c>
      <c r="DC75" s="29">
        <f t="shared" ca="1" si="42"/>
        <v>2</v>
      </c>
      <c r="DD75" s="29">
        <f t="shared" ca="1" si="42"/>
        <v>2</v>
      </c>
      <c r="DE75" s="29">
        <f t="shared" ca="1" si="42"/>
        <v>2</v>
      </c>
      <c r="DF75" s="29">
        <f t="shared" ca="1" si="42"/>
        <v>1</v>
      </c>
      <c r="DG75" s="29">
        <f t="shared" ca="1" si="42"/>
        <v>2</v>
      </c>
      <c r="DH75" s="29">
        <f t="shared" ca="1" si="42"/>
        <v>1</v>
      </c>
      <c r="DI75" s="29">
        <f t="shared" ca="1" si="42"/>
        <v>3</v>
      </c>
      <c r="DJ75" s="29">
        <f t="shared" ca="1" si="42"/>
        <v>3</v>
      </c>
      <c r="DK75" s="29">
        <f t="shared" ca="1" si="42"/>
        <v>0</v>
      </c>
      <c r="DL75" s="29">
        <f t="shared" ca="1" si="42"/>
        <v>1</v>
      </c>
    </row>
    <row r="76" spans="1:116" ht="14.4" x14ac:dyDescent="0.3">
      <c r="A76" s="31">
        <v>749</v>
      </c>
      <c r="B76" s="28">
        <v>3.84</v>
      </c>
      <c r="C76" s="30">
        <v>40.520000000000003</v>
      </c>
      <c r="D76" s="28">
        <v>3.07</v>
      </c>
      <c r="E76" s="34">
        <f t="shared" si="43"/>
        <v>6.1399999999999996E-2</v>
      </c>
      <c r="F76" s="35">
        <f t="shared" si="44"/>
        <v>10.130000000000001</v>
      </c>
      <c r="G76" s="34">
        <f t="shared" si="45"/>
        <v>76.75</v>
      </c>
      <c r="H76" s="33">
        <f t="shared" si="46"/>
        <v>17.348958333333336</v>
      </c>
      <c r="I76" s="28">
        <f t="shared" si="49"/>
        <v>146.63</v>
      </c>
      <c r="J76" s="32">
        <v>1</v>
      </c>
      <c r="K76" s="30">
        <f t="shared" si="47"/>
        <v>10.130000000000001</v>
      </c>
      <c r="L76" s="30"/>
      <c r="M76" s="30"/>
      <c r="N76" s="30"/>
      <c r="O76" s="30"/>
      <c r="Q76" s="29">
        <f t="shared" ca="1" si="48"/>
        <v>3</v>
      </c>
      <c r="R76" s="29">
        <f t="shared" ca="1" si="51"/>
        <v>3</v>
      </c>
      <c r="S76" s="29">
        <f t="shared" ca="1" si="51"/>
        <v>2</v>
      </c>
      <c r="T76" s="29">
        <f t="shared" ca="1" si="51"/>
        <v>4</v>
      </c>
      <c r="U76" s="29">
        <f t="shared" ca="1" si="51"/>
        <v>2</v>
      </c>
      <c r="V76" s="29">
        <f t="shared" ca="1" si="51"/>
        <v>6</v>
      </c>
      <c r="W76" s="29">
        <f t="shared" ca="1" si="51"/>
        <v>2</v>
      </c>
      <c r="X76" s="29">
        <f t="shared" ca="1" si="51"/>
        <v>1</v>
      </c>
      <c r="Y76" s="29">
        <f t="shared" ca="1" si="51"/>
        <v>4</v>
      </c>
      <c r="Z76" s="29">
        <f t="shared" ca="1" si="51"/>
        <v>4</v>
      </c>
      <c r="AA76" s="29">
        <f t="shared" ca="1" si="51"/>
        <v>3</v>
      </c>
      <c r="AB76" s="29">
        <f t="shared" ca="1" si="51"/>
        <v>3</v>
      </c>
      <c r="AC76" s="29">
        <f t="shared" ca="1" si="51"/>
        <v>3</v>
      </c>
      <c r="AD76" s="29">
        <f t="shared" ca="1" si="51"/>
        <v>3</v>
      </c>
      <c r="AE76" s="29">
        <f t="shared" ca="1" si="51"/>
        <v>3</v>
      </c>
      <c r="AF76" s="29">
        <f t="shared" ca="1" si="51"/>
        <v>4</v>
      </c>
      <c r="AG76" s="29">
        <f t="shared" ca="1" si="50"/>
        <v>5</v>
      </c>
      <c r="AH76" s="29">
        <f t="shared" ca="1" si="50"/>
        <v>2</v>
      </c>
      <c r="AI76" s="29">
        <f t="shared" ca="1" si="50"/>
        <v>3</v>
      </c>
      <c r="AJ76" s="29">
        <f t="shared" ca="1" si="50"/>
        <v>4</v>
      </c>
      <c r="AK76" s="29">
        <f t="shared" ca="1" si="50"/>
        <v>4</v>
      </c>
      <c r="AL76" s="29">
        <f t="shared" ca="1" si="50"/>
        <v>2</v>
      </c>
      <c r="AM76" s="29">
        <f t="shared" ca="1" si="50"/>
        <v>4</v>
      </c>
      <c r="AN76" s="29">
        <f t="shared" ca="1" si="50"/>
        <v>4</v>
      </c>
      <c r="AO76" s="29">
        <f t="shared" ca="1" si="50"/>
        <v>1</v>
      </c>
      <c r="AP76" s="29">
        <f t="shared" ca="1" si="50"/>
        <v>4</v>
      </c>
      <c r="AQ76" s="29">
        <f t="shared" ca="1" si="50"/>
        <v>3</v>
      </c>
      <c r="AR76" s="29">
        <f t="shared" ca="1" si="50"/>
        <v>1</v>
      </c>
      <c r="AS76" s="29">
        <f t="shared" ca="1" si="50"/>
        <v>2</v>
      </c>
      <c r="AT76" s="29">
        <f t="shared" ca="1" si="50"/>
        <v>2</v>
      </c>
      <c r="AU76" s="29">
        <f t="shared" ca="1" si="50"/>
        <v>5</v>
      </c>
      <c r="AV76" s="29">
        <f t="shared" ca="1" si="39"/>
        <v>4</v>
      </c>
      <c r="AW76" s="29">
        <f t="shared" ca="1" si="39"/>
        <v>3</v>
      </c>
      <c r="AX76" s="29">
        <f t="shared" ca="1" si="39"/>
        <v>2</v>
      </c>
      <c r="AY76" s="29">
        <f t="shared" ca="1" si="39"/>
        <v>3</v>
      </c>
      <c r="AZ76" s="29">
        <f t="shared" ca="1" si="39"/>
        <v>5</v>
      </c>
      <c r="BA76" s="29">
        <f t="shared" ca="1" si="39"/>
        <v>6</v>
      </c>
      <c r="BB76" s="29">
        <f t="shared" ca="1" si="39"/>
        <v>5</v>
      </c>
      <c r="BC76" s="29">
        <f t="shared" ca="1" si="39"/>
        <v>3</v>
      </c>
      <c r="BD76" s="29">
        <f t="shared" ca="1" si="39"/>
        <v>5</v>
      </c>
      <c r="BE76" s="29">
        <f t="shared" ca="1" si="39"/>
        <v>3</v>
      </c>
      <c r="BF76" s="29">
        <f t="shared" ca="1" si="39"/>
        <v>2</v>
      </c>
      <c r="BG76" s="29">
        <f t="shared" ca="1" si="39"/>
        <v>1</v>
      </c>
      <c r="BH76" s="29">
        <f t="shared" ca="1" si="39"/>
        <v>3</v>
      </c>
      <c r="BI76" s="29">
        <f t="shared" ca="1" si="39"/>
        <v>4</v>
      </c>
      <c r="BJ76" s="29">
        <f t="shared" ca="1" si="39"/>
        <v>0</v>
      </c>
      <c r="BK76" s="29">
        <f t="shared" ref="BK76:BZ91" ca="1" si="53">_xlfn.BINOM.INV(50,$E76,RAND())</f>
        <v>3</v>
      </c>
      <c r="BL76" s="29">
        <f t="shared" ca="1" si="53"/>
        <v>4</v>
      </c>
      <c r="BM76" s="29">
        <f t="shared" ca="1" si="53"/>
        <v>3</v>
      </c>
      <c r="BN76" s="29">
        <f t="shared" ca="1" si="53"/>
        <v>5</v>
      </c>
      <c r="BO76" s="29">
        <f t="shared" ca="1" si="53"/>
        <v>0</v>
      </c>
      <c r="BP76" s="29">
        <f t="shared" ca="1" si="53"/>
        <v>2</v>
      </c>
      <c r="BQ76" s="29">
        <f t="shared" ca="1" si="53"/>
        <v>1</v>
      </c>
      <c r="BR76" s="29">
        <f t="shared" ca="1" si="53"/>
        <v>2</v>
      </c>
      <c r="BS76" s="29">
        <f t="shared" ca="1" si="53"/>
        <v>1</v>
      </c>
      <c r="BT76" s="29">
        <f t="shared" ca="1" si="53"/>
        <v>3</v>
      </c>
      <c r="BU76" s="29">
        <f t="shared" ca="1" si="53"/>
        <v>4</v>
      </c>
      <c r="BV76" s="29">
        <f t="shared" ca="1" si="53"/>
        <v>1</v>
      </c>
      <c r="BW76" s="29">
        <f t="shared" ca="1" si="53"/>
        <v>1</v>
      </c>
      <c r="BX76" s="29">
        <f t="shared" ca="1" si="53"/>
        <v>8</v>
      </c>
      <c r="BY76" s="29">
        <f t="shared" ca="1" si="53"/>
        <v>3</v>
      </c>
      <c r="BZ76" s="29">
        <f t="shared" ca="1" si="53"/>
        <v>0</v>
      </c>
      <c r="CA76" s="29">
        <f t="shared" ca="1" si="52"/>
        <v>3</v>
      </c>
      <c r="CB76" s="29">
        <f t="shared" ca="1" si="52"/>
        <v>4</v>
      </c>
      <c r="CC76" s="29">
        <f t="shared" ca="1" si="52"/>
        <v>0</v>
      </c>
      <c r="CD76" s="29">
        <f t="shared" ca="1" si="40"/>
        <v>5</v>
      </c>
      <c r="CE76" s="29">
        <f t="shared" ca="1" si="40"/>
        <v>2</v>
      </c>
      <c r="CF76" s="29">
        <f t="shared" ca="1" si="40"/>
        <v>2</v>
      </c>
      <c r="CG76" s="29">
        <f t="shared" ca="1" si="40"/>
        <v>3</v>
      </c>
      <c r="CH76" s="29">
        <f t="shared" ca="1" si="40"/>
        <v>0</v>
      </c>
      <c r="CI76" s="29">
        <f t="shared" ca="1" si="40"/>
        <v>0</v>
      </c>
      <c r="CJ76" s="29">
        <f t="shared" ca="1" si="40"/>
        <v>1</v>
      </c>
      <c r="CK76" s="29">
        <f t="shared" ca="1" si="40"/>
        <v>4</v>
      </c>
      <c r="CL76" s="29">
        <f t="shared" ca="1" si="40"/>
        <v>2</v>
      </c>
      <c r="CM76" s="29">
        <f t="shared" ca="1" si="40"/>
        <v>8</v>
      </c>
      <c r="CN76" s="29">
        <f t="shared" ca="1" si="40"/>
        <v>2</v>
      </c>
      <c r="CO76" s="29">
        <f t="shared" ca="1" si="40"/>
        <v>1</v>
      </c>
      <c r="CP76" s="29">
        <f t="shared" ca="1" si="40"/>
        <v>4</v>
      </c>
      <c r="CQ76" s="29">
        <f t="shared" ca="1" si="40"/>
        <v>5</v>
      </c>
      <c r="CR76" s="29">
        <f t="shared" ca="1" si="38"/>
        <v>5</v>
      </c>
      <c r="CS76" s="29">
        <f t="shared" ca="1" si="38"/>
        <v>3</v>
      </c>
      <c r="CT76" s="29">
        <f t="shared" ca="1" si="38"/>
        <v>6</v>
      </c>
      <c r="CU76" s="29">
        <f t="shared" ca="1" si="38"/>
        <v>2</v>
      </c>
      <c r="CV76" s="29">
        <f t="shared" ca="1" si="38"/>
        <v>1</v>
      </c>
      <c r="CW76" s="29">
        <f t="shared" ca="1" si="38"/>
        <v>4</v>
      </c>
      <c r="CX76" s="29">
        <f t="shared" ca="1" si="42"/>
        <v>3</v>
      </c>
      <c r="CY76" s="29">
        <f t="shared" ca="1" si="42"/>
        <v>5</v>
      </c>
      <c r="CZ76" s="29">
        <f t="shared" ca="1" si="42"/>
        <v>1</v>
      </c>
      <c r="DA76" s="29">
        <f t="shared" ca="1" si="42"/>
        <v>3</v>
      </c>
      <c r="DB76" s="29">
        <f t="shared" ca="1" si="42"/>
        <v>1</v>
      </c>
      <c r="DC76" s="29">
        <f t="shared" ca="1" si="42"/>
        <v>3</v>
      </c>
      <c r="DD76" s="29">
        <f t="shared" ca="1" si="42"/>
        <v>2</v>
      </c>
      <c r="DE76" s="29">
        <f t="shared" ca="1" si="42"/>
        <v>1</v>
      </c>
      <c r="DF76" s="29">
        <f t="shared" ca="1" si="42"/>
        <v>4</v>
      </c>
      <c r="DG76" s="29">
        <f t="shared" ca="1" si="42"/>
        <v>3</v>
      </c>
      <c r="DH76" s="29">
        <f t="shared" ca="1" si="42"/>
        <v>2</v>
      </c>
      <c r="DI76" s="29">
        <f t="shared" ca="1" si="42"/>
        <v>3</v>
      </c>
      <c r="DJ76" s="29">
        <f t="shared" ca="1" si="42"/>
        <v>2</v>
      </c>
      <c r="DK76" s="29">
        <f t="shared" ca="1" si="42"/>
        <v>1</v>
      </c>
      <c r="DL76" s="29">
        <f t="shared" ca="1" si="42"/>
        <v>3</v>
      </c>
    </row>
    <row r="77" spans="1:116" ht="14.4" x14ac:dyDescent="0.3">
      <c r="A77" s="31">
        <v>1012</v>
      </c>
      <c r="B77" s="28">
        <v>3.65</v>
      </c>
      <c r="C77" s="30">
        <v>14.82</v>
      </c>
      <c r="D77" s="28">
        <v>2.67</v>
      </c>
      <c r="E77" s="34">
        <f t="shared" si="43"/>
        <v>5.3399999999999996E-2</v>
      </c>
      <c r="F77" s="35">
        <f t="shared" si="44"/>
        <v>3.7050000000000001</v>
      </c>
      <c r="G77" s="34">
        <f t="shared" si="45"/>
        <v>66.75</v>
      </c>
      <c r="H77" s="33">
        <f t="shared" si="46"/>
        <v>17.272602739726029</v>
      </c>
      <c r="I77" s="28">
        <f t="shared" si="49"/>
        <v>150.28</v>
      </c>
      <c r="J77" s="32">
        <v>1</v>
      </c>
      <c r="K77" s="30">
        <f t="shared" si="47"/>
        <v>3.7050000000000001</v>
      </c>
      <c r="L77" s="30"/>
      <c r="M77" s="30"/>
      <c r="N77" s="30"/>
      <c r="O77" s="30"/>
      <c r="Q77" s="29">
        <f t="shared" ca="1" si="48"/>
        <v>1</v>
      </c>
      <c r="R77" s="29">
        <f t="shared" ca="1" si="51"/>
        <v>1</v>
      </c>
      <c r="S77" s="29">
        <f t="shared" ca="1" si="51"/>
        <v>2</v>
      </c>
      <c r="T77" s="29">
        <f t="shared" ca="1" si="51"/>
        <v>3</v>
      </c>
      <c r="U77" s="29">
        <f t="shared" ca="1" si="51"/>
        <v>4</v>
      </c>
      <c r="V77" s="29">
        <f t="shared" ca="1" si="51"/>
        <v>5</v>
      </c>
      <c r="W77" s="29">
        <f t="shared" ca="1" si="51"/>
        <v>1</v>
      </c>
      <c r="X77" s="29">
        <f t="shared" ca="1" si="51"/>
        <v>2</v>
      </c>
      <c r="Y77" s="29">
        <f t="shared" ca="1" si="51"/>
        <v>2</v>
      </c>
      <c r="Z77" s="29">
        <f t="shared" ca="1" si="51"/>
        <v>3</v>
      </c>
      <c r="AA77" s="29">
        <f t="shared" ca="1" si="51"/>
        <v>0</v>
      </c>
      <c r="AB77" s="29">
        <f t="shared" ca="1" si="51"/>
        <v>2</v>
      </c>
      <c r="AC77" s="29">
        <f t="shared" ca="1" si="51"/>
        <v>3</v>
      </c>
      <c r="AD77" s="29">
        <f t="shared" ca="1" si="51"/>
        <v>4</v>
      </c>
      <c r="AE77" s="29">
        <f t="shared" ca="1" si="51"/>
        <v>3</v>
      </c>
      <c r="AF77" s="29">
        <f t="shared" ca="1" si="51"/>
        <v>4</v>
      </c>
      <c r="AG77" s="29">
        <f t="shared" ca="1" si="50"/>
        <v>4</v>
      </c>
      <c r="AH77" s="29">
        <f t="shared" ca="1" si="50"/>
        <v>1</v>
      </c>
      <c r="AI77" s="29">
        <f t="shared" ca="1" si="50"/>
        <v>3</v>
      </c>
      <c r="AJ77" s="29">
        <f t="shared" ca="1" si="50"/>
        <v>1</v>
      </c>
      <c r="AK77" s="29">
        <f t="shared" ca="1" si="50"/>
        <v>3</v>
      </c>
      <c r="AL77" s="29">
        <f t="shared" ca="1" si="50"/>
        <v>1</v>
      </c>
      <c r="AM77" s="29">
        <f t="shared" ca="1" si="50"/>
        <v>3</v>
      </c>
      <c r="AN77" s="29">
        <f t="shared" ca="1" si="50"/>
        <v>4</v>
      </c>
      <c r="AO77" s="29">
        <f t="shared" ca="1" si="50"/>
        <v>3</v>
      </c>
      <c r="AP77" s="29">
        <f t="shared" ca="1" si="50"/>
        <v>0</v>
      </c>
      <c r="AQ77" s="29">
        <f t="shared" ca="1" si="50"/>
        <v>3</v>
      </c>
      <c r="AR77" s="29">
        <f t="shared" ca="1" si="50"/>
        <v>2</v>
      </c>
      <c r="AS77" s="29">
        <f t="shared" ca="1" si="50"/>
        <v>5</v>
      </c>
      <c r="AT77" s="29">
        <f t="shared" ca="1" si="50"/>
        <v>2</v>
      </c>
      <c r="AU77" s="29">
        <f t="shared" ca="1" si="50"/>
        <v>4</v>
      </c>
      <c r="AV77" s="29">
        <f t="shared" ref="AV77:BK92" ca="1" si="54">_xlfn.BINOM.INV(50,$E77,RAND())</f>
        <v>1</v>
      </c>
      <c r="AW77" s="29">
        <f t="shared" ca="1" si="54"/>
        <v>3</v>
      </c>
      <c r="AX77" s="29">
        <f t="shared" ca="1" si="54"/>
        <v>4</v>
      </c>
      <c r="AY77" s="29">
        <f t="shared" ca="1" si="54"/>
        <v>4</v>
      </c>
      <c r="AZ77" s="29">
        <f t="shared" ca="1" si="54"/>
        <v>2</v>
      </c>
      <c r="BA77" s="29">
        <f t="shared" ca="1" si="54"/>
        <v>5</v>
      </c>
      <c r="BB77" s="29">
        <f t="shared" ca="1" si="54"/>
        <v>1</v>
      </c>
      <c r="BC77" s="29">
        <f t="shared" ca="1" si="54"/>
        <v>3</v>
      </c>
      <c r="BD77" s="29">
        <f t="shared" ca="1" si="54"/>
        <v>3</v>
      </c>
      <c r="BE77" s="29">
        <f t="shared" ca="1" si="54"/>
        <v>1</v>
      </c>
      <c r="BF77" s="29">
        <f t="shared" ca="1" si="54"/>
        <v>3</v>
      </c>
      <c r="BG77" s="29">
        <f t="shared" ca="1" si="54"/>
        <v>4</v>
      </c>
      <c r="BH77" s="29">
        <f t="shared" ca="1" si="54"/>
        <v>2</v>
      </c>
      <c r="BI77" s="29">
        <f t="shared" ca="1" si="54"/>
        <v>4</v>
      </c>
      <c r="BJ77" s="29">
        <f t="shared" ca="1" si="54"/>
        <v>3</v>
      </c>
      <c r="BK77" s="29">
        <f t="shared" ca="1" si="54"/>
        <v>3</v>
      </c>
      <c r="BL77" s="29">
        <f t="shared" ca="1" si="53"/>
        <v>2</v>
      </c>
      <c r="BM77" s="29">
        <f t="shared" ca="1" si="53"/>
        <v>2</v>
      </c>
      <c r="BN77" s="29">
        <f t="shared" ca="1" si="53"/>
        <v>2</v>
      </c>
      <c r="BO77" s="29">
        <f t="shared" ca="1" si="53"/>
        <v>4</v>
      </c>
      <c r="BP77" s="29">
        <f t="shared" ca="1" si="53"/>
        <v>4</v>
      </c>
      <c r="BQ77" s="29">
        <f t="shared" ca="1" si="53"/>
        <v>3</v>
      </c>
      <c r="BR77" s="29">
        <f t="shared" ca="1" si="53"/>
        <v>3</v>
      </c>
      <c r="BS77" s="29">
        <f t="shared" ca="1" si="53"/>
        <v>4</v>
      </c>
      <c r="BT77" s="29">
        <f t="shared" ca="1" si="53"/>
        <v>4</v>
      </c>
      <c r="BU77" s="29">
        <f t="shared" ca="1" si="53"/>
        <v>0</v>
      </c>
      <c r="BV77" s="29">
        <f t="shared" ca="1" si="53"/>
        <v>0</v>
      </c>
      <c r="BW77" s="29">
        <f t="shared" ca="1" si="53"/>
        <v>0</v>
      </c>
      <c r="BX77" s="29">
        <f t="shared" ca="1" si="53"/>
        <v>3</v>
      </c>
      <c r="BY77" s="29">
        <f t="shared" ca="1" si="53"/>
        <v>6</v>
      </c>
      <c r="BZ77" s="29">
        <f t="shared" ca="1" si="53"/>
        <v>6</v>
      </c>
      <c r="CA77" s="29">
        <f t="shared" ca="1" si="52"/>
        <v>1</v>
      </c>
      <c r="CB77" s="29">
        <f t="shared" ca="1" si="52"/>
        <v>4</v>
      </c>
      <c r="CC77" s="29">
        <f t="shared" ca="1" si="52"/>
        <v>1</v>
      </c>
      <c r="CD77" s="29">
        <f t="shared" ca="1" si="40"/>
        <v>2</v>
      </c>
      <c r="CE77" s="29">
        <f t="shared" ca="1" si="40"/>
        <v>2</v>
      </c>
      <c r="CF77" s="29">
        <f t="shared" ca="1" si="40"/>
        <v>3</v>
      </c>
      <c r="CG77" s="29">
        <f t="shared" ref="CG77:CV92" ca="1" si="55">_xlfn.BINOM.INV(50,$E77,RAND())</f>
        <v>4</v>
      </c>
      <c r="CH77" s="29">
        <f t="shared" ca="1" si="55"/>
        <v>5</v>
      </c>
      <c r="CI77" s="29">
        <f t="shared" ca="1" si="55"/>
        <v>2</v>
      </c>
      <c r="CJ77" s="29">
        <f t="shared" ca="1" si="55"/>
        <v>3</v>
      </c>
      <c r="CK77" s="29">
        <f t="shared" ca="1" si="55"/>
        <v>2</v>
      </c>
      <c r="CL77" s="29">
        <f t="shared" ca="1" si="55"/>
        <v>1</v>
      </c>
      <c r="CM77" s="29">
        <f t="shared" ca="1" si="55"/>
        <v>3</v>
      </c>
      <c r="CN77" s="29">
        <f t="shared" ca="1" si="55"/>
        <v>2</v>
      </c>
      <c r="CO77" s="29">
        <f t="shared" ca="1" si="55"/>
        <v>3</v>
      </c>
      <c r="CP77" s="29">
        <f t="shared" ca="1" si="55"/>
        <v>3</v>
      </c>
      <c r="CQ77" s="29">
        <f t="shared" ca="1" si="55"/>
        <v>4</v>
      </c>
      <c r="CR77" s="29">
        <f t="shared" ca="1" si="55"/>
        <v>4</v>
      </c>
      <c r="CS77" s="29">
        <f t="shared" ca="1" si="55"/>
        <v>3</v>
      </c>
      <c r="CT77" s="29">
        <f t="shared" ca="1" si="55"/>
        <v>4</v>
      </c>
      <c r="CU77" s="29">
        <f t="shared" ca="1" si="55"/>
        <v>3</v>
      </c>
      <c r="CV77" s="29">
        <f t="shared" ca="1" si="55"/>
        <v>2</v>
      </c>
      <c r="CW77" s="29">
        <f t="shared" ca="1" si="38"/>
        <v>3</v>
      </c>
      <c r="CX77" s="29">
        <f t="shared" ca="1" si="42"/>
        <v>0</v>
      </c>
      <c r="CY77" s="29">
        <f t="shared" ca="1" si="42"/>
        <v>1</v>
      </c>
      <c r="CZ77" s="29">
        <f t="shared" ca="1" si="42"/>
        <v>3</v>
      </c>
      <c r="DA77" s="29">
        <f t="shared" ca="1" si="42"/>
        <v>3</v>
      </c>
      <c r="DB77" s="29">
        <f t="shared" ca="1" si="42"/>
        <v>4</v>
      </c>
      <c r="DC77" s="29">
        <f t="shared" ca="1" si="42"/>
        <v>0</v>
      </c>
      <c r="DD77" s="29">
        <f t="shared" ca="1" si="42"/>
        <v>4</v>
      </c>
      <c r="DE77" s="29">
        <f t="shared" ca="1" si="42"/>
        <v>3</v>
      </c>
      <c r="DF77" s="29">
        <f t="shared" ca="1" si="42"/>
        <v>2</v>
      </c>
      <c r="DG77" s="29">
        <f t="shared" ca="1" si="42"/>
        <v>1</v>
      </c>
      <c r="DH77" s="29">
        <f t="shared" ca="1" si="42"/>
        <v>1</v>
      </c>
      <c r="DI77" s="29">
        <f t="shared" ca="1" si="42"/>
        <v>1</v>
      </c>
      <c r="DJ77" s="29">
        <f t="shared" ca="1" si="42"/>
        <v>5</v>
      </c>
      <c r="DK77" s="29">
        <f t="shared" ca="1" si="42"/>
        <v>3</v>
      </c>
      <c r="DL77" s="29">
        <f t="shared" ca="1" si="42"/>
        <v>6</v>
      </c>
    </row>
    <row r="78" spans="1:116" ht="14.4" x14ac:dyDescent="0.3">
      <c r="A78" s="31">
        <v>41</v>
      </c>
      <c r="B78" s="28">
        <v>2.61</v>
      </c>
      <c r="C78" s="30">
        <v>57.87</v>
      </c>
      <c r="D78" s="28">
        <v>2.37</v>
      </c>
      <c r="E78" s="34">
        <f t="shared" si="43"/>
        <v>4.7400000000000005E-2</v>
      </c>
      <c r="F78" s="35">
        <f t="shared" si="44"/>
        <v>14.467499999999999</v>
      </c>
      <c r="G78" s="34">
        <f t="shared" si="45"/>
        <v>59.25</v>
      </c>
      <c r="H78" s="33">
        <f t="shared" si="46"/>
        <v>17.158045977011493</v>
      </c>
      <c r="I78" s="28">
        <f t="shared" si="49"/>
        <v>152.89000000000001</v>
      </c>
      <c r="J78" s="32">
        <v>1</v>
      </c>
      <c r="K78" s="30">
        <f t="shared" si="47"/>
        <v>14.467499999999999</v>
      </c>
      <c r="L78" s="30"/>
      <c r="M78" s="30"/>
      <c r="N78" s="30"/>
      <c r="O78" s="30"/>
      <c r="Q78" s="29">
        <f t="shared" ca="1" si="48"/>
        <v>1</v>
      </c>
      <c r="R78" s="29">
        <f t="shared" ca="1" si="51"/>
        <v>0</v>
      </c>
      <c r="S78" s="29">
        <f t="shared" ca="1" si="51"/>
        <v>5</v>
      </c>
      <c r="T78" s="29">
        <f t="shared" ca="1" si="51"/>
        <v>1</v>
      </c>
      <c r="U78" s="29">
        <f t="shared" ca="1" si="51"/>
        <v>2</v>
      </c>
      <c r="V78" s="29">
        <f t="shared" ca="1" si="51"/>
        <v>2</v>
      </c>
      <c r="W78" s="29">
        <f t="shared" ca="1" si="51"/>
        <v>4</v>
      </c>
      <c r="X78" s="29">
        <f t="shared" ca="1" si="51"/>
        <v>0</v>
      </c>
      <c r="Y78" s="29">
        <f t="shared" ca="1" si="51"/>
        <v>2</v>
      </c>
      <c r="Z78" s="29">
        <f t="shared" ca="1" si="51"/>
        <v>4</v>
      </c>
      <c r="AA78" s="29">
        <f t="shared" ca="1" si="51"/>
        <v>1</v>
      </c>
      <c r="AB78" s="29">
        <f t="shared" ca="1" si="51"/>
        <v>1</v>
      </c>
      <c r="AC78" s="29">
        <f t="shared" ca="1" si="51"/>
        <v>2</v>
      </c>
      <c r="AD78" s="29">
        <f t="shared" ca="1" si="51"/>
        <v>5</v>
      </c>
      <c r="AE78" s="29">
        <f t="shared" ca="1" si="51"/>
        <v>2</v>
      </c>
      <c r="AF78" s="29">
        <f t="shared" ca="1" si="51"/>
        <v>3</v>
      </c>
      <c r="AG78" s="29">
        <f t="shared" ca="1" si="50"/>
        <v>2</v>
      </c>
      <c r="AH78" s="29">
        <f t="shared" ca="1" si="50"/>
        <v>3</v>
      </c>
      <c r="AI78" s="29">
        <f t="shared" ca="1" si="50"/>
        <v>3</v>
      </c>
      <c r="AJ78" s="29">
        <f t="shared" ca="1" si="50"/>
        <v>1</v>
      </c>
      <c r="AK78" s="29">
        <f t="shared" ca="1" si="50"/>
        <v>1</v>
      </c>
      <c r="AL78" s="29">
        <f t="shared" ca="1" si="50"/>
        <v>4</v>
      </c>
      <c r="AM78" s="29">
        <f t="shared" ca="1" si="50"/>
        <v>5</v>
      </c>
      <c r="AN78" s="29">
        <f t="shared" ca="1" si="50"/>
        <v>2</v>
      </c>
      <c r="AO78" s="29">
        <f t="shared" ca="1" si="50"/>
        <v>2</v>
      </c>
      <c r="AP78" s="29">
        <f t="shared" ca="1" si="50"/>
        <v>3</v>
      </c>
      <c r="AQ78" s="29">
        <f t="shared" ca="1" si="50"/>
        <v>2</v>
      </c>
      <c r="AR78" s="29">
        <f t="shared" ca="1" si="50"/>
        <v>3</v>
      </c>
      <c r="AS78" s="29">
        <f t="shared" ca="1" si="50"/>
        <v>2</v>
      </c>
      <c r="AT78" s="29">
        <f t="shared" ca="1" si="50"/>
        <v>2</v>
      </c>
      <c r="AU78" s="29">
        <f t="shared" ca="1" si="50"/>
        <v>2</v>
      </c>
      <c r="AV78" s="29">
        <f t="shared" ca="1" si="54"/>
        <v>2</v>
      </c>
      <c r="AW78" s="29">
        <f t="shared" ca="1" si="54"/>
        <v>1</v>
      </c>
      <c r="AX78" s="29">
        <f t="shared" ca="1" si="54"/>
        <v>2</v>
      </c>
      <c r="AY78" s="29">
        <f t="shared" ca="1" si="54"/>
        <v>4</v>
      </c>
      <c r="AZ78" s="29">
        <f t="shared" ca="1" si="54"/>
        <v>3</v>
      </c>
      <c r="BA78" s="29">
        <f t="shared" ca="1" si="54"/>
        <v>0</v>
      </c>
      <c r="BB78" s="29">
        <f t="shared" ca="1" si="54"/>
        <v>1</v>
      </c>
      <c r="BC78" s="29">
        <f t="shared" ca="1" si="54"/>
        <v>2</v>
      </c>
      <c r="BD78" s="29">
        <f t="shared" ca="1" si="54"/>
        <v>1</v>
      </c>
      <c r="BE78" s="29">
        <f t="shared" ca="1" si="54"/>
        <v>0</v>
      </c>
      <c r="BF78" s="29">
        <f t="shared" ca="1" si="54"/>
        <v>0</v>
      </c>
      <c r="BG78" s="29">
        <f t="shared" ca="1" si="54"/>
        <v>1</v>
      </c>
      <c r="BH78" s="29">
        <f t="shared" ca="1" si="54"/>
        <v>3</v>
      </c>
      <c r="BI78" s="29">
        <f t="shared" ca="1" si="54"/>
        <v>2</v>
      </c>
      <c r="BJ78" s="29">
        <f t="shared" ca="1" si="54"/>
        <v>2</v>
      </c>
      <c r="BK78" s="29">
        <f t="shared" ca="1" si="54"/>
        <v>2</v>
      </c>
      <c r="BL78" s="29">
        <f t="shared" ca="1" si="53"/>
        <v>1</v>
      </c>
      <c r="BM78" s="29">
        <f t="shared" ca="1" si="53"/>
        <v>3</v>
      </c>
      <c r="BN78" s="29">
        <f t="shared" ca="1" si="53"/>
        <v>1</v>
      </c>
      <c r="BO78" s="29">
        <f t="shared" ca="1" si="53"/>
        <v>2</v>
      </c>
      <c r="BP78" s="29">
        <f t="shared" ca="1" si="53"/>
        <v>2</v>
      </c>
      <c r="BQ78" s="29">
        <f t="shared" ca="1" si="53"/>
        <v>6</v>
      </c>
      <c r="BR78" s="29">
        <f t="shared" ca="1" si="53"/>
        <v>1</v>
      </c>
      <c r="BS78" s="29">
        <f t="shared" ca="1" si="53"/>
        <v>4</v>
      </c>
      <c r="BT78" s="29">
        <f t="shared" ca="1" si="53"/>
        <v>1</v>
      </c>
      <c r="BU78" s="29">
        <f t="shared" ca="1" si="53"/>
        <v>3</v>
      </c>
      <c r="BV78" s="29">
        <f t="shared" ca="1" si="53"/>
        <v>0</v>
      </c>
      <c r="BW78" s="29">
        <f t="shared" ca="1" si="53"/>
        <v>5</v>
      </c>
      <c r="BX78" s="29">
        <f t="shared" ca="1" si="53"/>
        <v>3</v>
      </c>
      <c r="BY78" s="29">
        <f t="shared" ca="1" si="53"/>
        <v>2</v>
      </c>
      <c r="BZ78" s="29">
        <f t="shared" ca="1" si="53"/>
        <v>0</v>
      </c>
      <c r="CA78" s="29">
        <f t="shared" ca="1" si="52"/>
        <v>0</v>
      </c>
      <c r="CB78" s="29">
        <f t="shared" ca="1" si="52"/>
        <v>2</v>
      </c>
      <c r="CC78" s="29">
        <f t="shared" ca="1" si="52"/>
        <v>1</v>
      </c>
      <c r="CD78" s="29">
        <f t="shared" ca="1" si="52"/>
        <v>2</v>
      </c>
      <c r="CE78" s="29">
        <f t="shared" ca="1" si="52"/>
        <v>2</v>
      </c>
      <c r="CF78" s="29">
        <f t="shared" ca="1" si="52"/>
        <v>1</v>
      </c>
      <c r="CG78" s="29">
        <f t="shared" ca="1" si="52"/>
        <v>3</v>
      </c>
      <c r="CH78" s="29">
        <f t="shared" ca="1" si="52"/>
        <v>0</v>
      </c>
      <c r="CI78" s="29">
        <f t="shared" ca="1" si="52"/>
        <v>3</v>
      </c>
      <c r="CJ78" s="29">
        <f t="shared" ca="1" si="52"/>
        <v>3</v>
      </c>
      <c r="CK78" s="29">
        <f t="shared" ca="1" si="52"/>
        <v>1</v>
      </c>
      <c r="CL78" s="29">
        <f t="shared" ca="1" si="52"/>
        <v>4</v>
      </c>
      <c r="CM78" s="29">
        <f t="shared" ca="1" si="52"/>
        <v>3</v>
      </c>
      <c r="CN78" s="29">
        <f t="shared" ca="1" si="52"/>
        <v>1</v>
      </c>
      <c r="CO78" s="29">
        <f t="shared" ca="1" si="52"/>
        <v>3</v>
      </c>
      <c r="CP78" s="29">
        <f t="shared" ca="1" si="52"/>
        <v>3</v>
      </c>
      <c r="CQ78" s="29">
        <f t="shared" ca="1" si="55"/>
        <v>0</v>
      </c>
      <c r="CR78" s="29">
        <f t="shared" ca="1" si="55"/>
        <v>3</v>
      </c>
      <c r="CS78" s="29">
        <f t="shared" ca="1" si="55"/>
        <v>0</v>
      </c>
      <c r="CT78" s="29">
        <f t="shared" ca="1" si="55"/>
        <v>0</v>
      </c>
      <c r="CU78" s="29">
        <f t="shared" ca="1" si="55"/>
        <v>2</v>
      </c>
      <c r="CV78" s="29">
        <f t="shared" ca="1" si="55"/>
        <v>1</v>
      </c>
      <c r="CW78" s="29">
        <f t="shared" ca="1" si="38"/>
        <v>2</v>
      </c>
      <c r="CX78" s="29">
        <f t="shared" ca="1" si="42"/>
        <v>3</v>
      </c>
      <c r="CY78" s="29">
        <f t="shared" ca="1" si="42"/>
        <v>1</v>
      </c>
      <c r="CZ78" s="29">
        <f t="shared" ca="1" si="42"/>
        <v>0</v>
      </c>
      <c r="DA78" s="29">
        <f t="shared" ca="1" si="42"/>
        <v>3</v>
      </c>
      <c r="DB78" s="29">
        <f t="shared" ca="1" si="42"/>
        <v>1</v>
      </c>
      <c r="DC78" s="29">
        <f t="shared" ca="1" si="42"/>
        <v>0</v>
      </c>
      <c r="DD78" s="29">
        <f t="shared" ca="1" si="42"/>
        <v>2</v>
      </c>
      <c r="DE78" s="29">
        <f t="shared" ca="1" si="42"/>
        <v>4</v>
      </c>
      <c r="DF78" s="29">
        <f t="shared" ca="1" si="42"/>
        <v>3</v>
      </c>
      <c r="DG78" s="29">
        <f t="shared" ca="1" si="42"/>
        <v>1</v>
      </c>
      <c r="DH78" s="29">
        <f t="shared" ca="1" si="42"/>
        <v>2</v>
      </c>
      <c r="DI78" s="29">
        <f t="shared" ca="1" si="42"/>
        <v>2</v>
      </c>
      <c r="DJ78" s="29">
        <f t="shared" ca="1" si="42"/>
        <v>1</v>
      </c>
      <c r="DK78" s="29">
        <f t="shared" ca="1" si="42"/>
        <v>1</v>
      </c>
      <c r="DL78" s="29">
        <f t="shared" ca="1" si="42"/>
        <v>3</v>
      </c>
    </row>
    <row r="79" spans="1:116" ht="14.4" x14ac:dyDescent="0.3">
      <c r="A79" s="31">
        <v>466</v>
      </c>
      <c r="B79" s="28">
        <v>2.99</v>
      </c>
      <c r="C79" s="30">
        <v>82.2</v>
      </c>
      <c r="D79" s="28">
        <v>2.87</v>
      </c>
      <c r="E79" s="34">
        <f t="shared" si="43"/>
        <v>5.74E-2</v>
      </c>
      <c r="F79" s="35">
        <f t="shared" si="44"/>
        <v>20.55</v>
      </c>
      <c r="G79" s="34">
        <f t="shared" si="45"/>
        <v>71.75</v>
      </c>
      <c r="H79" s="33">
        <f t="shared" si="46"/>
        <v>17.123745819397993</v>
      </c>
      <c r="I79" s="28">
        <f t="shared" si="49"/>
        <v>155.88000000000002</v>
      </c>
      <c r="J79" s="32">
        <v>1</v>
      </c>
      <c r="K79" s="30">
        <f t="shared" si="47"/>
        <v>20.55</v>
      </c>
      <c r="L79" s="30"/>
      <c r="M79" s="30"/>
      <c r="N79" s="30"/>
      <c r="O79" s="30"/>
      <c r="Q79" s="29">
        <f t="shared" ca="1" si="48"/>
        <v>3</v>
      </c>
      <c r="R79" s="29">
        <f t="shared" ca="1" si="51"/>
        <v>3</v>
      </c>
      <c r="S79" s="29">
        <f t="shared" ca="1" si="51"/>
        <v>4</v>
      </c>
      <c r="T79" s="29">
        <f t="shared" ca="1" si="51"/>
        <v>2</v>
      </c>
      <c r="U79" s="29">
        <f t="shared" ca="1" si="51"/>
        <v>4</v>
      </c>
      <c r="V79" s="29">
        <f t="shared" ca="1" si="51"/>
        <v>2</v>
      </c>
      <c r="W79" s="29">
        <f t="shared" ca="1" si="51"/>
        <v>2</v>
      </c>
      <c r="X79" s="29">
        <f t="shared" ca="1" si="51"/>
        <v>3</v>
      </c>
      <c r="Y79" s="29">
        <f t="shared" ca="1" si="51"/>
        <v>4</v>
      </c>
      <c r="Z79" s="29">
        <f t="shared" ca="1" si="51"/>
        <v>1</v>
      </c>
      <c r="AA79" s="29">
        <f t="shared" ca="1" si="51"/>
        <v>3</v>
      </c>
      <c r="AB79" s="29">
        <f t="shared" ca="1" si="51"/>
        <v>2</v>
      </c>
      <c r="AC79" s="29">
        <f t="shared" ca="1" si="51"/>
        <v>0</v>
      </c>
      <c r="AD79" s="29">
        <f t="shared" ca="1" si="51"/>
        <v>2</v>
      </c>
      <c r="AE79" s="29">
        <f t="shared" ca="1" si="51"/>
        <v>4</v>
      </c>
      <c r="AF79" s="29">
        <f t="shared" ca="1" si="51"/>
        <v>4</v>
      </c>
      <c r="AG79" s="29">
        <f t="shared" ca="1" si="50"/>
        <v>1</v>
      </c>
      <c r="AH79" s="29">
        <f t="shared" ca="1" si="50"/>
        <v>5</v>
      </c>
      <c r="AI79" s="29">
        <f t="shared" ca="1" si="50"/>
        <v>2</v>
      </c>
      <c r="AJ79" s="29">
        <f t="shared" ca="1" si="50"/>
        <v>4</v>
      </c>
      <c r="AK79" s="29">
        <f t="shared" ca="1" si="50"/>
        <v>4</v>
      </c>
      <c r="AL79" s="29">
        <f t="shared" ca="1" si="50"/>
        <v>4</v>
      </c>
      <c r="AM79" s="29">
        <f t="shared" ca="1" si="50"/>
        <v>4</v>
      </c>
      <c r="AN79" s="29">
        <f t="shared" ca="1" si="50"/>
        <v>4</v>
      </c>
      <c r="AO79" s="29">
        <f t="shared" ca="1" si="50"/>
        <v>3</v>
      </c>
      <c r="AP79" s="29">
        <f t="shared" ca="1" si="50"/>
        <v>4</v>
      </c>
      <c r="AQ79" s="29">
        <f t="shared" ca="1" si="50"/>
        <v>3</v>
      </c>
      <c r="AR79" s="29">
        <f t="shared" ca="1" si="50"/>
        <v>3</v>
      </c>
      <c r="AS79" s="29">
        <f t="shared" ca="1" si="50"/>
        <v>5</v>
      </c>
      <c r="AT79" s="29">
        <f t="shared" ca="1" si="50"/>
        <v>5</v>
      </c>
      <c r="AU79" s="29">
        <f t="shared" ca="1" si="50"/>
        <v>1</v>
      </c>
      <c r="AV79" s="29">
        <f t="shared" ca="1" si="54"/>
        <v>3</v>
      </c>
      <c r="AW79" s="29">
        <f t="shared" ca="1" si="54"/>
        <v>4</v>
      </c>
      <c r="AX79" s="29">
        <f t="shared" ca="1" si="54"/>
        <v>1</v>
      </c>
      <c r="AY79" s="29">
        <f t="shared" ca="1" si="54"/>
        <v>3</v>
      </c>
      <c r="AZ79" s="29">
        <f t="shared" ca="1" si="54"/>
        <v>3</v>
      </c>
      <c r="BA79" s="29">
        <f t="shared" ca="1" si="54"/>
        <v>5</v>
      </c>
      <c r="BB79" s="29">
        <f t="shared" ca="1" si="54"/>
        <v>4</v>
      </c>
      <c r="BC79" s="29">
        <f t="shared" ca="1" si="54"/>
        <v>5</v>
      </c>
      <c r="BD79" s="29">
        <f t="shared" ca="1" si="54"/>
        <v>2</v>
      </c>
      <c r="BE79" s="29">
        <f t="shared" ca="1" si="54"/>
        <v>3</v>
      </c>
      <c r="BF79" s="29">
        <f t="shared" ca="1" si="54"/>
        <v>2</v>
      </c>
      <c r="BG79" s="29">
        <f t="shared" ca="1" si="54"/>
        <v>6</v>
      </c>
      <c r="BH79" s="29">
        <f t="shared" ca="1" si="54"/>
        <v>1</v>
      </c>
      <c r="BI79" s="29">
        <f t="shared" ca="1" si="54"/>
        <v>3</v>
      </c>
      <c r="BJ79" s="29">
        <f t="shared" ca="1" si="54"/>
        <v>0</v>
      </c>
      <c r="BK79" s="29">
        <f t="shared" ca="1" si="54"/>
        <v>3</v>
      </c>
      <c r="BL79" s="29">
        <f t="shared" ca="1" si="53"/>
        <v>5</v>
      </c>
      <c r="BM79" s="29">
        <f t="shared" ca="1" si="53"/>
        <v>1</v>
      </c>
      <c r="BN79" s="29">
        <f t="shared" ca="1" si="53"/>
        <v>3</v>
      </c>
      <c r="BO79" s="29">
        <f t="shared" ca="1" si="53"/>
        <v>2</v>
      </c>
      <c r="BP79" s="29">
        <f t="shared" ca="1" si="53"/>
        <v>2</v>
      </c>
      <c r="BQ79" s="29">
        <f t="shared" ca="1" si="53"/>
        <v>5</v>
      </c>
      <c r="BR79" s="29">
        <f t="shared" ca="1" si="53"/>
        <v>3</v>
      </c>
      <c r="BS79" s="29">
        <f t="shared" ca="1" si="53"/>
        <v>3</v>
      </c>
      <c r="BT79" s="29">
        <f t="shared" ca="1" si="53"/>
        <v>1</v>
      </c>
      <c r="BU79" s="29">
        <f t="shared" ca="1" si="53"/>
        <v>4</v>
      </c>
      <c r="BV79" s="29">
        <f t="shared" ca="1" si="53"/>
        <v>3</v>
      </c>
      <c r="BW79" s="29">
        <f t="shared" ca="1" si="53"/>
        <v>5</v>
      </c>
      <c r="BX79" s="29">
        <f t="shared" ca="1" si="53"/>
        <v>4</v>
      </c>
      <c r="BY79" s="29">
        <f t="shared" ca="1" si="53"/>
        <v>3</v>
      </c>
      <c r="BZ79" s="29">
        <f t="shared" ca="1" si="53"/>
        <v>4</v>
      </c>
      <c r="CA79" s="29">
        <f t="shared" ca="1" si="52"/>
        <v>4</v>
      </c>
      <c r="CB79" s="29">
        <f t="shared" ca="1" si="52"/>
        <v>3</v>
      </c>
      <c r="CC79" s="29">
        <f t="shared" ca="1" si="52"/>
        <v>4</v>
      </c>
      <c r="CD79" s="29">
        <f t="shared" ca="1" si="52"/>
        <v>2</v>
      </c>
      <c r="CE79" s="29">
        <f t="shared" ca="1" si="52"/>
        <v>3</v>
      </c>
      <c r="CF79" s="29">
        <f t="shared" ca="1" si="52"/>
        <v>5</v>
      </c>
      <c r="CG79" s="29">
        <f t="shared" ca="1" si="52"/>
        <v>5</v>
      </c>
      <c r="CH79" s="29">
        <f t="shared" ca="1" si="52"/>
        <v>7</v>
      </c>
      <c r="CI79" s="29">
        <f t="shared" ca="1" si="52"/>
        <v>2</v>
      </c>
      <c r="CJ79" s="29">
        <f t="shared" ca="1" si="52"/>
        <v>2</v>
      </c>
      <c r="CK79" s="29">
        <f t="shared" ca="1" si="52"/>
        <v>1</v>
      </c>
      <c r="CL79" s="29">
        <f t="shared" ca="1" si="52"/>
        <v>3</v>
      </c>
      <c r="CM79" s="29">
        <f t="shared" ca="1" si="52"/>
        <v>5</v>
      </c>
      <c r="CN79" s="29">
        <f t="shared" ca="1" si="52"/>
        <v>3</v>
      </c>
      <c r="CO79" s="29">
        <f t="shared" ca="1" si="52"/>
        <v>1</v>
      </c>
      <c r="CP79" s="29">
        <f t="shared" ca="1" si="52"/>
        <v>3</v>
      </c>
      <c r="CQ79" s="29">
        <f t="shared" ca="1" si="55"/>
        <v>0</v>
      </c>
      <c r="CR79" s="29">
        <f t="shared" ca="1" si="55"/>
        <v>2</v>
      </c>
      <c r="CS79" s="29">
        <f t="shared" ca="1" si="55"/>
        <v>6</v>
      </c>
      <c r="CT79" s="29">
        <f t="shared" ca="1" si="55"/>
        <v>3</v>
      </c>
      <c r="CU79" s="29">
        <f t="shared" ca="1" si="55"/>
        <v>2</v>
      </c>
      <c r="CV79" s="29">
        <f t="shared" ca="1" si="55"/>
        <v>1</v>
      </c>
      <c r="CW79" s="29">
        <f t="shared" ca="1" si="38"/>
        <v>4</v>
      </c>
      <c r="CX79" s="29">
        <f t="shared" ca="1" si="42"/>
        <v>4</v>
      </c>
      <c r="CY79" s="29">
        <f t="shared" ca="1" si="42"/>
        <v>1</v>
      </c>
      <c r="CZ79" s="29">
        <f t="shared" ca="1" si="42"/>
        <v>2</v>
      </c>
      <c r="DA79" s="29">
        <f t="shared" ca="1" si="42"/>
        <v>3</v>
      </c>
      <c r="DB79" s="29">
        <f t="shared" ca="1" si="42"/>
        <v>3</v>
      </c>
      <c r="DC79" s="29">
        <f t="shared" ca="1" si="42"/>
        <v>3</v>
      </c>
      <c r="DD79" s="29">
        <f t="shared" ca="1" si="42"/>
        <v>4</v>
      </c>
      <c r="DE79" s="29">
        <f t="shared" ca="1" si="42"/>
        <v>4</v>
      </c>
      <c r="DF79" s="29">
        <f t="shared" ca="1" si="42"/>
        <v>3</v>
      </c>
      <c r="DG79" s="29">
        <f t="shared" ca="1" si="42"/>
        <v>3</v>
      </c>
      <c r="DH79" s="29">
        <f t="shared" ca="1" si="42"/>
        <v>3</v>
      </c>
      <c r="DI79" s="29">
        <f t="shared" ca="1" si="42"/>
        <v>4</v>
      </c>
      <c r="DJ79" s="29">
        <f t="shared" ca="1" si="42"/>
        <v>1</v>
      </c>
      <c r="DK79" s="29">
        <f t="shared" ca="1" si="42"/>
        <v>3</v>
      </c>
      <c r="DL79" s="29">
        <f t="shared" ca="1" si="42"/>
        <v>1</v>
      </c>
    </row>
    <row r="80" spans="1:116" ht="14.4" x14ac:dyDescent="0.3">
      <c r="A80" s="31">
        <v>930</v>
      </c>
      <c r="B80" s="28">
        <v>2.88</v>
      </c>
      <c r="C80" s="30">
        <v>4.17</v>
      </c>
      <c r="D80" s="28">
        <v>1.99</v>
      </c>
      <c r="E80" s="34">
        <f t="shared" si="43"/>
        <v>3.9800000000000002E-2</v>
      </c>
      <c r="F80" s="35">
        <f t="shared" si="44"/>
        <v>1.0425</v>
      </c>
      <c r="G80" s="34">
        <f t="shared" si="45"/>
        <v>49.75</v>
      </c>
      <c r="H80" s="33">
        <f t="shared" si="46"/>
        <v>16.912326388888889</v>
      </c>
      <c r="I80" s="28">
        <f t="shared" si="49"/>
        <v>158.76000000000002</v>
      </c>
      <c r="J80" s="32">
        <v>1</v>
      </c>
      <c r="K80" s="30">
        <f t="shared" si="47"/>
        <v>1.0425</v>
      </c>
      <c r="L80" s="30"/>
      <c r="M80" s="30"/>
      <c r="N80" s="30"/>
      <c r="O80" s="30"/>
      <c r="Q80" s="29">
        <f t="shared" ca="1" si="48"/>
        <v>4</v>
      </c>
      <c r="R80" s="29">
        <f t="shared" ca="1" si="51"/>
        <v>2</v>
      </c>
      <c r="S80" s="29">
        <f t="shared" ca="1" si="51"/>
        <v>1</v>
      </c>
      <c r="T80" s="29">
        <f t="shared" ca="1" si="51"/>
        <v>3</v>
      </c>
      <c r="U80" s="29">
        <f t="shared" ca="1" si="51"/>
        <v>1</v>
      </c>
      <c r="V80" s="29">
        <f t="shared" ca="1" si="51"/>
        <v>2</v>
      </c>
      <c r="W80" s="29">
        <f t="shared" ca="1" si="51"/>
        <v>2</v>
      </c>
      <c r="X80" s="29">
        <f t="shared" ca="1" si="51"/>
        <v>0</v>
      </c>
      <c r="Y80" s="29">
        <f t="shared" ca="1" si="51"/>
        <v>3</v>
      </c>
      <c r="Z80" s="29">
        <f t="shared" ca="1" si="51"/>
        <v>1</v>
      </c>
      <c r="AA80" s="29">
        <f t="shared" ca="1" si="51"/>
        <v>2</v>
      </c>
      <c r="AB80" s="29">
        <f t="shared" ca="1" si="51"/>
        <v>2</v>
      </c>
      <c r="AC80" s="29">
        <f t="shared" ca="1" si="51"/>
        <v>4</v>
      </c>
      <c r="AD80" s="29">
        <f t="shared" ca="1" si="51"/>
        <v>4</v>
      </c>
      <c r="AE80" s="29">
        <f t="shared" ca="1" si="51"/>
        <v>2</v>
      </c>
      <c r="AF80" s="29">
        <f t="shared" ca="1" si="51"/>
        <v>1</v>
      </c>
      <c r="AG80" s="29">
        <f t="shared" ca="1" si="50"/>
        <v>2</v>
      </c>
      <c r="AH80" s="29">
        <f t="shared" ca="1" si="50"/>
        <v>2</v>
      </c>
      <c r="AI80" s="29">
        <f t="shared" ca="1" si="50"/>
        <v>2</v>
      </c>
      <c r="AJ80" s="29">
        <f t="shared" ca="1" si="50"/>
        <v>3</v>
      </c>
      <c r="AK80" s="29">
        <f t="shared" ca="1" si="50"/>
        <v>1</v>
      </c>
      <c r="AL80" s="29">
        <f t="shared" ca="1" si="50"/>
        <v>2</v>
      </c>
      <c r="AM80" s="29">
        <f t="shared" ca="1" si="50"/>
        <v>2</v>
      </c>
      <c r="AN80" s="29">
        <f t="shared" ca="1" si="50"/>
        <v>3</v>
      </c>
      <c r="AO80" s="29">
        <f t="shared" ca="1" si="50"/>
        <v>0</v>
      </c>
      <c r="AP80" s="29">
        <f t="shared" ca="1" si="50"/>
        <v>4</v>
      </c>
      <c r="AQ80" s="29">
        <f t="shared" ca="1" si="50"/>
        <v>2</v>
      </c>
      <c r="AR80" s="29">
        <f t="shared" ca="1" si="50"/>
        <v>4</v>
      </c>
      <c r="AS80" s="29">
        <f t="shared" ca="1" si="50"/>
        <v>1</v>
      </c>
      <c r="AT80" s="29">
        <f t="shared" ca="1" si="50"/>
        <v>2</v>
      </c>
      <c r="AU80" s="29">
        <f t="shared" ca="1" si="50"/>
        <v>4</v>
      </c>
      <c r="AV80" s="29">
        <f t="shared" ca="1" si="54"/>
        <v>2</v>
      </c>
      <c r="AW80" s="29">
        <f t="shared" ca="1" si="54"/>
        <v>7</v>
      </c>
      <c r="AX80" s="29">
        <f t="shared" ca="1" si="54"/>
        <v>1</v>
      </c>
      <c r="AY80" s="29">
        <f t="shared" ca="1" si="54"/>
        <v>3</v>
      </c>
      <c r="AZ80" s="29">
        <f t="shared" ca="1" si="54"/>
        <v>2</v>
      </c>
      <c r="BA80" s="29">
        <f t="shared" ca="1" si="54"/>
        <v>3</v>
      </c>
      <c r="BB80" s="29">
        <f t="shared" ca="1" si="54"/>
        <v>1</v>
      </c>
      <c r="BC80" s="29">
        <f t="shared" ca="1" si="54"/>
        <v>2</v>
      </c>
      <c r="BD80" s="29">
        <f t="shared" ca="1" si="54"/>
        <v>3</v>
      </c>
      <c r="BE80" s="29">
        <f t="shared" ca="1" si="54"/>
        <v>1</v>
      </c>
      <c r="BF80" s="29">
        <f t="shared" ca="1" si="54"/>
        <v>3</v>
      </c>
      <c r="BG80" s="29">
        <f t="shared" ca="1" si="54"/>
        <v>2</v>
      </c>
      <c r="BH80" s="29">
        <f t="shared" ca="1" si="54"/>
        <v>2</v>
      </c>
      <c r="BI80" s="29">
        <f t="shared" ca="1" si="54"/>
        <v>5</v>
      </c>
      <c r="BJ80" s="29">
        <f t="shared" ca="1" si="54"/>
        <v>1</v>
      </c>
      <c r="BK80" s="29">
        <f t="shared" ca="1" si="54"/>
        <v>4</v>
      </c>
      <c r="BL80" s="29">
        <f t="shared" ca="1" si="53"/>
        <v>1</v>
      </c>
      <c r="BM80" s="29">
        <f t="shared" ca="1" si="53"/>
        <v>2</v>
      </c>
      <c r="BN80" s="29">
        <f t="shared" ca="1" si="53"/>
        <v>2</v>
      </c>
      <c r="BO80" s="29">
        <f t="shared" ca="1" si="53"/>
        <v>3</v>
      </c>
      <c r="BP80" s="29">
        <f t="shared" ca="1" si="53"/>
        <v>1</v>
      </c>
      <c r="BQ80" s="29">
        <f t="shared" ca="1" si="53"/>
        <v>0</v>
      </c>
      <c r="BR80" s="29">
        <f t="shared" ca="1" si="53"/>
        <v>2</v>
      </c>
      <c r="BS80" s="29">
        <f t="shared" ca="1" si="53"/>
        <v>0</v>
      </c>
      <c r="BT80" s="29">
        <f t="shared" ca="1" si="53"/>
        <v>4</v>
      </c>
      <c r="BU80" s="29">
        <f t="shared" ca="1" si="53"/>
        <v>0</v>
      </c>
      <c r="BV80" s="29">
        <f t="shared" ca="1" si="53"/>
        <v>1</v>
      </c>
      <c r="BW80" s="29">
        <f t="shared" ca="1" si="53"/>
        <v>4</v>
      </c>
      <c r="BX80" s="29">
        <f t="shared" ca="1" si="53"/>
        <v>0</v>
      </c>
      <c r="BY80" s="29">
        <f t="shared" ca="1" si="53"/>
        <v>2</v>
      </c>
      <c r="BZ80" s="29">
        <f t="shared" ca="1" si="53"/>
        <v>1</v>
      </c>
      <c r="CA80" s="29">
        <f t="shared" ca="1" si="52"/>
        <v>1</v>
      </c>
      <c r="CB80" s="29">
        <f t="shared" ca="1" si="52"/>
        <v>2</v>
      </c>
      <c r="CC80" s="29">
        <f t="shared" ca="1" si="52"/>
        <v>2</v>
      </c>
      <c r="CD80" s="29">
        <f t="shared" ca="1" si="52"/>
        <v>0</v>
      </c>
      <c r="CE80" s="29">
        <f t="shared" ca="1" si="52"/>
        <v>2</v>
      </c>
      <c r="CF80" s="29">
        <f t="shared" ca="1" si="52"/>
        <v>3</v>
      </c>
      <c r="CG80" s="29">
        <f t="shared" ca="1" si="52"/>
        <v>2</v>
      </c>
      <c r="CH80" s="29">
        <f t="shared" ca="1" si="52"/>
        <v>2</v>
      </c>
      <c r="CI80" s="29">
        <f t="shared" ca="1" si="52"/>
        <v>2</v>
      </c>
      <c r="CJ80" s="29">
        <f t="shared" ca="1" si="52"/>
        <v>3</v>
      </c>
      <c r="CK80" s="29">
        <f t="shared" ca="1" si="52"/>
        <v>1</v>
      </c>
      <c r="CL80" s="29">
        <f t="shared" ca="1" si="52"/>
        <v>1</v>
      </c>
      <c r="CM80" s="29">
        <f t="shared" ca="1" si="52"/>
        <v>1</v>
      </c>
      <c r="CN80" s="29">
        <f t="shared" ca="1" si="52"/>
        <v>0</v>
      </c>
      <c r="CO80" s="29">
        <f t="shared" ca="1" si="52"/>
        <v>1</v>
      </c>
      <c r="CP80" s="29">
        <f t="shared" ca="1" si="52"/>
        <v>1</v>
      </c>
      <c r="CQ80" s="29">
        <f t="shared" ca="1" si="55"/>
        <v>1</v>
      </c>
      <c r="CR80" s="29">
        <f t="shared" ca="1" si="55"/>
        <v>3</v>
      </c>
      <c r="CS80" s="29">
        <f t="shared" ca="1" si="55"/>
        <v>1</v>
      </c>
      <c r="CT80" s="29">
        <f t="shared" ca="1" si="55"/>
        <v>1</v>
      </c>
      <c r="CU80" s="29">
        <f t="shared" ca="1" si="55"/>
        <v>0</v>
      </c>
      <c r="CV80" s="29">
        <f t="shared" ca="1" si="55"/>
        <v>0</v>
      </c>
      <c r="CW80" s="29">
        <f t="shared" ca="1" si="38"/>
        <v>3</v>
      </c>
      <c r="CX80" s="29">
        <f t="shared" ca="1" si="42"/>
        <v>2</v>
      </c>
      <c r="CY80" s="29">
        <f t="shared" ca="1" si="42"/>
        <v>2</v>
      </c>
      <c r="CZ80" s="29">
        <f t="shared" ca="1" si="42"/>
        <v>7</v>
      </c>
      <c r="DA80" s="29">
        <f t="shared" ca="1" si="42"/>
        <v>0</v>
      </c>
      <c r="DB80" s="29">
        <f t="shared" ca="1" si="42"/>
        <v>1</v>
      </c>
      <c r="DC80" s="29">
        <f t="shared" ca="1" si="42"/>
        <v>2</v>
      </c>
      <c r="DD80" s="29">
        <f t="shared" ca="1" si="42"/>
        <v>2</v>
      </c>
      <c r="DE80" s="29">
        <f t="shared" ca="1" si="42"/>
        <v>1</v>
      </c>
      <c r="DF80" s="29">
        <f t="shared" ca="1" si="42"/>
        <v>3</v>
      </c>
      <c r="DG80" s="29">
        <f t="shared" ca="1" si="42"/>
        <v>2</v>
      </c>
      <c r="DH80" s="29">
        <f t="shared" ca="1" si="42"/>
        <v>2</v>
      </c>
      <c r="DI80" s="29">
        <f t="shared" ca="1" si="42"/>
        <v>2</v>
      </c>
      <c r="DJ80" s="29">
        <f t="shared" ca="1" si="42"/>
        <v>2</v>
      </c>
      <c r="DK80" s="29">
        <f t="shared" ca="1" si="42"/>
        <v>0</v>
      </c>
      <c r="DL80" s="29">
        <f t="shared" ca="1" si="42"/>
        <v>1</v>
      </c>
    </row>
    <row r="81" spans="1:116" ht="14.4" x14ac:dyDescent="0.3">
      <c r="A81" s="31">
        <v>821</v>
      </c>
      <c r="B81" s="28">
        <v>1.49</v>
      </c>
      <c r="C81" s="30">
        <v>17.670000000000002</v>
      </c>
      <c r="D81" s="28">
        <v>1.18</v>
      </c>
      <c r="E81" s="34">
        <f t="shared" si="43"/>
        <v>2.3599999999999999E-2</v>
      </c>
      <c r="F81" s="35">
        <f t="shared" si="44"/>
        <v>4.4175000000000004</v>
      </c>
      <c r="G81" s="34">
        <f t="shared" si="45"/>
        <v>29.5</v>
      </c>
      <c r="H81" s="33">
        <f t="shared" si="46"/>
        <v>16.833892617449663</v>
      </c>
      <c r="I81" s="28">
        <f t="shared" si="49"/>
        <v>160.25000000000003</v>
      </c>
      <c r="J81" s="32">
        <v>1</v>
      </c>
      <c r="K81" s="30">
        <f t="shared" si="47"/>
        <v>4.4175000000000004</v>
      </c>
      <c r="L81" s="30"/>
      <c r="M81" s="30"/>
      <c r="N81" s="30"/>
      <c r="O81" s="30"/>
      <c r="Q81" s="29">
        <f t="shared" ca="1" si="48"/>
        <v>1</v>
      </c>
      <c r="R81" s="29">
        <f t="shared" ca="1" si="51"/>
        <v>2</v>
      </c>
      <c r="S81" s="29">
        <f t="shared" ca="1" si="51"/>
        <v>1</v>
      </c>
      <c r="T81" s="29">
        <f t="shared" ca="1" si="51"/>
        <v>0</v>
      </c>
      <c r="U81" s="29">
        <f t="shared" ca="1" si="51"/>
        <v>0</v>
      </c>
      <c r="V81" s="29">
        <f t="shared" ca="1" si="51"/>
        <v>0</v>
      </c>
      <c r="W81" s="29">
        <f t="shared" ca="1" si="51"/>
        <v>0</v>
      </c>
      <c r="X81" s="29">
        <f t="shared" ca="1" si="51"/>
        <v>0</v>
      </c>
      <c r="Y81" s="29">
        <f t="shared" ca="1" si="51"/>
        <v>1</v>
      </c>
      <c r="Z81" s="29">
        <f t="shared" ca="1" si="51"/>
        <v>2</v>
      </c>
      <c r="AA81" s="29">
        <f t="shared" ca="1" si="51"/>
        <v>0</v>
      </c>
      <c r="AB81" s="29">
        <f t="shared" ca="1" si="51"/>
        <v>1</v>
      </c>
      <c r="AC81" s="29">
        <f t="shared" ca="1" si="51"/>
        <v>3</v>
      </c>
      <c r="AD81" s="29">
        <f t="shared" ca="1" si="51"/>
        <v>1</v>
      </c>
      <c r="AE81" s="29">
        <f t="shared" ca="1" si="51"/>
        <v>1</v>
      </c>
      <c r="AF81" s="29">
        <f t="shared" ca="1" si="51"/>
        <v>1</v>
      </c>
      <c r="AG81" s="29">
        <f t="shared" ca="1" si="50"/>
        <v>1</v>
      </c>
      <c r="AH81" s="29">
        <f t="shared" ca="1" si="50"/>
        <v>1</v>
      </c>
      <c r="AI81" s="29">
        <f t="shared" ca="1" si="50"/>
        <v>1</v>
      </c>
      <c r="AJ81" s="29">
        <f t="shared" ca="1" si="50"/>
        <v>0</v>
      </c>
      <c r="AK81" s="29">
        <f t="shared" ca="1" si="50"/>
        <v>3</v>
      </c>
      <c r="AL81" s="29">
        <f t="shared" ca="1" si="50"/>
        <v>1</v>
      </c>
      <c r="AM81" s="29">
        <f t="shared" ca="1" si="50"/>
        <v>1</v>
      </c>
      <c r="AN81" s="29">
        <f t="shared" ca="1" si="50"/>
        <v>1</v>
      </c>
      <c r="AO81" s="29">
        <f t="shared" ca="1" si="50"/>
        <v>1</v>
      </c>
      <c r="AP81" s="29">
        <f t="shared" ca="1" si="50"/>
        <v>0</v>
      </c>
      <c r="AQ81" s="29">
        <f t="shared" ca="1" si="50"/>
        <v>2</v>
      </c>
      <c r="AR81" s="29">
        <f t="shared" ca="1" si="50"/>
        <v>1</v>
      </c>
      <c r="AS81" s="29">
        <f t="shared" ca="1" si="50"/>
        <v>0</v>
      </c>
      <c r="AT81" s="29">
        <f t="shared" ca="1" si="50"/>
        <v>0</v>
      </c>
      <c r="AU81" s="29">
        <f t="shared" ca="1" si="50"/>
        <v>2</v>
      </c>
      <c r="AV81" s="29">
        <f t="shared" ca="1" si="54"/>
        <v>1</v>
      </c>
      <c r="AW81" s="29">
        <f t="shared" ca="1" si="54"/>
        <v>1</v>
      </c>
      <c r="AX81" s="29">
        <f t="shared" ca="1" si="54"/>
        <v>1</v>
      </c>
      <c r="AY81" s="29">
        <f t="shared" ca="1" si="54"/>
        <v>2</v>
      </c>
      <c r="AZ81" s="29">
        <f t="shared" ca="1" si="54"/>
        <v>3</v>
      </c>
      <c r="BA81" s="29">
        <f t="shared" ca="1" si="54"/>
        <v>2</v>
      </c>
      <c r="BB81" s="29">
        <f t="shared" ca="1" si="54"/>
        <v>1</v>
      </c>
      <c r="BC81" s="29">
        <f t="shared" ca="1" si="54"/>
        <v>0</v>
      </c>
      <c r="BD81" s="29">
        <f t="shared" ca="1" si="54"/>
        <v>1</v>
      </c>
      <c r="BE81" s="29">
        <f t="shared" ca="1" si="54"/>
        <v>1</v>
      </c>
      <c r="BF81" s="29">
        <f t="shared" ca="1" si="54"/>
        <v>2</v>
      </c>
      <c r="BG81" s="29">
        <f t="shared" ca="1" si="54"/>
        <v>0</v>
      </c>
      <c r="BH81" s="29">
        <f t="shared" ca="1" si="54"/>
        <v>1</v>
      </c>
      <c r="BI81" s="29">
        <f t="shared" ca="1" si="54"/>
        <v>1</v>
      </c>
      <c r="BJ81" s="29">
        <f t="shared" ca="1" si="54"/>
        <v>1</v>
      </c>
      <c r="BK81" s="29">
        <f t="shared" ca="1" si="54"/>
        <v>3</v>
      </c>
      <c r="BL81" s="29">
        <f t="shared" ca="1" si="53"/>
        <v>0</v>
      </c>
      <c r="BM81" s="29">
        <f t="shared" ca="1" si="53"/>
        <v>3</v>
      </c>
      <c r="BN81" s="29">
        <f t="shared" ca="1" si="53"/>
        <v>1</v>
      </c>
      <c r="BO81" s="29">
        <f t="shared" ca="1" si="53"/>
        <v>2</v>
      </c>
      <c r="BP81" s="29">
        <f t="shared" ca="1" si="53"/>
        <v>2</v>
      </c>
      <c r="BQ81" s="29">
        <f t="shared" ca="1" si="53"/>
        <v>2</v>
      </c>
      <c r="BR81" s="29">
        <f t="shared" ca="1" si="53"/>
        <v>1</v>
      </c>
      <c r="BS81" s="29">
        <f t="shared" ca="1" si="53"/>
        <v>1</v>
      </c>
      <c r="BT81" s="29">
        <f t="shared" ca="1" si="53"/>
        <v>2</v>
      </c>
      <c r="BU81" s="29">
        <f t="shared" ca="1" si="53"/>
        <v>4</v>
      </c>
      <c r="BV81" s="29">
        <f t="shared" ca="1" si="53"/>
        <v>1</v>
      </c>
      <c r="BW81" s="29">
        <f t="shared" ca="1" si="53"/>
        <v>0</v>
      </c>
      <c r="BX81" s="29">
        <f t="shared" ca="1" si="53"/>
        <v>1</v>
      </c>
      <c r="BY81" s="29">
        <f t="shared" ca="1" si="53"/>
        <v>0</v>
      </c>
      <c r="BZ81" s="29">
        <f t="shared" ca="1" si="53"/>
        <v>1</v>
      </c>
      <c r="CA81" s="29">
        <f t="shared" ca="1" si="52"/>
        <v>4</v>
      </c>
      <c r="CB81" s="29">
        <f t="shared" ca="1" si="52"/>
        <v>1</v>
      </c>
      <c r="CC81" s="29">
        <f t="shared" ca="1" si="52"/>
        <v>0</v>
      </c>
      <c r="CD81" s="29">
        <f t="shared" ca="1" si="52"/>
        <v>2</v>
      </c>
      <c r="CE81" s="29">
        <f t="shared" ca="1" si="52"/>
        <v>1</v>
      </c>
      <c r="CF81" s="29">
        <f t="shared" ca="1" si="52"/>
        <v>1</v>
      </c>
      <c r="CG81" s="29">
        <f t="shared" ca="1" si="52"/>
        <v>0</v>
      </c>
      <c r="CH81" s="29">
        <f t="shared" ca="1" si="52"/>
        <v>2</v>
      </c>
      <c r="CI81" s="29">
        <f t="shared" ca="1" si="52"/>
        <v>0</v>
      </c>
      <c r="CJ81" s="29">
        <f t="shared" ca="1" si="52"/>
        <v>0</v>
      </c>
      <c r="CK81" s="29">
        <f t="shared" ca="1" si="52"/>
        <v>1</v>
      </c>
      <c r="CL81" s="29">
        <f t="shared" ca="1" si="52"/>
        <v>0</v>
      </c>
      <c r="CM81" s="29">
        <f t="shared" ca="1" si="52"/>
        <v>2</v>
      </c>
      <c r="CN81" s="29">
        <f t="shared" ca="1" si="52"/>
        <v>1</v>
      </c>
      <c r="CO81" s="29">
        <f t="shared" ca="1" si="52"/>
        <v>0</v>
      </c>
      <c r="CP81" s="29">
        <f t="shared" ca="1" si="52"/>
        <v>0</v>
      </c>
      <c r="CQ81" s="29">
        <f t="shared" ca="1" si="55"/>
        <v>1</v>
      </c>
      <c r="CR81" s="29">
        <f t="shared" ca="1" si="55"/>
        <v>1</v>
      </c>
      <c r="CS81" s="29">
        <f t="shared" ca="1" si="55"/>
        <v>2</v>
      </c>
      <c r="CT81" s="29">
        <f t="shared" ca="1" si="55"/>
        <v>2</v>
      </c>
      <c r="CU81" s="29">
        <f t="shared" ca="1" si="55"/>
        <v>1</v>
      </c>
      <c r="CV81" s="29">
        <f t="shared" ca="1" si="55"/>
        <v>2</v>
      </c>
      <c r="CW81" s="29">
        <f t="shared" ca="1" si="38"/>
        <v>4</v>
      </c>
      <c r="CX81" s="29">
        <f t="shared" ref="CX81:DL97" ca="1" si="56">_xlfn.BINOM.INV(50,$E81,RAND())</f>
        <v>1</v>
      </c>
      <c r="CY81" s="29">
        <f t="shared" ca="1" si="56"/>
        <v>1</v>
      </c>
      <c r="CZ81" s="29">
        <f t="shared" ca="1" si="56"/>
        <v>0</v>
      </c>
      <c r="DA81" s="29">
        <f t="shared" ca="1" si="56"/>
        <v>0</v>
      </c>
      <c r="DB81" s="29">
        <f t="shared" ca="1" si="56"/>
        <v>2</v>
      </c>
      <c r="DC81" s="29">
        <f t="shared" ca="1" si="56"/>
        <v>0</v>
      </c>
      <c r="DD81" s="29">
        <f t="shared" ca="1" si="56"/>
        <v>3</v>
      </c>
      <c r="DE81" s="29">
        <f t="shared" ca="1" si="56"/>
        <v>1</v>
      </c>
      <c r="DF81" s="29">
        <f t="shared" ca="1" si="56"/>
        <v>1</v>
      </c>
      <c r="DG81" s="29">
        <f t="shared" ca="1" si="56"/>
        <v>0</v>
      </c>
      <c r="DH81" s="29">
        <f t="shared" ca="1" si="56"/>
        <v>2</v>
      </c>
      <c r="DI81" s="29">
        <f t="shared" ca="1" si="56"/>
        <v>4</v>
      </c>
      <c r="DJ81" s="29">
        <f t="shared" ca="1" si="56"/>
        <v>2</v>
      </c>
      <c r="DK81" s="29">
        <f t="shared" ca="1" si="56"/>
        <v>2</v>
      </c>
      <c r="DL81" s="29">
        <f t="shared" ca="1" si="56"/>
        <v>1</v>
      </c>
    </row>
    <row r="82" spans="1:116" ht="14.4" x14ac:dyDescent="0.3">
      <c r="A82" s="31">
        <v>931</v>
      </c>
      <c r="B82" s="28">
        <v>2.71</v>
      </c>
      <c r="C82" s="30">
        <v>49.9</v>
      </c>
      <c r="D82" s="28">
        <v>2.3199999999999998</v>
      </c>
      <c r="E82" s="34">
        <f t="shared" si="43"/>
        <v>4.6399999999999997E-2</v>
      </c>
      <c r="F82" s="35">
        <f t="shared" si="44"/>
        <v>12.475</v>
      </c>
      <c r="G82" s="34">
        <f t="shared" si="45"/>
        <v>57.999999999999993</v>
      </c>
      <c r="H82" s="33">
        <f t="shared" si="46"/>
        <v>16.798892988929886</v>
      </c>
      <c r="I82" s="28">
        <f t="shared" si="49"/>
        <v>162.96000000000004</v>
      </c>
      <c r="J82" s="32">
        <v>1</v>
      </c>
      <c r="K82" s="30">
        <f t="shared" si="47"/>
        <v>12.475</v>
      </c>
      <c r="L82" s="30"/>
      <c r="M82" s="30"/>
      <c r="N82" s="30"/>
      <c r="O82" s="30"/>
      <c r="Q82" s="29">
        <f t="shared" ca="1" si="48"/>
        <v>2</v>
      </c>
      <c r="R82" s="29">
        <f t="shared" ca="1" si="51"/>
        <v>3</v>
      </c>
      <c r="S82" s="29">
        <f t="shared" ca="1" si="51"/>
        <v>2</v>
      </c>
      <c r="T82" s="29">
        <f t="shared" ca="1" si="51"/>
        <v>2</v>
      </c>
      <c r="U82" s="29">
        <f t="shared" ca="1" si="51"/>
        <v>2</v>
      </c>
      <c r="V82" s="29">
        <f t="shared" ca="1" si="51"/>
        <v>0</v>
      </c>
      <c r="W82" s="29">
        <f t="shared" ca="1" si="51"/>
        <v>3</v>
      </c>
      <c r="X82" s="29">
        <f t="shared" ca="1" si="51"/>
        <v>2</v>
      </c>
      <c r="Y82" s="29">
        <f t="shared" ca="1" si="51"/>
        <v>6</v>
      </c>
      <c r="Z82" s="29">
        <f t="shared" ca="1" si="51"/>
        <v>3</v>
      </c>
      <c r="AA82" s="29">
        <f t="shared" ca="1" si="51"/>
        <v>1</v>
      </c>
      <c r="AB82" s="29">
        <f t="shared" ca="1" si="51"/>
        <v>4</v>
      </c>
      <c r="AC82" s="29">
        <f t="shared" ca="1" si="51"/>
        <v>1</v>
      </c>
      <c r="AD82" s="29">
        <f t="shared" ca="1" si="51"/>
        <v>3</v>
      </c>
      <c r="AE82" s="29">
        <f t="shared" ca="1" si="51"/>
        <v>3</v>
      </c>
      <c r="AF82" s="29">
        <f t="shared" ca="1" si="51"/>
        <v>4</v>
      </c>
      <c r="AG82" s="29">
        <f t="shared" ca="1" si="50"/>
        <v>1</v>
      </c>
      <c r="AH82" s="29">
        <f t="shared" ca="1" si="50"/>
        <v>4</v>
      </c>
      <c r="AI82" s="29">
        <f t="shared" ca="1" si="50"/>
        <v>1</v>
      </c>
      <c r="AJ82" s="29">
        <f t="shared" ca="1" si="50"/>
        <v>1</v>
      </c>
      <c r="AK82" s="29">
        <f t="shared" ca="1" si="50"/>
        <v>0</v>
      </c>
      <c r="AL82" s="29">
        <f t="shared" ca="1" si="50"/>
        <v>4</v>
      </c>
      <c r="AM82" s="29">
        <f t="shared" ca="1" si="50"/>
        <v>3</v>
      </c>
      <c r="AN82" s="29">
        <f t="shared" ca="1" si="50"/>
        <v>2</v>
      </c>
      <c r="AO82" s="29">
        <f t="shared" ca="1" si="50"/>
        <v>2</v>
      </c>
      <c r="AP82" s="29">
        <f t="shared" ca="1" si="50"/>
        <v>2</v>
      </c>
      <c r="AQ82" s="29">
        <f t="shared" ca="1" si="50"/>
        <v>3</v>
      </c>
      <c r="AR82" s="29">
        <f t="shared" ca="1" si="50"/>
        <v>7</v>
      </c>
      <c r="AS82" s="29">
        <f t="shared" ca="1" si="50"/>
        <v>4</v>
      </c>
      <c r="AT82" s="29">
        <f t="shared" ca="1" si="50"/>
        <v>2</v>
      </c>
      <c r="AU82" s="29">
        <f t="shared" ca="1" si="50"/>
        <v>0</v>
      </c>
      <c r="AV82" s="29">
        <f t="shared" ca="1" si="54"/>
        <v>3</v>
      </c>
      <c r="AW82" s="29">
        <f t="shared" ca="1" si="54"/>
        <v>5</v>
      </c>
      <c r="AX82" s="29">
        <f t="shared" ca="1" si="54"/>
        <v>6</v>
      </c>
      <c r="AY82" s="29">
        <f t="shared" ca="1" si="54"/>
        <v>2</v>
      </c>
      <c r="AZ82" s="29">
        <f t="shared" ca="1" si="54"/>
        <v>0</v>
      </c>
      <c r="BA82" s="29">
        <f t="shared" ca="1" si="54"/>
        <v>2</v>
      </c>
      <c r="BB82" s="29">
        <f t="shared" ca="1" si="54"/>
        <v>1</v>
      </c>
      <c r="BC82" s="29">
        <f t="shared" ca="1" si="54"/>
        <v>2</v>
      </c>
      <c r="BD82" s="29">
        <f t="shared" ca="1" si="54"/>
        <v>4</v>
      </c>
      <c r="BE82" s="29">
        <f t="shared" ca="1" si="54"/>
        <v>3</v>
      </c>
      <c r="BF82" s="29">
        <f t="shared" ca="1" si="54"/>
        <v>1</v>
      </c>
      <c r="BG82" s="29">
        <f t="shared" ca="1" si="54"/>
        <v>1</v>
      </c>
      <c r="BH82" s="29">
        <f t="shared" ca="1" si="54"/>
        <v>5</v>
      </c>
      <c r="BI82" s="29">
        <f t="shared" ca="1" si="54"/>
        <v>2</v>
      </c>
      <c r="BJ82" s="29">
        <f t="shared" ca="1" si="54"/>
        <v>4</v>
      </c>
      <c r="BK82" s="29">
        <f t="shared" ca="1" si="54"/>
        <v>4</v>
      </c>
      <c r="BL82" s="29">
        <f t="shared" ca="1" si="53"/>
        <v>1</v>
      </c>
      <c r="BM82" s="29">
        <f t="shared" ca="1" si="53"/>
        <v>2</v>
      </c>
      <c r="BN82" s="29">
        <f t="shared" ca="1" si="53"/>
        <v>4</v>
      </c>
      <c r="BO82" s="29">
        <f t="shared" ca="1" si="53"/>
        <v>0</v>
      </c>
      <c r="BP82" s="29">
        <f t="shared" ca="1" si="53"/>
        <v>2</v>
      </c>
      <c r="BQ82" s="29">
        <f t="shared" ca="1" si="53"/>
        <v>2</v>
      </c>
      <c r="BR82" s="29">
        <f t="shared" ca="1" si="53"/>
        <v>3</v>
      </c>
      <c r="BS82" s="29">
        <f t="shared" ca="1" si="53"/>
        <v>6</v>
      </c>
      <c r="BT82" s="29">
        <f t="shared" ca="1" si="53"/>
        <v>1</v>
      </c>
      <c r="BU82" s="29">
        <f t="shared" ca="1" si="53"/>
        <v>3</v>
      </c>
      <c r="BV82" s="29">
        <f t="shared" ca="1" si="53"/>
        <v>4</v>
      </c>
      <c r="BW82" s="29">
        <f t="shared" ca="1" si="53"/>
        <v>1</v>
      </c>
      <c r="BX82" s="29">
        <f t="shared" ca="1" si="53"/>
        <v>4</v>
      </c>
      <c r="BY82" s="29">
        <f t="shared" ca="1" si="53"/>
        <v>4</v>
      </c>
      <c r="BZ82" s="29">
        <f t="shared" ca="1" si="53"/>
        <v>1</v>
      </c>
      <c r="CA82" s="29">
        <f t="shared" ca="1" si="52"/>
        <v>0</v>
      </c>
      <c r="CB82" s="29">
        <f t="shared" ca="1" si="52"/>
        <v>2</v>
      </c>
      <c r="CC82" s="29">
        <f t="shared" ca="1" si="52"/>
        <v>3</v>
      </c>
      <c r="CD82" s="29">
        <f t="shared" ca="1" si="52"/>
        <v>4</v>
      </c>
      <c r="CE82" s="29">
        <f t="shared" ca="1" si="52"/>
        <v>6</v>
      </c>
      <c r="CF82" s="29">
        <f t="shared" ca="1" si="52"/>
        <v>4</v>
      </c>
      <c r="CG82" s="29">
        <f t="shared" ca="1" si="52"/>
        <v>0</v>
      </c>
      <c r="CH82" s="29">
        <f t="shared" ca="1" si="52"/>
        <v>3</v>
      </c>
      <c r="CI82" s="29">
        <f t="shared" ca="1" si="52"/>
        <v>1</v>
      </c>
      <c r="CJ82" s="29">
        <f t="shared" ca="1" si="52"/>
        <v>4</v>
      </c>
      <c r="CK82" s="29">
        <f t="shared" ca="1" si="52"/>
        <v>0</v>
      </c>
      <c r="CL82" s="29">
        <f t="shared" ca="1" si="52"/>
        <v>2</v>
      </c>
      <c r="CM82" s="29">
        <f t="shared" ca="1" si="52"/>
        <v>1</v>
      </c>
      <c r="CN82" s="29">
        <f t="shared" ca="1" si="52"/>
        <v>2</v>
      </c>
      <c r="CO82" s="29">
        <f t="shared" ca="1" si="52"/>
        <v>1</v>
      </c>
      <c r="CP82" s="29">
        <f t="shared" ca="1" si="52"/>
        <v>1</v>
      </c>
      <c r="CQ82" s="29">
        <f t="shared" ca="1" si="55"/>
        <v>4</v>
      </c>
      <c r="CR82" s="29">
        <f t="shared" ca="1" si="55"/>
        <v>4</v>
      </c>
      <c r="CS82" s="29">
        <f t="shared" ca="1" si="55"/>
        <v>3</v>
      </c>
      <c r="CT82" s="29">
        <f t="shared" ca="1" si="55"/>
        <v>3</v>
      </c>
      <c r="CU82" s="29">
        <f t="shared" ca="1" si="55"/>
        <v>1</v>
      </c>
      <c r="CV82" s="29">
        <f t="shared" ca="1" si="55"/>
        <v>0</v>
      </c>
      <c r="CW82" s="29">
        <f t="shared" ca="1" si="38"/>
        <v>4</v>
      </c>
      <c r="CX82" s="29">
        <f t="shared" ca="1" si="56"/>
        <v>3</v>
      </c>
      <c r="CY82" s="29">
        <f t="shared" ca="1" si="56"/>
        <v>4</v>
      </c>
      <c r="CZ82" s="29">
        <f t="shared" ca="1" si="56"/>
        <v>2</v>
      </c>
      <c r="DA82" s="29">
        <f t="shared" ca="1" si="56"/>
        <v>0</v>
      </c>
      <c r="DB82" s="29">
        <f t="shared" ca="1" si="56"/>
        <v>0</v>
      </c>
      <c r="DC82" s="29">
        <f t="shared" ca="1" si="56"/>
        <v>6</v>
      </c>
      <c r="DD82" s="29">
        <f t="shared" ca="1" si="56"/>
        <v>2</v>
      </c>
      <c r="DE82" s="29">
        <f t="shared" ca="1" si="56"/>
        <v>3</v>
      </c>
      <c r="DF82" s="29">
        <f t="shared" ca="1" si="56"/>
        <v>1</v>
      </c>
      <c r="DG82" s="29">
        <f t="shared" ca="1" si="56"/>
        <v>1</v>
      </c>
      <c r="DH82" s="29">
        <f t="shared" ca="1" si="56"/>
        <v>4</v>
      </c>
      <c r="DI82" s="29">
        <f t="shared" ca="1" si="56"/>
        <v>3</v>
      </c>
      <c r="DJ82" s="29">
        <f t="shared" ca="1" si="56"/>
        <v>2</v>
      </c>
      <c r="DK82" s="29">
        <f t="shared" ca="1" si="56"/>
        <v>2</v>
      </c>
      <c r="DL82" s="29">
        <f t="shared" ca="1" si="56"/>
        <v>2</v>
      </c>
    </row>
    <row r="83" spans="1:116" ht="14.4" x14ac:dyDescent="0.3">
      <c r="A83" s="31">
        <v>1065</v>
      </c>
      <c r="B83" s="28">
        <v>2.13</v>
      </c>
      <c r="C83" s="30">
        <v>27.91</v>
      </c>
      <c r="D83" s="28">
        <v>1.71</v>
      </c>
      <c r="E83" s="34">
        <f t="shared" si="43"/>
        <v>3.4200000000000001E-2</v>
      </c>
      <c r="F83" s="35">
        <f t="shared" si="44"/>
        <v>6.9775</v>
      </c>
      <c r="G83" s="34">
        <f t="shared" si="45"/>
        <v>42.75</v>
      </c>
      <c r="H83" s="33">
        <f t="shared" si="46"/>
        <v>16.794600938967136</v>
      </c>
      <c r="I83" s="28">
        <f t="shared" si="49"/>
        <v>165.09000000000003</v>
      </c>
      <c r="J83" s="32">
        <v>1</v>
      </c>
      <c r="K83" s="30">
        <f t="shared" si="47"/>
        <v>6.9775</v>
      </c>
      <c r="L83" s="30"/>
      <c r="M83" s="30"/>
      <c r="N83" s="30"/>
      <c r="O83" s="30"/>
      <c r="Q83" s="29">
        <f t="shared" ca="1" si="48"/>
        <v>2</v>
      </c>
      <c r="R83" s="29">
        <f t="shared" ca="1" si="51"/>
        <v>3</v>
      </c>
      <c r="S83" s="29">
        <f t="shared" ca="1" si="51"/>
        <v>2</v>
      </c>
      <c r="T83" s="29">
        <f t="shared" ca="1" si="51"/>
        <v>1</v>
      </c>
      <c r="U83" s="29">
        <f t="shared" ca="1" si="51"/>
        <v>2</v>
      </c>
      <c r="V83" s="29">
        <f t="shared" ca="1" si="51"/>
        <v>4</v>
      </c>
      <c r="W83" s="29">
        <f t="shared" ca="1" si="51"/>
        <v>1</v>
      </c>
      <c r="X83" s="29">
        <f t="shared" ca="1" si="51"/>
        <v>4</v>
      </c>
      <c r="Y83" s="29">
        <f t="shared" ca="1" si="51"/>
        <v>0</v>
      </c>
      <c r="Z83" s="29">
        <f t="shared" ca="1" si="51"/>
        <v>3</v>
      </c>
      <c r="AA83" s="29">
        <f t="shared" ca="1" si="51"/>
        <v>0</v>
      </c>
      <c r="AB83" s="29">
        <f t="shared" ca="1" si="51"/>
        <v>3</v>
      </c>
      <c r="AC83" s="29">
        <f t="shared" ca="1" si="51"/>
        <v>2</v>
      </c>
      <c r="AD83" s="29">
        <f t="shared" ca="1" si="51"/>
        <v>2</v>
      </c>
      <c r="AE83" s="29">
        <f t="shared" ca="1" si="51"/>
        <v>2</v>
      </c>
      <c r="AF83" s="29">
        <f t="shared" ca="1" si="51"/>
        <v>3</v>
      </c>
      <c r="AG83" s="29">
        <f t="shared" ca="1" si="50"/>
        <v>4</v>
      </c>
      <c r="AH83" s="29">
        <f t="shared" ca="1" si="50"/>
        <v>1</v>
      </c>
      <c r="AI83" s="29">
        <f t="shared" ca="1" si="50"/>
        <v>4</v>
      </c>
      <c r="AJ83" s="29">
        <f t="shared" ca="1" si="50"/>
        <v>0</v>
      </c>
      <c r="AK83" s="29">
        <f t="shared" ca="1" si="50"/>
        <v>3</v>
      </c>
      <c r="AL83" s="29">
        <f t="shared" ca="1" si="50"/>
        <v>2</v>
      </c>
      <c r="AM83" s="29">
        <f t="shared" ca="1" si="50"/>
        <v>2</v>
      </c>
      <c r="AN83" s="29">
        <f t="shared" ca="1" si="50"/>
        <v>0</v>
      </c>
      <c r="AO83" s="29">
        <f t="shared" ca="1" si="50"/>
        <v>0</v>
      </c>
      <c r="AP83" s="29">
        <f t="shared" ca="1" si="50"/>
        <v>0</v>
      </c>
      <c r="AQ83" s="29">
        <f t="shared" ca="1" si="50"/>
        <v>2</v>
      </c>
      <c r="AR83" s="29">
        <f t="shared" ca="1" si="50"/>
        <v>4</v>
      </c>
      <c r="AS83" s="29">
        <f t="shared" ca="1" si="50"/>
        <v>3</v>
      </c>
      <c r="AT83" s="29">
        <f t="shared" ca="1" si="50"/>
        <v>0</v>
      </c>
      <c r="AU83" s="29">
        <f t="shared" ca="1" si="50"/>
        <v>3</v>
      </c>
      <c r="AV83" s="29">
        <f t="shared" ca="1" si="54"/>
        <v>3</v>
      </c>
      <c r="AW83" s="29">
        <f t="shared" ca="1" si="54"/>
        <v>2</v>
      </c>
      <c r="AX83" s="29">
        <f t="shared" ca="1" si="54"/>
        <v>0</v>
      </c>
      <c r="AY83" s="29">
        <f t="shared" ca="1" si="54"/>
        <v>1</v>
      </c>
      <c r="AZ83" s="29">
        <f t="shared" ca="1" si="54"/>
        <v>2</v>
      </c>
      <c r="BA83" s="29">
        <f t="shared" ca="1" si="54"/>
        <v>0</v>
      </c>
      <c r="BB83" s="29">
        <f t="shared" ca="1" si="54"/>
        <v>0</v>
      </c>
      <c r="BC83" s="29">
        <f t="shared" ca="1" si="54"/>
        <v>1</v>
      </c>
      <c r="BD83" s="29">
        <f t="shared" ca="1" si="54"/>
        <v>3</v>
      </c>
      <c r="BE83" s="29">
        <f t="shared" ca="1" si="54"/>
        <v>1</v>
      </c>
      <c r="BF83" s="29">
        <f t="shared" ca="1" si="54"/>
        <v>2</v>
      </c>
      <c r="BG83" s="29">
        <f t="shared" ca="1" si="54"/>
        <v>2</v>
      </c>
      <c r="BH83" s="29">
        <f t="shared" ca="1" si="54"/>
        <v>0</v>
      </c>
      <c r="BI83" s="29">
        <f t="shared" ca="1" si="54"/>
        <v>1</v>
      </c>
      <c r="BJ83" s="29">
        <f t="shared" ca="1" si="54"/>
        <v>1</v>
      </c>
      <c r="BK83" s="29">
        <f t="shared" ca="1" si="54"/>
        <v>0</v>
      </c>
      <c r="BL83" s="29">
        <f t="shared" ca="1" si="53"/>
        <v>3</v>
      </c>
      <c r="BM83" s="29">
        <f t="shared" ca="1" si="53"/>
        <v>2</v>
      </c>
      <c r="BN83" s="29">
        <f t="shared" ca="1" si="53"/>
        <v>0</v>
      </c>
      <c r="BO83" s="29">
        <f t="shared" ca="1" si="53"/>
        <v>1</v>
      </c>
      <c r="BP83" s="29">
        <f t="shared" ca="1" si="53"/>
        <v>2</v>
      </c>
      <c r="BQ83" s="29">
        <f t="shared" ca="1" si="53"/>
        <v>2</v>
      </c>
      <c r="BR83" s="29">
        <f t="shared" ca="1" si="53"/>
        <v>0</v>
      </c>
      <c r="BS83" s="29">
        <f t="shared" ca="1" si="53"/>
        <v>3</v>
      </c>
      <c r="BT83" s="29">
        <f t="shared" ca="1" si="53"/>
        <v>0</v>
      </c>
      <c r="BU83" s="29">
        <f t="shared" ca="1" si="53"/>
        <v>5</v>
      </c>
      <c r="BV83" s="29">
        <f t="shared" ca="1" si="53"/>
        <v>3</v>
      </c>
      <c r="BW83" s="29">
        <f t="shared" ca="1" si="53"/>
        <v>1</v>
      </c>
      <c r="BX83" s="29">
        <f t="shared" ca="1" si="53"/>
        <v>0</v>
      </c>
      <c r="BY83" s="29">
        <f t="shared" ca="1" si="53"/>
        <v>0</v>
      </c>
      <c r="BZ83" s="29">
        <f t="shared" ca="1" si="53"/>
        <v>2</v>
      </c>
      <c r="CA83" s="29">
        <f t="shared" ca="1" si="52"/>
        <v>0</v>
      </c>
      <c r="CB83" s="29">
        <f t="shared" ca="1" si="52"/>
        <v>2</v>
      </c>
      <c r="CC83" s="29">
        <f t="shared" ca="1" si="52"/>
        <v>3</v>
      </c>
      <c r="CD83" s="29">
        <f t="shared" ca="1" si="52"/>
        <v>2</v>
      </c>
      <c r="CE83" s="29">
        <f t="shared" ca="1" si="52"/>
        <v>1</v>
      </c>
      <c r="CF83" s="29">
        <f t="shared" ca="1" si="52"/>
        <v>0</v>
      </c>
      <c r="CG83" s="29">
        <f t="shared" ca="1" si="52"/>
        <v>3</v>
      </c>
      <c r="CH83" s="29">
        <f t="shared" ca="1" si="52"/>
        <v>1</v>
      </c>
      <c r="CI83" s="29">
        <f t="shared" ca="1" si="52"/>
        <v>1</v>
      </c>
      <c r="CJ83" s="29">
        <f t="shared" ca="1" si="52"/>
        <v>1</v>
      </c>
      <c r="CK83" s="29">
        <f t="shared" ca="1" si="52"/>
        <v>2</v>
      </c>
      <c r="CL83" s="29">
        <f t="shared" ca="1" si="52"/>
        <v>2</v>
      </c>
      <c r="CM83" s="29">
        <f t="shared" ca="1" si="52"/>
        <v>0</v>
      </c>
      <c r="CN83" s="29">
        <f t="shared" ca="1" si="52"/>
        <v>0</v>
      </c>
      <c r="CO83" s="29">
        <f t="shared" ca="1" si="52"/>
        <v>2</v>
      </c>
      <c r="CP83" s="29">
        <f t="shared" ca="1" si="52"/>
        <v>0</v>
      </c>
      <c r="CQ83" s="29">
        <f t="shared" ca="1" si="55"/>
        <v>0</v>
      </c>
      <c r="CR83" s="29">
        <f t="shared" ca="1" si="55"/>
        <v>1</v>
      </c>
      <c r="CS83" s="29">
        <f t="shared" ca="1" si="55"/>
        <v>1</v>
      </c>
      <c r="CT83" s="29">
        <f t="shared" ca="1" si="55"/>
        <v>1</v>
      </c>
      <c r="CU83" s="29">
        <f t="shared" ca="1" si="55"/>
        <v>5</v>
      </c>
      <c r="CV83" s="29">
        <f t="shared" ca="1" si="55"/>
        <v>0</v>
      </c>
      <c r="CW83" s="29">
        <f t="shared" ca="1" si="38"/>
        <v>0</v>
      </c>
      <c r="CX83" s="29">
        <f t="shared" ca="1" si="56"/>
        <v>1</v>
      </c>
      <c r="CY83" s="29">
        <f t="shared" ca="1" si="56"/>
        <v>1</v>
      </c>
      <c r="CZ83" s="29">
        <f t="shared" ca="1" si="56"/>
        <v>2</v>
      </c>
      <c r="DA83" s="29">
        <f t="shared" ca="1" si="56"/>
        <v>1</v>
      </c>
      <c r="DB83" s="29">
        <f t="shared" ca="1" si="56"/>
        <v>1</v>
      </c>
      <c r="DC83" s="29">
        <f t="shared" ca="1" si="56"/>
        <v>1</v>
      </c>
      <c r="DD83" s="29">
        <f t="shared" ca="1" si="56"/>
        <v>2</v>
      </c>
      <c r="DE83" s="29">
        <f t="shared" ca="1" si="56"/>
        <v>3</v>
      </c>
      <c r="DF83" s="29">
        <f t="shared" ca="1" si="56"/>
        <v>2</v>
      </c>
      <c r="DG83" s="29">
        <f t="shared" ca="1" si="56"/>
        <v>3</v>
      </c>
      <c r="DH83" s="29">
        <f t="shared" ca="1" si="56"/>
        <v>2</v>
      </c>
      <c r="DI83" s="29">
        <f t="shared" ca="1" si="56"/>
        <v>5</v>
      </c>
      <c r="DJ83" s="29">
        <f t="shared" ca="1" si="56"/>
        <v>0</v>
      </c>
      <c r="DK83" s="29">
        <f t="shared" ca="1" si="56"/>
        <v>3</v>
      </c>
      <c r="DL83" s="29">
        <f t="shared" ca="1" si="56"/>
        <v>2</v>
      </c>
    </row>
    <row r="84" spans="1:116" ht="14.4" x14ac:dyDescent="0.3">
      <c r="A84" s="31">
        <v>210</v>
      </c>
      <c r="B84" s="28">
        <v>2.62</v>
      </c>
      <c r="C84" s="30">
        <v>86.07</v>
      </c>
      <c r="D84" s="28">
        <v>2.62</v>
      </c>
      <c r="E84" s="34">
        <f t="shared" si="43"/>
        <v>5.2400000000000002E-2</v>
      </c>
      <c r="F84" s="35">
        <f t="shared" si="44"/>
        <v>21.517499999999998</v>
      </c>
      <c r="G84" s="34">
        <f t="shared" si="45"/>
        <v>65.5</v>
      </c>
      <c r="H84" s="33">
        <f t="shared" si="46"/>
        <v>16.787213740458014</v>
      </c>
      <c r="I84" s="28">
        <f t="shared" si="49"/>
        <v>167.71000000000004</v>
      </c>
      <c r="J84" s="32">
        <v>1</v>
      </c>
      <c r="K84" s="30">
        <f t="shared" si="47"/>
        <v>21.517499999999998</v>
      </c>
      <c r="L84" s="30"/>
      <c r="M84" s="30"/>
      <c r="N84" s="30"/>
      <c r="O84" s="30"/>
      <c r="Q84" s="29">
        <f t="shared" ca="1" si="48"/>
        <v>3</v>
      </c>
      <c r="R84" s="29">
        <f t="shared" ca="1" si="51"/>
        <v>2</v>
      </c>
      <c r="S84" s="29">
        <f t="shared" ca="1" si="51"/>
        <v>4</v>
      </c>
      <c r="T84" s="29">
        <f t="shared" ca="1" si="51"/>
        <v>4</v>
      </c>
      <c r="U84" s="29">
        <f t="shared" ca="1" si="51"/>
        <v>0</v>
      </c>
      <c r="V84" s="29">
        <f t="shared" ca="1" si="51"/>
        <v>4</v>
      </c>
      <c r="W84" s="29">
        <f t="shared" ca="1" si="51"/>
        <v>8</v>
      </c>
      <c r="X84" s="29">
        <f t="shared" ca="1" si="51"/>
        <v>4</v>
      </c>
      <c r="Y84" s="29">
        <f t="shared" ca="1" si="51"/>
        <v>4</v>
      </c>
      <c r="Z84" s="29">
        <f t="shared" ca="1" si="51"/>
        <v>2</v>
      </c>
      <c r="AA84" s="29">
        <f t="shared" ca="1" si="51"/>
        <v>2</v>
      </c>
      <c r="AB84" s="29">
        <f t="shared" ca="1" si="51"/>
        <v>0</v>
      </c>
      <c r="AC84" s="29">
        <f t="shared" ca="1" si="51"/>
        <v>3</v>
      </c>
      <c r="AD84" s="29">
        <f t="shared" ca="1" si="51"/>
        <v>3</v>
      </c>
      <c r="AE84" s="29">
        <f t="shared" ca="1" si="51"/>
        <v>6</v>
      </c>
      <c r="AF84" s="29">
        <f t="shared" ca="1" si="51"/>
        <v>9</v>
      </c>
      <c r="AG84" s="29">
        <f t="shared" ca="1" si="50"/>
        <v>1</v>
      </c>
      <c r="AH84" s="29">
        <f t="shared" ca="1" si="50"/>
        <v>4</v>
      </c>
      <c r="AI84" s="29">
        <f t="shared" ca="1" si="50"/>
        <v>1</v>
      </c>
      <c r="AJ84" s="29">
        <f t="shared" ca="1" si="50"/>
        <v>5</v>
      </c>
      <c r="AK84" s="29">
        <f t="shared" ca="1" si="50"/>
        <v>1</v>
      </c>
      <c r="AL84" s="29">
        <f t="shared" ca="1" si="50"/>
        <v>2</v>
      </c>
      <c r="AM84" s="29">
        <f t="shared" ca="1" si="50"/>
        <v>2</v>
      </c>
      <c r="AN84" s="29">
        <f t="shared" ca="1" si="50"/>
        <v>2</v>
      </c>
      <c r="AO84" s="29">
        <f t="shared" ca="1" si="50"/>
        <v>2</v>
      </c>
      <c r="AP84" s="29">
        <f t="shared" ca="1" si="50"/>
        <v>3</v>
      </c>
      <c r="AQ84" s="29">
        <f t="shared" ca="1" si="50"/>
        <v>7</v>
      </c>
      <c r="AR84" s="29">
        <f t="shared" ca="1" si="50"/>
        <v>2</v>
      </c>
      <c r="AS84" s="29">
        <f t="shared" ca="1" si="50"/>
        <v>1</v>
      </c>
      <c r="AT84" s="29">
        <f t="shared" ca="1" si="50"/>
        <v>4</v>
      </c>
      <c r="AU84" s="29">
        <f t="shared" ca="1" si="50"/>
        <v>4</v>
      </c>
      <c r="AV84" s="29">
        <f t="shared" ca="1" si="54"/>
        <v>1</v>
      </c>
      <c r="AW84" s="29">
        <f t="shared" ca="1" si="54"/>
        <v>2</v>
      </c>
      <c r="AX84" s="29">
        <f t="shared" ca="1" si="54"/>
        <v>3</v>
      </c>
      <c r="AY84" s="29">
        <f t="shared" ca="1" si="54"/>
        <v>2</v>
      </c>
      <c r="AZ84" s="29">
        <f t="shared" ca="1" si="54"/>
        <v>0</v>
      </c>
      <c r="BA84" s="29">
        <f t="shared" ca="1" si="54"/>
        <v>3</v>
      </c>
      <c r="BB84" s="29">
        <f t="shared" ca="1" si="54"/>
        <v>1</v>
      </c>
      <c r="BC84" s="29">
        <f t="shared" ca="1" si="54"/>
        <v>3</v>
      </c>
      <c r="BD84" s="29">
        <f t="shared" ca="1" si="54"/>
        <v>3</v>
      </c>
      <c r="BE84" s="29">
        <f t="shared" ca="1" si="54"/>
        <v>2</v>
      </c>
      <c r="BF84" s="29">
        <f t="shared" ca="1" si="54"/>
        <v>6</v>
      </c>
      <c r="BG84" s="29">
        <f t="shared" ca="1" si="54"/>
        <v>1</v>
      </c>
      <c r="BH84" s="29">
        <f t="shared" ca="1" si="54"/>
        <v>1</v>
      </c>
      <c r="BI84" s="29">
        <f t="shared" ca="1" si="54"/>
        <v>3</v>
      </c>
      <c r="BJ84" s="29">
        <f t="shared" ca="1" si="54"/>
        <v>3</v>
      </c>
      <c r="BK84" s="29">
        <f t="shared" ca="1" si="54"/>
        <v>1</v>
      </c>
      <c r="BL84" s="29">
        <f t="shared" ca="1" si="53"/>
        <v>1</v>
      </c>
      <c r="BM84" s="29">
        <f t="shared" ca="1" si="53"/>
        <v>4</v>
      </c>
      <c r="BN84" s="29">
        <f t="shared" ca="1" si="53"/>
        <v>1</v>
      </c>
      <c r="BO84" s="29">
        <f t="shared" ca="1" si="53"/>
        <v>1</v>
      </c>
      <c r="BP84" s="29">
        <f t="shared" ca="1" si="53"/>
        <v>1</v>
      </c>
      <c r="BQ84" s="29">
        <f t="shared" ca="1" si="53"/>
        <v>3</v>
      </c>
      <c r="BR84" s="29">
        <f t="shared" ca="1" si="53"/>
        <v>3</v>
      </c>
      <c r="BS84" s="29">
        <f t="shared" ca="1" si="53"/>
        <v>4</v>
      </c>
      <c r="BT84" s="29">
        <f t="shared" ca="1" si="53"/>
        <v>0</v>
      </c>
      <c r="BU84" s="29">
        <f t="shared" ca="1" si="53"/>
        <v>3</v>
      </c>
      <c r="BV84" s="29">
        <f t="shared" ca="1" si="53"/>
        <v>3</v>
      </c>
      <c r="BW84" s="29">
        <f t="shared" ca="1" si="53"/>
        <v>1</v>
      </c>
      <c r="BX84" s="29">
        <f t="shared" ca="1" si="53"/>
        <v>3</v>
      </c>
      <c r="BY84" s="29">
        <f t="shared" ca="1" si="53"/>
        <v>6</v>
      </c>
      <c r="BZ84" s="29">
        <f t="shared" ca="1" si="53"/>
        <v>1</v>
      </c>
      <c r="CA84" s="29">
        <f t="shared" ca="1" si="52"/>
        <v>1</v>
      </c>
      <c r="CB84" s="29">
        <f t="shared" ca="1" si="52"/>
        <v>6</v>
      </c>
      <c r="CC84" s="29">
        <f t="shared" ca="1" si="52"/>
        <v>2</v>
      </c>
      <c r="CD84" s="29">
        <f t="shared" ca="1" si="52"/>
        <v>4</v>
      </c>
      <c r="CE84" s="29">
        <f t="shared" ca="1" si="52"/>
        <v>5</v>
      </c>
      <c r="CF84" s="29">
        <f t="shared" ca="1" si="52"/>
        <v>3</v>
      </c>
      <c r="CG84" s="29">
        <f t="shared" ca="1" si="52"/>
        <v>2</v>
      </c>
      <c r="CH84" s="29">
        <f t="shared" ca="1" si="52"/>
        <v>2</v>
      </c>
      <c r="CI84" s="29">
        <f t="shared" ca="1" si="52"/>
        <v>3</v>
      </c>
      <c r="CJ84" s="29">
        <f t="shared" ca="1" si="52"/>
        <v>1</v>
      </c>
      <c r="CK84" s="29">
        <f t="shared" ca="1" si="52"/>
        <v>3</v>
      </c>
      <c r="CL84" s="29">
        <f t="shared" ca="1" si="52"/>
        <v>3</v>
      </c>
      <c r="CM84" s="29">
        <f t="shared" ca="1" si="52"/>
        <v>2</v>
      </c>
      <c r="CN84" s="29">
        <f t="shared" ca="1" si="52"/>
        <v>2</v>
      </c>
      <c r="CO84" s="29">
        <f t="shared" ca="1" si="52"/>
        <v>2</v>
      </c>
      <c r="CP84" s="29">
        <f t="shared" ca="1" si="52"/>
        <v>3</v>
      </c>
      <c r="CQ84" s="29">
        <f t="shared" ca="1" si="55"/>
        <v>4</v>
      </c>
      <c r="CR84" s="29">
        <f t="shared" ca="1" si="55"/>
        <v>0</v>
      </c>
      <c r="CS84" s="29">
        <f t="shared" ca="1" si="55"/>
        <v>3</v>
      </c>
      <c r="CT84" s="29">
        <f t="shared" ca="1" si="55"/>
        <v>1</v>
      </c>
      <c r="CU84" s="29">
        <f t="shared" ca="1" si="55"/>
        <v>0</v>
      </c>
      <c r="CV84" s="29">
        <f t="shared" ca="1" si="55"/>
        <v>6</v>
      </c>
      <c r="CW84" s="29">
        <f t="shared" ca="1" si="38"/>
        <v>0</v>
      </c>
      <c r="CX84" s="29">
        <f t="shared" ca="1" si="56"/>
        <v>3</v>
      </c>
      <c r="CY84" s="29">
        <f t="shared" ca="1" si="56"/>
        <v>3</v>
      </c>
      <c r="CZ84" s="29">
        <f t="shared" ca="1" si="56"/>
        <v>3</v>
      </c>
      <c r="DA84" s="29">
        <f t="shared" ca="1" si="56"/>
        <v>4</v>
      </c>
      <c r="DB84" s="29">
        <f t="shared" ca="1" si="56"/>
        <v>3</v>
      </c>
      <c r="DC84" s="29">
        <f t="shared" ca="1" si="56"/>
        <v>3</v>
      </c>
      <c r="DD84" s="29">
        <f t="shared" ca="1" si="56"/>
        <v>4</v>
      </c>
      <c r="DE84" s="29">
        <f t="shared" ca="1" si="56"/>
        <v>4</v>
      </c>
      <c r="DF84" s="29">
        <f t="shared" ca="1" si="56"/>
        <v>2</v>
      </c>
      <c r="DG84" s="29">
        <f t="shared" ca="1" si="56"/>
        <v>3</v>
      </c>
      <c r="DH84" s="29">
        <f t="shared" ca="1" si="56"/>
        <v>0</v>
      </c>
      <c r="DI84" s="29">
        <f t="shared" ca="1" si="56"/>
        <v>0</v>
      </c>
      <c r="DJ84" s="29">
        <f t="shared" ca="1" si="56"/>
        <v>2</v>
      </c>
      <c r="DK84" s="29">
        <f t="shared" ca="1" si="56"/>
        <v>3</v>
      </c>
      <c r="DL84" s="29">
        <f t="shared" ca="1" si="56"/>
        <v>3</v>
      </c>
    </row>
    <row r="85" spans="1:116" ht="14.4" x14ac:dyDescent="0.3">
      <c r="A85" s="31">
        <v>834</v>
      </c>
      <c r="B85" s="28">
        <v>3.3</v>
      </c>
      <c r="C85" s="30">
        <v>25.37</v>
      </c>
      <c r="D85" s="28">
        <v>2.46</v>
      </c>
      <c r="E85" s="34">
        <f t="shared" si="43"/>
        <v>4.9200000000000001E-2</v>
      </c>
      <c r="F85" s="35">
        <f t="shared" si="44"/>
        <v>6.3425000000000002</v>
      </c>
      <c r="G85" s="34">
        <f t="shared" si="45"/>
        <v>61.5</v>
      </c>
      <c r="H85" s="33">
        <f t="shared" si="46"/>
        <v>16.71439393939394</v>
      </c>
      <c r="I85" s="28">
        <f t="shared" si="49"/>
        <v>171.01000000000005</v>
      </c>
      <c r="J85" s="32">
        <v>1</v>
      </c>
      <c r="K85" s="30">
        <f t="shared" si="47"/>
        <v>6.3425000000000002</v>
      </c>
      <c r="L85" s="30"/>
      <c r="M85" s="30"/>
      <c r="N85" s="30"/>
      <c r="O85" s="30"/>
      <c r="Q85" s="29">
        <f t="shared" ca="1" si="48"/>
        <v>2</v>
      </c>
      <c r="R85" s="29">
        <f t="shared" ca="1" si="51"/>
        <v>3</v>
      </c>
      <c r="S85" s="29">
        <f t="shared" ca="1" si="51"/>
        <v>2</v>
      </c>
      <c r="T85" s="29">
        <f t="shared" ca="1" si="51"/>
        <v>1</v>
      </c>
      <c r="U85" s="29">
        <f t="shared" ca="1" si="51"/>
        <v>4</v>
      </c>
      <c r="V85" s="29">
        <f t="shared" ca="1" si="51"/>
        <v>2</v>
      </c>
      <c r="W85" s="29">
        <f t="shared" ca="1" si="51"/>
        <v>4</v>
      </c>
      <c r="X85" s="29">
        <f t="shared" ca="1" si="51"/>
        <v>1</v>
      </c>
      <c r="Y85" s="29">
        <f t="shared" ca="1" si="51"/>
        <v>4</v>
      </c>
      <c r="Z85" s="29">
        <f t="shared" ca="1" si="51"/>
        <v>4</v>
      </c>
      <c r="AA85" s="29">
        <f t="shared" ca="1" si="51"/>
        <v>3</v>
      </c>
      <c r="AB85" s="29">
        <f t="shared" ca="1" si="51"/>
        <v>0</v>
      </c>
      <c r="AC85" s="29">
        <f t="shared" ca="1" si="51"/>
        <v>3</v>
      </c>
      <c r="AD85" s="29">
        <f t="shared" ca="1" si="51"/>
        <v>4</v>
      </c>
      <c r="AE85" s="29">
        <f t="shared" ca="1" si="51"/>
        <v>4</v>
      </c>
      <c r="AF85" s="29">
        <f t="shared" ca="1" si="51"/>
        <v>5</v>
      </c>
      <c r="AG85" s="29">
        <f t="shared" ca="1" si="50"/>
        <v>1</v>
      </c>
      <c r="AH85" s="29">
        <f t="shared" ca="1" si="50"/>
        <v>3</v>
      </c>
      <c r="AI85" s="29">
        <f t="shared" ca="1" si="50"/>
        <v>2</v>
      </c>
      <c r="AJ85" s="29">
        <f t="shared" ca="1" si="50"/>
        <v>1</v>
      </c>
      <c r="AK85" s="29">
        <f t="shared" ca="1" si="50"/>
        <v>4</v>
      </c>
      <c r="AL85" s="29">
        <f t="shared" ca="1" si="50"/>
        <v>2</v>
      </c>
      <c r="AM85" s="29">
        <f t="shared" ca="1" si="50"/>
        <v>1</v>
      </c>
      <c r="AN85" s="29">
        <f t="shared" ca="1" si="50"/>
        <v>2</v>
      </c>
      <c r="AO85" s="29">
        <f t="shared" ca="1" si="50"/>
        <v>0</v>
      </c>
      <c r="AP85" s="29">
        <f t="shared" ca="1" si="50"/>
        <v>5</v>
      </c>
      <c r="AQ85" s="29">
        <f t="shared" ca="1" si="50"/>
        <v>3</v>
      </c>
      <c r="AR85" s="29">
        <f t="shared" ca="1" si="50"/>
        <v>3</v>
      </c>
      <c r="AS85" s="29">
        <f t="shared" ca="1" si="50"/>
        <v>2</v>
      </c>
      <c r="AT85" s="29">
        <f t="shared" ca="1" si="50"/>
        <v>2</v>
      </c>
      <c r="AU85" s="29">
        <f t="shared" ca="1" si="50"/>
        <v>1</v>
      </c>
      <c r="AV85" s="29">
        <f t="shared" ca="1" si="54"/>
        <v>3</v>
      </c>
      <c r="AW85" s="29">
        <f t="shared" ca="1" si="54"/>
        <v>1</v>
      </c>
      <c r="AX85" s="29">
        <f t="shared" ca="1" si="54"/>
        <v>7</v>
      </c>
      <c r="AY85" s="29">
        <f t="shared" ca="1" si="54"/>
        <v>4</v>
      </c>
      <c r="AZ85" s="29">
        <f t="shared" ca="1" si="54"/>
        <v>1</v>
      </c>
      <c r="BA85" s="29">
        <f t="shared" ca="1" si="54"/>
        <v>3</v>
      </c>
      <c r="BB85" s="29">
        <f t="shared" ca="1" si="54"/>
        <v>6</v>
      </c>
      <c r="BC85" s="29">
        <f t="shared" ca="1" si="54"/>
        <v>1</v>
      </c>
      <c r="BD85" s="29">
        <f t="shared" ca="1" si="54"/>
        <v>4</v>
      </c>
      <c r="BE85" s="29">
        <f t="shared" ca="1" si="54"/>
        <v>2</v>
      </c>
      <c r="BF85" s="29">
        <f t="shared" ca="1" si="54"/>
        <v>3</v>
      </c>
      <c r="BG85" s="29">
        <f t="shared" ca="1" si="54"/>
        <v>4</v>
      </c>
      <c r="BH85" s="29">
        <f t="shared" ca="1" si="54"/>
        <v>3</v>
      </c>
      <c r="BI85" s="29">
        <f t="shared" ca="1" si="54"/>
        <v>4</v>
      </c>
      <c r="BJ85" s="29">
        <f t="shared" ca="1" si="54"/>
        <v>1</v>
      </c>
      <c r="BK85" s="29">
        <f t="shared" ca="1" si="54"/>
        <v>1</v>
      </c>
      <c r="BL85" s="29">
        <f t="shared" ca="1" si="53"/>
        <v>1</v>
      </c>
      <c r="BM85" s="29">
        <f t="shared" ca="1" si="53"/>
        <v>2</v>
      </c>
      <c r="BN85" s="29">
        <f t="shared" ca="1" si="53"/>
        <v>3</v>
      </c>
      <c r="BO85" s="29">
        <f t="shared" ca="1" si="53"/>
        <v>5</v>
      </c>
      <c r="BP85" s="29">
        <f t="shared" ca="1" si="53"/>
        <v>1</v>
      </c>
      <c r="BQ85" s="29">
        <f t="shared" ca="1" si="53"/>
        <v>4</v>
      </c>
      <c r="BR85" s="29">
        <f t="shared" ca="1" si="53"/>
        <v>5</v>
      </c>
      <c r="BS85" s="29">
        <f t="shared" ca="1" si="53"/>
        <v>3</v>
      </c>
      <c r="BT85" s="29">
        <f t="shared" ca="1" si="53"/>
        <v>5</v>
      </c>
      <c r="BU85" s="29">
        <f t="shared" ca="1" si="53"/>
        <v>3</v>
      </c>
      <c r="BV85" s="29">
        <f t="shared" ca="1" si="53"/>
        <v>1</v>
      </c>
      <c r="BW85" s="29">
        <f t="shared" ca="1" si="53"/>
        <v>0</v>
      </c>
      <c r="BX85" s="29">
        <f t="shared" ca="1" si="53"/>
        <v>2</v>
      </c>
      <c r="BY85" s="29">
        <f t="shared" ca="1" si="53"/>
        <v>2</v>
      </c>
      <c r="BZ85" s="29">
        <f t="shared" ca="1" si="53"/>
        <v>2</v>
      </c>
      <c r="CA85" s="29">
        <f t="shared" ca="1" si="52"/>
        <v>2</v>
      </c>
      <c r="CB85" s="29">
        <f t="shared" ca="1" si="52"/>
        <v>4</v>
      </c>
      <c r="CC85" s="29">
        <f t="shared" ca="1" si="52"/>
        <v>1</v>
      </c>
      <c r="CD85" s="29">
        <f t="shared" ca="1" si="52"/>
        <v>0</v>
      </c>
      <c r="CE85" s="29">
        <f t="shared" ca="1" si="52"/>
        <v>2</v>
      </c>
      <c r="CF85" s="29">
        <f t="shared" ca="1" si="52"/>
        <v>1</v>
      </c>
      <c r="CG85" s="29">
        <f t="shared" ca="1" si="52"/>
        <v>5</v>
      </c>
      <c r="CH85" s="29">
        <f t="shared" ca="1" si="52"/>
        <v>1</v>
      </c>
      <c r="CI85" s="29">
        <f t="shared" ca="1" si="52"/>
        <v>1</v>
      </c>
      <c r="CJ85" s="29">
        <f t="shared" ca="1" si="52"/>
        <v>5</v>
      </c>
      <c r="CK85" s="29">
        <f t="shared" ca="1" si="52"/>
        <v>1</v>
      </c>
      <c r="CL85" s="29">
        <f t="shared" ca="1" si="52"/>
        <v>3</v>
      </c>
      <c r="CM85" s="29">
        <f t="shared" ca="1" si="52"/>
        <v>3</v>
      </c>
      <c r="CN85" s="29">
        <f t="shared" ca="1" si="52"/>
        <v>3</v>
      </c>
      <c r="CO85" s="29">
        <f t="shared" ca="1" si="52"/>
        <v>2</v>
      </c>
      <c r="CP85" s="29">
        <f t="shared" ca="1" si="52"/>
        <v>3</v>
      </c>
      <c r="CQ85" s="29">
        <f t="shared" ca="1" si="55"/>
        <v>2</v>
      </c>
      <c r="CR85" s="29">
        <f t="shared" ca="1" si="55"/>
        <v>2</v>
      </c>
      <c r="CS85" s="29">
        <f t="shared" ca="1" si="55"/>
        <v>1</v>
      </c>
      <c r="CT85" s="29">
        <f t="shared" ca="1" si="55"/>
        <v>2</v>
      </c>
      <c r="CU85" s="29">
        <f t="shared" ca="1" si="55"/>
        <v>2</v>
      </c>
      <c r="CV85" s="29">
        <f t="shared" ca="1" si="55"/>
        <v>3</v>
      </c>
      <c r="CW85" s="29">
        <f t="shared" ca="1" si="38"/>
        <v>1</v>
      </c>
      <c r="CX85" s="29">
        <f t="shared" ca="1" si="56"/>
        <v>1</v>
      </c>
      <c r="CY85" s="29">
        <f t="shared" ca="1" si="56"/>
        <v>1</v>
      </c>
      <c r="CZ85" s="29">
        <f t="shared" ca="1" si="56"/>
        <v>3</v>
      </c>
      <c r="DA85" s="29">
        <f t="shared" ca="1" si="56"/>
        <v>6</v>
      </c>
      <c r="DB85" s="29">
        <f t="shared" ca="1" si="56"/>
        <v>4</v>
      </c>
      <c r="DC85" s="29">
        <f t="shared" ca="1" si="56"/>
        <v>2</v>
      </c>
      <c r="DD85" s="29">
        <f t="shared" ca="1" si="56"/>
        <v>3</v>
      </c>
      <c r="DE85" s="29">
        <f t="shared" ca="1" si="56"/>
        <v>0</v>
      </c>
      <c r="DF85" s="29">
        <f t="shared" ca="1" si="56"/>
        <v>1</v>
      </c>
      <c r="DG85" s="29">
        <f t="shared" ca="1" si="56"/>
        <v>2</v>
      </c>
      <c r="DH85" s="29">
        <f t="shared" ca="1" si="56"/>
        <v>2</v>
      </c>
      <c r="DI85" s="29">
        <f t="shared" ca="1" si="56"/>
        <v>2</v>
      </c>
      <c r="DJ85" s="29">
        <f t="shared" ca="1" si="56"/>
        <v>2</v>
      </c>
      <c r="DK85" s="29">
        <f t="shared" ca="1" si="56"/>
        <v>5</v>
      </c>
      <c r="DL85" s="29">
        <f t="shared" ca="1" si="56"/>
        <v>1</v>
      </c>
    </row>
    <row r="86" spans="1:116" ht="14.4" x14ac:dyDescent="0.3">
      <c r="A86" s="31">
        <v>1024</v>
      </c>
      <c r="B86" s="28">
        <v>2.7</v>
      </c>
      <c r="C86" s="30">
        <v>96.48</v>
      </c>
      <c r="D86" s="28">
        <v>2.76</v>
      </c>
      <c r="E86" s="34">
        <f t="shared" si="43"/>
        <v>5.5199999999999999E-2</v>
      </c>
      <c r="F86" s="35">
        <f t="shared" si="44"/>
        <v>24.12</v>
      </c>
      <c r="G86" s="34">
        <f t="shared" si="45"/>
        <v>69</v>
      </c>
      <c r="H86" s="33">
        <f t="shared" si="46"/>
        <v>16.62222222222222</v>
      </c>
      <c r="I86" s="28">
        <f t="shared" si="49"/>
        <v>173.71000000000004</v>
      </c>
      <c r="J86" s="32">
        <v>1</v>
      </c>
      <c r="K86" s="30">
        <f t="shared" si="47"/>
        <v>24.12</v>
      </c>
      <c r="L86" s="30"/>
      <c r="M86" s="30"/>
      <c r="N86" s="30"/>
      <c r="O86" s="30"/>
      <c r="Q86" s="29">
        <f t="shared" ca="1" si="48"/>
        <v>4</v>
      </c>
      <c r="R86" s="29">
        <f t="shared" ca="1" si="51"/>
        <v>3</v>
      </c>
      <c r="S86" s="29">
        <f t="shared" ca="1" si="51"/>
        <v>5</v>
      </c>
      <c r="T86" s="29">
        <f t="shared" ca="1" si="51"/>
        <v>1</v>
      </c>
      <c r="U86" s="29">
        <f t="shared" ca="1" si="51"/>
        <v>4</v>
      </c>
      <c r="V86" s="29">
        <f t="shared" ca="1" si="51"/>
        <v>2</v>
      </c>
      <c r="W86" s="29">
        <f t="shared" ca="1" si="51"/>
        <v>3</v>
      </c>
      <c r="X86" s="29">
        <f t="shared" ca="1" si="51"/>
        <v>4</v>
      </c>
      <c r="Y86" s="29">
        <f t="shared" ca="1" si="51"/>
        <v>4</v>
      </c>
      <c r="Z86" s="29">
        <f t="shared" ca="1" si="51"/>
        <v>2</v>
      </c>
      <c r="AA86" s="29">
        <f t="shared" ca="1" si="51"/>
        <v>4</v>
      </c>
      <c r="AB86" s="29">
        <f t="shared" ca="1" si="51"/>
        <v>3</v>
      </c>
      <c r="AC86" s="29">
        <f t="shared" ca="1" si="51"/>
        <v>3</v>
      </c>
      <c r="AD86" s="29">
        <f t="shared" ca="1" si="51"/>
        <v>2</v>
      </c>
      <c r="AE86" s="29">
        <f t="shared" ca="1" si="51"/>
        <v>5</v>
      </c>
      <c r="AF86" s="29">
        <f t="shared" ca="1" si="51"/>
        <v>1</v>
      </c>
      <c r="AG86" s="29">
        <f t="shared" ca="1" si="50"/>
        <v>4</v>
      </c>
      <c r="AH86" s="29">
        <f t="shared" ca="1" si="50"/>
        <v>3</v>
      </c>
      <c r="AI86" s="29">
        <f t="shared" ca="1" si="50"/>
        <v>2</v>
      </c>
      <c r="AJ86" s="29">
        <f t="shared" ca="1" si="50"/>
        <v>1</v>
      </c>
      <c r="AK86" s="29">
        <f t="shared" ca="1" si="50"/>
        <v>1</v>
      </c>
      <c r="AL86" s="29">
        <f t="shared" ca="1" si="50"/>
        <v>5</v>
      </c>
      <c r="AM86" s="29">
        <f t="shared" ca="1" si="50"/>
        <v>0</v>
      </c>
      <c r="AN86" s="29">
        <f t="shared" ca="1" si="50"/>
        <v>2</v>
      </c>
      <c r="AO86" s="29">
        <f t="shared" ca="1" si="50"/>
        <v>5</v>
      </c>
      <c r="AP86" s="29">
        <f t="shared" ca="1" si="50"/>
        <v>3</v>
      </c>
      <c r="AQ86" s="29">
        <f t="shared" ca="1" si="50"/>
        <v>5</v>
      </c>
      <c r="AR86" s="29">
        <f t="shared" ca="1" si="50"/>
        <v>1</v>
      </c>
      <c r="AS86" s="29">
        <f t="shared" ca="1" si="50"/>
        <v>4</v>
      </c>
      <c r="AT86" s="29">
        <f t="shared" ca="1" si="50"/>
        <v>5</v>
      </c>
      <c r="AU86" s="29">
        <f t="shared" ca="1" si="50"/>
        <v>2</v>
      </c>
      <c r="AV86" s="29">
        <f t="shared" ca="1" si="54"/>
        <v>5</v>
      </c>
      <c r="AW86" s="29">
        <f t="shared" ca="1" si="54"/>
        <v>5</v>
      </c>
      <c r="AX86" s="29">
        <f t="shared" ca="1" si="54"/>
        <v>1</v>
      </c>
      <c r="AY86" s="29">
        <f t="shared" ca="1" si="54"/>
        <v>3</v>
      </c>
      <c r="AZ86" s="29">
        <f t="shared" ca="1" si="54"/>
        <v>1</v>
      </c>
      <c r="BA86" s="29">
        <f t="shared" ca="1" si="54"/>
        <v>4</v>
      </c>
      <c r="BB86" s="29">
        <f t="shared" ca="1" si="54"/>
        <v>1</v>
      </c>
      <c r="BC86" s="29">
        <f t="shared" ca="1" si="54"/>
        <v>3</v>
      </c>
      <c r="BD86" s="29">
        <f t="shared" ca="1" si="54"/>
        <v>3</v>
      </c>
      <c r="BE86" s="29">
        <f t="shared" ca="1" si="54"/>
        <v>1</v>
      </c>
      <c r="BF86" s="29">
        <f t="shared" ca="1" si="54"/>
        <v>3</v>
      </c>
      <c r="BG86" s="29">
        <f t="shared" ca="1" si="54"/>
        <v>0</v>
      </c>
      <c r="BH86" s="29">
        <f t="shared" ca="1" si="54"/>
        <v>4</v>
      </c>
      <c r="BI86" s="29">
        <f t="shared" ca="1" si="54"/>
        <v>2</v>
      </c>
      <c r="BJ86" s="29">
        <f t="shared" ca="1" si="54"/>
        <v>4</v>
      </c>
      <c r="BK86" s="29">
        <f t="shared" ca="1" si="54"/>
        <v>4</v>
      </c>
      <c r="BL86" s="29">
        <f t="shared" ca="1" si="53"/>
        <v>2</v>
      </c>
      <c r="BM86" s="29">
        <f t="shared" ca="1" si="53"/>
        <v>3</v>
      </c>
      <c r="BN86" s="29">
        <f t="shared" ca="1" si="53"/>
        <v>3</v>
      </c>
      <c r="BO86" s="29">
        <f t="shared" ca="1" si="53"/>
        <v>2</v>
      </c>
      <c r="BP86" s="29">
        <f t="shared" ca="1" si="53"/>
        <v>6</v>
      </c>
      <c r="BQ86" s="29">
        <f t="shared" ca="1" si="53"/>
        <v>6</v>
      </c>
      <c r="BR86" s="29">
        <f t="shared" ca="1" si="53"/>
        <v>4</v>
      </c>
      <c r="BS86" s="29">
        <f t="shared" ca="1" si="53"/>
        <v>3</v>
      </c>
      <c r="BT86" s="29">
        <f t="shared" ca="1" si="53"/>
        <v>5</v>
      </c>
      <c r="BU86" s="29">
        <f t="shared" ca="1" si="53"/>
        <v>0</v>
      </c>
      <c r="BV86" s="29">
        <f t="shared" ca="1" si="53"/>
        <v>1</v>
      </c>
      <c r="BW86" s="29">
        <f t="shared" ca="1" si="53"/>
        <v>3</v>
      </c>
      <c r="BX86" s="29">
        <f t="shared" ca="1" si="53"/>
        <v>3</v>
      </c>
      <c r="BY86" s="29">
        <f t="shared" ca="1" si="53"/>
        <v>5</v>
      </c>
      <c r="BZ86" s="29">
        <f t="shared" ca="1" si="53"/>
        <v>0</v>
      </c>
      <c r="CA86" s="29">
        <f t="shared" ca="1" si="52"/>
        <v>5</v>
      </c>
      <c r="CB86" s="29">
        <f t="shared" ca="1" si="52"/>
        <v>3</v>
      </c>
      <c r="CC86" s="29">
        <f t="shared" ca="1" si="52"/>
        <v>0</v>
      </c>
      <c r="CD86" s="29">
        <f t="shared" ca="1" si="52"/>
        <v>2</v>
      </c>
      <c r="CE86" s="29">
        <f t="shared" ca="1" si="52"/>
        <v>2</v>
      </c>
      <c r="CF86" s="29">
        <f t="shared" ca="1" si="52"/>
        <v>3</v>
      </c>
      <c r="CG86" s="29">
        <f t="shared" ca="1" si="52"/>
        <v>1</v>
      </c>
      <c r="CH86" s="29">
        <f t="shared" ca="1" si="52"/>
        <v>2</v>
      </c>
      <c r="CI86" s="29">
        <f t="shared" ca="1" si="52"/>
        <v>5</v>
      </c>
      <c r="CJ86" s="29">
        <f t="shared" ca="1" si="52"/>
        <v>1</v>
      </c>
      <c r="CK86" s="29">
        <f t="shared" ca="1" si="52"/>
        <v>1</v>
      </c>
      <c r="CL86" s="29">
        <f t="shared" ca="1" si="52"/>
        <v>2</v>
      </c>
      <c r="CM86" s="29">
        <f t="shared" ca="1" si="52"/>
        <v>1</v>
      </c>
      <c r="CN86" s="29">
        <f t="shared" ca="1" si="52"/>
        <v>1</v>
      </c>
      <c r="CO86" s="29">
        <f t="shared" ca="1" si="52"/>
        <v>3</v>
      </c>
      <c r="CP86" s="29">
        <f t="shared" ca="1" si="52"/>
        <v>4</v>
      </c>
      <c r="CQ86" s="29">
        <f t="shared" ca="1" si="55"/>
        <v>4</v>
      </c>
      <c r="CR86" s="29">
        <f t="shared" ca="1" si="55"/>
        <v>7</v>
      </c>
      <c r="CS86" s="29">
        <f t="shared" ca="1" si="55"/>
        <v>1</v>
      </c>
      <c r="CT86" s="29">
        <f t="shared" ca="1" si="55"/>
        <v>4</v>
      </c>
      <c r="CU86" s="29">
        <f t="shared" ca="1" si="55"/>
        <v>4</v>
      </c>
      <c r="CV86" s="29">
        <f t="shared" ca="1" si="55"/>
        <v>4</v>
      </c>
      <c r="CW86" s="29">
        <f t="shared" ca="1" si="38"/>
        <v>0</v>
      </c>
      <c r="CX86" s="29">
        <f t="shared" ca="1" si="56"/>
        <v>1</v>
      </c>
      <c r="CY86" s="29">
        <f t="shared" ca="1" si="56"/>
        <v>4</v>
      </c>
      <c r="CZ86" s="29">
        <f t="shared" ca="1" si="56"/>
        <v>4</v>
      </c>
      <c r="DA86" s="29">
        <f t="shared" ca="1" si="56"/>
        <v>2</v>
      </c>
      <c r="DB86" s="29">
        <f t="shared" ca="1" si="56"/>
        <v>2</v>
      </c>
      <c r="DC86" s="29">
        <f t="shared" ca="1" si="56"/>
        <v>1</v>
      </c>
      <c r="DD86" s="29">
        <f t="shared" ca="1" si="56"/>
        <v>1</v>
      </c>
      <c r="DE86" s="29">
        <f t="shared" ca="1" si="56"/>
        <v>2</v>
      </c>
      <c r="DF86" s="29">
        <f t="shared" ca="1" si="56"/>
        <v>2</v>
      </c>
      <c r="DG86" s="29">
        <f t="shared" ca="1" si="56"/>
        <v>0</v>
      </c>
      <c r="DH86" s="29">
        <f t="shared" ca="1" si="56"/>
        <v>3</v>
      </c>
      <c r="DI86" s="29">
        <f t="shared" ca="1" si="56"/>
        <v>3</v>
      </c>
      <c r="DJ86" s="29">
        <f t="shared" ca="1" si="56"/>
        <v>3</v>
      </c>
      <c r="DK86" s="29">
        <f t="shared" ca="1" si="56"/>
        <v>5</v>
      </c>
      <c r="DL86" s="29">
        <f t="shared" ca="1" si="56"/>
        <v>4</v>
      </c>
    </row>
    <row r="87" spans="1:116" ht="14.4" x14ac:dyDescent="0.3">
      <c r="A87" s="31">
        <v>262</v>
      </c>
      <c r="B87" s="28">
        <v>0.81</v>
      </c>
      <c r="C87" s="30">
        <v>92.18</v>
      </c>
      <c r="D87" s="28">
        <v>1.46</v>
      </c>
      <c r="E87" s="34">
        <f t="shared" si="43"/>
        <v>2.92E-2</v>
      </c>
      <c r="F87" s="35">
        <f t="shared" si="44"/>
        <v>23.045000000000002</v>
      </c>
      <c r="G87" s="34">
        <f t="shared" si="45"/>
        <v>36.5</v>
      </c>
      <c r="H87" s="33">
        <f t="shared" si="46"/>
        <v>16.611111111111107</v>
      </c>
      <c r="I87" s="28">
        <f t="shared" si="49"/>
        <v>174.52000000000004</v>
      </c>
      <c r="J87" s="32">
        <v>1</v>
      </c>
      <c r="K87" s="30">
        <f t="shared" si="47"/>
        <v>23.045000000000002</v>
      </c>
      <c r="L87" s="30"/>
      <c r="M87" s="30"/>
      <c r="N87" s="30"/>
      <c r="O87" s="30"/>
      <c r="Q87" s="29">
        <f t="shared" ca="1" si="48"/>
        <v>0</v>
      </c>
      <c r="R87" s="29">
        <f t="shared" ca="1" si="51"/>
        <v>3</v>
      </c>
      <c r="S87" s="29">
        <f t="shared" ca="1" si="51"/>
        <v>1</v>
      </c>
      <c r="T87" s="29">
        <f t="shared" ca="1" si="51"/>
        <v>2</v>
      </c>
      <c r="U87" s="29">
        <f t="shared" ca="1" si="51"/>
        <v>3</v>
      </c>
      <c r="V87" s="29">
        <f t="shared" ca="1" si="51"/>
        <v>1</v>
      </c>
      <c r="W87" s="29">
        <f t="shared" ca="1" si="51"/>
        <v>2</v>
      </c>
      <c r="X87" s="29">
        <f t="shared" ca="1" si="51"/>
        <v>0</v>
      </c>
      <c r="Y87" s="29">
        <f t="shared" ca="1" si="51"/>
        <v>1</v>
      </c>
      <c r="Z87" s="29">
        <f t="shared" ca="1" si="51"/>
        <v>2</v>
      </c>
      <c r="AA87" s="29">
        <f t="shared" ca="1" si="51"/>
        <v>0</v>
      </c>
      <c r="AB87" s="29">
        <f t="shared" ca="1" si="51"/>
        <v>3</v>
      </c>
      <c r="AC87" s="29">
        <f t="shared" ca="1" si="51"/>
        <v>1</v>
      </c>
      <c r="AD87" s="29">
        <f t="shared" ca="1" si="51"/>
        <v>1</v>
      </c>
      <c r="AE87" s="29">
        <f t="shared" ca="1" si="51"/>
        <v>1</v>
      </c>
      <c r="AF87" s="29">
        <f t="shared" ca="1" si="51"/>
        <v>0</v>
      </c>
      <c r="AG87" s="29">
        <f t="shared" ca="1" si="50"/>
        <v>2</v>
      </c>
      <c r="AH87" s="29">
        <f t="shared" ca="1" si="50"/>
        <v>2</v>
      </c>
      <c r="AI87" s="29">
        <f t="shared" ca="1" si="50"/>
        <v>1</v>
      </c>
      <c r="AJ87" s="29">
        <f t="shared" ca="1" si="50"/>
        <v>0</v>
      </c>
      <c r="AK87" s="29">
        <f t="shared" ca="1" si="50"/>
        <v>5</v>
      </c>
      <c r="AL87" s="29">
        <f t="shared" ca="1" si="50"/>
        <v>1</v>
      </c>
      <c r="AM87" s="29">
        <f t="shared" ca="1" si="50"/>
        <v>3</v>
      </c>
      <c r="AN87" s="29">
        <f t="shared" ca="1" si="50"/>
        <v>1</v>
      </c>
      <c r="AO87" s="29">
        <f t="shared" ca="1" si="50"/>
        <v>0</v>
      </c>
      <c r="AP87" s="29">
        <f t="shared" ca="1" si="50"/>
        <v>0</v>
      </c>
      <c r="AQ87" s="29">
        <f t="shared" ca="1" si="50"/>
        <v>0</v>
      </c>
      <c r="AR87" s="29">
        <f t="shared" ca="1" si="50"/>
        <v>1</v>
      </c>
      <c r="AS87" s="29">
        <f t="shared" ca="1" si="50"/>
        <v>0</v>
      </c>
      <c r="AT87" s="29">
        <f t="shared" ca="1" si="50"/>
        <v>1</v>
      </c>
      <c r="AU87" s="29">
        <f t="shared" ca="1" si="50"/>
        <v>2</v>
      </c>
      <c r="AV87" s="29">
        <f t="shared" ca="1" si="54"/>
        <v>1</v>
      </c>
      <c r="AW87" s="29">
        <f t="shared" ca="1" si="54"/>
        <v>1</v>
      </c>
      <c r="AX87" s="29">
        <f t="shared" ca="1" si="54"/>
        <v>1</v>
      </c>
      <c r="AY87" s="29">
        <f t="shared" ca="1" si="54"/>
        <v>1</v>
      </c>
      <c r="AZ87" s="29">
        <f t="shared" ca="1" si="54"/>
        <v>2</v>
      </c>
      <c r="BA87" s="29">
        <f t="shared" ca="1" si="54"/>
        <v>2</v>
      </c>
      <c r="BB87" s="29">
        <f t="shared" ca="1" si="54"/>
        <v>0</v>
      </c>
      <c r="BC87" s="29">
        <f t="shared" ca="1" si="54"/>
        <v>1</v>
      </c>
      <c r="BD87" s="29">
        <f t="shared" ca="1" si="54"/>
        <v>2</v>
      </c>
      <c r="BE87" s="29">
        <f t="shared" ca="1" si="54"/>
        <v>3</v>
      </c>
      <c r="BF87" s="29">
        <f t="shared" ca="1" si="54"/>
        <v>2</v>
      </c>
      <c r="BG87" s="29">
        <f t="shared" ca="1" si="54"/>
        <v>1</v>
      </c>
      <c r="BH87" s="29">
        <f t="shared" ca="1" si="54"/>
        <v>0</v>
      </c>
      <c r="BI87" s="29">
        <f t="shared" ca="1" si="54"/>
        <v>0</v>
      </c>
      <c r="BJ87" s="29">
        <f t="shared" ca="1" si="54"/>
        <v>0</v>
      </c>
      <c r="BK87" s="29">
        <f t="shared" ca="1" si="54"/>
        <v>1</v>
      </c>
      <c r="BL87" s="29">
        <f t="shared" ca="1" si="53"/>
        <v>1</v>
      </c>
      <c r="BM87" s="29">
        <f t="shared" ca="1" si="53"/>
        <v>0</v>
      </c>
      <c r="BN87" s="29">
        <f t="shared" ca="1" si="53"/>
        <v>2</v>
      </c>
      <c r="BO87" s="29">
        <f t="shared" ca="1" si="53"/>
        <v>1</v>
      </c>
      <c r="BP87" s="29">
        <f t="shared" ca="1" si="53"/>
        <v>3</v>
      </c>
      <c r="BQ87" s="29">
        <f t="shared" ca="1" si="53"/>
        <v>2</v>
      </c>
      <c r="BR87" s="29">
        <f t="shared" ca="1" si="53"/>
        <v>3</v>
      </c>
      <c r="BS87" s="29">
        <f t="shared" ca="1" si="53"/>
        <v>1</v>
      </c>
      <c r="BT87" s="29">
        <f t="shared" ca="1" si="53"/>
        <v>2</v>
      </c>
      <c r="BU87" s="29">
        <f t="shared" ca="1" si="53"/>
        <v>0</v>
      </c>
      <c r="BV87" s="29">
        <f t="shared" ca="1" si="53"/>
        <v>0</v>
      </c>
      <c r="BW87" s="29">
        <f t="shared" ca="1" si="53"/>
        <v>0</v>
      </c>
      <c r="BX87" s="29">
        <f t="shared" ca="1" si="53"/>
        <v>1</v>
      </c>
      <c r="BY87" s="29">
        <f t="shared" ca="1" si="53"/>
        <v>3</v>
      </c>
      <c r="BZ87" s="29">
        <f t="shared" ca="1" si="53"/>
        <v>1</v>
      </c>
      <c r="CA87" s="29">
        <f t="shared" ca="1" si="52"/>
        <v>1</v>
      </c>
      <c r="CB87" s="29">
        <f t="shared" ca="1" si="52"/>
        <v>0</v>
      </c>
      <c r="CC87" s="29">
        <f t="shared" ca="1" si="52"/>
        <v>2</v>
      </c>
      <c r="CD87" s="29">
        <f t="shared" ca="1" si="52"/>
        <v>1</v>
      </c>
      <c r="CE87" s="29">
        <f t="shared" ca="1" si="52"/>
        <v>1</v>
      </c>
      <c r="CF87" s="29">
        <f t="shared" ca="1" si="52"/>
        <v>0</v>
      </c>
      <c r="CG87" s="29">
        <f t="shared" ca="1" si="52"/>
        <v>3</v>
      </c>
      <c r="CH87" s="29">
        <f t="shared" ca="1" si="52"/>
        <v>2</v>
      </c>
      <c r="CI87" s="29">
        <f t="shared" ca="1" si="52"/>
        <v>1</v>
      </c>
      <c r="CJ87" s="29">
        <f t="shared" ca="1" si="52"/>
        <v>0</v>
      </c>
      <c r="CK87" s="29">
        <f t="shared" ca="1" si="52"/>
        <v>0</v>
      </c>
      <c r="CL87" s="29">
        <f t="shared" ca="1" si="52"/>
        <v>2</v>
      </c>
      <c r="CM87" s="29">
        <f t="shared" ca="1" si="52"/>
        <v>2</v>
      </c>
      <c r="CN87" s="29">
        <f t="shared" ca="1" si="52"/>
        <v>0</v>
      </c>
      <c r="CO87" s="29">
        <f t="shared" ca="1" si="52"/>
        <v>1</v>
      </c>
      <c r="CP87" s="29">
        <f t="shared" ca="1" si="52"/>
        <v>0</v>
      </c>
      <c r="CQ87" s="29">
        <f t="shared" ca="1" si="55"/>
        <v>4</v>
      </c>
      <c r="CR87" s="29">
        <f t="shared" ca="1" si="55"/>
        <v>0</v>
      </c>
      <c r="CS87" s="29">
        <f t="shared" ca="1" si="55"/>
        <v>1</v>
      </c>
      <c r="CT87" s="29">
        <f t="shared" ca="1" si="55"/>
        <v>1</v>
      </c>
      <c r="CU87" s="29">
        <f t="shared" ca="1" si="55"/>
        <v>2</v>
      </c>
      <c r="CV87" s="29">
        <f t="shared" ca="1" si="55"/>
        <v>1</v>
      </c>
      <c r="CW87" s="29">
        <f t="shared" ca="1" si="38"/>
        <v>2</v>
      </c>
      <c r="CX87" s="29">
        <f t="shared" ca="1" si="56"/>
        <v>1</v>
      </c>
      <c r="CY87" s="29">
        <f t="shared" ca="1" si="56"/>
        <v>1</v>
      </c>
      <c r="CZ87" s="29">
        <f t="shared" ca="1" si="56"/>
        <v>0</v>
      </c>
      <c r="DA87" s="29">
        <f t="shared" ca="1" si="56"/>
        <v>1</v>
      </c>
      <c r="DB87" s="29">
        <f t="shared" ca="1" si="56"/>
        <v>2</v>
      </c>
      <c r="DC87" s="29">
        <f t="shared" ca="1" si="56"/>
        <v>3</v>
      </c>
      <c r="DD87" s="29">
        <f t="shared" ca="1" si="56"/>
        <v>4</v>
      </c>
      <c r="DE87" s="29">
        <f t="shared" ca="1" si="56"/>
        <v>0</v>
      </c>
      <c r="DF87" s="29">
        <f t="shared" ca="1" si="56"/>
        <v>1</v>
      </c>
      <c r="DG87" s="29">
        <f t="shared" ca="1" si="56"/>
        <v>3</v>
      </c>
      <c r="DH87" s="29">
        <f t="shared" ca="1" si="56"/>
        <v>1</v>
      </c>
      <c r="DI87" s="29">
        <f t="shared" ca="1" si="56"/>
        <v>1</v>
      </c>
      <c r="DJ87" s="29">
        <f t="shared" ca="1" si="56"/>
        <v>2</v>
      </c>
      <c r="DK87" s="29">
        <f t="shared" ca="1" si="56"/>
        <v>2</v>
      </c>
      <c r="DL87" s="29">
        <f t="shared" ca="1" si="56"/>
        <v>0</v>
      </c>
    </row>
    <row r="88" spans="1:116" ht="14.4" x14ac:dyDescent="0.3">
      <c r="A88" s="31">
        <v>955</v>
      </c>
      <c r="B88" s="28">
        <v>2.96</v>
      </c>
      <c r="C88" s="30">
        <v>73.38</v>
      </c>
      <c r="D88" s="28">
        <v>2.69</v>
      </c>
      <c r="E88" s="34">
        <f t="shared" si="43"/>
        <v>5.3800000000000001E-2</v>
      </c>
      <c r="F88" s="35">
        <f t="shared" si="44"/>
        <v>18.344999999999999</v>
      </c>
      <c r="G88" s="34">
        <f t="shared" si="45"/>
        <v>67.25</v>
      </c>
      <c r="H88" s="33">
        <f t="shared" si="46"/>
        <v>16.52195945945946</v>
      </c>
      <c r="I88" s="28">
        <f t="shared" si="49"/>
        <v>177.48000000000005</v>
      </c>
      <c r="J88" s="32">
        <v>1</v>
      </c>
      <c r="K88" s="30">
        <f t="shared" si="47"/>
        <v>18.344999999999999</v>
      </c>
      <c r="L88" s="30"/>
      <c r="M88" s="30"/>
      <c r="N88" s="30"/>
      <c r="O88" s="30"/>
      <c r="Q88" s="29">
        <f t="shared" ca="1" si="48"/>
        <v>1</v>
      </c>
      <c r="R88" s="29">
        <f t="shared" ca="1" si="51"/>
        <v>4</v>
      </c>
      <c r="S88" s="29">
        <f t="shared" ca="1" si="51"/>
        <v>3</v>
      </c>
      <c r="T88" s="29">
        <f t="shared" ca="1" si="51"/>
        <v>4</v>
      </c>
      <c r="U88" s="29">
        <f t="shared" ca="1" si="51"/>
        <v>1</v>
      </c>
      <c r="V88" s="29">
        <f t="shared" ca="1" si="51"/>
        <v>4</v>
      </c>
      <c r="W88" s="29">
        <f t="shared" ca="1" si="51"/>
        <v>4</v>
      </c>
      <c r="X88" s="29">
        <f t="shared" ca="1" si="51"/>
        <v>5</v>
      </c>
      <c r="Y88" s="29">
        <f t="shared" ca="1" si="51"/>
        <v>4</v>
      </c>
      <c r="Z88" s="29">
        <f t="shared" ca="1" si="51"/>
        <v>1</v>
      </c>
      <c r="AA88" s="29">
        <f t="shared" ca="1" si="51"/>
        <v>1</v>
      </c>
      <c r="AB88" s="29">
        <f t="shared" ca="1" si="51"/>
        <v>5</v>
      </c>
      <c r="AC88" s="29">
        <f t="shared" ca="1" si="51"/>
        <v>4</v>
      </c>
      <c r="AD88" s="29">
        <f t="shared" ca="1" si="51"/>
        <v>3</v>
      </c>
      <c r="AE88" s="29">
        <f t="shared" ca="1" si="51"/>
        <v>4</v>
      </c>
      <c r="AF88" s="29">
        <f t="shared" ca="1" si="51"/>
        <v>4</v>
      </c>
      <c r="AG88" s="29">
        <f t="shared" ca="1" si="50"/>
        <v>3</v>
      </c>
      <c r="AH88" s="29">
        <f t="shared" ca="1" si="50"/>
        <v>3</v>
      </c>
      <c r="AI88" s="29">
        <f t="shared" ca="1" si="50"/>
        <v>1</v>
      </c>
      <c r="AJ88" s="29">
        <f t="shared" ca="1" si="50"/>
        <v>2</v>
      </c>
      <c r="AK88" s="29">
        <f t="shared" ca="1" si="50"/>
        <v>4</v>
      </c>
      <c r="AL88" s="29">
        <f t="shared" ca="1" si="50"/>
        <v>3</v>
      </c>
      <c r="AM88" s="29">
        <f t="shared" ca="1" si="50"/>
        <v>2</v>
      </c>
      <c r="AN88" s="29">
        <f t="shared" ca="1" si="50"/>
        <v>3</v>
      </c>
      <c r="AO88" s="29">
        <f t="shared" ca="1" si="50"/>
        <v>5</v>
      </c>
      <c r="AP88" s="29">
        <f t="shared" ca="1" si="50"/>
        <v>1</v>
      </c>
      <c r="AQ88" s="29">
        <f t="shared" ca="1" si="50"/>
        <v>2</v>
      </c>
      <c r="AR88" s="29">
        <f t="shared" ca="1" si="50"/>
        <v>2</v>
      </c>
      <c r="AS88" s="29">
        <f t="shared" ca="1" si="50"/>
        <v>3</v>
      </c>
      <c r="AT88" s="29">
        <f t="shared" ca="1" si="50"/>
        <v>6</v>
      </c>
      <c r="AU88" s="29">
        <f t="shared" ca="1" si="50"/>
        <v>6</v>
      </c>
      <c r="AV88" s="29">
        <f t="shared" ca="1" si="54"/>
        <v>3</v>
      </c>
      <c r="AW88" s="29">
        <f t="shared" ca="1" si="54"/>
        <v>7</v>
      </c>
      <c r="AX88" s="29">
        <f t="shared" ca="1" si="54"/>
        <v>2</v>
      </c>
      <c r="AY88" s="29">
        <f t="shared" ca="1" si="54"/>
        <v>3</v>
      </c>
      <c r="AZ88" s="29">
        <f t="shared" ca="1" si="54"/>
        <v>1</v>
      </c>
      <c r="BA88" s="29">
        <f t="shared" ca="1" si="54"/>
        <v>8</v>
      </c>
      <c r="BB88" s="29">
        <f t="shared" ca="1" si="54"/>
        <v>1</v>
      </c>
      <c r="BC88" s="29">
        <f t="shared" ca="1" si="54"/>
        <v>2</v>
      </c>
      <c r="BD88" s="29">
        <f t="shared" ca="1" si="54"/>
        <v>8</v>
      </c>
      <c r="BE88" s="29">
        <f t="shared" ca="1" si="54"/>
        <v>4</v>
      </c>
      <c r="BF88" s="29">
        <f t="shared" ca="1" si="54"/>
        <v>9</v>
      </c>
      <c r="BG88" s="29">
        <f t="shared" ca="1" si="54"/>
        <v>4</v>
      </c>
      <c r="BH88" s="29">
        <f t="shared" ca="1" si="54"/>
        <v>6</v>
      </c>
      <c r="BI88" s="29">
        <f t="shared" ca="1" si="54"/>
        <v>1</v>
      </c>
      <c r="BJ88" s="29">
        <f t="shared" ca="1" si="54"/>
        <v>1</v>
      </c>
      <c r="BK88" s="29">
        <f t="shared" ca="1" si="54"/>
        <v>3</v>
      </c>
      <c r="BL88" s="29">
        <f t="shared" ca="1" si="53"/>
        <v>1</v>
      </c>
      <c r="BM88" s="29">
        <f t="shared" ca="1" si="53"/>
        <v>1</v>
      </c>
      <c r="BN88" s="29">
        <f t="shared" ca="1" si="53"/>
        <v>2</v>
      </c>
      <c r="BO88" s="29">
        <f t="shared" ca="1" si="53"/>
        <v>2</v>
      </c>
      <c r="BP88" s="29">
        <f t="shared" ca="1" si="53"/>
        <v>5</v>
      </c>
      <c r="BQ88" s="29">
        <f t="shared" ca="1" si="53"/>
        <v>1</v>
      </c>
      <c r="BR88" s="29">
        <f t="shared" ca="1" si="53"/>
        <v>3</v>
      </c>
      <c r="BS88" s="29">
        <f t="shared" ca="1" si="53"/>
        <v>4</v>
      </c>
      <c r="BT88" s="29">
        <f t="shared" ca="1" si="53"/>
        <v>2</v>
      </c>
      <c r="BU88" s="29">
        <f t="shared" ca="1" si="53"/>
        <v>5</v>
      </c>
      <c r="BV88" s="29">
        <f t="shared" ca="1" si="53"/>
        <v>2</v>
      </c>
      <c r="BW88" s="29">
        <f t="shared" ca="1" si="53"/>
        <v>3</v>
      </c>
      <c r="BX88" s="29">
        <f t="shared" ca="1" si="53"/>
        <v>1</v>
      </c>
      <c r="BY88" s="29">
        <f t="shared" ca="1" si="53"/>
        <v>2</v>
      </c>
      <c r="BZ88" s="29">
        <f t="shared" ca="1" si="53"/>
        <v>4</v>
      </c>
      <c r="CA88" s="29">
        <f t="shared" ca="1" si="52"/>
        <v>2</v>
      </c>
      <c r="CB88" s="29">
        <f t="shared" ca="1" si="52"/>
        <v>4</v>
      </c>
      <c r="CC88" s="29">
        <f t="shared" ca="1" si="52"/>
        <v>1</v>
      </c>
      <c r="CD88" s="29">
        <f t="shared" ca="1" si="52"/>
        <v>1</v>
      </c>
      <c r="CE88" s="29">
        <f t="shared" ca="1" si="52"/>
        <v>6</v>
      </c>
      <c r="CF88" s="29">
        <f t="shared" ca="1" si="52"/>
        <v>1</v>
      </c>
      <c r="CG88" s="29">
        <f t="shared" ca="1" si="52"/>
        <v>1</v>
      </c>
      <c r="CH88" s="29">
        <f t="shared" ca="1" si="52"/>
        <v>2</v>
      </c>
      <c r="CI88" s="29">
        <f t="shared" ca="1" si="52"/>
        <v>3</v>
      </c>
      <c r="CJ88" s="29">
        <f t="shared" ca="1" si="52"/>
        <v>5</v>
      </c>
      <c r="CK88" s="29">
        <f t="shared" ca="1" si="52"/>
        <v>2</v>
      </c>
      <c r="CL88" s="29">
        <f t="shared" ca="1" si="52"/>
        <v>2</v>
      </c>
      <c r="CM88" s="29">
        <f t="shared" ca="1" si="52"/>
        <v>3</v>
      </c>
      <c r="CN88" s="29">
        <f t="shared" ca="1" si="52"/>
        <v>5</v>
      </c>
      <c r="CO88" s="29">
        <f t="shared" ca="1" si="52"/>
        <v>2</v>
      </c>
      <c r="CP88" s="29">
        <f t="shared" ca="1" si="52"/>
        <v>3</v>
      </c>
      <c r="CQ88" s="29">
        <f t="shared" ca="1" si="55"/>
        <v>2</v>
      </c>
      <c r="CR88" s="29">
        <f t="shared" ca="1" si="55"/>
        <v>3</v>
      </c>
      <c r="CS88" s="29">
        <f t="shared" ca="1" si="55"/>
        <v>3</v>
      </c>
      <c r="CT88" s="29">
        <f t="shared" ca="1" si="55"/>
        <v>3</v>
      </c>
      <c r="CU88" s="29">
        <f t="shared" ca="1" si="55"/>
        <v>4</v>
      </c>
      <c r="CV88" s="29">
        <f t="shared" ca="1" si="55"/>
        <v>4</v>
      </c>
      <c r="CW88" s="29">
        <f t="shared" ca="1" si="38"/>
        <v>3</v>
      </c>
      <c r="CX88" s="29">
        <f t="shared" ca="1" si="56"/>
        <v>1</v>
      </c>
      <c r="CY88" s="29">
        <f t="shared" ca="1" si="56"/>
        <v>2</v>
      </c>
      <c r="CZ88" s="29">
        <f t="shared" ca="1" si="56"/>
        <v>2</v>
      </c>
      <c r="DA88" s="29">
        <f t="shared" ca="1" si="56"/>
        <v>4</v>
      </c>
      <c r="DB88" s="29">
        <f t="shared" ca="1" si="56"/>
        <v>1</v>
      </c>
      <c r="DC88" s="29">
        <f t="shared" ca="1" si="56"/>
        <v>3</v>
      </c>
      <c r="DD88" s="29">
        <f t="shared" ca="1" si="56"/>
        <v>4</v>
      </c>
      <c r="DE88" s="29">
        <f t="shared" ca="1" si="56"/>
        <v>3</v>
      </c>
      <c r="DF88" s="29">
        <f t="shared" ca="1" si="56"/>
        <v>4</v>
      </c>
      <c r="DG88" s="29">
        <f t="shared" ca="1" si="56"/>
        <v>2</v>
      </c>
      <c r="DH88" s="29">
        <f t="shared" ca="1" si="56"/>
        <v>3</v>
      </c>
      <c r="DI88" s="29">
        <f t="shared" ca="1" si="56"/>
        <v>3</v>
      </c>
      <c r="DJ88" s="29">
        <f t="shared" ca="1" si="56"/>
        <v>3</v>
      </c>
      <c r="DK88" s="29">
        <f t="shared" ca="1" si="56"/>
        <v>3</v>
      </c>
      <c r="DL88" s="29">
        <f t="shared" ca="1" si="56"/>
        <v>2</v>
      </c>
    </row>
    <row r="89" spans="1:116" ht="14.4" x14ac:dyDescent="0.3">
      <c r="A89" s="31">
        <v>800</v>
      </c>
      <c r="B89" s="28">
        <v>3.29</v>
      </c>
      <c r="C89" s="30">
        <v>29.65</v>
      </c>
      <c r="D89" s="28">
        <v>2.4700000000000002</v>
      </c>
      <c r="E89" s="34">
        <f t="shared" si="43"/>
        <v>4.9400000000000006E-2</v>
      </c>
      <c r="F89" s="35">
        <f t="shared" si="44"/>
        <v>7.4124999999999996</v>
      </c>
      <c r="G89" s="34">
        <f t="shared" si="45"/>
        <v>61.750000000000007</v>
      </c>
      <c r="H89" s="33">
        <f t="shared" si="46"/>
        <v>16.51595744680851</v>
      </c>
      <c r="I89" s="28">
        <f t="shared" si="49"/>
        <v>180.77000000000004</v>
      </c>
      <c r="J89" s="32">
        <v>1</v>
      </c>
      <c r="K89" s="30">
        <f t="shared" si="47"/>
        <v>7.4124999999999996</v>
      </c>
      <c r="L89" s="30"/>
      <c r="M89" s="30"/>
      <c r="N89" s="30"/>
      <c r="O89" s="30"/>
      <c r="Q89" s="29">
        <f t="shared" ca="1" si="48"/>
        <v>2</v>
      </c>
      <c r="R89" s="29">
        <f t="shared" ca="1" si="51"/>
        <v>2</v>
      </c>
      <c r="S89" s="29">
        <f t="shared" ca="1" si="51"/>
        <v>2</v>
      </c>
      <c r="T89" s="29">
        <f t="shared" ca="1" si="51"/>
        <v>2</v>
      </c>
      <c r="U89" s="29">
        <f t="shared" ca="1" si="51"/>
        <v>1</v>
      </c>
      <c r="V89" s="29">
        <f t="shared" ca="1" si="51"/>
        <v>0</v>
      </c>
      <c r="W89" s="29">
        <f t="shared" ca="1" si="51"/>
        <v>3</v>
      </c>
      <c r="X89" s="29">
        <f t="shared" ca="1" si="51"/>
        <v>5</v>
      </c>
      <c r="Y89" s="29">
        <f t="shared" ca="1" si="51"/>
        <v>2</v>
      </c>
      <c r="Z89" s="29">
        <f t="shared" ca="1" si="51"/>
        <v>2</v>
      </c>
      <c r="AA89" s="29">
        <f t="shared" ca="1" si="51"/>
        <v>1</v>
      </c>
      <c r="AB89" s="29">
        <f t="shared" ca="1" si="51"/>
        <v>3</v>
      </c>
      <c r="AC89" s="29">
        <f t="shared" ca="1" si="51"/>
        <v>2</v>
      </c>
      <c r="AD89" s="29">
        <f t="shared" ca="1" si="51"/>
        <v>3</v>
      </c>
      <c r="AE89" s="29">
        <f t="shared" ca="1" si="51"/>
        <v>3</v>
      </c>
      <c r="AF89" s="29">
        <f t="shared" ref="AF89:AU104" ca="1" si="57">_xlfn.BINOM.INV(50,$E89,RAND())</f>
        <v>2</v>
      </c>
      <c r="AG89" s="29">
        <f t="shared" ca="1" si="57"/>
        <v>5</v>
      </c>
      <c r="AH89" s="29">
        <f t="shared" ca="1" si="57"/>
        <v>0</v>
      </c>
      <c r="AI89" s="29">
        <f t="shared" ca="1" si="57"/>
        <v>2</v>
      </c>
      <c r="AJ89" s="29">
        <f t="shared" ca="1" si="57"/>
        <v>3</v>
      </c>
      <c r="AK89" s="29">
        <f t="shared" ca="1" si="57"/>
        <v>1</v>
      </c>
      <c r="AL89" s="29">
        <f t="shared" ca="1" si="57"/>
        <v>2</v>
      </c>
      <c r="AM89" s="29">
        <f t="shared" ca="1" si="57"/>
        <v>3</v>
      </c>
      <c r="AN89" s="29">
        <f t="shared" ca="1" si="57"/>
        <v>2</v>
      </c>
      <c r="AO89" s="29">
        <f t="shared" ca="1" si="57"/>
        <v>1</v>
      </c>
      <c r="AP89" s="29">
        <f t="shared" ca="1" si="57"/>
        <v>4</v>
      </c>
      <c r="AQ89" s="29">
        <f t="shared" ca="1" si="57"/>
        <v>2</v>
      </c>
      <c r="AR89" s="29">
        <f t="shared" ca="1" si="57"/>
        <v>2</v>
      </c>
      <c r="AS89" s="29">
        <f t="shared" ca="1" si="57"/>
        <v>1</v>
      </c>
      <c r="AT89" s="29">
        <f t="shared" ca="1" si="57"/>
        <v>3</v>
      </c>
      <c r="AU89" s="29">
        <f t="shared" ca="1" si="57"/>
        <v>2</v>
      </c>
      <c r="AV89" s="29">
        <f t="shared" ca="1" si="54"/>
        <v>5</v>
      </c>
      <c r="AW89" s="29">
        <f t="shared" ca="1" si="54"/>
        <v>2</v>
      </c>
      <c r="AX89" s="29">
        <f t="shared" ca="1" si="54"/>
        <v>2</v>
      </c>
      <c r="AY89" s="29">
        <f t="shared" ca="1" si="54"/>
        <v>0</v>
      </c>
      <c r="AZ89" s="29">
        <f t="shared" ca="1" si="54"/>
        <v>3</v>
      </c>
      <c r="BA89" s="29">
        <f t="shared" ca="1" si="54"/>
        <v>0</v>
      </c>
      <c r="BB89" s="29">
        <f t="shared" ca="1" si="54"/>
        <v>2</v>
      </c>
      <c r="BC89" s="29">
        <f t="shared" ca="1" si="54"/>
        <v>0</v>
      </c>
      <c r="BD89" s="29">
        <f t="shared" ca="1" si="54"/>
        <v>4</v>
      </c>
      <c r="BE89" s="29">
        <f t="shared" ca="1" si="54"/>
        <v>3</v>
      </c>
      <c r="BF89" s="29">
        <f t="shared" ca="1" si="54"/>
        <v>2</v>
      </c>
      <c r="BG89" s="29">
        <f t="shared" ca="1" si="54"/>
        <v>3</v>
      </c>
      <c r="BH89" s="29">
        <f t="shared" ca="1" si="54"/>
        <v>2</v>
      </c>
      <c r="BI89" s="29">
        <f t="shared" ca="1" si="54"/>
        <v>0</v>
      </c>
      <c r="BJ89" s="29">
        <f t="shared" ca="1" si="54"/>
        <v>3</v>
      </c>
      <c r="BK89" s="29">
        <f t="shared" ca="1" si="54"/>
        <v>4</v>
      </c>
      <c r="BL89" s="29">
        <f t="shared" ca="1" si="53"/>
        <v>2</v>
      </c>
      <c r="BM89" s="29">
        <f t="shared" ca="1" si="53"/>
        <v>3</v>
      </c>
      <c r="BN89" s="29">
        <f t="shared" ca="1" si="53"/>
        <v>2</v>
      </c>
      <c r="BO89" s="29">
        <f t="shared" ca="1" si="53"/>
        <v>3</v>
      </c>
      <c r="BP89" s="29">
        <f t="shared" ca="1" si="53"/>
        <v>1</v>
      </c>
      <c r="BQ89" s="29">
        <f t="shared" ca="1" si="53"/>
        <v>1</v>
      </c>
      <c r="BR89" s="29">
        <f t="shared" ca="1" si="53"/>
        <v>0</v>
      </c>
      <c r="BS89" s="29">
        <f t="shared" ca="1" si="53"/>
        <v>3</v>
      </c>
      <c r="BT89" s="29">
        <f t="shared" ca="1" si="53"/>
        <v>5</v>
      </c>
      <c r="BU89" s="29">
        <f t="shared" ca="1" si="53"/>
        <v>2</v>
      </c>
      <c r="BV89" s="29">
        <f t="shared" ca="1" si="53"/>
        <v>4</v>
      </c>
      <c r="BW89" s="29">
        <f t="shared" ca="1" si="53"/>
        <v>2</v>
      </c>
      <c r="BX89" s="29">
        <f t="shared" ca="1" si="53"/>
        <v>4</v>
      </c>
      <c r="BY89" s="29">
        <f t="shared" ca="1" si="53"/>
        <v>1</v>
      </c>
      <c r="BZ89" s="29">
        <f t="shared" ca="1" si="53"/>
        <v>2</v>
      </c>
      <c r="CA89" s="29">
        <f t="shared" ca="1" si="52"/>
        <v>3</v>
      </c>
      <c r="CB89" s="29">
        <f t="shared" ca="1" si="52"/>
        <v>0</v>
      </c>
      <c r="CC89" s="29">
        <f t="shared" ca="1" si="52"/>
        <v>0</v>
      </c>
      <c r="CD89" s="29">
        <f t="shared" ca="1" si="52"/>
        <v>0</v>
      </c>
      <c r="CE89" s="29">
        <f t="shared" ca="1" si="52"/>
        <v>2</v>
      </c>
      <c r="CF89" s="29">
        <f t="shared" ca="1" si="52"/>
        <v>2</v>
      </c>
      <c r="CG89" s="29">
        <f t="shared" ca="1" si="52"/>
        <v>2</v>
      </c>
      <c r="CH89" s="29">
        <f t="shared" ca="1" si="52"/>
        <v>2</v>
      </c>
      <c r="CI89" s="29">
        <f t="shared" ca="1" si="52"/>
        <v>2</v>
      </c>
      <c r="CJ89" s="29">
        <f t="shared" ca="1" si="52"/>
        <v>2</v>
      </c>
      <c r="CK89" s="29">
        <f t="shared" ca="1" si="52"/>
        <v>1</v>
      </c>
      <c r="CL89" s="29">
        <f t="shared" ca="1" si="52"/>
        <v>3</v>
      </c>
      <c r="CM89" s="29">
        <f t="shared" ca="1" si="52"/>
        <v>1</v>
      </c>
      <c r="CN89" s="29">
        <f t="shared" ca="1" si="52"/>
        <v>2</v>
      </c>
      <c r="CO89" s="29">
        <f t="shared" ca="1" si="52"/>
        <v>1</v>
      </c>
      <c r="CP89" s="29">
        <f t="shared" ca="1" si="52"/>
        <v>5</v>
      </c>
      <c r="CQ89" s="29">
        <f t="shared" ca="1" si="55"/>
        <v>2</v>
      </c>
      <c r="CR89" s="29">
        <f t="shared" ca="1" si="55"/>
        <v>4</v>
      </c>
      <c r="CS89" s="29">
        <f t="shared" ca="1" si="55"/>
        <v>3</v>
      </c>
      <c r="CT89" s="29">
        <f t="shared" ca="1" si="55"/>
        <v>1</v>
      </c>
      <c r="CU89" s="29">
        <f t="shared" ca="1" si="55"/>
        <v>3</v>
      </c>
      <c r="CV89" s="29">
        <f t="shared" ca="1" si="55"/>
        <v>2</v>
      </c>
      <c r="CW89" s="29">
        <f t="shared" ca="1" si="38"/>
        <v>2</v>
      </c>
      <c r="CX89" s="29">
        <f t="shared" ca="1" si="56"/>
        <v>1</v>
      </c>
      <c r="CY89" s="29">
        <f t="shared" ca="1" si="56"/>
        <v>3</v>
      </c>
      <c r="CZ89" s="29">
        <f t="shared" ca="1" si="56"/>
        <v>2</v>
      </c>
      <c r="DA89" s="29">
        <f t="shared" ca="1" si="56"/>
        <v>2</v>
      </c>
      <c r="DB89" s="29">
        <f t="shared" ca="1" si="56"/>
        <v>3</v>
      </c>
      <c r="DC89" s="29">
        <f t="shared" ca="1" si="56"/>
        <v>1</v>
      </c>
      <c r="DD89" s="29">
        <f t="shared" ca="1" si="56"/>
        <v>3</v>
      </c>
      <c r="DE89" s="29">
        <f t="shared" ca="1" si="56"/>
        <v>1</v>
      </c>
      <c r="DF89" s="29">
        <f t="shared" ca="1" si="56"/>
        <v>3</v>
      </c>
      <c r="DG89" s="29">
        <f t="shared" ca="1" si="56"/>
        <v>4</v>
      </c>
      <c r="DH89" s="29">
        <f t="shared" ca="1" si="56"/>
        <v>2</v>
      </c>
      <c r="DI89" s="29">
        <f t="shared" ca="1" si="56"/>
        <v>2</v>
      </c>
      <c r="DJ89" s="29">
        <f t="shared" ca="1" si="56"/>
        <v>3</v>
      </c>
      <c r="DK89" s="29">
        <f t="shared" ca="1" si="56"/>
        <v>0</v>
      </c>
      <c r="DL89" s="29">
        <f t="shared" ca="1" si="56"/>
        <v>4</v>
      </c>
    </row>
    <row r="90" spans="1:116" ht="14.4" x14ac:dyDescent="0.3">
      <c r="A90" s="31">
        <v>356</v>
      </c>
      <c r="B90" s="28">
        <v>2.98</v>
      </c>
      <c r="C90" s="30">
        <v>65.069999999999993</v>
      </c>
      <c r="D90" s="28">
        <v>2.61</v>
      </c>
      <c r="E90" s="34">
        <f t="shared" si="43"/>
        <v>5.2199999999999996E-2</v>
      </c>
      <c r="F90" s="35">
        <f t="shared" si="44"/>
        <v>16.267499999999998</v>
      </c>
      <c r="G90" s="34">
        <f t="shared" si="45"/>
        <v>65.25</v>
      </c>
      <c r="H90" s="33">
        <f t="shared" si="46"/>
        <v>16.437080536912752</v>
      </c>
      <c r="I90" s="28">
        <f t="shared" si="49"/>
        <v>183.75000000000003</v>
      </c>
      <c r="J90" s="32">
        <v>1</v>
      </c>
      <c r="K90" s="30">
        <f t="shared" si="47"/>
        <v>16.267499999999998</v>
      </c>
      <c r="L90" s="30"/>
      <c r="M90" s="30"/>
      <c r="N90" s="30"/>
      <c r="O90" s="30"/>
      <c r="Q90" s="29">
        <f t="shared" ca="1" si="48"/>
        <v>2</v>
      </c>
      <c r="R90" s="29">
        <f t="shared" ref="R90:AF105" ca="1" si="58">_xlfn.BINOM.INV(50,$E90,RAND())</f>
        <v>0</v>
      </c>
      <c r="S90" s="29">
        <f t="shared" ca="1" si="58"/>
        <v>1</v>
      </c>
      <c r="T90" s="29">
        <f t="shared" ca="1" si="58"/>
        <v>1</v>
      </c>
      <c r="U90" s="29">
        <f t="shared" ca="1" si="58"/>
        <v>2</v>
      </c>
      <c r="V90" s="29">
        <f t="shared" ca="1" si="58"/>
        <v>0</v>
      </c>
      <c r="W90" s="29">
        <f t="shared" ca="1" si="58"/>
        <v>3</v>
      </c>
      <c r="X90" s="29">
        <f t="shared" ca="1" si="58"/>
        <v>3</v>
      </c>
      <c r="Y90" s="29">
        <f t="shared" ca="1" si="58"/>
        <v>4</v>
      </c>
      <c r="Z90" s="29">
        <f t="shared" ca="1" si="58"/>
        <v>0</v>
      </c>
      <c r="AA90" s="29">
        <f t="shared" ca="1" si="58"/>
        <v>3</v>
      </c>
      <c r="AB90" s="29">
        <f t="shared" ca="1" si="58"/>
        <v>6</v>
      </c>
      <c r="AC90" s="29">
        <f t="shared" ca="1" si="58"/>
        <v>4</v>
      </c>
      <c r="AD90" s="29">
        <f t="shared" ca="1" si="58"/>
        <v>5</v>
      </c>
      <c r="AE90" s="29">
        <f t="shared" ca="1" si="58"/>
        <v>3</v>
      </c>
      <c r="AF90" s="29">
        <f t="shared" ca="1" si="58"/>
        <v>1</v>
      </c>
      <c r="AG90" s="29">
        <f t="shared" ca="1" si="57"/>
        <v>0</v>
      </c>
      <c r="AH90" s="29">
        <f t="shared" ca="1" si="57"/>
        <v>2</v>
      </c>
      <c r="AI90" s="29">
        <f t="shared" ca="1" si="57"/>
        <v>2</v>
      </c>
      <c r="AJ90" s="29">
        <f t="shared" ca="1" si="57"/>
        <v>2</v>
      </c>
      <c r="AK90" s="29">
        <f t="shared" ca="1" si="57"/>
        <v>2</v>
      </c>
      <c r="AL90" s="29">
        <f t="shared" ca="1" si="57"/>
        <v>2</v>
      </c>
      <c r="AM90" s="29">
        <f t="shared" ca="1" si="57"/>
        <v>4</v>
      </c>
      <c r="AN90" s="29">
        <f t="shared" ca="1" si="57"/>
        <v>3</v>
      </c>
      <c r="AO90" s="29">
        <f t="shared" ca="1" si="57"/>
        <v>2</v>
      </c>
      <c r="AP90" s="29">
        <f t="shared" ca="1" si="57"/>
        <v>3</v>
      </c>
      <c r="AQ90" s="29">
        <f t="shared" ca="1" si="57"/>
        <v>7</v>
      </c>
      <c r="AR90" s="29">
        <f t="shared" ca="1" si="57"/>
        <v>2</v>
      </c>
      <c r="AS90" s="29">
        <f t="shared" ca="1" si="57"/>
        <v>1</v>
      </c>
      <c r="AT90" s="29">
        <f t="shared" ca="1" si="57"/>
        <v>2</v>
      </c>
      <c r="AU90" s="29">
        <f t="shared" ca="1" si="57"/>
        <v>3</v>
      </c>
      <c r="AV90" s="29">
        <f t="shared" ca="1" si="54"/>
        <v>7</v>
      </c>
      <c r="AW90" s="29">
        <f t="shared" ca="1" si="54"/>
        <v>5</v>
      </c>
      <c r="AX90" s="29">
        <f t="shared" ca="1" si="54"/>
        <v>2</v>
      </c>
      <c r="AY90" s="29">
        <f t="shared" ca="1" si="54"/>
        <v>1</v>
      </c>
      <c r="AZ90" s="29">
        <f t="shared" ca="1" si="54"/>
        <v>4</v>
      </c>
      <c r="BA90" s="29">
        <f t="shared" ca="1" si="54"/>
        <v>3</v>
      </c>
      <c r="BB90" s="29">
        <f t="shared" ca="1" si="54"/>
        <v>3</v>
      </c>
      <c r="BC90" s="29">
        <f t="shared" ca="1" si="54"/>
        <v>1</v>
      </c>
      <c r="BD90" s="29">
        <f t="shared" ca="1" si="54"/>
        <v>5</v>
      </c>
      <c r="BE90" s="29">
        <f t="shared" ca="1" si="54"/>
        <v>0</v>
      </c>
      <c r="BF90" s="29">
        <f t="shared" ca="1" si="54"/>
        <v>0</v>
      </c>
      <c r="BG90" s="29">
        <f t="shared" ca="1" si="54"/>
        <v>1</v>
      </c>
      <c r="BH90" s="29">
        <f t="shared" ca="1" si="54"/>
        <v>3</v>
      </c>
      <c r="BI90" s="29">
        <f t="shared" ca="1" si="54"/>
        <v>8</v>
      </c>
      <c r="BJ90" s="29">
        <f t="shared" ca="1" si="54"/>
        <v>1</v>
      </c>
      <c r="BK90" s="29">
        <f t="shared" ca="1" si="54"/>
        <v>6</v>
      </c>
      <c r="BL90" s="29">
        <f t="shared" ca="1" si="53"/>
        <v>2</v>
      </c>
      <c r="BM90" s="29">
        <f t="shared" ca="1" si="53"/>
        <v>9</v>
      </c>
      <c r="BN90" s="29">
        <f t="shared" ca="1" si="53"/>
        <v>3</v>
      </c>
      <c r="BO90" s="29">
        <f t="shared" ca="1" si="53"/>
        <v>1</v>
      </c>
      <c r="BP90" s="29">
        <f t="shared" ca="1" si="53"/>
        <v>3</v>
      </c>
      <c r="BQ90" s="29">
        <f t="shared" ca="1" si="53"/>
        <v>3</v>
      </c>
      <c r="BR90" s="29">
        <f t="shared" ca="1" si="53"/>
        <v>2</v>
      </c>
      <c r="BS90" s="29">
        <f t="shared" ca="1" si="53"/>
        <v>6</v>
      </c>
      <c r="BT90" s="29">
        <f t="shared" ca="1" si="53"/>
        <v>1</v>
      </c>
      <c r="BU90" s="29">
        <f t="shared" ca="1" si="53"/>
        <v>3</v>
      </c>
      <c r="BV90" s="29">
        <f t="shared" ca="1" si="53"/>
        <v>0</v>
      </c>
      <c r="BW90" s="29">
        <f t="shared" ca="1" si="53"/>
        <v>3</v>
      </c>
      <c r="BX90" s="29">
        <f t="shared" ca="1" si="53"/>
        <v>5</v>
      </c>
      <c r="BY90" s="29">
        <f t="shared" ca="1" si="53"/>
        <v>0</v>
      </c>
      <c r="BZ90" s="29">
        <f t="shared" ca="1" si="53"/>
        <v>1</v>
      </c>
      <c r="CA90" s="29">
        <f t="shared" ca="1" si="52"/>
        <v>4</v>
      </c>
      <c r="CB90" s="29">
        <f t="shared" ca="1" si="52"/>
        <v>2</v>
      </c>
      <c r="CC90" s="29">
        <f t="shared" ca="1" si="52"/>
        <v>1</v>
      </c>
      <c r="CD90" s="29">
        <f t="shared" ca="1" si="52"/>
        <v>2</v>
      </c>
      <c r="CE90" s="29">
        <f t="shared" ca="1" si="52"/>
        <v>1</v>
      </c>
      <c r="CF90" s="29">
        <f t="shared" ca="1" si="52"/>
        <v>1</v>
      </c>
      <c r="CG90" s="29">
        <f t="shared" ca="1" si="52"/>
        <v>3</v>
      </c>
      <c r="CH90" s="29">
        <f t="shared" ca="1" si="52"/>
        <v>5</v>
      </c>
      <c r="CI90" s="29">
        <f t="shared" ca="1" si="52"/>
        <v>6</v>
      </c>
      <c r="CJ90" s="29">
        <f t="shared" ca="1" si="52"/>
        <v>4</v>
      </c>
      <c r="CK90" s="29">
        <f t="shared" ca="1" si="52"/>
        <v>0</v>
      </c>
      <c r="CL90" s="29">
        <f t="shared" ca="1" si="52"/>
        <v>4</v>
      </c>
      <c r="CM90" s="29">
        <f t="shared" ca="1" si="52"/>
        <v>3</v>
      </c>
      <c r="CN90" s="29">
        <f t="shared" ca="1" si="52"/>
        <v>3</v>
      </c>
      <c r="CO90" s="29">
        <f t="shared" ca="1" si="52"/>
        <v>1</v>
      </c>
      <c r="CP90" s="29">
        <f t="shared" ca="1" si="52"/>
        <v>5</v>
      </c>
      <c r="CQ90" s="29">
        <f t="shared" ca="1" si="55"/>
        <v>5</v>
      </c>
      <c r="CR90" s="29">
        <f t="shared" ca="1" si="55"/>
        <v>6</v>
      </c>
      <c r="CS90" s="29">
        <f t="shared" ca="1" si="55"/>
        <v>2</v>
      </c>
      <c r="CT90" s="29">
        <f t="shared" ca="1" si="55"/>
        <v>3</v>
      </c>
      <c r="CU90" s="29">
        <f t="shared" ca="1" si="55"/>
        <v>3</v>
      </c>
      <c r="CV90" s="29">
        <f t="shared" ca="1" si="55"/>
        <v>1</v>
      </c>
      <c r="CW90" s="29">
        <f t="shared" ca="1" si="38"/>
        <v>3</v>
      </c>
      <c r="CX90" s="29">
        <f t="shared" ca="1" si="56"/>
        <v>1</v>
      </c>
      <c r="CY90" s="29">
        <f t="shared" ca="1" si="56"/>
        <v>2</v>
      </c>
      <c r="CZ90" s="29">
        <f t="shared" ca="1" si="56"/>
        <v>4</v>
      </c>
      <c r="DA90" s="29">
        <f t="shared" ca="1" si="56"/>
        <v>3</v>
      </c>
      <c r="DB90" s="29">
        <f t="shared" ca="1" si="56"/>
        <v>3</v>
      </c>
      <c r="DC90" s="29">
        <f t="shared" ca="1" si="56"/>
        <v>0</v>
      </c>
      <c r="DD90" s="29">
        <f t="shared" ca="1" si="56"/>
        <v>1</v>
      </c>
      <c r="DE90" s="29">
        <f t="shared" ca="1" si="56"/>
        <v>2</v>
      </c>
      <c r="DF90" s="29">
        <f t="shared" ca="1" si="56"/>
        <v>2</v>
      </c>
      <c r="DG90" s="29">
        <f t="shared" ca="1" si="56"/>
        <v>5</v>
      </c>
      <c r="DH90" s="29">
        <f t="shared" ca="1" si="56"/>
        <v>1</v>
      </c>
      <c r="DI90" s="29">
        <f t="shared" ca="1" si="56"/>
        <v>2</v>
      </c>
      <c r="DJ90" s="29">
        <f t="shared" ca="1" si="56"/>
        <v>3</v>
      </c>
      <c r="DK90" s="29">
        <f t="shared" ca="1" si="56"/>
        <v>5</v>
      </c>
      <c r="DL90" s="29">
        <f t="shared" ca="1" si="56"/>
        <v>1</v>
      </c>
    </row>
    <row r="91" spans="1:116" ht="14.4" x14ac:dyDescent="0.3">
      <c r="A91" s="31">
        <v>552</v>
      </c>
      <c r="B91" s="28">
        <v>3.51</v>
      </c>
      <c r="C91" s="30">
        <v>18.91</v>
      </c>
      <c r="D91" s="28">
        <v>2.4900000000000002</v>
      </c>
      <c r="E91" s="34">
        <f t="shared" si="43"/>
        <v>4.9800000000000004E-2</v>
      </c>
      <c r="F91" s="35">
        <f t="shared" si="44"/>
        <v>4.7275</v>
      </c>
      <c r="G91" s="34">
        <f t="shared" si="45"/>
        <v>62.250000000000007</v>
      </c>
      <c r="H91" s="33">
        <f t="shared" si="46"/>
        <v>16.388176638176642</v>
      </c>
      <c r="I91" s="28">
        <f t="shared" si="49"/>
        <v>187.26000000000002</v>
      </c>
      <c r="J91" s="32">
        <v>1</v>
      </c>
      <c r="K91" s="30">
        <f t="shared" si="47"/>
        <v>4.7275</v>
      </c>
      <c r="L91" s="30"/>
      <c r="M91" s="30"/>
      <c r="N91" s="30"/>
      <c r="O91" s="30"/>
      <c r="Q91" s="29">
        <f t="shared" ca="1" si="48"/>
        <v>1</v>
      </c>
      <c r="R91" s="29">
        <f t="shared" ca="1" si="58"/>
        <v>3</v>
      </c>
      <c r="S91" s="29">
        <f t="shared" ca="1" si="58"/>
        <v>1</v>
      </c>
      <c r="T91" s="29">
        <f t="shared" ca="1" si="58"/>
        <v>4</v>
      </c>
      <c r="U91" s="29">
        <f t="shared" ca="1" si="58"/>
        <v>1</v>
      </c>
      <c r="V91" s="29">
        <f t="shared" ca="1" si="58"/>
        <v>3</v>
      </c>
      <c r="W91" s="29">
        <f t="shared" ca="1" si="58"/>
        <v>2</v>
      </c>
      <c r="X91" s="29">
        <f t="shared" ca="1" si="58"/>
        <v>3</v>
      </c>
      <c r="Y91" s="29">
        <f t="shared" ca="1" si="58"/>
        <v>2</v>
      </c>
      <c r="Z91" s="29">
        <f t="shared" ca="1" si="58"/>
        <v>4</v>
      </c>
      <c r="AA91" s="29">
        <f t="shared" ca="1" si="58"/>
        <v>3</v>
      </c>
      <c r="AB91" s="29">
        <f t="shared" ca="1" si="58"/>
        <v>1</v>
      </c>
      <c r="AC91" s="29">
        <f t="shared" ca="1" si="58"/>
        <v>3</v>
      </c>
      <c r="AD91" s="29">
        <f t="shared" ca="1" si="58"/>
        <v>2</v>
      </c>
      <c r="AE91" s="29">
        <f t="shared" ca="1" si="58"/>
        <v>3</v>
      </c>
      <c r="AF91" s="29">
        <f t="shared" ca="1" si="58"/>
        <v>4</v>
      </c>
      <c r="AG91" s="29">
        <f t="shared" ca="1" si="57"/>
        <v>3</v>
      </c>
      <c r="AH91" s="29">
        <f t="shared" ca="1" si="57"/>
        <v>1</v>
      </c>
      <c r="AI91" s="29">
        <f t="shared" ca="1" si="57"/>
        <v>2</v>
      </c>
      <c r="AJ91" s="29">
        <f t="shared" ca="1" si="57"/>
        <v>3</v>
      </c>
      <c r="AK91" s="29">
        <f t="shared" ca="1" si="57"/>
        <v>2</v>
      </c>
      <c r="AL91" s="29">
        <f t="shared" ca="1" si="57"/>
        <v>2</v>
      </c>
      <c r="AM91" s="29">
        <f t="shared" ca="1" si="57"/>
        <v>1</v>
      </c>
      <c r="AN91" s="29">
        <f t="shared" ca="1" si="57"/>
        <v>5</v>
      </c>
      <c r="AO91" s="29">
        <f t="shared" ca="1" si="57"/>
        <v>3</v>
      </c>
      <c r="AP91" s="29">
        <f t="shared" ca="1" si="57"/>
        <v>3</v>
      </c>
      <c r="AQ91" s="29">
        <f t="shared" ca="1" si="57"/>
        <v>4</v>
      </c>
      <c r="AR91" s="29">
        <f t="shared" ca="1" si="57"/>
        <v>3</v>
      </c>
      <c r="AS91" s="29">
        <f t="shared" ca="1" si="57"/>
        <v>1</v>
      </c>
      <c r="AT91" s="29">
        <f t="shared" ca="1" si="57"/>
        <v>0</v>
      </c>
      <c r="AU91" s="29">
        <f t="shared" ca="1" si="57"/>
        <v>1</v>
      </c>
      <c r="AV91" s="29">
        <f t="shared" ca="1" si="54"/>
        <v>4</v>
      </c>
      <c r="AW91" s="29">
        <f t="shared" ca="1" si="54"/>
        <v>3</v>
      </c>
      <c r="AX91" s="29">
        <f t="shared" ca="1" si="54"/>
        <v>5</v>
      </c>
      <c r="AY91" s="29">
        <f t="shared" ca="1" si="54"/>
        <v>2</v>
      </c>
      <c r="AZ91" s="29">
        <f t="shared" ca="1" si="54"/>
        <v>5</v>
      </c>
      <c r="BA91" s="29">
        <f t="shared" ca="1" si="54"/>
        <v>4</v>
      </c>
      <c r="BB91" s="29">
        <f t="shared" ca="1" si="54"/>
        <v>2</v>
      </c>
      <c r="BC91" s="29">
        <f t="shared" ca="1" si="54"/>
        <v>1</v>
      </c>
      <c r="BD91" s="29">
        <f t="shared" ca="1" si="54"/>
        <v>3</v>
      </c>
      <c r="BE91" s="29">
        <f t="shared" ca="1" si="54"/>
        <v>2</v>
      </c>
      <c r="BF91" s="29">
        <f t="shared" ca="1" si="54"/>
        <v>4</v>
      </c>
      <c r="BG91" s="29">
        <f t="shared" ca="1" si="54"/>
        <v>1</v>
      </c>
      <c r="BH91" s="29">
        <f t="shared" ca="1" si="54"/>
        <v>2</v>
      </c>
      <c r="BI91" s="29">
        <f t="shared" ca="1" si="54"/>
        <v>3</v>
      </c>
      <c r="BJ91" s="29">
        <f t="shared" ca="1" si="54"/>
        <v>0</v>
      </c>
      <c r="BK91" s="29">
        <f t="shared" ca="1" si="54"/>
        <v>7</v>
      </c>
      <c r="BL91" s="29">
        <f t="shared" ca="1" si="53"/>
        <v>5</v>
      </c>
      <c r="BM91" s="29">
        <f t="shared" ca="1" si="53"/>
        <v>1</v>
      </c>
      <c r="BN91" s="29">
        <f t="shared" ca="1" si="53"/>
        <v>3</v>
      </c>
      <c r="BO91" s="29">
        <f t="shared" ca="1" si="53"/>
        <v>4</v>
      </c>
      <c r="BP91" s="29">
        <f t="shared" ca="1" si="53"/>
        <v>1</v>
      </c>
      <c r="BQ91" s="29">
        <f t="shared" ca="1" si="53"/>
        <v>1</v>
      </c>
      <c r="BR91" s="29">
        <f t="shared" ca="1" si="53"/>
        <v>7</v>
      </c>
      <c r="BS91" s="29">
        <f t="shared" ca="1" si="53"/>
        <v>1</v>
      </c>
      <c r="BT91" s="29">
        <f t="shared" ca="1" si="53"/>
        <v>1</v>
      </c>
      <c r="BU91" s="29">
        <f t="shared" ca="1" si="53"/>
        <v>4</v>
      </c>
      <c r="BV91" s="29">
        <f t="shared" ca="1" si="53"/>
        <v>0</v>
      </c>
      <c r="BW91" s="29">
        <f t="shared" ca="1" si="53"/>
        <v>1</v>
      </c>
      <c r="BX91" s="29">
        <f t="shared" ca="1" si="53"/>
        <v>3</v>
      </c>
      <c r="BY91" s="29">
        <f t="shared" ca="1" si="53"/>
        <v>3</v>
      </c>
      <c r="BZ91" s="29">
        <f t="shared" ca="1" si="53"/>
        <v>1</v>
      </c>
      <c r="CA91" s="29">
        <f t="shared" ca="1" si="52"/>
        <v>3</v>
      </c>
      <c r="CB91" s="29">
        <f t="shared" ca="1" si="52"/>
        <v>1</v>
      </c>
      <c r="CC91" s="29">
        <f t="shared" ca="1" si="52"/>
        <v>2</v>
      </c>
      <c r="CD91" s="29">
        <f t="shared" ca="1" si="52"/>
        <v>4</v>
      </c>
      <c r="CE91" s="29">
        <f t="shared" ca="1" si="52"/>
        <v>1</v>
      </c>
      <c r="CF91" s="29">
        <f t="shared" ca="1" si="52"/>
        <v>1</v>
      </c>
      <c r="CG91" s="29">
        <f t="shared" ca="1" si="52"/>
        <v>1</v>
      </c>
      <c r="CH91" s="29">
        <f t="shared" ca="1" si="52"/>
        <v>1</v>
      </c>
      <c r="CI91" s="29">
        <f t="shared" ca="1" si="52"/>
        <v>0</v>
      </c>
      <c r="CJ91" s="29">
        <f t="shared" ca="1" si="52"/>
        <v>1</v>
      </c>
      <c r="CK91" s="29">
        <f t="shared" ca="1" si="52"/>
        <v>1</v>
      </c>
      <c r="CL91" s="29">
        <f t="shared" ca="1" si="52"/>
        <v>5</v>
      </c>
      <c r="CM91" s="29">
        <f t="shared" ca="1" si="52"/>
        <v>2</v>
      </c>
      <c r="CN91" s="29">
        <f t="shared" ca="1" si="52"/>
        <v>0</v>
      </c>
      <c r="CO91" s="29">
        <f t="shared" ca="1" si="52"/>
        <v>1</v>
      </c>
      <c r="CP91" s="29">
        <f t="shared" ca="1" si="52"/>
        <v>1</v>
      </c>
      <c r="CQ91" s="29">
        <f t="shared" ca="1" si="55"/>
        <v>3</v>
      </c>
      <c r="CR91" s="29">
        <f t="shared" ca="1" si="55"/>
        <v>4</v>
      </c>
      <c r="CS91" s="29">
        <f t="shared" ca="1" si="55"/>
        <v>3</v>
      </c>
      <c r="CT91" s="29">
        <f t="shared" ca="1" si="55"/>
        <v>1</v>
      </c>
      <c r="CU91" s="29">
        <f t="shared" ca="1" si="55"/>
        <v>2</v>
      </c>
      <c r="CV91" s="29">
        <f t="shared" ca="1" si="55"/>
        <v>1</v>
      </c>
      <c r="CW91" s="29">
        <f t="shared" ca="1" si="38"/>
        <v>4</v>
      </c>
      <c r="CX91" s="29">
        <f t="shared" ca="1" si="56"/>
        <v>2</v>
      </c>
      <c r="CY91" s="29">
        <f t="shared" ca="1" si="56"/>
        <v>6</v>
      </c>
      <c r="CZ91" s="29">
        <f t="shared" ca="1" si="56"/>
        <v>3</v>
      </c>
      <c r="DA91" s="29">
        <f t="shared" ca="1" si="56"/>
        <v>2</v>
      </c>
      <c r="DB91" s="29">
        <f t="shared" ca="1" si="56"/>
        <v>4</v>
      </c>
      <c r="DC91" s="29">
        <f t="shared" ca="1" si="56"/>
        <v>4</v>
      </c>
      <c r="DD91" s="29">
        <f t="shared" ca="1" si="56"/>
        <v>2</v>
      </c>
      <c r="DE91" s="29">
        <f t="shared" ca="1" si="56"/>
        <v>1</v>
      </c>
      <c r="DF91" s="29">
        <f t="shared" ca="1" si="56"/>
        <v>5</v>
      </c>
      <c r="DG91" s="29">
        <f t="shared" ca="1" si="56"/>
        <v>1</v>
      </c>
      <c r="DH91" s="29">
        <f t="shared" ca="1" si="56"/>
        <v>2</v>
      </c>
      <c r="DI91" s="29">
        <f t="shared" ca="1" si="56"/>
        <v>2</v>
      </c>
      <c r="DJ91" s="29">
        <f t="shared" ca="1" si="56"/>
        <v>2</v>
      </c>
      <c r="DK91" s="29">
        <f t="shared" ca="1" si="56"/>
        <v>1</v>
      </c>
      <c r="DL91" s="29">
        <f t="shared" ca="1" si="56"/>
        <v>4</v>
      </c>
    </row>
    <row r="92" spans="1:116" ht="14.4" x14ac:dyDescent="0.3">
      <c r="A92" s="31">
        <v>171</v>
      </c>
      <c r="B92" s="28">
        <v>1.1399999999999999</v>
      </c>
      <c r="C92" s="30">
        <v>52.49</v>
      </c>
      <c r="D92" s="28">
        <v>1.27</v>
      </c>
      <c r="E92" s="34">
        <f t="shared" si="43"/>
        <v>2.5399999999999999E-2</v>
      </c>
      <c r="F92" s="35">
        <f t="shared" si="44"/>
        <v>13.1225</v>
      </c>
      <c r="G92" s="34">
        <f t="shared" si="45"/>
        <v>31.75</v>
      </c>
      <c r="H92" s="33">
        <f t="shared" si="46"/>
        <v>16.339912280701753</v>
      </c>
      <c r="I92" s="28">
        <f t="shared" si="49"/>
        <v>188.4</v>
      </c>
      <c r="J92" s="32">
        <v>1</v>
      </c>
      <c r="K92" s="30">
        <f t="shared" si="47"/>
        <v>13.1225</v>
      </c>
      <c r="L92" s="30"/>
      <c r="M92" s="30"/>
      <c r="N92" s="30"/>
      <c r="O92" s="30"/>
      <c r="Q92" s="29">
        <f t="shared" ca="1" si="48"/>
        <v>0</v>
      </c>
      <c r="R92" s="29">
        <f t="shared" ca="1" si="58"/>
        <v>0</v>
      </c>
      <c r="S92" s="29">
        <f t="shared" ca="1" si="58"/>
        <v>1</v>
      </c>
      <c r="T92" s="29">
        <f t="shared" ca="1" si="58"/>
        <v>1</v>
      </c>
      <c r="U92" s="29">
        <f t="shared" ca="1" si="58"/>
        <v>1</v>
      </c>
      <c r="V92" s="29">
        <f t="shared" ca="1" si="58"/>
        <v>2</v>
      </c>
      <c r="W92" s="29">
        <f t="shared" ca="1" si="58"/>
        <v>0</v>
      </c>
      <c r="X92" s="29">
        <f t="shared" ca="1" si="58"/>
        <v>1</v>
      </c>
      <c r="Y92" s="29">
        <f t="shared" ca="1" si="58"/>
        <v>0</v>
      </c>
      <c r="Z92" s="29">
        <f t="shared" ca="1" si="58"/>
        <v>3</v>
      </c>
      <c r="AA92" s="29">
        <f t="shared" ca="1" si="58"/>
        <v>2</v>
      </c>
      <c r="AB92" s="29">
        <f t="shared" ca="1" si="58"/>
        <v>1</v>
      </c>
      <c r="AC92" s="29">
        <f t="shared" ca="1" si="58"/>
        <v>1</v>
      </c>
      <c r="AD92" s="29">
        <f t="shared" ca="1" si="58"/>
        <v>0</v>
      </c>
      <c r="AE92" s="29">
        <f t="shared" ca="1" si="58"/>
        <v>0</v>
      </c>
      <c r="AF92" s="29">
        <f t="shared" ca="1" si="58"/>
        <v>0</v>
      </c>
      <c r="AG92" s="29">
        <f t="shared" ca="1" si="57"/>
        <v>1</v>
      </c>
      <c r="AH92" s="29">
        <f t="shared" ca="1" si="57"/>
        <v>3</v>
      </c>
      <c r="AI92" s="29">
        <f t="shared" ca="1" si="57"/>
        <v>1</v>
      </c>
      <c r="AJ92" s="29">
        <f t="shared" ca="1" si="57"/>
        <v>0</v>
      </c>
      <c r="AK92" s="29">
        <f t="shared" ca="1" si="57"/>
        <v>1</v>
      </c>
      <c r="AL92" s="29">
        <f t="shared" ca="1" si="57"/>
        <v>1</v>
      </c>
      <c r="AM92" s="29">
        <f t="shared" ca="1" si="57"/>
        <v>3</v>
      </c>
      <c r="AN92" s="29">
        <f t="shared" ca="1" si="57"/>
        <v>1</v>
      </c>
      <c r="AO92" s="29">
        <f t="shared" ca="1" si="57"/>
        <v>2</v>
      </c>
      <c r="AP92" s="29">
        <f t="shared" ca="1" si="57"/>
        <v>0</v>
      </c>
      <c r="AQ92" s="29">
        <f t="shared" ca="1" si="57"/>
        <v>1</v>
      </c>
      <c r="AR92" s="29">
        <f t="shared" ca="1" si="57"/>
        <v>1</v>
      </c>
      <c r="AS92" s="29">
        <f t="shared" ca="1" si="57"/>
        <v>1</v>
      </c>
      <c r="AT92" s="29">
        <f t="shared" ca="1" si="57"/>
        <v>1</v>
      </c>
      <c r="AU92" s="29">
        <f t="shared" ca="1" si="57"/>
        <v>2</v>
      </c>
      <c r="AV92" s="29">
        <f t="shared" ca="1" si="54"/>
        <v>3</v>
      </c>
      <c r="AW92" s="29">
        <f t="shared" ca="1" si="54"/>
        <v>2</v>
      </c>
      <c r="AX92" s="29">
        <f t="shared" ca="1" si="54"/>
        <v>0</v>
      </c>
      <c r="AY92" s="29">
        <f t="shared" ca="1" si="54"/>
        <v>0</v>
      </c>
      <c r="AZ92" s="29">
        <f t="shared" ca="1" si="54"/>
        <v>2</v>
      </c>
      <c r="BA92" s="29">
        <f t="shared" ca="1" si="54"/>
        <v>2</v>
      </c>
      <c r="BB92" s="29">
        <f t="shared" ca="1" si="54"/>
        <v>0</v>
      </c>
      <c r="BC92" s="29">
        <f t="shared" ca="1" si="54"/>
        <v>0</v>
      </c>
      <c r="BD92" s="29">
        <f t="shared" ca="1" si="54"/>
        <v>0</v>
      </c>
      <c r="BE92" s="29">
        <f t="shared" ca="1" si="54"/>
        <v>2</v>
      </c>
      <c r="BF92" s="29">
        <f t="shared" ca="1" si="54"/>
        <v>1</v>
      </c>
      <c r="BG92" s="29">
        <f t="shared" ca="1" si="54"/>
        <v>1</v>
      </c>
      <c r="BH92" s="29">
        <f t="shared" ca="1" si="54"/>
        <v>1</v>
      </c>
      <c r="BI92" s="29">
        <f t="shared" ca="1" si="54"/>
        <v>0</v>
      </c>
      <c r="BJ92" s="29">
        <f t="shared" ca="1" si="54"/>
        <v>0</v>
      </c>
      <c r="BK92" s="29">
        <f t="shared" ref="BK92:BZ107" ca="1" si="59">_xlfn.BINOM.INV(50,$E92,RAND())</f>
        <v>2</v>
      </c>
      <c r="BL92" s="29">
        <f t="shared" ca="1" si="59"/>
        <v>1</v>
      </c>
      <c r="BM92" s="29">
        <f t="shared" ca="1" si="59"/>
        <v>4</v>
      </c>
      <c r="BN92" s="29">
        <f t="shared" ca="1" si="59"/>
        <v>0</v>
      </c>
      <c r="BO92" s="29">
        <f t="shared" ca="1" si="59"/>
        <v>2</v>
      </c>
      <c r="BP92" s="29">
        <f t="shared" ca="1" si="59"/>
        <v>0</v>
      </c>
      <c r="BQ92" s="29">
        <f t="shared" ca="1" si="59"/>
        <v>3</v>
      </c>
      <c r="BR92" s="29">
        <f t="shared" ca="1" si="59"/>
        <v>2</v>
      </c>
      <c r="BS92" s="29">
        <f t="shared" ca="1" si="59"/>
        <v>2</v>
      </c>
      <c r="BT92" s="29">
        <f t="shared" ca="1" si="59"/>
        <v>1</v>
      </c>
      <c r="BU92" s="29">
        <f t="shared" ca="1" si="59"/>
        <v>1</v>
      </c>
      <c r="BV92" s="29">
        <f t="shared" ca="1" si="59"/>
        <v>1</v>
      </c>
      <c r="BW92" s="29">
        <f t="shared" ca="1" si="59"/>
        <v>0</v>
      </c>
      <c r="BX92" s="29">
        <f t="shared" ca="1" si="59"/>
        <v>2</v>
      </c>
      <c r="BY92" s="29">
        <f t="shared" ca="1" si="59"/>
        <v>1</v>
      </c>
      <c r="BZ92" s="29">
        <f t="shared" ca="1" si="59"/>
        <v>1</v>
      </c>
      <c r="CA92" s="29">
        <f t="shared" ca="1" si="52"/>
        <v>1</v>
      </c>
      <c r="CB92" s="29">
        <f t="shared" ca="1" si="52"/>
        <v>1</v>
      </c>
      <c r="CC92" s="29">
        <f t="shared" ca="1" si="52"/>
        <v>1</v>
      </c>
      <c r="CD92" s="29">
        <f t="shared" ca="1" si="52"/>
        <v>2</v>
      </c>
      <c r="CE92" s="29">
        <f t="shared" ca="1" si="52"/>
        <v>1</v>
      </c>
      <c r="CF92" s="29">
        <f t="shared" ca="1" si="52"/>
        <v>0</v>
      </c>
      <c r="CG92" s="29">
        <f t="shared" ca="1" si="52"/>
        <v>3</v>
      </c>
      <c r="CH92" s="29">
        <f t="shared" ca="1" si="52"/>
        <v>1</v>
      </c>
      <c r="CI92" s="29">
        <f t="shared" ca="1" si="52"/>
        <v>1</v>
      </c>
      <c r="CJ92" s="29">
        <f t="shared" ca="1" si="52"/>
        <v>0</v>
      </c>
      <c r="CK92" s="29">
        <f t="shared" ca="1" si="52"/>
        <v>1</v>
      </c>
      <c r="CL92" s="29">
        <f t="shared" ca="1" si="52"/>
        <v>1</v>
      </c>
      <c r="CM92" s="29">
        <f t="shared" ca="1" si="52"/>
        <v>1</v>
      </c>
      <c r="CN92" s="29">
        <f t="shared" ca="1" si="52"/>
        <v>2</v>
      </c>
      <c r="CO92" s="29">
        <f t="shared" ca="1" si="52"/>
        <v>0</v>
      </c>
      <c r="CP92" s="29">
        <f t="shared" ca="1" si="52"/>
        <v>1</v>
      </c>
      <c r="CQ92" s="29">
        <f t="shared" ca="1" si="55"/>
        <v>0</v>
      </c>
      <c r="CR92" s="29">
        <f t="shared" ca="1" si="55"/>
        <v>2</v>
      </c>
      <c r="CS92" s="29">
        <f t="shared" ca="1" si="55"/>
        <v>0</v>
      </c>
      <c r="CT92" s="29">
        <f t="shared" ca="1" si="55"/>
        <v>2</v>
      </c>
      <c r="CU92" s="29">
        <f t="shared" ca="1" si="55"/>
        <v>1</v>
      </c>
      <c r="CV92" s="29">
        <f t="shared" ca="1" si="55"/>
        <v>0</v>
      </c>
      <c r="CW92" s="29">
        <f t="shared" ca="1" si="38"/>
        <v>0</v>
      </c>
      <c r="CX92" s="29">
        <f t="shared" ca="1" si="56"/>
        <v>1</v>
      </c>
      <c r="CY92" s="29">
        <f t="shared" ca="1" si="56"/>
        <v>2</v>
      </c>
      <c r="CZ92" s="29">
        <f t="shared" ca="1" si="56"/>
        <v>0</v>
      </c>
      <c r="DA92" s="29">
        <f t="shared" ca="1" si="56"/>
        <v>2</v>
      </c>
      <c r="DB92" s="29">
        <f t="shared" ca="1" si="56"/>
        <v>2</v>
      </c>
      <c r="DC92" s="29">
        <f t="shared" ca="1" si="56"/>
        <v>1</v>
      </c>
      <c r="DD92" s="29">
        <f t="shared" ca="1" si="56"/>
        <v>3</v>
      </c>
      <c r="DE92" s="29">
        <f t="shared" ca="1" si="56"/>
        <v>1</v>
      </c>
      <c r="DF92" s="29">
        <f t="shared" ca="1" si="56"/>
        <v>1</v>
      </c>
      <c r="DG92" s="29">
        <f t="shared" ca="1" si="56"/>
        <v>4</v>
      </c>
      <c r="DH92" s="29">
        <f t="shared" ca="1" si="56"/>
        <v>2</v>
      </c>
      <c r="DI92" s="29">
        <f t="shared" ca="1" si="56"/>
        <v>2</v>
      </c>
      <c r="DJ92" s="29">
        <f t="shared" ca="1" si="56"/>
        <v>2</v>
      </c>
      <c r="DK92" s="29">
        <f t="shared" ca="1" si="56"/>
        <v>1</v>
      </c>
      <c r="DL92" s="29">
        <f t="shared" ca="1" si="56"/>
        <v>1</v>
      </c>
    </row>
    <row r="93" spans="1:116" ht="14.4" x14ac:dyDescent="0.3">
      <c r="A93" s="31">
        <v>907</v>
      </c>
      <c r="B93" s="28">
        <v>1.62</v>
      </c>
      <c r="C93" s="30">
        <v>5.28</v>
      </c>
      <c r="D93" s="28">
        <v>1.1100000000000001</v>
      </c>
      <c r="E93" s="34">
        <f t="shared" si="43"/>
        <v>2.2200000000000001E-2</v>
      </c>
      <c r="F93" s="35">
        <f t="shared" si="44"/>
        <v>1.32</v>
      </c>
      <c r="G93" s="34">
        <f t="shared" si="45"/>
        <v>27.750000000000004</v>
      </c>
      <c r="H93" s="33">
        <f t="shared" si="46"/>
        <v>16.314814814814817</v>
      </c>
      <c r="I93" s="28">
        <f t="shared" si="49"/>
        <v>190.02</v>
      </c>
      <c r="J93" s="32">
        <v>1</v>
      </c>
      <c r="K93" s="30">
        <f t="shared" si="47"/>
        <v>1.32</v>
      </c>
      <c r="L93" s="30"/>
      <c r="M93" s="30"/>
      <c r="N93" s="30"/>
      <c r="O93" s="30"/>
      <c r="Q93" s="29">
        <f t="shared" ca="1" si="48"/>
        <v>1</v>
      </c>
      <c r="R93" s="29">
        <f t="shared" ca="1" si="58"/>
        <v>0</v>
      </c>
      <c r="S93" s="29">
        <f t="shared" ca="1" si="58"/>
        <v>3</v>
      </c>
      <c r="T93" s="29">
        <f t="shared" ca="1" si="58"/>
        <v>0</v>
      </c>
      <c r="U93" s="29">
        <f t="shared" ca="1" si="58"/>
        <v>2</v>
      </c>
      <c r="V93" s="29">
        <f t="shared" ca="1" si="58"/>
        <v>1</v>
      </c>
      <c r="W93" s="29">
        <f t="shared" ca="1" si="58"/>
        <v>0</v>
      </c>
      <c r="X93" s="29">
        <f t="shared" ca="1" si="58"/>
        <v>2</v>
      </c>
      <c r="Y93" s="29">
        <f t="shared" ca="1" si="58"/>
        <v>0</v>
      </c>
      <c r="Z93" s="29">
        <f t="shared" ca="1" si="58"/>
        <v>1</v>
      </c>
      <c r="AA93" s="29">
        <f t="shared" ca="1" si="58"/>
        <v>0</v>
      </c>
      <c r="AB93" s="29">
        <f t="shared" ca="1" si="58"/>
        <v>2</v>
      </c>
      <c r="AC93" s="29">
        <f t="shared" ca="1" si="58"/>
        <v>1</v>
      </c>
      <c r="AD93" s="29">
        <f t="shared" ca="1" si="58"/>
        <v>3</v>
      </c>
      <c r="AE93" s="29">
        <f t="shared" ca="1" si="58"/>
        <v>0</v>
      </c>
      <c r="AF93" s="29">
        <f t="shared" ca="1" si="58"/>
        <v>1</v>
      </c>
      <c r="AG93" s="29">
        <f t="shared" ca="1" si="57"/>
        <v>1</v>
      </c>
      <c r="AH93" s="29">
        <f t="shared" ca="1" si="57"/>
        <v>2</v>
      </c>
      <c r="AI93" s="29">
        <f t="shared" ca="1" si="57"/>
        <v>0</v>
      </c>
      <c r="AJ93" s="29">
        <f t="shared" ca="1" si="57"/>
        <v>0</v>
      </c>
      <c r="AK93" s="29">
        <f t="shared" ca="1" si="57"/>
        <v>2</v>
      </c>
      <c r="AL93" s="29">
        <f t="shared" ca="1" si="57"/>
        <v>2</v>
      </c>
      <c r="AM93" s="29">
        <f t="shared" ca="1" si="57"/>
        <v>0</v>
      </c>
      <c r="AN93" s="29">
        <f t="shared" ca="1" si="57"/>
        <v>1</v>
      </c>
      <c r="AO93" s="29">
        <f t="shared" ca="1" si="57"/>
        <v>1</v>
      </c>
      <c r="AP93" s="29">
        <f t="shared" ca="1" si="57"/>
        <v>0</v>
      </c>
      <c r="AQ93" s="29">
        <f t="shared" ca="1" si="57"/>
        <v>0</v>
      </c>
      <c r="AR93" s="29">
        <f t="shared" ca="1" si="57"/>
        <v>2</v>
      </c>
      <c r="AS93" s="29">
        <f t="shared" ca="1" si="57"/>
        <v>1</v>
      </c>
      <c r="AT93" s="29">
        <f t="shared" ca="1" si="57"/>
        <v>2</v>
      </c>
      <c r="AU93" s="29">
        <f t="shared" ca="1" si="57"/>
        <v>2</v>
      </c>
      <c r="AV93" s="29">
        <f t="shared" ref="AV93:BK108" ca="1" si="60">_xlfn.BINOM.INV(50,$E93,RAND())</f>
        <v>2</v>
      </c>
      <c r="AW93" s="29">
        <f t="shared" ca="1" si="60"/>
        <v>1</v>
      </c>
      <c r="AX93" s="29">
        <f t="shared" ca="1" si="60"/>
        <v>0</v>
      </c>
      <c r="AY93" s="29">
        <f t="shared" ca="1" si="60"/>
        <v>2</v>
      </c>
      <c r="AZ93" s="29">
        <f t="shared" ca="1" si="60"/>
        <v>0</v>
      </c>
      <c r="BA93" s="29">
        <f t="shared" ca="1" si="60"/>
        <v>2</v>
      </c>
      <c r="BB93" s="29">
        <f t="shared" ca="1" si="60"/>
        <v>0</v>
      </c>
      <c r="BC93" s="29">
        <f t="shared" ca="1" si="60"/>
        <v>2</v>
      </c>
      <c r="BD93" s="29">
        <f t="shared" ca="1" si="60"/>
        <v>2</v>
      </c>
      <c r="BE93" s="29">
        <f t="shared" ca="1" si="60"/>
        <v>0</v>
      </c>
      <c r="BF93" s="29">
        <f t="shared" ca="1" si="60"/>
        <v>0</v>
      </c>
      <c r="BG93" s="29">
        <f t="shared" ca="1" si="60"/>
        <v>2</v>
      </c>
      <c r="BH93" s="29">
        <f t="shared" ca="1" si="60"/>
        <v>2</v>
      </c>
      <c r="BI93" s="29">
        <f t="shared" ca="1" si="60"/>
        <v>1</v>
      </c>
      <c r="BJ93" s="29">
        <f t="shared" ca="1" si="60"/>
        <v>1</v>
      </c>
      <c r="BK93" s="29">
        <f t="shared" ca="1" si="60"/>
        <v>0</v>
      </c>
      <c r="BL93" s="29">
        <f t="shared" ca="1" si="59"/>
        <v>0</v>
      </c>
      <c r="BM93" s="29">
        <f t="shared" ca="1" si="59"/>
        <v>1</v>
      </c>
      <c r="BN93" s="29">
        <f t="shared" ca="1" si="59"/>
        <v>0</v>
      </c>
      <c r="BO93" s="29">
        <f t="shared" ca="1" si="59"/>
        <v>1</v>
      </c>
      <c r="BP93" s="29">
        <f t="shared" ca="1" si="59"/>
        <v>1</v>
      </c>
      <c r="BQ93" s="29">
        <f t="shared" ca="1" si="59"/>
        <v>1</v>
      </c>
      <c r="BR93" s="29">
        <f t="shared" ca="1" si="59"/>
        <v>0</v>
      </c>
      <c r="BS93" s="29">
        <f t="shared" ca="1" si="59"/>
        <v>2</v>
      </c>
      <c r="BT93" s="29">
        <f t="shared" ca="1" si="59"/>
        <v>1</v>
      </c>
      <c r="BU93" s="29">
        <f t="shared" ca="1" si="59"/>
        <v>0</v>
      </c>
      <c r="BV93" s="29">
        <f t="shared" ca="1" si="59"/>
        <v>0</v>
      </c>
      <c r="BW93" s="29">
        <f t="shared" ca="1" si="59"/>
        <v>0</v>
      </c>
      <c r="BX93" s="29">
        <f t="shared" ca="1" si="59"/>
        <v>1</v>
      </c>
      <c r="BY93" s="29">
        <f t="shared" ca="1" si="59"/>
        <v>1</v>
      </c>
      <c r="BZ93" s="29">
        <f t="shared" ca="1" si="59"/>
        <v>0</v>
      </c>
      <c r="CA93" s="29">
        <f t="shared" ca="1" si="52"/>
        <v>2</v>
      </c>
      <c r="CB93" s="29">
        <f t="shared" ca="1" si="52"/>
        <v>1</v>
      </c>
      <c r="CC93" s="29">
        <f t="shared" ca="1" si="52"/>
        <v>0</v>
      </c>
      <c r="CD93" s="29">
        <f t="shared" ca="1" si="52"/>
        <v>1</v>
      </c>
      <c r="CE93" s="29">
        <f t="shared" ca="1" si="52"/>
        <v>0</v>
      </c>
      <c r="CF93" s="29">
        <f t="shared" ca="1" si="52"/>
        <v>1</v>
      </c>
      <c r="CG93" s="29">
        <f t="shared" ref="CG93:CV108" ca="1" si="61">_xlfn.BINOM.INV(50,$E93,RAND())</f>
        <v>2</v>
      </c>
      <c r="CH93" s="29">
        <f t="shared" ca="1" si="61"/>
        <v>3</v>
      </c>
      <c r="CI93" s="29">
        <f t="shared" ca="1" si="61"/>
        <v>1</v>
      </c>
      <c r="CJ93" s="29">
        <f t="shared" ca="1" si="61"/>
        <v>1</v>
      </c>
      <c r="CK93" s="29">
        <f t="shared" ca="1" si="61"/>
        <v>0</v>
      </c>
      <c r="CL93" s="29">
        <f t="shared" ca="1" si="61"/>
        <v>0</v>
      </c>
      <c r="CM93" s="29">
        <f t="shared" ca="1" si="61"/>
        <v>1</v>
      </c>
      <c r="CN93" s="29">
        <f t="shared" ca="1" si="61"/>
        <v>0</v>
      </c>
      <c r="CO93" s="29">
        <f t="shared" ca="1" si="61"/>
        <v>2</v>
      </c>
      <c r="CP93" s="29">
        <f t="shared" ca="1" si="61"/>
        <v>2</v>
      </c>
      <c r="CQ93" s="29">
        <f t="shared" ca="1" si="61"/>
        <v>1</v>
      </c>
      <c r="CR93" s="29">
        <f t="shared" ca="1" si="61"/>
        <v>1</v>
      </c>
      <c r="CS93" s="29">
        <f t="shared" ca="1" si="61"/>
        <v>1</v>
      </c>
      <c r="CT93" s="29">
        <f t="shared" ca="1" si="61"/>
        <v>1</v>
      </c>
      <c r="CU93" s="29">
        <f t="shared" ca="1" si="61"/>
        <v>2</v>
      </c>
      <c r="CV93" s="29">
        <f t="shared" ca="1" si="61"/>
        <v>0</v>
      </c>
      <c r="CW93" s="29">
        <f t="shared" ca="1" si="38"/>
        <v>0</v>
      </c>
      <c r="CX93" s="29">
        <f t="shared" ca="1" si="56"/>
        <v>2</v>
      </c>
      <c r="CY93" s="29">
        <f t="shared" ca="1" si="56"/>
        <v>0</v>
      </c>
      <c r="CZ93" s="29">
        <f t="shared" ca="1" si="56"/>
        <v>0</v>
      </c>
      <c r="DA93" s="29">
        <f t="shared" ca="1" si="56"/>
        <v>0</v>
      </c>
      <c r="DB93" s="29">
        <f t="shared" ca="1" si="56"/>
        <v>0</v>
      </c>
      <c r="DC93" s="29">
        <f t="shared" ca="1" si="56"/>
        <v>2</v>
      </c>
      <c r="DD93" s="29">
        <f t="shared" ca="1" si="56"/>
        <v>1</v>
      </c>
      <c r="DE93" s="29">
        <f t="shared" ca="1" si="56"/>
        <v>0</v>
      </c>
      <c r="DF93" s="29">
        <f t="shared" ca="1" si="56"/>
        <v>1</v>
      </c>
      <c r="DG93" s="29">
        <f t="shared" ca="1" si="56"/>
        <v>4</v>
      </c>
      <c r="DH93" s="29">
        <f t="shared" ca="1" si="56"/>
        <v>3</v>
      </c>
      <c r="DI93" s="29">
        <f t="shared" ca="1" si="56"/>
        <v>0</v>
      </c>
      <c r="DJ93" s="29">
        <f t="shared" ca="1" si="56"/>
        <v>0</v>
      </c>
      <c r="DK93" s="29">
        <f t="shared" ca="1" si="56"/>
        <v>1</v>
      </c>
      <c r="DL93" s="29">
        <f t="shared" ca="1" si="56"/>
        <v>1</v>
      </c>
    </row>
    <row r="94" spans="1:116" ht="14.4" x14ac:dyDescent="0.3">
      <c r="A94" s="31">
        <v>699</v>
      </c>
      <c r="B94" s="28">
        <v>3.13</v>
      </c>
      <c r="C94" s="30">
        <v>56.38</v>
      </c>
      <c r="D94" s="28">
        <v>2.57</v>
      </c>
      <c r="E94" s="34">
        <f t="shared" si="43"/>
        <v>5.1399999999999994E-2</v>
      </c>
      <c r="F94" s="35">
        <f t="shared" si="44"/>
        <v>14.095000000000001</v>
      </c>
      <c r="G94" s="34">
        <f t="shared" si="45"/>
        <v>64.25</v>
      </c>
      <c r="H94" s="33">
        <f t="shared" si="46"/>
        <v>16.023961661341854</v>
      </c>
      <c r="I94" s="28">
        <f t="shared" si="49"/>
        <v>193.15</v>
      </c>
      <c r="J94" s="32">
        <v>1</v>
      </c>
      <c r="K94" s="30">
        <f t="shared" si="47"/>
        <v>14.095000000000001</v>
      </c>
      <c r="L94" s="30"/>
      <c r="M94" s="30"/>
      <c r="N94" s="30"/>
      <c r="O94" s="30"/>
      <c r="Q94" s="29">
        <f t="shared" ca="1" si="48"/>
        <v>3</v>
      </c>
      <c r="R94" s="29">
        <f t="shared" ca="1" si="58"/>
        <v>1</v>
      </c>
      <c r="S94" s="29">
        <f t="shared" ca="1" si="58"/>
        <v>2</v>
      </c>
      <c r="T94" s="29">
        <f t="shared" ca="1" si="58"/>
        <v>2</v>
      </c>
      <c r="U94" s="29">
        <f t="shared" ca="1" si="58"/>
        <v>0</v>
      </c>
      <c r="V94" s="29">
        <f t="shared" ca="1" si="58"/>
        <v>3</v>
      </c>
      <c r="W94" s="29">
        <f t="shared" ca="1" si="58"/>
        <v>1</v>
      </c>
      <c r="X94" s="29">
        <f t="shared" ca="1" si="58"/>
        <v>1</v>
      </c>
      <c r="Y94" s="29">
        <f t="shared" ca="1" si="58"/>
        <v>3</v>
      </c>
      <c r="Z94" s="29">
        <f t="shared" ca="1" si="58"/>
        <v>4</v>
      </c>
      <c r="AA94" s="29">
        <f t="shared" ca="1" si="58"/>
        <v>3</v>
      </c>
      <c r="AB94" s="29">
        <f t="shared" ca="1" si="58"/>
        <v>7</v>
      </c>
      <c r="AC94" s="29">
        <f t="shared" ca="1" si="58"/>
        <v>6</v>
      </c>
      <c r="AD94" s="29">
        <f t="shared" ca="1" si="58"/>
        <v>9</v>
      </c>
      <c r="AE94" s="29">
        <f t="shared" ca="1" si="58"/>
        <v>1</v>
      </c>
      <c r="AF94" s="29">
        <f t="shared" ca="1" si="58"/>
        <v>3</v>
      </c>
      <c r="AG94" s="29">
        <f t="shared" ca="1" si="57"/>
        <v>7</v>
      </c>
      <c r="AH94" s="29">
        <f t="shared" ca="1" si="57"/>
        <v>2</v>
      </c>
      <c r="AI94" s="29">
        <f t="shared" ca="1" si="57"/>
        <v>4</v>
      </c>
      <c r="AJ94" s="29">
        <f t="shared" ca="1" si="57"/>
        <v>6</v>
      </c>
      <c r="AK94" s="29">
        <f t="shared" ca="1" si="57"/>
        <v>2</v>
      </c>
      <c r="AL94" s="29">
        <f t="shared" ca="1" si="57"/>
        <v>0</v>
      </c>
      <c r="AM94" s="29">
        <f t="shared" ca="1" si="57"/>
        <v>7</v>
      </c>
      <c r="AN94" s="29">
        <f t="shared" ca="1" si="57"/>
        <v>2</v>
      </c>
      <c r="AO94" s="29">
        <f t="shared" ca="1" si="57"/>
        <v>1</v>
      </c>
      <c r="AP94" s="29">
        <f t="shared" ca="1" si="57"/>
        <v>3</v>
      </c>
      <c r="AQ94" s="29">
        <f t="shared" ca="1" si="57"/>
        <v>0</v>
      </c>
      <c r="AR94" s="29">
        <f t="shared" ca="1" si="57"/>
        <v>3</v>
      </c>
      <c r="AS94" s="29">
        <f t="shared" ca="1" si="57"/>
        <v>1</v>
      </c>
      <c r="AT94" s="29">
        <f t="shared" ca="1" si="57"/>
        <v>3</v>
      </c>
      <c r="AU94" s="29">
        <f t="shared" ca="1" si="57"/>
        <v>2</v>
      </c>
      <c r="AV94" s="29">
        <f t="shared" ca="1" si="60"/>
        <v>0</v>
      </c>
      <c r="AW94" s="29">
        <f t="shared" ca="1" si="60"/>
        <v>2</v>
      </c>
      <c r="AX94" s="29">
        <f t="shared" ca="1" si="60"/>
        <v>5</v>
      </c>
      <c r="AY94" s="29">
        <f t="shared" ca="1" si="60"/>
        <v>2</v>
      </c>
      <c r="AZ94" s="29">
        <f t="shared" ca="1" si="60"/>
        <v>2</v>
      </c>
      <c r="BA94" s="29">
        <f t="shared" ca="1" si="60"/>
        <v>3</v>
      </c>
      <c r="BB94" s="29">
        <f t="shared" ca="1" si="60"/>
        <v>2</v>
      </c>
      <c r="BC94" s="29">
        <f t="shared" ca="1" si="60"/>
        <v>0</v>
      </c>
      <c r="BD94" s="29">
        <f t="shared" ca="1" si="60"/>
        <v>2</v>
      </c>
      <c r="BE94" s="29">
        <f t="shared" ca="1" si="60"/>
        <v>4</v>
      </c>
      <c r="BF94" s="29">
        <f t="shared" ca="1" si="60"/>
        <v>1</v>
      </c>
      <c r="BG94" s="29">
        <f t="shared" ca="1" si="60"/>
        <v>4</v>
      </c>
      <c r="BH94" s="29">
        <f t="shared" ca="1" si="60"/>
        <v>4</v>
      </c>
      <c r="BI94" s="29">
        <f t="shared" ca="1" si="60"/>
        <v>6</v>
      </c>
      <c r="BJ94" s="29">
        <f t="shared" ca="1" si="60"/>
        <v>1</v>
      </c>
      <c r="BK94" s="29">
        <f t="shared" ca="1" si="60"/>
        <v>2</v>
      </c>
      <c r="BL94" s="29">
        <f t="shared" ca="1" si="59"/>
        <v>3</v>
      </c>
      <c r="BM94" s="29">
        <f t="shared" ca="1" si="59"/>
        <v>5</v>
      </c>
      <c r="BN94" s="29">
        <f t="shared" ca="1" si="59"/>
        <v>8</v>
      </c>
      <c r="BO94" s="29">
        <f t="shared" ca="1" si="59"/>
        <v>3</v>
      </c>
      <c r="BP94" s="29">
        <f t="shared" ca="1" si="59"/>
        <v>2</v>
      </c>
      <c r="BQ94" s="29">
        <f t="shared" ca="1" si="59"/>
        <v>2</v>
      </c>
      <c r="BR94" s="29">
        <f t="shared" ca="1" si="59"/>
        <v>5</v>
      </c>
      <c r="BS94" s="29">
        <f t="shared" ca="1" si="59"/>
        <v>5</v>
      </c>
      <c r="BT94" s="29">
        <f t="shared" ca="1" si="59"/>
        <v>3</v>
      </c>
      <c r="BU94" s="29">
        <f t="shared" ca="1" si="59"/>
        <v>2</v>
      </c>
      <c r="BV94" s="29">
        <f t="shared" ca="1" si="59"/>
        <v>3</v>
      </c>
      <c r="BW94" s="29">
        <f t="shared" ca="1" si="59"/>
        <v>1</v>
      </c>
      <c r="BX94" s="29">
        <f t="shared" ca="1" si="59"/>
        <v>3</v>
      </c>
      <c r="BY94" s="29">
        <f t="shared" ca="1" si="59"/>
        <v>2</v>
      </c>
      <c r="BZ94" s="29">
        <f t="shared" ca="1" si="59"/>
        <v>2</v>
      </c>
      <c r="CA94" s="29">
        <f t="shared" ref="CA94:CP109" ca="1" si="62">_xlfn.BINOM.INV(50,$E94,RAND())</f>
        <v>2</v>
      </c>
      <c r="CB94" s="29">
        <f t="shared" ca="1" si="62"/>
        <v>4</v>
      </c>
      <c r="CC94" s="29">
        <f t="shared" ca="1" si="62"/>
        <v>6</v>
      </c>
      <c r="CD94" s="29">
        <f t="shared" ca="1" si="62"/>
        <v>3</v>
      </c>
      <c r="CE94" s="29">
        <f t="shared" ca="1" si="62"/>
        <v>3</v>
      </c>
      <c r="CF94" s="29">
        <f t="shared" ca="1" si="62"/>
        <v>1</v>
      </c>
      <c r="CG94" s="29">
        <f t="shared" ca="1" si="62"/>
        <v>3</v>
      </c>
      <c r="CH94" s="29">
        <f t="shared" ca="1" si="62"/>
        <v>2</v>
      </c>
      <c r="CI94" s="29">
        <f t="shared" ca="1" si="62"/>
        <v>3</v>
      </c>
      <c r="CJ94" s="29">
        <f t="shared" ca="1" si="62"/>
        <v>0</v>
      </c>
      <c r="CK94" s="29">
        <f t="shared" ca="1" si="62"/>
        <v>1</v>
      </c>
      <c r="CL94" s="29">
        <f t="shared" ca="1" si="62"/>
        <v>1</v>
      </c>
      <c r="CM94" s="29">
        <f t="shared" ca="1" si="62"/>
        <v>7</v>
      </c>
      <c r="CN94" s="29">
        <f t="shared" ca="1" si="62"/>
        <v>6</v>
      </c>
      <c r="CO94" s="29">
        <f t="shared" ca="1" si="62"/>
        <v>2</v>
      </c>
      <c r="CP94" s="29">
        <f t="shared" ca="1" si="62"/>
        <v>2</v>
      </c>
      <c r="CQ94" s="29">
        <f t="shared" ca="1" si="61"/>
        <v>2</v>
      </c>
      <c r="CR94" s="29">
        <f t="shared" ca="1" si="61"/>
        <v>2</v>
      </c>
      <c r="CS94" s="29">
        <f t="shared" ca="1" si="61"/>
        <v>3</v>
      </c>
      <c r="CT94" s="29">
        <f t="shared" ca="1" si="61"/>
        <v>2</v>
      </c>
      <c r="CU94" s="29">
        <f t="shared" ca="1" si="61"/>
        <v>2</v>
      </c>
      <c r="CV94" s="29">
        <f t="shared" ca="1" si="61"/>
        <v>6</v>
      </c>
      <c r="CW94" s="29">
        <f t="shared" ca="1" si="38"/>
        <v>1</v>
      </c>
      <c r="CX94" s="29">
        <f t="shared" ca="1" si="56"/>
        <v>1</v>
      </c>
      <c r="CY94" s="29">
        <f t="shared" ca="1" si="56"/>
        <v>5</v>
      </c>
      <c r="CZ94" s="29">
        <f t="shared" ca="1" si="56"/>
        <v>3</v>
      </c>
      <c r="DA94" s="29">
        <f t="shared" ca="1" si="56"/>
        <v>2</v>
      </c>
      <c r="DB94" s="29">
        <f t="shared" ca="1" si="56"/>
        <v>2</v>
      </c>
      <c r="DC94" s="29">
        <f t="shared" ca="1" si="56"/>
        <v>5</v>
      </c>
      <c r="DD94" s="29">
        <f t="shared" ca="1" si="56"/>
        <v>1</v>
      </c>
      <c r="DE94" s="29">
        <f t="shared" ca="1" si="56"/>
        <v>4</v>
      </c>
      <c r="DF94" s="29">
        <f t="shared" ca="1" si="56"/>
        <v>3</v>
      </c>
      <c r="DG94" s="29">
        <f t="shared" ca="1" si="56"/>
        <v>3</v>
      </c>
      <c r="DH94" s="29">
        <f t="shared" ca="1" si="56"/>
        <v>3</v>
      </c>
      <c r="DI94" s="29">
        <f t="shared" ca="1" si="56"/>
        <v>5</v>
      </c>
      <c r="DJ94" s="29">
        <f t="shared" ca="1" si="56"/>
        <v>2</v>
      </c>
      <c r="DK94" s="29">
        <f t="shared" ca="1" si="56"/>
        <v>4</v>
      </c>
      <c r="DL94" s="29">
        <f t="shared" ca="1" si="56"/>
        <v>5</v>
      </c>
    </row>
    <row r="95" spans="1:116" ht="14.4" x14ac:dyDescent="0.3">
      <c r="A95" s="31">
        <v>383</v>
      </c>
      <c r="B95" s="28">
        <v>2.44</v>
      </c>
      <c r="C95" s="30">
        <v>29.73</v>
      </c>
      <c r="D95" s="28">
        <v>1.86</v>
      </c>
      <c r="E95" s="34">
        <f t="shared" si="43"/>
        <v>3.7200000000000004E-2</v>
      </c>
      <c r="F95" s="35">
        <f t="shared" si="44"/>
        <v>7.4325000000000001</v>
      </c>
      <c r="G95" s="34">
        <f t="shared" si="45"/>
        <v>46.5</v>
      </c>
      <c r="H95" s="33">
        <f t="shared" si="46"/>
        <v>16.01127049180328</v>
      </c>
      <c r="I95" s="28">
        <f t="shared" si="49"/>
        <v>195.59</v>
      </c>
      <c r="J95" s="32">
        <v>1</v>
      </c>
      <c r="K95" s="30">
        <f t="shared" si="47"/>
        <v>7.4325000000000001</v>
      </c>
      <c r="L95" s="30"/>
      <c r="M95" s="30"/>
      <c r="N95" s="30"/>
      <c r="O95" s="30"/>
      <c r="Q95" s="29">
        <f t="shared" ca="1" si="48"/>
        <v>4</v>
      </c>
      <c r="R95" s="29">
        <f t="shared" ca="1" si="58"/>
        <v>0</v>
      </c>
      <c r="S95" s="29">
        <f t="shared" ca="1" si="58"/>
        <v>1</v>
      </c>
      <c r="T95" s="29">
        <f t="shared" ca="1" si="58"/>
        <v>0</v>
      </c>
      <c r="U95" s="29">
        <f t="shared" ca="1" si="58"/>
        <v>0</v>
      </c>
      <c r="V95" s="29">
        <f t="shared" ca="1" si="58"/>
        <v>4</v>
      </c>
      <c r="W95" s="29">
        <f t="shared" ca="1" si="58"/>
        <v>2</v>
      </c>
      <c r="X95" s="29">
        <f t="shared" ca="1" si="58"/>
        <v>2</v>
      </c>
      <c r="Y95" s="29">
        <f t="shared" ca="1" si="58"/>
        <v>3</v>
      </c>
      <c r="Z95" s="29">
        <f t="shared" ca="1" si="58"/>
        <v>2</v>
      </c>
      <c r="AA95" s="29">
        <f t="shared" ca="1" si="58"/>
        <v>3</v>
      </c>
      <c r="AB95" s="29">
        <f t="shared" ca="1" si="58"/>
        <v>2</v>
      </c>
      <c r="AC95" s="29">
        <f t="shared" ca="1" si="58"/>
        <v>2</v>
      </c>
      <c r="AD95" s="29">
        <f t="shared" ca="1" si="58"/>
        <v>4</v>
      </c>
      <c r="AE95" s="29">
        <f t="shared" ca="1" si="58"/>
        <v>3</v>
      </c>
      <c r="AF95" s="29">
        <f t="shared" ca="1" si="58"/>
        <v>0</v>
      </c>
      <c r="AG95" s="29">
        <f t="shared" ca="1" si="57"/>
        <v>1</v>
      </c>
      <c r="AH95" s="29">
        <f t="shared" ca="1" si="57"/>
        <v>1</v>
      </c>
      <c r="AI95" s="29">
        <f t="shared" ca="1" si="57"/>
        <v>2</v>
      </c>
      <c r="AJ95" s="29">
        <f t="shared" ca="1" si="57"/>
        <v>0</v>
      </c>
      <c r="AK95" s="29">
        <f t="shared" ca="1" si="57"/>
        <v>1</v>
      </c>
      <c r="AL95" s="29">
        <f t="shared" ca="1" si="57"/>
        <v>2</v>
      </c>
      <c r="AM95" s="29">
        <f t="shared" ca="1" si="57"/>
        <v>3</v>
      </c>
      <c r="AN95" s="29">
        <f t="shared" ca="1" si="57"/>
        <v>1</v>
      </c>
      <c r="AO95" s="29">
        <f t="shared" ca="1" si="57"/>
        <v>2</v>
      </c>
      <c r="AP95" s="29">
        <f t="shared" ca="1" si="57"/>
        <v>2</v>
      </c>
      <c r="AQ95" s="29">
        <f t="shared" ca="1" si="57"/>
        <v>1</v>
      </c>
      <c r="AR95" s="29">
        <f t="shared" ca="1" si="57"/>
        <v>4</v>
      </c>
      <c r="AS95" s="29">
        <f t="shared" ca="1" si="57"/>
        <v>2</v>
      </c>
      <c r="AT95" s="29">
        <f t="shared" ca="1" si="57"/>
        <v>1</v>
      </c>
      <c r="AU95" s="29">
        <f t="shared" ca="1" si="57"/>
        <v>1</v>
      </c>
      <c r="AV95" s="29">
        <f t="shared" ca="1" si="60"/>
        <v>1</v>
      </c>
      <c r="AW95" s="29">
        <f t="shared" ca="1" si="60"/>
        <v>1</v>
      </c>
      <c r="AX95" s="29">
        <f t="shared" ca="1" si="60"/>
        <v>1</v>
      </c>
      <c r="AY95" s="29">
        <f t="shared" ca="1" si="60"/>
        <v>2</v>
      </c>
      <c r="AZ95" s="29">
        <f t="shared" ca="1" si="60"/>
        <v>2</v>
      </c>
      <c r="BA95" s="29">
        <f t="shared" ca="1" si="60"/>
        <v>3</v>
      </c>
      <c r="BB95" s="29">
        <f t="shared" ca="1" si="60"/>
        <v>2</v>
      </c>
      <c r="BC95" s="29">
        <f t="shared" ca="1" si="60"/>
        <v>2</v>
      </c>
      <c r="BD95" s="29">
        <f t="shared" ca="1" si="60"/>
        <v>3</v>
      </c>
      <c r="BE95" s="29">
        <f t="shared" ca="1" si="60"/>
        <v>3</v>
      </c>
      <c r="BF95" s="29">
        <f t="shared" ca="1" si="60"/>
        <v>0</v>
      </c>
      <c r="BG95" s="29">
        <f t="shared" ca="1" si="60"/>
        <v>0</v>
      </c>
      <c r="BH95" s="29">
        <f t="shared" ca="1" si="60"/>
        <v>0</v>
      </c>
      <c r="BI95" s="29">
        <f t="shared" ca="1" si="60"/>
        <v>2</v>
      </c>
      <c r="BJ95" s="29">
        <f t="shared" ca="1" si="60"/>
        <v>3</v>
      </c>
      <c r="BK95" s="29">
        <f t="shared" ca="1" si="60"/>
        <v>2</v>
      </c>
      <c r="BL95" s="29">
        <f t="shared" ca="1" si="59"/>
        <v>0</v>
      </c>
      <c r="BM95" s="29">
        <f t="shared" ca="1" si="59"/>
        <v>1</v>
      </c>
      <c r="BN95" s="29">
        <f t="shared" ca="1" si="59"/>
        <v>2</v>
      </c>
      <c r="BO95" s="29">
        <f t="shared" ca="1" si="59"/>
        <v>1</v>
      </c>
      <c r="BP95" s="29">
        <f t="shared" ca="1" si="59"/>
        <v>2</v>
      </c>
      <c r="BQ95" s="29">
        <f t="shared" ca="1" si="59"/>
        <v>1</v>
      </c>
      <c r="BR95" s="29">
        <f t="shared" ca="1" si="59"/>
        <v>0</v>
      </c>
      <c r="BS95" s="29">
        <f t="shared" ca="1" si="59"/>
        <v>1</v>
      </c>
      <c r="BT95" s="29">
        <f t="shared" ca="1" si="59"/>
        <v>4</v>
      </c>
      <c r="BU95" s="29">
        <f t="shared" ca="1" si="59"/>
        <v>1</v>
      </c>
      <c r="BV95" s="29">
        <f t="shared" ca="1" si="59"/>
        <v>1</v>
      </c>
      <c r="BW95" s="29">
        <f t="shared" ca="1" si="59"/>
        <v>1</v>
      </c>
      <c r="BX95" s="29">
        <f t="shared" ca="1" si="59"/>
        <v>1</v>
      </c>
      <c r="BY95" s="29">
        <f t="shared" ca="1" si="59"/>
        <v>3</v>
      </c>
      <c r="BZ95" s="29">
        <f t="shared" ca="1" si="59"/>
        <v>3</v>
      </c>
      <c r="CA95" s="29">
        <f t="shared" ca="1" si="62"/>
        <v>2</v>
      </c>
      <c r="CB95" s="29">
        <f t="shared" ca="1" si="62"/>
        <v>1</v>
      </c>
      <c r="CC95" s="29">
        <f t="shared" ca="1" si="62"/>
        <v>2</v>
      </c>
      <c r="CD95" s="29">
        <f t="shared" ca="1" si="62"/>
        <v>2</v>
      </c>
      <c r="CE95" s="29">
        <f t="shared" ca="1" si="62"/>
        <v>1</v>
      </c>
      <c r="CF95" s="29">
        <f t="shared" ca="1" si="62"/>
        <v>3</v>
      </c>
      <c r="CG95" s="29">
        <f t="shared" ca="1" si="62"/>
        <v>1</v>
      </c>
      <c r="CH95" s="29">
        <f t="shared" ca="1" si="62"/>
        <v>2</v>
      </c>
      <c r="CI95" s="29">
        <f t="shared" ca="1" si="62"/>
        <v>2</v>
      </c>
      <c r="CJ95" s="29">
        <f t="shared" ca="1" si="62"/>
        <v>2</v>
      </c>
      <c r="CK95" s="29">
        <f t="shared" ca="1" si="62"/>
        <v>2</v>
      </c>
      <c r="CL95" s="29">
        <f t="shared" ca="1" si="62"/>
        <v>1</v>
      </c>
      <c r="CM95" s="29">
        <f t="shared" ca="1" si="62"/>
        <v>1</v>
      </c>
      <c r="CN95" s="29">
        <f t="shared" ca="1" si="62"/>
        <v>0</v>
      </c>
      <c r="CO95" s="29">
        <f t="shared" ca="1" si="62"/>
        <v>1</v>
      </c>
      <c r="CP95" s="29">
        <f t="shared" ca="1" si="62"/>
        <v>1</v>
      </c>
      <c r="CQ95" s="29">
        <f t="shared" ca="1" si="61"/>
        <v>0</v>
      </c>
      <c r="CR95" s="29">
        <f t="shared" ca="1" si="61"/>
        <v>0</v>
      </c>
      <c r="CS95" s="29">
        <f t="shared" ca="1" si="61"/>
        <v>1</v>
      </c>
      <c r="CT95" s="29">
        <f t="shared" ca="1" si="61"/>
        <v>1</v>
      </c>
      <c r="CU95" s="29">
        <f t="shared" ca="1" si="61"/>
        <v>1</v>
      </c>
      <c r="CV95" s="29">
        <f t="shared" ca="1" si="61"/>
        <v>3</v>
      </c>
      <c r="CW95" s="29">
        <f t="shared" ca="1" si="38"/>
        <v>3</v>
      </c>
      <c r="CX95" s="29">
        <f t="shared" ca="1" si="56"/>
        <v>7</v>
      </c>
      <c r="CY95" s="29">
        <f t="shared" ca="1" si="56"/>
        <v>0</v>
      </c>
      <c r="CZ95" s="29">
        <f t="shared" ca="1" si="56"/>
        <v>2</v>
      </c>
      <c r="DA95" s="29">
        <f t="shared" ca="1" si="56"/>
        <v>2</v>
      </c>
      <c r="DB95" s="29">
        <f t="shared" ca="1" si="56"/>
        <v>1</v>
      </c>
      <c r="DC95" s="29">
        <f t="shared" ca="1" si="56"/>
        <v>1</v>
      </c>
      <c r="DD95" s="29">
        <f t="shared" ca="1" si="56"/>
        <v>4</v>
      </c>
      <c r="DE95" s="29">
        <f t="shared" ca="1" si="56"/>
        <v>1</v>
      </c>
      <c r="DF95" s="29">
        <f t="shared" ca="1" si="56"/>
        <v>4</v>
      </c>
      <c r="DG95" s="29">
        <f t="shared" ca="1" si="56"/>
        <v>1</v>
      </c>
      <c r="DH95" s="29">
        <f t="shared" ca="1" si="56"/>
        <v>1</v>
      </c>
      <c r="DI95" s="29">
        <f t="shared" ca="1" si="56"/>
        <v>0</v>
      </c>
      <c r="DJ95" s="29">
        <f t="shared" ca="1" si="56"/>
        <v>3</v>
      </c>
      <c r="DK95" s="29">
        <f t="shared" ca="1" si="56"/>
        <v>3</v>
      </c>
      <c r="DL95" s="29">
        <f t="shared" ca="1" si="56"/>
        <v>1</v>
      </c>
    </row>
    <row r="96" spans="1:116" ht="14.4" x14ac:dyDescent="0.3">
      <c r="A96" s="31">
        <v>390</v>
      </c>
      <c r="B96" s="28">
        <v>1.98</v>
      </c>
      <c r="C96" s="30">
        <v>97.88</v>
      </c>
      <c r="D96" s="28">
        <v>2.2400000000000002</v>
      </c>
      <c r="E96" s="34">
        <f t="shared" si="43"/>
        <v>4.4800000000000006E-2</v>
      </c>
      <c r="F96" s="35">
        <f t="shared" si="44"/>
        <v>24.47</v>
      </c>
      <c r="G96" s="34">
        <f t="shared" si="45"/>
        <v>56.000000000000007</v>
      </c>
      <c r="H96" s="33">
        <f t="shared" si="46"/>
        <v>15.924242424242429</v>
      </c>
      <c r="I96" s="28">
        <f t="shared" si="49"/>
        <v>197.57</v>
      </c>
      <c r="J96" s="32">
        <v>1</v>
      </c>
      <c r="K96" s="30">
        <f t="shared" si="47"/>
        <v>24.47</v>
      </c>
      <c r="L96" s="30"/>
      <c r="M96" s="30"/>
      <c r="N96" s="30"/>
      <c r="O96" s="30"/>
      <c r="Q96" s="29">
        <f t="shared" ca="1" si="48"/>
        <v>1</v>
      </c>
      <c r="R96" s="29">
        <f t="shared" ca="1" si="58"/>
        <v>3</v>
      </c>
      <c r="S96" s="29">
        <f t="shared" ca="1" si="58"/>
        <v>5</v>
      </c>
      <c r="T96" s="29">
        <f t="shared" ca="1" si="58"/>
        <v>1</v>
      </c>
      <c r="U96" s="29">
        <f t="shared" ca="1" si="58"/>
        <v>5</v>
      </c>
      <c r="V96" s="29">
        <f t="shared" ca="1" si="58"/>
        <v>2</v>
      </c>
      <c r="W96" s="29">
        <f t="shared" ca="1" si="58"/>
        <v>2</v>
      </c>
      <c r="X96" s="29">
        <f t="shared" ca="1" si="58"/>
        <v>0</v>
      </c>
      <c r="Y96" s="29">
        <f t="shared" ca="1" si="58"/>
        <v>1</v>
      </c>
      <c r="Z96" s="29">
        <f t="shared" ca="1" si="58"/>
        <v>1</v>
      </c>
      <c r="AA96" s="29">
        <f t="shared" ca="1" si="58"/>
        <v>1</v>
      </c>
      <c r="AB96" s="29">
        <f t="shared" ca="1" si="58"/>
        <v>4</v>
      </c>
      <c r="AC96" s="29">
        <f t="shared" ca="1" si="58"/>
        <v>5</v>
      </c>
      <c r="AD96" s="29">
        <f t="shared" ca="1" si="58"/>
        <v>3</v>
      </c>
      <c r="AE96" s="29">
        <f t="shared" ca="1" si="58"/>
        <v>2</v>
      </c>
      <c r="AF96" s="29">
        <f t="shared" ca="1" si="58"/>
        <v>2</v>
      </c>
      <c r="AG96" s="29">
        <f t="shared" ca="1" si="57"/>
        <v>2</v>
      </c>
      <c r="AH96" s="29">
        <f t="shared" ca="1" si="57"/>
        <v>3</v>
      </c>
      <c r="AI96" s="29">
        <f t="shared" ca="1" si="57"/>
        <v>1</v>
      </c>
      <c r="AJ96" s="29">
        <f t="shared" ca="1" si="57"/>
        <v>4</v>
      </c>
      <c r="AK96" s="29">
        <f t="shared" ca="1" si="57"/>
        <v>1</v>
      </c>
      <c r="AL96" s="29">
        <f t="shared" ca="1" si="57"/>
        <v>2</v>
      </c>
      <c r="AM96" s="29">
        <f t="shared" ca="1" si="57"/>
        <v>2</v>
      </c>
      <c r="AN96" s="29">
        <f t="shared" ca="1" si="57"/>
        <v>6</v>
      </c>
      <c r="AO96" s="29">
        <f t="shared" ca="1" si="57"/>
        <v>1</v>
      </c>
      <c r="AP96" s="29">
        <f t="shared" ca="1" si="57"/>
        <v>1</v>
      </c>
      <c r="AQ96" s="29">
        <f t="shared" ca="1" si="57"/>
        <v>4</v>
      </c>
      <c r="AR96" s="29">
        <f t="shared" ca="1" si="57"/>
        <v>1</v>
      </c>
      <c r="AS96" s="29">
        <f t="shared" ca="1" si="57"/>
        <v>0</v>
      </c>
      <c r="AT96" s="29">
        <f t="shared" ca="1" si="57"/>
        <v>4</v>
      </c>
      <c r="AU96" s="29">
        <f t="shared" ca="1" si="57"/>
        <v>3</v>
      </c>
      <c r="AV96" s="29">
        <f t="shared" ca="1" si="60"/>
        <v>3</v>
      </c>
      <c r="AW96" s="29">
        <f t="shared" ca="1" si="60"/>
        <v>0</v>
      </c>
      <c r="AX96" s="29">
        <f t="shared" ca="1" si="60"/>
        <v>0</v>
      </c>
      <c r="AY96" s="29">
        <f t="shared" ca="1" si="60"/>
        <v>3</v>
      </c>
      <c r="AZ96" s="29">
        <f t="shared" ca="1" si="60"/>
        <v>2</v>
      </c>
      <c r="BA96" s="29">
        <f t="shared" ca="1" si="60"/>
        <v>4</v>
      </c>
      <c r="BB96" s="29">
        <f t="shared" ca="1" si="60"/>
        <v>3</v>
      </c>
      <c r="BC96" s="29">
        <f t="shared" ca="1" si="60"/>
        <v>1</v>
      </c>
      <c r="BD96" s="29">
        <f t="shared" ca="1" si="60"/>
        <v>3</v>
      </c>
      <c r="BE96" s="29">
        <f t="shared" ca="1" si="60"/>
        <v>4</v>
      </c>
      <c r="BF96" s="29">
        <f t="shared" ca="1" si="60"/>
        <v>2</v>
      </c>
      <c r="BG96" s="29">
        <f t="shared" ca="1" si="60"/>
        <v>1</v>
      </c>
      <c r="BH96" s="29">
        <f t="shared" ca="1" si="60"/>
        <v>3</v>
      </c>
      <c r="BI96" s="29">
        <f t="shared" ca="1" si="60"/>
        <v>2</v>
      </c>
      <c r="BJ96" s="29">
        <f t="shared" ca="1" si="60"/>
        <v>2</v>
      </c>
      <c r="BK96" s="29">
        <f t="shared" ca="1" si="60"/>
        <v>1</v>
      </c>
      <c r="BL96" s="29">
        <f t="shared" ca="1" si="59"/>
        <v>1</v>
      </c>
      <c r="BM96" s="29">
        <f t="shared" ca="1" si="59"/>
        <v>3</v>
      </c>
      <c r="BN96" s="29">
        <f t="shared" ca="1" si="59"/>
        <v>1</v>
      </c>
      <c r="BO96" s="29">
        <f t="shared" ca="1" si="59"/>
        <v>2</v>
      </c>
      <c r="BP96" s="29">
        <f t="shared" ca="1" si="59"/>
        <v>2</v>
      </c>
      <c r="BQ96" s="29">
        <f t="shared" ca="1" si="59"/>
        <v>3</v>
      </c>
      <c r="BR96" s="29">
        <f t="shared" ca="1" si="59"/>
        <v>2</v>
      </c>
      <c r="BS96" s="29">
        <f t="shared" ca="1" si="59"/>
        <v>0</v>
      </c>
      <c r="BT96" s="29">
        <f t="shared" ca="1" si="59"/>
        <v>1</v>
      </c>
      <c r="BU96" s="29">
        <f t="shared" ca="1" si="59"/>
        <v>1</v>
      </c>
      <c r="BV96" s="29">
        <f t="shared" ca="1" si="59"/>
        <v>3</v>
      </c>
      <c r="BW96" s="29">
        <f t="shared" ca="1" si="59"/>
        <v>1</v>
      </c>
      <c r="BX96" s="29">
        <f t="shared" ca="1" si="59"/>
        <v>2</v>
      </c>
      <c r="BY96" s="29">
        <f t="shared" ca="1" si="59"/>
        <v>3</v>
      </c>
      <c r="BZ96" s="29">
        <f t="shared" ca="1" si="59"/>
        <v>4</v>
      </c>
      <c r="CA96" s="29">
        <f t="shared" ca="1" si="62"/>
        <v>1</v>
      </c>
      <c r="CB96" s="29">
        <f t="shared" ca="1" si="62"/>
        <v>0</v>
      </c>
      <c r="CC96" s="29">
        <f t="shared" ca="1" si="62"/>
        <v>3</v>
      </c>
      <c r="CD96" s="29">
        <f t="shared" ca="1" si="62"/>
        <v>1</v>
      </c>
      <c r="CE96" s="29">
        <f t="shared" ca="1" si="62"/>
        <v>5</v>
      </c>
      <c r="CF96" s="29">
        <f t="shared" ca="1" si="62"/>
        <v>2</v>
      </c>
      <c r="CG96" s="29">
        <f t="shared" ca="1" si="62"/>
        <v>2</v>
      </c>
      <c r="CH96" s="29">
        <f t="shared" ca="1" si="62"/>
        <v>2</v>
      </c>
      <c r="CI96" s="29">
        <f t="shared" ca="1" si="62"/>
        <v>6</v>
      </c>
      <c r="CJ96" s="29">
        <f t="shared" ca="1" si="62"/>
        <v>2</v>
      </c>
      <c r="CK96" s="29">
        <f t="shared" ca="1" si="62"/>
        <v>2</v>
      </c>
      <c r="CL96" s="29">
        <f t="shared" ca="1" si="62"/>
        <v>3</v>
      </c>
      <c r="CM96" s="29">
        <f t="shared" ca="1" si="62"/>
        <v>2</v>
      </c>
      <c r="CN96" s="29">
        <f t="shared" ca="1" si="62"/>
        <v>5</v>
      </c>
      <c r="CO96" s="29">
        <f t="shared" ca="1" si="62"/>
        <v>2</v>
      </c>
      <c r="CP96" s="29">
        <f t="shared" ca="1" si="62"/>
        <v>1</v>
      </c>
      <c r="CQ96" s="29">
        <f t="shared" ca="1" si="61"/>
        <v>1</v>
      </c>
      <c r="CR96" s="29">
        <f t="shared" ca="1" si="61"/>
        <v>0</v>
      </c>
      <c r="CS96" s="29">
        <f t="shared" ca="1" si="61"/>
        <v>2</v>
      </c>
      <c r="CT96" s="29">
        <f t="shared" ca="1" si="61"/>
        <v>1</v>
      </c>
      <c r="CU96" s="29">
        <f t="shared" ca="1" si="61"/>
        <v>2</v>
      </c>
      <c r="CV96" s="29">
        <f t="shared" ca="1" si="61"/>
        <v>2</v>
      </c>
      <c r="CW96" s="29">
        <f t="shared" ca="1" si="38"/>
        <v>1</v>
      </c>
      <c r="CX96" s="29">
        <f t="shared" ca="1" si="56"/>
        <v>0</v>
      </c>
      <c r="CY96" s="29">
        <f t="shared" ca="1" si="56"/>
        <v>3</v>
      </c>
      <c r="CZ96" s="29">
        <f t="shared" ca="1" si="56"/>
        <v>1</v>
      </c>
      <c r="DA96" s="29">
        <f t="shared" ca="1" si="56"/>
        <v>1</v>
      </c>
      <c r="DB96" s="29">
        <f t="shared" ca="1" si="56"/>
        <v>4</v>
      </c>
      <c r="DC96" s="29">
        <f t="shared" ca="1" si="56"/>
        <v>3</v>
      </c>
      <c r="DD96" s="29">
        <f t="shared" ca="1" si="56"/>
        <v>1</v>
      </c>
      <c r="DE96" s="29">
        <f t="shared" ca="1" si="56"/>
        <v>1</v>
      </c>
      <c r="DF96" s="29">
        <f t="shared" ca="1" si="56"/>
        <v>2</v>
      </c>
      <c r="DG96" s="29">
        <f t="shared" ca="1" si="56"/>
        <v>2</v>
      </c>
      <c r="DH96" s="29">
        <f t="shared" ca="1" si="56"/>
        <v>5</v>
      </c>
      <c r="DI96" s="29">
        <f t="shared" ca="1" si="56"/>
        <v>1</v>
      </c>
      <c r="DJ96" s="29">
        <f t="shared" ca="1" si="56"/>
        <v>4</v>
      </c>
      <c r="DK96" s="29">
        <f t="shared" ca="1" si="56"/>
        <v>0</v>
      </c>
      <c r="DL96" s="29">
        <f t="shared" ca="1" si="56"/>
        <v>1</v>
      </c>
    </row>
    <row r="97" spans="1:116" ht="14.4" x14ac:dyDescent="0.3">
      <c r="A97" s="31">
        <v>87</v>
      </c>
      <c r="B97" s="28">
        <v>3.84</v>
      </c>
      <c r="C97" s="30">
        <v>54.92</v>
      </c>
      <c r="D97" s="28">
        <v>2.96</v>
      </c>
      <c r="E97" s="34">
        <f t="shared" si="43"/>
        <v>5.9200000000000003E-2</v>
      </c>
      <c r="F97" s="35">
        <f t="shared" si="44"/>
        <v>13.73</v>
      </c>
      <c r="G97" s="34">
        <f t="shared" si="45"/>
        <v>74</v>
      </c>
      <c r="H97" s="33">
        <f t="shared" si="46"/>
        <v>15.6953125</v>
      </c>
      <c r="I97" s="28">
        <f t="shared" si="49"/>
        <v>201.41</v>
      </c>
      <c r="J97" s="32">
        <v>1</v>
      </c>
      <c r="K97" s="30">
        <f t="shared" si="47"/>
        <v>13.73</v>
      </c>
      <c r="L97" s="30"/>
      <c r="M97" s="30"/>
      <c r="N97" s="30"/>
      <c r="O97" s="30"/>
      <c r="Q97" s="29">
        <f t="shared" ca="1" si="48"/>
        <v>3</v>
      </c>
      <c r="R97" s="29">
        <f t="shared" ca="1" si="58"/>
        <v>5</v>
      </c>
      <c r="S97" s="29">
        <f t="shared" ca="1" si="58"/>
        <v>4</v>
      </c>
      <c r="T97" s="29">
        <f t="shared" ca="1" si="58"/>
        <v>1</v>
      </c>
      <c r="U97" s="29">
        <f t="shared" ca="1" si="58"/>
        <v>4</v>
      </c>
      <c r="V97" s="29">
        <f t="shared" ca="1" si="58"/>
        <v>4</v>
      </c>
      <c r="W97" s="29">
        <f t="shared" ca="1" si="58"/>
        <v>4</v>
      </c>
      <c r="X97" s="29">
        <f t="shared" ca="1" si="58"/>
        <v>3</v>
      </c>
      <c r="Y97" s="29">
        <f t="shared" ca="1" si="58"/>
        <v>3</v>
      </c>
      <c r="Z97" s="29">
        <f t="shared" ca="1" si="58"/>
        <v>4</v>
      </c>
      <c r="AA97" s="29">
        <f t="shared" ca="1" si="58"/>
        <v>7</v>
      </c>
      <c r="AB97" s="29">
        <f t="shared" ca="1" si="58"/>
        <v>3</v>
      </c>
      <c r="AC97" s="29">
        <f t="shared" ca="1" si="58"/>
        <v>3</v>
      </c>
      <c r="AD97" s="29">
        <f t="shared" ca="1" si="58"/>
        <v>3</v>
      </c>
      <c r="AE97" s="29">
        <f t="shared" ca="1" si="58"/>
        <v>2</v>
      </c>
      <c r="AF97" s="29">
        <f t="shared" ca="1" si="58"/>
        <v>4</v>
      </c>
      <c r="AG97" s="29">
        <f t="shared" ca="1" si="57"/>
        <v>2</v>
      </c>
      <c r="AH97" s="29">
        <f t="shared" ca="1" si="57"/>
        <v>2</v>
      </c>
      <c r="AI97" s="29">
        <f t="shared" ca="1" si="57"/>
        <v>3</v>
      </c>
      <c r="AJ97" s="29">
        <f t="shared" ca="1" si="57"/>
        <v>1</v>
      </c>
      <c r="AK97" s="29">
        <f t="shared" ca="1" si="57"/>
        <v>4</v>
      </c>
      <c r="AL97" s="29">
        <f t="shared" ca="1" si="57"/>
        <v>2</v>
      </c>
      <c r="AM97" s="29">
        <f t="shared" ca="1" si="57"/>
        <v>0</v>
      </c>
      <c r="AN97" s="29">
        <f t="shared" ca="1" si="57"/>
        <v>1</v>
      </c>
      <c r="AO97" s="29">
        <f t="shared" ca="1" si="57"/>
        <v>6</v>
      </c>
      <c r="AP97" s="29">
        <f t="shared" ca="1" si="57"/>
        <v>2</v>
      </c>
      <c r="AQ97" s="29">
        <f t="shared" ca="1" si="57"/>
        <v>3</v>
      </c>
      <c r="AR97" s="29">
        <f t="shared" ca="1" si="57"/>
        <v>3</v>
      </c>
      <c r="AS97" s="29">
        <f t="shared" ca="1" si="57"/>
        <v>2</v>
      </c>
      <c r="AT97" s="29">
        <f t="shared" ca="1" si="57"/>
        <v>4</v>
      </c>
      <c r="AU97" s="29">
        <f t="shared" ca="1" si="57"/>
        <v>2</v>
      </c>
      <c r="AV97" s="29">
        <f t="shared" ca="1" si="60"/>
        <v>3</v>
      </c>
      <c r="AW97" s="29">
        <f t="shared" ca="1" si="60"/>
        <v>1</v>
      </c>
      <c r="AX97" s="29">
        <f t="shared" ca="1" si="60"/>
        <v>1</v>
      </c>
      <c r="AY97" s="29">
        <f t="shared" ca="1" si="60"/>
        <v>3</v>
      </c>
      <c r="AZ97" s="29">
        <f t="shared" ca="1" si="60"/>
        <v>4</v>
      </c>
      <c r="BA97" s="29">
        <f t="shared" ca="1" si="60"/>
        <v>5</v>
      </c>
      <c r="BB97" s="29">
        <f t="shared" ca="1" si="60"/>
        <v>6</v>
      </c>
      <c r="BC97" s="29">
        <f t="shared" ca="1" si="60"/>
        <v>4</v>
      </c>
      <c r="BD97" s="29">
        <f t="shared" ca="1" si="60"/>
        <v>5</v>
      </c>
      <c r="BE97" s="29">
        <f t="shared" ca="1" si="60"/>
        <v>1</v>
      </c>
      <c r="BF97" s="29">
        <f t="shared" ca="1" si="60"/>
        <v>4</v>
      </c>
      <c r="BG97" s="29">
        <f t="shared" ca="1" si="60"/>
        <v>3</v>
      </c>
      <c r="BH97" s="29">
        <f t="shared" ca="1" si="60"/>
        <v>2</v>
      </c>
      <c r="BI97" s="29">
        <f t="shared" ca="1" si="60"/>
        <v>5</v>
      </c>
      <c r="BJ97" s="29">
        <f t="shared" ca="1" si="60"/>
        <v>3</v>
      </c>
      <c r="BK97" s="29">
        <f t="shared" ca="1" si="60"/>
        <v>2</v>
      </c>
      <c r="BL97" s="29">
        <f t="shared" ca="1" si="59"/>
        <v>5</v>
      </c>
      <c r="BM97" s="29">
        <f t="shared" ca="1" si="59"/>
        <v>1</v>
      </c>
      <c r="BN97" s="29">
        <f t="shared" ca="1" si="59"/>
        <v>2</v>
      </c>
      <c r="BO97" s="29">
        <f t="shared" ca="1" si="59"/>
        <v>3</v>
      </c>
      <c r="BP97" s="29">
        <f t="shared" ca="1" si="59"/>
        <v>0</v>
      </c>
      <c r="BQ97" s="29">
        <f t="shared" ca="1" si="59"/>
        <v>2</v>
      </c>
      <c r="BR97" s="29">
        <f t="shared" ca="1" si="59"/>
        <v>1</v>
      </c>
      <c r="BS97" s="29">
        <f t="shared" ca="1" si="59"/>
        <v>3</v>
      </c>
      <c r="BT97" s="29">
        <f t="shared" ca="1" si="59"/>
        <v>3</v>
      </c>
      <c r="BU97" s="29">
        <f t="shared" ca="1" si="59"/>
        <v>4</v>
      </c>
      <c r="BV97" s="29">
        <f t="shared" ca="1" si="59"/>
        <v>4</v>
      </c>
      <c r="BW97" s="29">
        <f t="shared" ca="1" si="59"/>
        <v>5</v>
      </c>
      <c r="BX97" s="29">
        <f t="shared" ca="1" si="59"/>
        <v>1</v>
      </c>
      <c r="BY97" s="29">
        <f t="shared" ca="1" si="59"/>
        <v>3</v>
      </c>
      <c r="BZ97" s="29">
        <f t="shared" ca="1" si="59"/>
        <v>0</v>
      </c>
      <c r="CA97" s="29">
        <f t="shared" ca="1" si="62"/>
        <v>1</v>
      </c>
      <c r="CB97" s="29">
        <f t="shared" ca="1" si="62"/>
        <v>1</v>
      </c>
      <c r="CC97" s="29">
        <f t="shared" ca="1" si="62"/>
        <v>2</v>
      </c>
      <c r="CD97" s="29">
        <f t="shared" ca="1" si="62"/>
        <v>4</v>
      </c>
      <c r="CE97" s="29">
        <f t="shared" ca="1" si="62"/>
        <v>3</v>
      </c>
      <c r="CF97" s="29">
        <f t="shared" ca="1" si="62"/>
        <v>2</v>
      </c>
      <c r="CG97" s="29">
        <f t="shared" ca="1" si="62"/>
        <v>4</v>
      </c>
      <c r="CH97" s="29">
        <f t="shared" ca="1" si="62"/>
        <v>2</v>
      </c>
      <c r="CI97" s="29">
        <f t="shared" ca="1" si="62"/>
        <v>5</v>
      </c>
      <c r="CJ97" s="29">
        <f t="shared" ca="1" si="62"/>
        <v>6</v>
      </c>
      <c r="CK97" s="29">
        <f t="shared" ca="1" si="62"/>
        <v>3</v>
      </c>
      <c r="CL97" s="29">
        <f t="shared" ca="1" si="62"/>
        <v>3</v>
      </c>
      <c r="CM97" s="29">
        <f t="shared" ca="1" si="62"/>
        <v>3</v>
      </c>
      <c r="CN97" s="29">
        <f t="shared" ca="1" si="62"/>
        <v>3</v>
      </c>
      <c r="CO97" s="29">
        <f t="shared" ca="1" si="62"/>
        <v>1</v>
      </c>
      <c r="CP97" s="29">
        <f t="shared" ca="1" si="62"/>
        <v>3</v>
      </c>
      <c r="CQ97" s="29">
        <f t="shared" ca="1" si="61"/>
        <v>4</v>
      </c>
      <c r="CR97" s="29">
        <f t="shared" ca="1" si="61"/>
        <v>2</v>
      </c>
      <c r="CS97" s="29">
        <f t="shared" ca="1" si="61"/>
        <v>0</v>
      </c>
      <c r="CT97" s="29">
        <f t="shared" ca="1" si="61"/>
        <v>7</v>
      </c>
      <c r="CU97" s="29">
        <f t="shared" ca="1" si="61"/>
        <v>2</v>
      </c>
      <c r="CV97" s="29">
        <f t="shared" ca="1" si="61"/>
        <v>3</v>
      </c>
      <c r="CW97" s="29">
        <f t="shared" ca="1" si="38"/>
        <v>5</v>
      </c>
      <c r="CX97" s="29">
        <f t="shared" ca="1" si="56"/>
        <v>4</v>
      </c>
      <c r="CY97" s="29">
        <f t="shared" ca="1" si="56"/>
        <v>4</v>
      </c>
      <c r="CZ97" s="29">
        <f t="shared" ca="1" si="56"/>
        <v>1</v>
      </c>
      <c r="DA97" s="29">
        <f t="shared" ca="1" si="56"/>
        <v>2</v>
      </c>
      <c r="DB97" s="29">
        <f t="shared" ca="1" si="56"/>
        <v>5</v>
      </c>
      <c r="DC97" s="29">
        <f t="shared" ca="1" si="56"/>
        <v>1</v>
      </c>
      <c r="DD97" s="29">
        <f t="shared" ca="1" si="56"/>
        <v>2</v>
      </c>
      <c r="DE97" s="29">
        <f t="shared" ca="1" si="56"/>
        <v>3</v>
      </c>
      <c r="DF97" s="29">
        <f t="shared" ca="1" si="56"/>
        <v>0</v>
      </c>
      <c r="DG97" s="29">
        <f t="shared" ca="1" si="56"/>
        <v>1</v>
      </c>
      <c r="DH97" s="29">
        <f t="shared" ca="1" si="56"/>
        <v>5</v>
      </c>
      <c r="DI97" s="29">
        <f t="shared" ca="1" si="56"/>
        <v>6</v>
      </c>
      <c r="DJ97" s="29">
        <f t="shared" ca="1" si="56"/>
        <v>3</v>
      </c>
      <c r="DK97" s="29">
        <f t="shared" ca="1" si="56"/>
        <v>2</v>
      </c>
      <c r="DL97" s="29">
        <f t="shared" ca="1" si="56"/>
        <v>3</v>
      </c>
    </row>
    <row r="98" spans="1:116" ht="14.4" x14ac:dyDescent="0.3">
      <c r="A98" s="31">
        <v>162</v>
      </c>
      <c r="B98" s="28">
        <v>0.53</v>
      </c>
      <c r="C98" s="30">
        <v>88.1</v>
      </c>
      <c r="D98" s="28">
        <v>1.21</v>
      </c>
      <c r="E98" s="34">
        <f t="shared" si="43"/>
        <v>2.4199999999999999E-2</v>
      </c>
      <c r="F98" s="35">
        <f t="shared" si="44"/>
        <v>22.024999999999999</v>
      </c>
      <c r="G98" s="34">
        <f t="shared" si="45"/>
        <v>30.25</v>
      </c>
      <c r="H98" s="33">
        <f t="shared" si="46"/>
        <v>15.518867924528303</v>
      </c>
      <c r="I98" s="28">
        <f t="shared" si="49"/>
        <v>201.94</v>
      </c>
      <c r="J98" s="32">
        <v>1</v>
      </c>
      <c r="K98" s="30">
        <f t="shared" si="47"/>
        <v>22.024999999999999</v>
      </c>
      <c r="L98" s="30"/>
      <c r="M98" s="30"/>
      <c r="N98" s="30"/>
      <c r="O98" s="30"/>
      <c r="Q98" s="29">
        <f t="shared" ca="1" si="48"/>
        <v>2</v>
      </c>
      <c r="R98" s="29">
        <f t="shared" ca="1" si="58"/>
        <v>1</v>
      </c>
      <c r="S98" s="29">
        <f t="shared" ca="1" si="58"/>
        <v>1</v>
      </c>
      <c r="T98" s="29">
        <f t="shared" ca="1" si="58"/>
        <v>0</v>
      </c>
      <c r="U98" s="29">
        <f t="shared" ca="1" si="58"/>
        <v>2</v>
      </c>
      <c r="V98" s="29">
        <f t="shared" ca="1" si="58"/>
        <v>3</v>
      </c>
      <c r="W98" s="29">
        <f t="shared" ca="1" si="58"/>
        <v>1</v>
      </c>
      <c r="X98" s="29">
        <f t="shared" ca="1" si="58"/>
        <v>2</v>
      </c>
      <c r="Y98" s="29">
        <f t="shared" ca="1" si="58"/>
        <v>3</v>
      </c>
      <c r="Z98" s="29">
        <f t="shared" ca="1" si="58"/>
        <v>2</v>
      </c>
      <c r="AA98" s="29">
        <f t="shared" ca="1" si="58"/>
        <v>2</v>
      </c>
      <c r="AB98" s="29">
        <f t="shared" ca="1" si="58"/>
        <v>1</v>
      </c>
      <c r="AC98" s="29">
        <f t="shared" ca="1" si="58"/>
        <v>1</v>
      </c>
      <c r="AD98" s="29">
        <f t="shared" ca="1" si="58"/>
        <v>0</v>
      </c>
      <c r="AE98" s="29">
        <f t="shared" ca="1" si="58"/>
        <v>1</v>
      </c>
      <c r="AF98" s="29">
        <f t="shared" ca="1" si="58"/>
        <v>1</v>
      </c>
      <c r="AG98" s="29">
        <f t="shared" ca="1" si="57"/>
        <v>1</v>
      </c>
      <c r="AH98" s="29">
        <f t="shared" ca="1" si="57"/>
        <v>1</v>
      </c>
      <c r="AI98" s="29">
        <f t="shared" ca="1" si="57"/>
        <v>2</v>
      </c>
      <c r="AJ98" s="29">
        <f t="shared" ca="1" si="57"/>
        <v>2</v>
      </c>
      <c r="AK98" s="29">
        <f t="shared" ca="1" si="57"/>
        <v>2</v>
      </c>
      <c r="AL98" s="29">
        <f t="shared" ca="1" si="57"/>
        <v>0</v>
      </c>
      <c r="AM98" s="29">
        <f t="shared" ca="1" si="57"/>
        <v>1</v>
      </c>
      <c r="AN98" s="29">
        <f t="shared" ca="1" si="57"/>
        <v>0</v>
      </c>
      <c r="AO98" s="29">
        <f t="shared" ca="1" si="57"/>
        <v>0</v>
      </c>
      <c r="AP98" s="29">
        <f t="shared" ca="1" si="57"/>
        <v>0</v>
      </c>
      <c r="AQ98" s="29">
        <f t="shared" ca="1" si="57"/>
        <v>1</v>
      </c>
      <c r="AR98" s="29">
        <f t="shared" ca="1" si="57"/>
        <v>0</v>
      </c>
      <c r="AS98" s="29">
        <f t="shared" ca="1" si="57"/>
        <v>0</v>
      </c>
      <c r="AT98" s="29">
        <f t="shared" ca="1" si="57"/>
        <v>0</v>
      </c>
      <c r="AU98" s="29">
        <f t="shared" ca="1" si="57"/>
        <v>1</v>
      </c>
      <c r="AV98" s="29">
        <f t="shared" ca="1" si="60"/>
        <v>2</v>
      </c>
      <c r="AW98" s="29">
        <f t="shared" ca="1" si="60"/>
        <v>2</v>
      </c>
      <c r="AX98" s="29">
        <f t="shared" ca="1" si="60"/>
        <v>2</v>
      </c>
      <c r="AY98" s="29">
        <f t="shared" ca="1" si="60"/>
        <v>1</v>
      </c>
      <c r="AZ98" s="29">
        <f t="shared" ca="1" si="60"/>
        <v>2</v>
      </c>
      <c r="BA98" s="29">
        <f t="shared" ca="1" si="60"/>
        <v>1</v>
      </c>
      <c r="BB98" s="29">
        <f t="shared" ca="1" si="60"/>
        <v>0</v>
      </c>
      <c r="BC98" s="29">
        <f t="shared" ca="1" si="60"/>
        <v>3</v>
      </c>
      <c r="BD98" s="29">
        <f t="shared" ca="1" si="60"/>
        <v>2</v>
      </c>
      <c r="BE98" s="29">
        <f t="shared" ca="1" si="60"/>
        <v>1</v>
      </c>
      <c r="BF98" s="29">
        <f t="shared" ca="1" si="60"/>
        <v>2</v>
      </c>
      <c r="BG98" s="29">
        <f t="shared" ca="1" si="60"/>
        <v>2</v>
      </c>
      <c r="BH98" s="29">
        <f t="shared" ca="1" si="60"/>
        <v>3</v>
      </c>
      <c r="BI98" s="29">
        <f t="shared" ca="1" si="60"/>
        <v>1</v>
      </c>
      <c r="BJ98" s="29">
        <f t="shared" ca="1" si="60"/>
        <v>3</v>
      </c>
      <c r="BK98" s="29">
        <f t="shared" ca="1" si="60"/>
        <v>1</v>
      </c>
      <c r="BL98" s="29">
        <f t="shared" ca="1" si="59"/>
        <v>0</v>
      </c>
      <c r="BM98" s="29">
        <f t="shared" ca="1" si="59"/>
        <v>2</v>
      </c>
      <c r="BN98" s="29">
        <f t="shared" ca="1" si="59"/>
        <v>1</v>
      </c>
      <c r="BO98" s="29">
        <f t="shared" ca="1" si="59"/>
        <v>1</v>
      </c>
      <c r="BP98" s="29">
        <f t="shared" ca="1" si="59"/>
        <v>1</v>
      </c>
      <c r="BQ98" s="29">
        <f t="shared" ca="1" si="59"/>
        <v>0</v>
      </c>
      <c r="BR98" s="29">
        <f t="shared" ca="1" si="59"/>
        <v>1</v>
      </c>
      <c r="BS98" s="29">
        <f t="shared" ca="1" si="59"/>
        <v>1</v>
      </c>
      <c r="BT98" s="29">
        <f t="shared" ca="1" si="59"/>
        <v>2</v>
      </c>
      <c r="BU98" s="29">
        <f t="shared" ca="1" si="59"/>
        <v>2</v>
      </c>
      <c r="BV98" s="29">
        <f t="shared" ca="1" si="59"/>
        <v>0</v>
      </c>
      <c r="BW98" s="29">
        <f t="shared" ca="1" si="59"/>
        <v>0</v>
      </c>
      <c r="BX98" s="29">
        <f t="shared" ca="1" si="59"/>
        <v>0</v>
      </c>
      <c r="BY98" s="29">
        <f t="shared" ca="1" si="59"/>
        <v>2</v>
      </c>
      <c r="BZ98" s="29">
        <f t="shared" ca="1" si="59"/>
        <v>2</v>
      </c>
      <c r="CA98" s="29">
        <f t="shared" ca="1" si="62"/>
        <v>0</v>
      </c>
      <c r="CB98" s="29">
        <f t="shared" ca="1" si="62"/>
        <v>1</v>
      </c>
      <c r="CC98" s="29">
        <f t="shared" ca="1" si="62"/>
        <v>3</v>
      </c>
      <c r="CD98" s="29">
        <f t="shared" ca="1" si="62"/>
        <v>2</v>
      </c>
      <c r="CE98" s="29">
        <f t="shared" ca="1" si="62"/>
        <v>1</v>
      </c>
      <c r="CF98" s="29">
        <f t="shared" ca="1" si="62"/>
        <v>1</v>
      </c>
      <c r="CG98" s="29">
        <f t="shared" ca="1" si="62"/>
        <v>2</v>
      </c>
      <c r="CH98" s="29">
        <f t="shared" ca="1" si="62"/>
        <v>0</v>
      </c>
      <c r="CI98" s="29">
        <f t="shared" ca="1" si="62"/>
        <v>1</v>
      </c>
      <c r="CJ98" s="29">
        <f t="shared" ca="1" si="62"/>
        <v>0</v>
      </c>
      <c r="CK98" s="29">
        <f t="shared" ca="1" si="62"/>
        <v>2</v>
      </c>
      <c r="CL98" s="29">
        <f t="shared" ca="1" si="62"/>
        <v>1</v>
      </c>
      <c r="CM98" s="29">
        <f t="shared" ca="1" si="62"/>
        <v>1</v>
      </c>
      <c r="CN98" s="29">
        <f t="shared" ca="1" si="62"/>
        <v>1</v>
      </c>
      <c r="CO98" s="29">
        <f t="shared" ca="1" si="62"/>
        <v>0</v>
      </c>
      <c r="CP98" s="29">
        <f t="shared" ca="1" si="62"/>
        <v>1</v>
      </c>
      <c r="CQ98" s="29">
        <f t="shared" ca="1" si="61"/>
        <v>1</v>
      </c>
      <c r="CR98" s="29">
        <f t="shared" ca="1" si="61"/>
        <v>3</v>
      </c>
      <c r="CS98" s="29">
        <f t="shared" ca="1" si="61"/>
        <v>0</v>
      </c>
      <c r="CT98" s="29">
        <f t="shared" ca="1" si="61"/>
        <v>1</v>
      </c>
      <c r="CU98" s="29">
        <f t="shared" ca="1" si="61"/>
        <v>0</v>
      </c>
      <c r="CV98" s="29">
        <f t="shared" ca="1" si="61"/>
        <v>1</v>
      </c>
      <c r="CW98" s="29">
        <f t="shared" ca="1" si="38"/>
        <v>0</v>
      </c>
      <c r="CX98" s="29">
        <f t="shared" ref="CX98:DL121" ca="1" si="63">_xlfn.BINOM.INV(50,$E98,RAND())</f>
        <v>0</v>
      </c>
      <c r="CY98" s="29">
        <f t="shared" ca="1" si="63"/>
        <v>1</v>
      </c>
      <c r="CZ98" s="29">
        <f t="shared" ca="1" si="63"/>
        <v>1</v>
      </c>
      <c r="DA98" s="29">
        <f t="shared" ca="1" si="63"/>
        <v>0</v>
      </c>
      <c r="DB98" s="29">
        <f t="shared" ca="1" si="63"/>
        <v>0</v>
      </c>
      <c r="DC98" s="29">
        <f t="shared" ca="1" si="63"/>
        <v>3</v>
      </c>
      <c r="DD98" s="29">
        <f t="shared" ca="1" si="63"/>
        <v>2</v>
      </c>
      <c r="DE98" s="29">
        <f t="shared" ca="1" si="63"/>
        <v>4</v>
      </c>
      <c r="DF98" s="29">
        <f t="shared" ca="1" si="63"/>
        <v>2</v>
      </c>
      <c r="DG98" s="29">
        <f t="shared" ca="1" si="63"/>
        <v>2</v>
      </c>
      <c r="DH98" s="29">
        <f t="shared" ca="1" si="63"/>
        <v>0</v>
      </c>
      <c r="DI98" s="29">
        <f t="shared" ca="1" si="63"/>
        <v>2</v>
      </c>
      <c r="DJ98" s="29">
        <f t="shared" ca="1" si="63"/>
        <v>3</v>
      </c>
      <c r="DK98" s="29">
        <f t="shared" ca="1" si="63"/>
        <v>0</v>
      </c>
      <c r="DL98" s="29">
        <f t="shared" ca="1" si="63"/>
        <v>3</v>
      </c>
    </row>
    <row r="99" spans="1:116" ht="14.4" x14ac:dyDescent="0.3">
      <c r="A99" s="31">
        <v>476</v>
      </c>
      <c r="B99" s="28">
        <v>3.34</v>
      </c>
      <c r="C99" s="30">
        <v>38.07</v>
      </c>
      <c r="D99" s="28">
        <v>2.4500000000000002</v>
      </c>
      <c r="E99" s="34">
        <f t="shared" si="43"/>
        <v>4.9000000000000002E-2</v>
      </c>
      <c r="F99" s="35">
        <f t="shared" si="44"/>
        <v>9.5175000000000001</v>
      </c>
      <c r="G99" s="34">
        <f t="shared" si="45"/>
        <v>61.250000000000007</v>
      </c>
      <c r="H99" s="33">
        <f t="shared" si="46"/>
        <v>15.488772455089824</v>
      </c>
      <c r="I99" s="28">
        <f t="shared" si="49"/>
        <v>205.28</v>
      </c>
      <c r="J99" s="32">
        <v>1</v>
      </c>
      <c r="K99" s="30">
        <f t="shared" si="47"/>
        <v>9.5175000000000001</v>
      </c>
      <c r="L99" s="30"/>
      <c r="M99" s="30"/>
      <c r="N99" s="30"/>
      <c r="O99" s="30"/>
      <c r="Q99" s="29">
        <f t="shared" ca="1" si="48"/>
        <v>0</v>
      </c>
      <c r="R99" s="29">
        <f t="shared" ca="1" si="58"/>
        <v>3</v>
      </c>
      <c r="S99" s="29">
        <f t="shared" ca="1" si="58"/>
        <v>0</v>
      </c>
      <c r="T99" s="29">
        <f t="shared" ca="1" si="58"/>
        <v>6</v>
      </c>
      <c r="U99" s="29">
        <f t="shared" ca="1" si="58"/>
        <v>3</v>
      </c>
      <c r="V99" s="29">
        <f t="shared" ca="1" si="58"/>
        <v>2</v>
      </c>
      <c r="W99" s="29">
        <f t="shared" ca="1" si="58"/>
        <v>2</v>
      </c>
      <c r="X99" s="29">
        <f t="shared" ca="1" si="58"/>
        <v>2</v>
      </c>
      <c r="Y99" s="29">
        <f t="shared" ca="1" si="58"/>
        <v>1</v>
      </c>
      <c r="Z99" s="29">
        <f t="shared" ca="1" si="58"/>
        <v>1</v>
      </c>
      <c r="AA99" s="29">
        <f t="shared" ca="1" si="58"/>
        <v>3</v>
      </c>
      <c r="AB99" s="29">
        <f t="shared" ca="1" si="58"/>
        <v>2</v>
      </c>
      <c r="AC99" s="29">
        <f t="shared" ca="1" si="58"/>
        <v>2</v>
      </c>
      <c r="AD99" s="29">
        <f t="shared" ca="1" si="58"/>
        <v>1</v>
      </c>
      <c r="AE99" s="29">
        <f t="shared" ca="1" si="58"/>
        <v>4</v>
      </c>
      <c r="AF99" s="29">
        <f t="shared" ca="1" si="58"/>
        <v>3</v>
      </c>
      <c r="AG99" s="29">
        <f t="shared" ca="1" si="57"/>
        <v>7</v>
      </c>
      <c r="AH99" s="29">
        <f t="shared" ca="1" si="57"/>
        <v>0</v>
      </c>
      <c r="AI99" s="29">
        <f t="shared" ca="1" si="57"/>
        <v>4</v>
      </c>
      <c r="AJ99" s="29">
        <f t="shared" ca="1" si="57"/>
        <v>2</v>
      </c>
      <c r="AK99" s="29">
        <f t="shared" ca="1" si="57"/>
        <v>1</v>
      </c>
      <c r="AL99" s="29">
        <f t="shared" ca="1" si="57"/>
        <v>1</v>
      </c>
      <c r="AM99" s="29">
        <f t="shared" ca="1" si="57"/>
        <v>1</v>
      </c>
      <c r="AN99" s="29">
        <f t="shared" ca="1" si="57"/>
        <v>0</v>
      </c>
      <c r="AO99" s="29">
        <f t="shared" ca="1" si="57"/>
        <v>2</v>
      </c>
      <c r="AP99" s="29">
        <f t="shared" ca="1" si="57"/>
        <v>3</v>
      </c>
      <c r="AQ99" s="29">
        <f t="shared" ca="1" si="57"/>
        <v>3</v>
      </c>
      <c r="AR99" s="29">
        <f t="shared" ca="1" si="57"/>
        <v>4</v>
      </c>
      <c r="AS99" s="29">
        <f t="shared" ca="1" si="57"/>
        <v>2</v>
      </c>
      <c r="AT99" s="29">
        <f t="shared" ca="1" si="57"/>
        <v>3</v>
      </c>
      <c r="AU99" s="29">
        <f t="shared" ca="1" si="57"/>
        <v>3</v>
      </c>
      <c r="AV99" s="29">
        <f t="shared" ca="1" si="60"/>
        <v>2</v>
      </c>
      <c r="AW99" s="29">
        <f t="shared" ca="1" si="60"/>
        <v>1</v>
      </c>
      <c r="AX99" s="29">
        <f t="shared" ca="1" si="60"/>
        <v>1</v>
      </c>
      <c r="AY99" s="29">
        <f t="shared" ca="1" si="60"/>
        <v>0</v>
      </c>
      <c r="AZ99" s="29">
        <f t="shared" ca="1" si="60"/>
        <v>3</v>
      </c>
      <c r="BA99" s="29">
        <f t="shared" ca="1" si="60"/>
        <v>1</v>
      </c>
      <c r="BB99" s="29">
        <f t="shared" ca="1" si="60"/>
        <v>1</v>
      </c>
      <c r="BC99" s="29">
        <f t="shared" ca="1" si="60"/>
        <v>0</v>
      </c>
      <c r="BD99" s="29">
        <f t="shared" ca="1" si="60"/>
        <v>2</v>
      </c>
      <c r="BE99" s="29">
        <f t="shared" ca="1" si="60"/>
        <v>3</v>
      </c>
      <c r="BF99" s="29">
        <f t="shared" ca="1" si="60"/>
        <v>0</v>
      </c>
      <c r="BG99" s="29">
        <f t="shared" ca="1" si="60"/>
        <v>3</v>
      </c>
      <c r="BH99" s="29">
        <f t="shared" ca="1" si="60"/>
        <v>3</v>
      </c>
      <c r="BI99" s="29">
        <f t="shared" ca="1" si="60"/>
        <v>4</v>
      </c>
      <c r="BJ99" s="29">
        <f t="shared" ca="1" si="60"/>
        <v>5</v>
      </c>
      <c r="BK99" s="29">
        <f t="shared" ca="1" si="60"/>
        <v>4</v>
      </c>
      <c r="BL99" s="29">
        <f t="shared" ca="1" si="59"/>
        <v>0</v>
      </c>
      <c r="BM99" s="29">
        <f t="shared" ca="1" si="59"/>
        <v>1</v>
      </c>
      <c r="BN99" s="29">
        <f t="shared" ca="1" si="59"/>
        <v>3</v>
      </c>
      <c r="BO99" s="29">
        <f t="shared" ca="1" si="59"/>
        <v>3</v>
      </c>
      <c r="BP99" s="29">
        <f t="shared" ca="1" si="59"/>
        <v>0</v>
      </c>
      <c r="BQ99" s="29">
        <f t="shared" ca="1" si="59"/>
        <v>5</v>
      </c>
      <c r="BR99" s="29">
        <f t="shared" ca="1" si="59"/>
        <v>1</v>
      </c>
      <c r="BS99" s="29">
        <f t="shared" ca="1" si="59"/>
        <v>1</v>
      </c>
      <c r="BT99" s="29">
        <f t="shared" ca="1" si="59"/>
        <v>2</v>
      </c>
      <c r="BU99" s="29">
        <f t="shared" ca="1" si="59"/>
        <v>3</v>
      </c>
      <c r="BV99" s="29">
        <f t="shared" ca="1" si="59"/>
        <v>3</v>
      </c>
      <c r="BW99" s="29">
        <f t="shared" ca="1" si="59"/>
        <v>3</v>
      </c>
      <c r="BX99" s="29">
        <f t="shared" ca="1" si="59"/>
        <v>4</v>
      </c>
      <c r="BY99" s="29">
        <f t="shared" ca="1" si="59"/>
        <v>2</v>
      </c>
      <c r="BZ99" s="29">
        <f t="shared" ca="1" si="59"/>
        <v>1</v>
      </c>
      <c r="CA99" s="29">
        <f t="shared" ca="1" si="62"/>
        <v>2</v>
      </c>
      <c r="CB99" s="29">
        <f t="shared" ca="1" si="62"/>
        <v>1</v>
      </c>
      <c r="CC99" s="29">
        <f t="shared" ca="1" si="62"/>
        <v>3</v>
      </c>
      <c r="CD99" s="29">
        <f t="shared" ca="1" si="62"/>
        <v>3</v>
      </c>
      <c r="CE99" s="29">
        <f t="shared" ca="1" si="62"/>
        <v>1</v>
      </c>
      <c r="CF99" s="29">
        <f t="shared" ca="1" si="62"/>
        <v>1</v>
      </c>
      <c r="CG99" s="29">
        <f t="shared" ca="1" si="62"/>
        <v>3</v>
      </c>
      <c r="CH99" s="29">
        <f t="shared" ca="1" si="62"/>
        <v>1</v>
      </c>
      <c r="CI99" s="29">
        <f t="shared" ca="1" si="62"/>
        <v>3</v>
      </c>
      <c r="CJ99" s="29">
        <f t="shared" ca="1" si="62"/>
        <v>3</v>
      </c>
      <c r="CK99" s="29">
        <f t="shared" ca="1" si="62"/>
        <v>2</v>
      </c>
      <c r="CL99" s="29">
        <f t="shared" ca="1" si="62"/>
        <v>2</v>
      </c>
      <c r="CM99" s="29">
        <f t="shared" ca="1" si="62"/>
        <v>0</v>
      </c>
      <c r="CN99" s="29">
        <f t="shared" ca="1" si="62"/>
        <v>1</v>
      </c>
      <c r="CO99" s="29">
        <f t="shared" ca="1" si="62"/>
        <v>0</v>
      </c>
      <c r="CP99" s="29">
        <f t="shared" ca="1" si="62"/>
        <v>2</v>
      </c>
      <c r="CQ99" s="29">
        <f t="shared" ca="1" si="61"/>
        <v>2</v>
      </c>
      <c r="CR99" s="29">
        <f t="shared" ca="1" si="61"/>
        <v>3</v>
      </c>
      <c r="CS99" s="29">
        <f t="shared" ca="1" si="61"/>
        <v>4</v>
      </c>
      <c r="CT99" s="29">
        <f t="shared" ca="1" si="61"/>
        <v>4</v>
      </c>
      <c r="CU99" s="29">
        <f t="shared" ca="1" si="61"/>
        <v>4</v>
      </c>
      <c r="CV99" s="29">
        <f t="shared" ca="1" si="61"/>
        <v>1</v>
      </c>
      <c r="CW99" s="29">
        <f t="shared" ca="1" si="38"/>
        <v>2</v>
      </c>
      <c r="CX99" s="29">
        <f t="shared" ca="1" si="63"/>
        <v>2</v>
      </c>
      <c r="CY99" s="29">
        <f t="shared" ca="1" si="63"/>
        <v>6</v>
      </c>
      <c r="CZ99" s="29">
        <f t="shared" ca="1" si="63"/>
        <v>1</v>
      </c>
      <c r="DA99" s="29">
        <f t="shared" ca="1" si="63"/>
        <v>2</v>
      </c>
      <c r="DB99" s="29">
        <f t="shared" ca="1" si="63"/>
        <v>2</v>
      </c>
      <c r="DC99" s="29">
        <f t="shared" ca="1" si="63"/>
        <v>2</v>
      </c>
      <c r="DD99" s="29">
        <f t="shared" ca="1" si="63"/>
        <v>2</v>
      </c>
      <c r="DE99" s="29">
        <f t="shared" ca="1" si="63"/>
        <v>1</v>
      </c>
      <c r="DF99" s="29">
        <f t="shared" ca="1" si="63"/>
        <v>1</v>
      </c>
      <c r="DG99" s="29">
        <f t="shared" ca="1" si="63"/>
        <v>1</v>
      </c>
      <c r="DH99" s="29">
        <f t="shared" ca="1" si="63"/>
        <v>2</v>
      </c>
      <c r="DI99" s="29">
        <f t="shared" ca="1" si="63"/>
        <v>3</v>
      </c>
      <c r="DJ99" s="29">
        <f t="shared" ca="1" si="63"/>
        <v>3</v>
      </c>
      <c r="DK99" s="29">
        <f t="shared" ca="1" si="63"/>
        <v>0</v>
      </c>
      <c r="DL99" s="29">
        <f t="shared" ca="1" si="63"/>
        <v>3</v>
      </c>
    </row>
    <row r="100" spans="1:116" ht="14.4" x14ac:dyDescent="0.3">
      <c r="A100" s="31">
        <v>217</v>
      </c>
      <c r="B100" s="28">
        <v>2.64</v>
      </c>
      <c r="C100" s="30">
        <v>89</v>
      </c>
      <c r="D100" s="28">
        <v>2.52</v>
      </c>
      <c r="E100" s="34">
        <f t="shared" si="43"/>
        <v>5.04E-2</v>
      </c>
      <c r="F100" s="35">
        <f t="shared" si="44"/>
        <v>22.25</v>
      </c>
      <c r="G100" s="34">
        <f t="shared" si="45"/>
        <v>63</v>
      </c>
      <c r="H100" s="33">
        <f t="shared" si="46"/>
        <v>15.435606060606061</v>
      </c>
      <c r="I100" s="28">
        <f t="shared" si="49"/>
        <v>207.92</v>
      </c>
      <c r="J100" s="32">
        <v>1</v>
      </c>
      <c r="K100" s="30">
        <f t="shared" si="47"/>
        <v>22.25</v>
      </c>
      <c r="L100" s="30"/>
      <c r="M100" s="30"/>
      <c r="N100" s="30"/>
      <c r="O100" s="30"/>
      <c r="Q100" s="29">
        <f t="shared" ca="1" si="48"/>
        <v>2</v>
      </c>
      <c r="R100" s="29">
        <f t="shared" ca="1" si="58"/>
        <v>4</v>
      </c>
      <c r="S100" s="29">
        <f t="shared" ca="1" si="58"/>
        <v>4</v>
      </c>
      <c r="T100" s="29">
        <f t="shared" ca="1" si="58"/>
        <v>2</v>
      </c>
      <c r="U100" s="29">
        <f t="shared" ca="1" si="58"/>
        <v>4</v>
      </c>
      <c r="V100" s="29">
        <f t="shared" ca="1" si="58"/>
        <v>2</v>
      </c>
      <c r="W100" s="29">
        <f t="shared" ca="1" si="58"/>
        <v>3</v>
      </c>
      <c r="X100" s="29">
        <f t="shared" ca="1" si="58"/>
        <v>4</v>
      </c>
      <c r="Y100" s="29">
        <f t="shared" ca="1" si="58"/>
        <v>2</v>
      </c>
      <c r="Z100" s="29">
        <f t="shared" ca="1" si="58"/>
        <v>7</v>
      </c>
      <c r="AA100" s="29">
        <f t="shared" ca="1" si="58"/>
        <v>4</v>
      </c>
      <c r="AB100" s="29">
        <f t="shared" ca="1" si="58"/>
        <v>2</v>
      </c>
      <c r="AC100" s="29">
        <f t="shared" ca="1" si="58"/>
        <v>4</v>
      </c>
      <c r="AD100" s="29">
        <f t="shared" ca="1" si="58"/>
        <v>3</v>
      </c>
      <c r="AE100" s="29">
        <f t="shared" ca="1" si="58"/>
        <v>3</v>
      </c>
      <c r="AF100" s="29">
        <f t="shared" ca="1" si="58"/>
        <v>1</v>
      </c>
      <c r="AG100" s="29">
        <f t="shared" ca="1" si="57"/>
        <v>0</v>
      </c>
      <c r="AH100" s="29">
        <f t="shared" ca="1" si="57"/>
        <v>8</v>
      </c>
      <c r="AI100" s="29">
        <f t="shared" ca="1" si="57"/>
        <v>1</v>
      </c>
      <c r="AJ100" s="29">
        <f t="shared" ca="1" si="57"/>
        <v>2</v>
      </c>
      <c r="AK100" s="29">
        <f t="shared" ca="1" si="57"/>
        <v>3</v>
      </c>
      <c r="AL100" s="29">
        <f t="shared" ca="1" si="57"/>
        <v>1</v>
      </c>
      <c r="AM100" s="29">
        <f t="shared" ca="1" si="57"/>
        <v>3</v>
      </c>
      <c r="AN100" s="29">
        <f t="shared" ca="1" si="57"/>
        <v>3</v>
      </c>
      <c r="AO100" s="29">
        <f t="shared" ca="1" si="57"/>
        <v>1</v>
      </c>
      <c r="AP100" s="29">
        <f t="shared" ca="1" si="57"/>
        <v>1</v>
      </c>
      <c r="AQ100" s="29">
        <f t="shared" ca="1" si="57"/>
        <v>4</v>
      </c>
      <c r="AR100" s="29">
        <f t="shared" ca="1" si="57"/>
        <v>1</v>
      </c>
      <c r="AS100" s="29">
        <f t="shared" ca="1" si="57"/>
        <v>3</v>
      </c>
      <c r="AT100" s="29">
        <f t="shared" ca="1" si="57"/>
        <v>2</v>
      </c>
      <c r="AU100" s="29">
        <f t="shared" ca="1" si="57"/>
        <v>5</v>
      </c>
      <c r="AV100" s="29">
        <f t="shared" ca="1" si="60"/>
        <v>2</v>
      </c>
      <c r="AW100" s="29">
        <f t="shared" ca="1" si="60"/>
        <v>4</v>
      </c>
      <c r="AX100" s="29">
        <f t="shared" ca="1" si="60"/>
        <v>3</v>
      </c>
      <c r="AY100" s="29">
        <f t="shared" ca="1" si="60"/>
        <v>1</v>
      </c>
      <c r="AZ100" s="29">
        <f t="shared" ca="1" si="60"/>
        <v>4</v>
      </c>
      <c r="BA100" s="29">
        <f t="shared" ca="1" si="60"/>
        <v>1</v>
      </c>
      <c r="BB100" s="29">
        <f t="shared" ca="1" si="60"/>
        <v>0</v>
      </c>
      <c r="BC100" s="29">
        <f t="shared" ca="1" si="60"/>
        <v>1</v>
      </c>
      <c r="BD100" s="29">
        <f t="shared" ca="1" si="60"/>
        <v>1</v>
      </c>
      <c r="BE100" s="29">
        <f t="shared" ca="1" si="60"/>
        <v>4</v>
      </c>
      <c r="BF100" s="29">
        <f t="shared" ca="1" si="60"/>
        <v>3</v>
      </c>
      <c r="BG100" s="29">
        <f t="shared" ca="1" si="60"/>
        <v>3</v>
      </c>
      <c r="BH100" s="29">
        <f t="shared" ca="1" si="60"/>
        <v>2</v>
      </c>
      <c r="BI100" s="29">
        <f t="shared" ca="1" si="60"/>
        <v>2</v>
      </c>
      <c r="BJ100" s="29">
        <f t="shared" ca="1" si="60"/>
        <v>3</v>
      </c>
      <c r="BK100" s="29">
        <f t="shared" ca="1" si="60"/>
        <v>3</v>
      </c>
      <c r="BL100" s="29">
        <f t="shared" ca="1" si="59"/>
        <v>4</v>
      </c>
      <c r="BM100" s="29">
        <f t="shared" ca="1" si="59"/>
        <v>0</v>
      </c>
      <c r="BN100" s="29">
        <f t="shared" ca="1" si="59"/>
        <v>1</v>
      </c>
      <c r="BO100" s="29">
        <f t="shared" ca="1" si="59"/>
        <v>2</v>
      </c>
      <c r="BP100" s="29">
        <f t="shared" ca="1" si="59"/>
        <v>3</v>
      </c>
      <c r="BQ100" s="29">
        <f t="shared" ca="1" si="59"/>
        <v>4</v>
      </c>
      <c r="BR100" s="29">
        <f t="shared" ca="1" si="59"/>
        <v>1</v>
      </c>
      <c r="BS100" s="29">
        <f t="shared" ca="1" si="59"/>
        <v>3</v>
      </c>
      <c r="BT100" s="29">
        <f t="shared" ca="1" si="59"/>
        <v>3</v>
      </c>
      <c r="BU100" s="29">
        <f t="shared" ca="1" si="59"/>
        <v>1</v>
      </c>
      <c r="BV100" s="29">
        <f t="shared" ca="1" si="59"/>
        <v>5</v>
      </c>
      <c r="BW100" s="29">
        <f t="shared" ca="1" si="59"/>
        <v>2</v>
      </c>
      <c r="BX100" s="29">
        <f t="shared" ca="1" si="59"/>
        <v>2</v>
      </c>
      <c r="BY100" s="29">
        <f t="shared" ca="1" si="59"/>
        <v>2</v>
      </c>
      <c r="BZ100" s="29">
        <f t="shared" ca="1" si="59"/>
        <v>1</v>
      </c>
      <c r="CA100" s="29">
        <f t="shared" ca="1" si="62"/>
        <v>5</v>
      </c>
      <c r="CB100" s="29">
        <f t="shared" ca="1" si="62"/>
        <v>0</v>
      </c>
      <c r="CC100" s="29">
        <f t="shared" ca="1" si="62"/>
        <v>7</v>
      </c>
      <c r="CD100" s="29">
        <f t="shared" ca="1" si="62"/>
        <v>2</v>
      </c>
      <c r="CE100" s="29">
        <f t="shared" ca="1" si="62"/>
        <v>2</v>
      </c>
      <c r="CF100" s="29">
        <f t="shared" ca="1" si="62"/>
        <v>2</v>
      </c>
      <c r="CG100" s="29">
        <f t="shared" ca="1" si="62"/>
        <v>5</v>
      </c>
      <c r="CH100" s="29">
        <f t="shared" ca="1" si="62"/>
        <v>2</v>
      </c>
      <c r="CI100" s="29">
        <f t="shared" ca="1" si="62"/>
        <v>4</v>
      </c>
      <c r="CJ100" s="29">
        <f t="shared" ca="1" si="62"/>
        <v>2</v>
      </c>
      <c r="CK100" s="29">
        <f t="shared" ca="1" si="62"/>
        <v>3</v>
      </c>
      <c r="CL100" s="29">
        <f t="shared" ca="1" si="62"/>
        <v>4</v>
      </c>
      <c r="CM100" s="29">
        <f t="shared" ca="1" si="62"/>
        <v>2</v>
      </c>
      <c r="CN100" s="29">
        <f t="shared" ca="1" si="62"/>
        <v>2</v>
      </c>
      <c r="CO100" s="29">
        <f t="shared" ca="1" si="62"/>
        <v>0</v>
      </c>
      <c r="CP100" s="29">
        <f t="shared" ca="1" si="62"/>
        <v>3</v>
      </c>
      <c r="CQ100" s="29">
        <f t="shared" ca="1" si="61"/>
        <v>2</v>
      </c>
      <c r="CR100" s="29">
        <f t="shared" ca="1" si="61"/>
        <v>2</v>
      </c>
      <c r="CS100" s="29">
        <f t="shared" ca="1" si="61"/>
        <v>0</v>
      </c>
      <c r="CT100" s="29">
        <f t="shared" ca="1" si="61"/>
        <v>5</v>
      </c>
      <c r="CU100" s="29">
        <f t="shared" ca="1" si="61"/>
        <v>2</v>
      </c>
      <c r="CV100" s="29">
        <f t="shared" ca="1" si="61"/>
        <v>2</v>
      </c>
      <c r="CW100" s="29">
        <f t="shared" ca="1" si="38"/>
        <v>2</v>
      </c>
      <c r="CX100" s="29">
        <f t="shared" ca="1" si="63"/>
        <v>2</v>
      </c>
      <c r="CY100" s="29">
        <f t="shared" ca="1" si="63"/>
        <v>3</v>
      </c>
      <c r="CZ100" s="29">
        <f t="shared" ca="1" si="63"/>
        <v>3</v>
      </c>
      <c r="DA100" s="29">
        <f t="shared" ca="1" si="63"/>
        <v>1</v>
      </c>
      <c r="DB100" s="29">
        <f t="shared" ca="1" si="63"/>
        <v>1</v>
      </c>
      <c r="DC100" s="29">
        <f t="shared" ca="1" si="63"/>
        <v>2</v>
      </c>
      <c r="DD100" s="29">
        <f t="shared" ca="1" si="63"/>
        <v>2</v>
      </c>
      <c r="DE100" s="29">
        <f t="shared" ca="1" si="63"/>
        <v>3</v>
      </c>
      <c r="DF100" s="29">
        <f t="shared" ca="1" si="63"/>
        <v>3</v>
      </c>
      <c r="DG100" s="29">
        <f t="shared" ca="1" si="63"/>
        <v>4</v>
      </c>
      <c r="DH100" s="29">
        <f t="shared" ca="1" si="63"/>
        <v>0</v>
      </c>
      <c r="DI100" s="29">
        <f t="shared" ca="1" si="63"/>
        <v>2</v>
      </c>
      <c r="DJ100" s="29">
        <f t="shared" ca="1" si="63"/>
        <v>3</v>
      </c>
      <c r="DK100" s="29">
        <f t="shared" ca="1" si="63"/>
        <v>3</v>
      </c>
      <c r="DL100" s="29">
        <f t="shared" ca="1" si="63"/>
        <v>3</v>
      </c>
    </row>
    <row r="101" spans="1:116" ht="14.4" x14ac:dyDescent="0.3">
      <c r="A101" s="31">
        <v>242</v>
      </c>
      <c r="B101" s="28">
        <v>3.53</v>
      </c>
      <c r="C101" s="30">
        <v>28.83</v>
      </c>
      <c r="D101" s="28">
        <v>2.46</v>
      </c>
      <c r="E101" s="34">
        <f t="shared" si="43"/>
        <v>4.9200000000000001E-2</v>
      </c>
      <c r="F101" s="35">
        <f t="shared" si="44"/>
        <v>7.2074999999999996</v>
      </c>
      <c r="G101" s="34">
        <f t="shared" si="45"/>
        <v>61.5</v>
      </c>
      <c r="H101" s="33">
        <f t="shared" si="46"/>
        <v>15.38031161473088</v>
      </c>
      <c r="I101" s="28">
        <f t="shared" si="49"/>
        <v>211.45</v>
      </c>
      <c r="J101" s="32">
        <v>1</v>
      </c>
      <c r="K101" s="30">
        <f t="shared" si="47"/>
        <v>7.2074999999999996</v>
      </c>
      <c r="L101" s="30"/>
      <c r="M101" s="30"/>
      <c r="N101" s="30"/>
      <c r="O101" s="30"/>
      <c r="Q101" s="29">
        <f t="shared" ca="1" si="48"/>
        <v>3</v>
      </c>
      <c r="R101" s="29">
        <f t="shared" ca="1" si="58"/>
        <v>4</v>
      </c>
      <c r="S101" s="29">
        <f t="shared" ca="1" si="58"/>
        <v>3</v>
      </c>
      <c r="T101" s="29">
        <f t="shared" ca="1" si="58"/>
        <v>5</v>
      </c>
      <c r="U101" s="29">
        <f t="shared" ca="1" si="58"/>
        <v>1</v>
      </c>
      <c r="V101" s="29">
        <f t="shared" ca="1" si="58"/>
        <v>2</v>
      </c>
      <c r="W101" s="29">
        <f t="shared" ca="1" si="58"/>
        <v>2</v>
      </c>
      <c r="X101" s="29">
        <f t="shared" ca="1" si="58"/>
        <v>2</v>
      </c>
      <c r="Y101" s="29">
        <f t="shared" ca="1" si="58"/>
        <v>3</v>
      </c>
      <c r="Z101" s="29">
        <f t="shared" ca="1" si="58"/>
        <v>5</v>
      </c>
      <c r="AA101" s="29">
        <f t="shared" ca="1" si="58"/>
        <v>2</v>
      </c>
      <c r="AB101" s="29">
        <f t="shared" ca="1" si="58"/>
        <v>2</v>
      </c>
      <c r="AC101" s="29">
        <f t="shared" ca="1" si="58"/>
        <v>3</v>
      </c>
      <c r="AD101" s="29">
        <f t="shared" ca="1" si="58"/>
        <v>1</v>
      </c>
      <c r="AE101" s="29">
        <f t="shared" ca="1" si="58"/>
        <v>3</v>
      </c>
      <c r="AF101" s="29">
        <f t="shared" ca="1" si="58"/>
        <v>4</v>
      </c>
      <c r="AG101" s="29">
        <f t="shared" ca="1" si="57"/>
        <v>6</v>
      </c>
      <c r="AH101" s="29">
        <f t="shared" ca="1" si="57"/>
        <v>2</v>
      </c>
      <c r="AI101" s="29">
        <f t="shared" ca="1" si="57"/>
        <v>3</v>
      </c>
      <c r="AJ101" s="29">
        <f t="shared" ca="1" si="57"/>
        <v>6</v>
      </c>
      <c r="AK101" s="29">
        <f t="shared" ca="1" si="57"/>
        <v>3</v>
      </c>
      <c r="AL101" s="29">
        <f t="shared" ca="1" si="57"/>
        <v>2</v>
      </c>
      <c r="AM101" s="29">
        <f t="shared" ca="1" si="57"/>
        <v>5</v>
      </c>
      <c r="AN101" s="29">
        <f t="shared" ca="1" si="57"/>
        <v>0</v>
      </c>
      <c r="AO101" s="29">
        <f t="shared" ca="1" si="57"/>
        <v>2</v>
      </c>
      <c r="AP101" s="29">
        <f t="shared" ca="1" si="57"/>
        <v>3</v>
      </c>
      <c r="AQ101" s="29">
        <f t="shared" ca="1" si="57"/>
        <v>1</v>
      </c>
      <c r="AR101" s="29">
        <f t="shared" ca="1" si="57"/>
        <v>1</v>
      </c>
      <c r="AS101" s="29">
        <f t="shared" ca="1" si="57"/>
        <v>0</v>
      </c>
      <c r="AT101" s="29">
        <f t="shared" ca="1" si="57"/>
        <v>3</v>
      </c>
      <c r="AU101" s="29">
        <f t="shared" ca="1" si="57"/>
        <v>1</v>
      </c>
      <c r="AV101" s="29">
        <f t="shared" ca="1" si="60"/>
        <v>2</v>
      </c>
      <c r="AW101" s="29">
        <f t="shared" ca="1" si="60"/>
        <v>3</v>
      </c>
      <c r="AX101" s="29">
        <f t="shared" ca="1" si="60"/>
        <v>1</v>
      </c>
      <c r="AY101" s="29">
        <f t="shared" ca="1" si="60"/>
        <v>2</v>
      </c>
      <c r="AZ101" s="29">
        <f t="shared" ca="1" si="60"/>
        <v>3</v>
      </c>
      <c r="BA101" s="29">
        <f t="shared" ca="1" si="60"/>
        <v>5</v>
      </c>
      <c r="BB101" s="29">
        <f t="shared" ca="1" si="60"/>
        <v>0</v>
      </c>
      <c r="BC101" s="29">
        <f t="shared" ca="1" si="60"/>
        <v>3</v>
      </c>
      <c r="BD101" s="29">
        <f t="shared" ca="1" si="60"/>
        <v>3</v>
      </c>
      <c r="BE101" s="29">
        <f t="shared" ca="1" si="60"/>
        <v>2</v>
      </c>
      <c r="BF101" s="29">
        <f t="shared" ca="1" si="60"/>
        <v>0</v>
      </c>
      <c r="BG101" s="29">
        <f t="shared" ca="1" si="60"/>
        <v>3</v>
      </c>
      <c r="BH101" s="29">
        <f t="shared" ca="1" si="60"/>
        <v>2</v>
      </c>
      <c r="BI101" s="29">
        <f t="shared" ca="1" si="60"/>
        <v>5</v>
      </c>
      <c r="BJ101" s="29">
        <f t="shared" ca="1" si="60"/>
        <v>1</v>
      </c>
      <c r="BK101" s="29">
        <f t="shared" ca="1" si="60"/>
        <v>3</v>
      </c>
      <c r="BL101" s="29">
        <f t="shared" ca="1" si="59"/>
        <v>2</v>
      </c>
      <c r="BM101" s="29">
        <f t="shared" ca="1" si="59"/>
        <v>2</v>
      </c>
      <c r="BN101" s="29">
        <f t="shared" ca="1" si="59"/>
        <v>0</v>
      </c>
      <c r="BO101" s="29">
        <f t="shared" ca="1" si="59"/>
        <v>3</v>
      </c>
      <c r="BP101" s="29">
        <f t="shared" ca="1" si="59"/>
        <v>0</v>
      </c>
      <c r="BQ101" s="29">
        <f t="shared" ca="1" si="59"/>
        <v>4</v>
      </c>
      <c r="BR101" s="29">
        <f t="shared" ca="1" si="59"/>
        <v>4</v>
      </c>
      <c r="BS101" s="29">
        <f t="shared" ca="1" si="59"/>
        <v>1</v>
      </c>
      <c r="BT101" s="29">
        <f t="shared" ca="1" si="59"/>
        <v>4</v>
      </c>
      <c r="BU101" s="29">
        <f t="shared" ca="1" si="59"/>
        <v>2</v>
      </c>
      <c r="BV101" s="29">
        <f t="shared" ca="1" si="59"/>
        <v>3</v>
      </c>
      <c r="BW101" s="29">
        <f t="shared" ca="1" si="59"/>
        <v>1</v>
      </c>
      <c r="BX101" s="29">
        <f t="shared" ca="1" si="59"/>
        <v>3</v>
      </c>
      <c r="BY101" s="29">
        <f t="shared" ca="1" si="59"/>
        <v>1</v>
      </c>
      <c r="BZ101" s="29">
        <f t="shared" ca="1" si="59"/>
        <v>2</v>
      </c>
      <c r="CA101" s="29">
        <f t="shared" ca="1" si="62"/>
        <v>1</v>
      </c>
      <c r="CB101" s="29">
        <f t="shared" ca="1" si="62"/>
        <v>2</v>
      </c>
      <c r="CC101" s="29">
        <f t="shared" ca="1" si="62"/>
        <v>2</v>
      </c>
      <c r="CD101" s="29">
        <f t="shared" ca="1" si="62"/>
        <v>4</v>
      </c>
      <c r="CE101" s="29">
        <f t="shared" ca="1" si="62"/>
        <v>4</v>
      </c>
      <c r="CF101" s="29">
        <f t="shared" ca="1" si="62"/>
        <v>2</v>
      </c>
      <c r="CG101" s="29">
        <f t="shared" ca="1" si="62"/>
        <v>5</v>
      </c>
      <c r="CH101" s="29">
        <f t="shared" ca="1" si="62"/>
        <v>3</v>
      </c>
      <c r="CI101" s="29">
        <f t="shared" ca="1" si="62"/>
        <v>0</v>
      </c>
      <c r="CJ101" s="29">
        <f t="shared" ca="1" si="62"/>
        <v>3</v>
      </c>
      <c r="CK101" s="29">
        <f t="shared" ca="1" si="62"/>
        <v>2</v>
      </c>
      <c r="CL101" s="29">
        <f t="shared" ca="1" si="62"/>
        <v>2</v>
      </c>
      <c r="CM101" s="29">
        <f t="shared" ca="1" si="62"/>
        <v>5</v>
      </c>
      <c r="CN101" s="29">
        <f t="shared" ca="1" si="62"/>
        <v>1</v>
      </c>
      <c r="CO101" s="29">
        <f t="shared" ca="1" si="62"/>
        <v>3</v>
      </c>
      <c r="CP101" s="29">
        <f t="shared" ca="1" si="62"/>
        <v>1</v>
      </c>
      <c r="CQ101" s="29">
        <f t="shared" ca="1" si="61"/>
        <v>3</v>
      </c>
      <c r="CR101" s="29">
        <f t="shared" ca="1" si="61"/>
        <v>2</v>
      </c>
      <c r="CS101" s="29">
        <f t="shared" ca="1" si="61"/>
        <v>4</v>
      </c>
      <c r="CT101" s="29">
        <f t="shared" ca="1" si="61"/>
        <v>5</v>
      </c>
      <c r="CU101" s="29">
        <f t="shared" ca="1" si="61"/>
        <v>2</v>
      </c>
      <c r="CV101" s="29">
        <f t="shared" ca="1" si="61"/>
        <v>1</v>
      </c>
      <c r="CW101" s="29">
        <f t="shared" ca="1" si="38"/>
        <v>3</v>
      </c>
      <c r="CX101" s="29">
        <f t="shared" ca="1" si="63"/>
        <v>1</v>
      </c>
      <c r="CY101" s="29">
        <f t="shared" ca="1" si="63"/>
        <v>6</v>
      </c>
      <c r="CZ101" s="29">
        <f t="shared" ca="1" si="63"/>
        <v>1</v>
      </c>
      <c r="DA101" s="29">
        <f t="shared" ca="1" si="63"/>
        <v>2</v>
      </c>
      <c r="DB101" s="29">
        <f t="shared" ca="1" si="63"/>
        <v>6</v>
      </c>
      <c r="DC101" s="29">
        <f t="shared" ca="1" si="63"/>
        <v>1</v>
      </c>
      <c r="DD101" s="29">
        <f t="shared" ca="1" si="63"/>
        <v>3</v>
      </c>
      <c r="DE101" s="29">
        <f t="shared" ca="1" si="63"/>
        <v>0</v>
      </c>
      <c r="DF101" s="29">
        <f t="shared" ca="1" si="63"/>
        <v>2</v>
      </c>
      <c r="DG101" s="29">
        <f t="shared" ca="1" si="63"/>
        <v>4</v>
      </c>
      <c r="DH101" s="29">
        <f t="shared" ca="1" si="63"/>
        <v>1</v>
      </c>
      <c r="DI101" s="29">
        <f t="shared" ca="1" si="63"/>
        <v>2</v>
      </c>
      <c r="DJ101" s="29">
        <f t="shared" ca="1" si="63"/>
        <v>1</v>
      </c>
      <c r="DK101" s="29">
        <f t="shared" ca="1" si="63"/>
        <v>3</v>
      </c>
      <c r="DL101" s="29">
        <f t="shared" ca="1" si="63"/>
        <v>2</v>
      </c>
    </row>
    <row r="102" spans="1:116" ht="14.4" x14ac:dyDescent="0.3">
      <c r="A102" s="31">
        <v>672</v>
      </c>
      <c r="B102" s="28">
        <v>2.54</v>
      </c>
      <c r="C102" s="30">
        <v>48.65</v>
      </c>
      <c r="D102" s="28">
        <v>2.04</v>
      </c>
      <c r="E102" s="34">
        <f t="shared" si="43"/>
        <v>4.0800000000000003E-2</v>
      </c>
      <c r="F102" s="35">
        <f t="shared" si="44"/>
        <v>12.1625</v>
      </c>
      <c r="G102" s="34">
        <f t="shared" si="45"/>
        <v>51</v>
      </c>
      <c r="H102" s="33">
        <f t="shared" si="46"/>
        <v>15.290354330708661</v>
      </c>
      <c r="I102" s="28">
        <f t="shared" si="49"/>
        <v>213.98999999999998</v>
      </c>
      <c r="J102" s="32">
        <v>1</v>
      </c>
      <c r="K102" s="30">
        <f t="shared" si="47"/>
        <v>12.1625</v>
      </c>
      <c r="L102" s="30"/>
      <c r="M102" s="30"/>
      <c r="N102" s="30"/>
      <c r="O102" s="30"/>
      <c r="Q102" s="29">
        <f t="shared" ca="1" si="48"/>
        <v>3</v>
      </c>
      <c r="R102" s="29">
        <f t="shared" ca="1" si="58"/>
        <v>3</v>
      </c>
      <c r="S102" s="29">
        <f t="shared" ca="1" si="58"/>
        <v>2</v>
      </c>
      <c r="T102" s="29">
        <f t="shared" ca="1" si="58"/>
        <v>0</v>
      </c>
      <c r="U102" s="29">
        <f t="shared" ca="1" si="58"/>
        <v>1</v>
      </c>
      <c r="V102" s="29">
        <f t="shared" ca="1" si="58"/>
        <v>1</v>
      </c>
      <c r="W102" s="29">
        <f t="shared" ca="1" si="58"/>
        <v>2</v>
      </c>
      <c r="X102" s="29">
        <f t="shared" ca="1" si="58"/>
        <v>4</v>
      </c>
      <c r="Y102" s="29">
        <f t="shared" ca="1" si="58"/>
        <v>3</v>
      </c>
      <c r="Z102" s="29">
        <f t="shared" ca="1" si="58"/>
        <v>0</v>
      </c>
      <c r="AA102" s="29">
        <f t="shared" ca="1" si="58"/>
        <v>1</v>
      </c>
      <c r="AB102" s="29">
        <f t="shared" ca="1" si="58"/>
        <v>4</v>
      </c>
      <c r="AC102" s="29">
        <f t="shared" ca="1" si="58"/>
        <v>0</v>
      </c>
      <c r="AD102" s="29">
        <f t="shared" ca="1" si="58"/>
        <v>3</v>
      </c>
      <c r="AE102" s="29">
        <f t="shared" ca="1" si="58"/>
        <v>2</v>
      </c>
      <c r="AF102" s="29">
        <f t="shared" ca="1" si="58"/>
        <v>2</v>
      </c>
      <c r="AG102" s="29">
        <f t="shared" ca="1" si="57"/>
        <v>1</v>
      </c>
      <c r="AH102" s="29">
        <f t="shared" ca="1" si="57"/>
        <v>0</v>
      </c>
      <c r="AI102" s="29">
        <f t="shared" ca="1" si="57"/>
        <v>1</v>
      </c>
      <c r="AJ102" s="29">
        <f t="shared" ca="1" si="57"/>
        <v>2</v>
      </c>
      <c r="AK102" s="29">
        <f t="shared" ca="1" si="57"/>
        <v>6</v>
      </c>
      <c r="AL102" s="29">
        <f t="shared" ca="1" si="57"/>
        <v>3</v>
      </c>
      <c r="AM102" s="29">
        <f t="shared" ca="1" si="57"/>
        <v>7</v>
      </c>
      <c r="AN102" s="29">
        <f t="shared" ca="1" si="57"/>
        <v>1</v>
      </c>
      <c r="AO102" s="29">
        <f t="shared" ca="1" si="57"/>
        <v>1</v>
      </c>
      <c r="AP102" s="29">
        <f t="shared" ca="1" si="57"/>
        <v>0</v>
      </c>
      <c r="AQ102" s="29">
        <f t="shared" ca="1" si="57"/>
        <v>1</v>
      </c>
      <c r="AR102" s="29">
        <f t="shared" ca="1" si="57"/>
        <v>3</v>
      </c>
      <c r="AS102" s="29">
        <f t="shared" ca="1" si="57"/>
        <v>2</v>
      </c>
      <c r="AT102" s="29">
        <f t="shared" ca="1" si="57"/>
        <v>1</v>
      </c>
      <c r="AU102" s="29">
        <f t="shared" ca="1" si="57"/>
        <v>3</v>
      </c>
      <c r="AV102" s="29">
        <f t="shared" ca="1" si="60"/>
        <v>0</v>
      </c>
      <c r="AW102" s="29">
        <f t="shared" ca="1" si="60"/>
        <v>5</v>
      </c>
      <c r="AX102" s="29">
        <f t="shared" ca="1" si="60"/>
        <v>1</v>
      </c>
      <c r="AY102" s="29">
        <f t="shared" ca="1" si="60"/>
        <v>2</v>
      </c>
      <c r="AZ102" s="29">
        <f t="shared" ca="1" si="60"/>
        <v>4</v>
      </c>
      <c r="BA102" s="29">
        <f t="shared" ca="1" si="60"/>
        <v>4</v>
      </c>
      <c r="BB102" s="29">
        <f t="shared" ca="1" si="60"/>
        <v>3</v>
      </c>
      <c r="BC102" s="29">
        <f t="shared" ca="1" si="60"/>
        <v>2</v>
      </c>
      <c r="BD102" s="29">
        <f t="shared" ca="1" si="60"/>
        <v>2</v>
      </c>
      <c r="BE102" s="29">
        <f t="shared" ca="1" si="60"/>
        <v>4</v>
      </c>
      <c r="BF102" s="29">
        <f t="shared" ca="1" si="60"/>
        <v>2</v>
      </c>
      <c r="BG102" s="29">
        <f t="shared" ca="1" si="60"/>
        <v>2</v>
      </c>
      <c r="BH102" s="29">
        <f t="shared" ca="1" si="60"/>
        <v>1</v>
      </c>
      <c r="BI102" s="29">
        <f t="shared" ca="1" si="60"/>
        <v>1</v>
      </c>
      <c r="BJ102" s="29">
        <f t="shared" ca="1" si="60"/>
        <v>1</v>
      </c>
      <c r="BK102" s="29">
        <f t="shared" ca="1" si="60"/>
        <v>2</v>
      </c>
      <c r="BL102" s="29">
        <f t="shared" ca="1" si="59"/>
        <v>6</v>
      </c>
      <c r="BM102" s="29">
        <f t="shared" ca="1" si="59"/>
        <v>1</v>
      </c>
      <c r="BN102" s="29">
        <f t="shared" ca="1" si="59"/>
        <v>0</v>
      </c>
      <c r="BO102" s="29">
        <f t="shared" ca="1" si="59"/>
        <v>1</v>
      </c>
      <c r="BP102" s="29">
        <f t="shared" ca="1" si="59"/>
        <v>4</v>
      </c>
      <c r="BQ102" s="29">
        <f t="shared" ca="1" si="59"/>
        <v>0</v>
      </c>
      <c r="BR102" s="29">
        <f t="shared" ca="1" si="59"/>
        <v>2</v>
      </c>
      <c r="BS102" s="29">
        <f t="shared" ca="1" si="59"/>
        <v>4</v>
      </c>
      <c r="BT102" s="29">
        <f t="shared" ca="1" si="59"/>
        <v>3</v>
      </c>
      <c r="BU102" s="29">
        <f t="shared" ca="1" si="59"/>
        <v>3</v>
      </c>
      <c r="BV102" s="29">
        <f t="shared" ca="1" si="59"/>
        <v>1</v>
      </c>
      <c r="BW102" s="29">
        <f t="shared" ca="1" si="59"/>
        <v>3</v>
      </c>
      <c r="BX102" s="29">
        <f t="shared" ca="1" si="59"/>
        <v>0</v>
      </c>
      <c r="BY102" s="29">
        <f t="shared" ca="1" si="59"/>
        <v>3</v>
      </c>
      <c r="BZ102" s="29">
        <f t="shared" ca="1" si="59"/>
        <v>1</v>
      </c>
      <c r="CA102" s="29">
        <f t="shared" ca="1" si="62"/>
        <v>3</v>
      </c>
      <c r="CB102" s="29">
        <f t="shared" ca="1" si="62"/>
        <v>1</v>
      </c>
      <c r="CC102" s="29">
        <f t="shared" ca="1" si="62"/>
        <v>2</v>
      </c>
      <c r="CD102" s="29">
        <f t="shared" ca="1" si="62"/>
        <v>2</v>
      </c>
      <c r="CE102" s="29">
        <f t="shared" ca="1" si="62"/>
        <v>3</v>
      </c>
      <c r="CF102" s="29">
        <f t="shared" ca="1" si="62"/>
        <v>2</v>
      </c>
      <c r="CG102" s="29">
        <f t="shared" ca="1" si="62"/>
        <v>0</v>
      </c>
      <c r="CH102" s="29">
        <f t="shared" ca="1" si="62"/>
        <v>2</v>
      </c>
      <c r="CI102" s="29">
        <f t="shared" ca="1" si="62"/>
        <v>3</v>
      </c>
      <c r="CJ102" s="29">
        <f t="shared" ca="1" si="62"/>
        <v>2</v>
      </c>
      <c r="CK102" s="29">
        <f t="shared" ca="1" si="62"/>
        <v>0</v>
      </c>
      <c r="CL102" s="29">
        <f t="shared" ca="1" si="62"/>
        <v>4</v>
      </c>
      <c r="CM102" s="29">
        <f t="shared" ca="1" si="62"/>
        <v>3</v>
      </c>
      <c r="CN102" s="29">
        <f t="shared" ca="1" si="62"/>
        <v>3</v>
      </c>
      <c r="CO102" s="29">
        <f t="shared" ca="1" si="62"/>
        <v>3</v>
      </c>
      <c r="CP102" s="29">
        <f t="shared" ca="1" si="62"/>
        <v>2</v>
      </c>
      <c r="CQ102" s="29">
        <f t="shared" ca="1" si="61"/>
        <v>5</v>
      </c>
      <c r="CR102" s="29">
        <f t="shared" ca="1" si="61"/>
        <v>3</v>
      </c>
      <c r="CS102" s="29">
        <f t="shared" ca="1" si="61"/>
        <v>3</v>
      </c>
      <c r="CT102" s="29">
        <f t="shared" ca="1" si="61"/>
        <v>2</v>
      </c>
      <c r="CU102" s="29">
        <f t="shared" ca="1" si="61"/>
        <v>0</v>
      </c>
      <c r="CV102" s="29">
        <f t="shared" ca="1" si="61"/>
        <v>2</v>
      </c>
      <c r="CW102" s="29">
        <f t="shared" ca="1" si="38"/>
        <v>1</v>
      </c>
      <c r="CX102" s="29">
        <f t="shared" ca="1" si="63"/>
        <v>0</v>
      </c>
      <c r="CY102" s="29">
        <f t="shared" ca="1" si="63"/>
        <v>0</v>
      </c>
      <c r="CZ102" s="29">
        <f t="shared" ca="1" si="63"/>
        <v>0</v>
      </c>
      <c r="DA102" s="29">
        <f t="shared" ca="1" si="63"/>
        <v>1</v>
      </c>
      <c r="DB102" s="29">
        <f t="shared" ca="1" si="63"/>
        <v>3</v>
      </c>
      <c r="DC102" s="29">
        <f t="shared" ca="1" si="63"/>
        <v>3</v>
      </c>
      <c r="DD102" s="29">
        <f t="shared" ca="1" si="63"/>
        <v>2</v>
      </c>
      <c r="DE102" s="29">
        <f t="shared" ca="1" si="63"/>
        <v>0</v>
      </c>
      <c r="DF102" s="29">
        <f t="shared" ca="1" si="63"/>
        <v>2</v>
      </c>
      <c r="DG102" s="29">
        <f t="shared" ca="1" si="63"/>
        <v>2</v>
      </c>
      <c r="DH102" s="29">
        <f t="shared" ca="1" si="63"/>
        <v>2</v>
      </c>
      <c r="DI102" s="29">
        <f t="shared" ca="1" si="63"/>
        <v>2</v>
      </c>
      <c r="DJ102" s="29">
        <f t="shared" ca="1" si="63"/>
        <v>1</v>
      </c>
      <c r="DK102" s="29">
        <f t="shared" ca="1" si="63"/>
        <v>3</v>
      </c>
      <c r="DL102" s="29">
        <f t="shared" ca="1" si="63"/>
        <v>3</v>
      </c>
    </row>
    <row r="103" spans="1:116" ht="14.4" x14ac:dyDescent="0.3">
      <c r="A103" s="31">
        <v>1086</v>
      </c>
      <c r="B103" s="28">
        <v>3.65</v>
      </c>
      <c r="C103" s="30">
        <v>34.619999999999997</v>
      </c>
      <c r="D103" s="28">
        <v>2.5299999999999998</v>
      </c>
      <c r="E103" s="34">
        <f t="shared" si="43"/>
        <v>5.0599999999999999E-2</v>
      </c>
      <c r="F103" s="35">
        <f t="shared" si="44"/>
        <v>8.6549999999999994</v>
      </c>
      <c r="G103" s="34">
        <f t="shared" si="45"/>
        <v>63.249999999999993</v>
      </c>
      <c r="H103" s="33">
        <f t="shared" si="46"/>
        <v>14.95753424657534</v>
      </c>
      <c r="I103" s="28">
        <f t="shared" si="49"/>
        <v>217.64</v>
      </c>
      <c r="J103" s="32">
        <v>1</v>
      </c>
      <c r="K103" s="30">
        <f t="shared" si="47"/>
        <v>8.6549999999999994</v>
      </c>
      <c r="L103" s="30"/>
      <c r="M103" s="30"/>
      <c r="N103" s="30"/>
      <c r="O103" s="30"/>
      <c r="Q103" s="29">
        <f t="shared" ca="1" si="48"/>
        <v>4</v>
      </c>
      <c r="R103" s="29">
        <f t="shared" ca="1" si="58"/>
        <v>7</v>
      </c>
      <c r="S103" s="29">
        <f t="shared" ca="1" si="58"/>
        <v>2</v>
      </c>
      <c r="T103" s="29">
        <f t="shared" ca="1" si="58"/>
        <v>3</v>
      </c>
      <c r="U103" s="29">
        <f t="shared" ca="1" si="58"/>
        <v>0</v>
      </c>
      <c r="V103" s="29">
        <f t="shared" ca="1" si="58"/>
        <v>4</v>
      </c>
      <c r="W103" s="29">
        <f t="shared" ca="1" si="58"/>
        <v>1</v>
      </c>
      <c r="X103" s="29">
        <f t="shared" ca="1" si="58"/>
        <v>2</v>
      </c>
      <c r="Y103" s="29">
        <f t="shared" ca="1" si="58"/>
        <v>2</v>
      </c>
      <c r="Z103" s="29">
        <f t="shared" ca="1" si="58"/>
        <v>0</v>
      </c>
      <c r="AA103" s="29">
        <f t="shared" ca="1" si="58"/>
        <v>0</v>
      </c>
      <c r="AB103" s="29">
        <f t="shared" ca="1" si="58"/>
        <v>5</v>
      </c>
      <c r="AC103" s="29">
        <f t="shared" ca="1" si="58"/>
        <v>2</v>
      </c>
      <c r="AD103" s="29">
        <f t="shared" ca="1" si="58"/>
        <v>4</v>
      </c>
      <c r="AE103" s="29">
        <f t="shared" ca="1" si="58"/>
        <v>5</v>
      </c>
      <c r="AF103" s="29">
        <f t="shared" ca="1" si="58"/>
        <v>1</v>
      </c>
      <c r="AG103" s="29">
        <f t="shared" ca="1" si="57"/>
        <v>3</v>
      </c>
      <c r="AH103" s="29">
        <f t="shared" ca="1" si="57"/>
        <v>1</v>
      </c>
      <c r="AI103" s="29">
        <f t="shared" ca="1" si="57"/>
        <v>3</v>
      </c>
      <c r="AJ103" s="29">
        <f t="shared" ca="1" si="57"/>
        <v>1</v>
      </c>
      <c r="AK103" s="29">
        <f t="shared" ca="1" si="57"/>
        <v>3</v>
      </c>
      <c r="AL103" s="29">
        <f t="shared" ca="1" si="57"/>
        <v>5</v>
      </c>
      <c r="AM103" s="29">
        <f t="shared" ca="1" si="57"/>
        <v>3</v>
      </c>
      <c r="AN103" s="29">
        <f t="shared" ca="1" si="57"/>
        <v>2</v>
      </c>
      <c r="AO103" s="29">
        <f t="shared" ca="1" si="57"/>
        <v>2</v>
      </c>
      <c r="AP103" s="29">
        <f t="shared" ca="1" si="57"/>
        <v>0</v>
      </c>
      <c r="AQ103" s="29">
        <f t="shared" ca="1" si="57"/>
        <v>1</v>
      </c>
      <c r="AR103" s="29">
        <f t="shared" ca="1" si="57"/>
        <v>5</v>
      </c>
      <c r="AS103" s="29">
        <f t="shared" ca="1" si="57"/>
        <v>4</v>
      </c>
      <c r="AT103" s="29">
        <f t="shared" ca="1" si="57"/>
        <v>1</v>
      </c>
      <c r="AU103" s="29">
        <f t="shared" ca="1" si="57"/>
        <v>4</v>
      </c>
      <c r="AV103" s="29">
        <f t="shared" ca="1" si="60"/>
        <v>1</v>
      </c>
      <c r="AW103" s="29">
        <f t="shared" ca="1" si="60"/>
        <v>1</v>
      </c>
      <c r="AX103" s="29">
        <f t="shared" ca="1" si="60"/>
        <v>5</v>
      </c>
      <c r="AY103" s="29">
        <f t="shared" ca="1" si="60"/>
        <v>1</v>
      </c>
      <c r="AZ103" s="29">
        <f t="shared" ca="1" si="60"/>
        <v>2</v>
      </c>
      <c r="BA103" s="29">
        <f t="shared" ca="1" si="60"/>
        <v>1</v>
      </c>
      <c r="BB103" s="29">
        <f t="shared" ca="1" si="60"/>
        <v>7</v>
      </c>
      <c r="BC103" s="29">
        <f t="shared" ca="1" si="60"/>
        <v>4</v>
      </c>
      <c r="BD103" s="29">
        <f t="shared" ca="1" si="60"/>
        <v>8</v>
      </c>
      <c r="BE103" s="29">
        <f t="shared" ca="1" si="60"/>
        <v>4</v>
      </c>
      <c r="BF103" s="29">
        <f t="shared" ca="1" si="60"/>
        <v>7</v>
      </c>
      <c r="BG103" s="29">
        <f t="shared" ca="1" si="60"/>
        <v>3</v>
      </c>
      <c r="BH103" s="29">
        <f t="shared" ca="1" si="60"/>
        <v>5</v>
      </c>
      <c r="BI103" s="29">
        <f t="shared" ca="1" si="60"/>
        <v>2</v>
      </c>
      <c r="BJ103" s="29">
        <f t="shared" ca="1" si="60"/>
        <v>3</v>
      </c>
      <c r="BK103" s="29">
        <f t="shared" ca="1" si="60"/>
        <v>3</v>
      </c>
      <c r="BL103" s="29">
        <f t="shared" ca="1" si="59"/>
        <v>1</v>
      </c>
      <c r="BM103" s="29">
        <f t="shared" ca="1" si="59"/>
        <v>2</v>
      </c>
      <c r="BN103" s="29">
        <f t="shared" ca="1" si="59"/>
        <v>1</v>
      </c>
      <c r="BO103" s="29">
        <f t="shared" ca="1" si="59"/>
        <v>1</v>
      </c>
      <c r="BP103" s="29">
        <f t="shared" ca="1" si="59"/>
        <v>3</v>
      </c>
      <c r="BQ103" s="29">
        <f t="shared" ca="1" si="59"/>
        <v>2</v>
      </c>
      <c r="BR103" s="29">
        <f t="shared" ca="1" si="59"/>
        <v>3</v>
      </c>
      <c r="BS103" s="29">
        <f t="shared" ca="1" si="59"/>
        <v>2</v>
      </c>
      <c r="BT103" s="29">
        <f t="shared" ca="1" si="59"/>
        <v>1</v>
      </c>
      <c r="BU103" s="29">
        <f t="shared" ca="1" si="59"/>
        <v>0</v>
      </c>
      <c r="BV103" s="29">
        <f t="shared" ca="1" si="59"/>
        <v>3</v>
      </c>
      <c r="BW103" s="29">
        <f t="shared" ca="1" si="59"/>
        <v>1</v>
      </c>
      <c r="BX103" s="29">
        <f t="shared" ca="1" si="59"/>
        <v>6</v>
      </c>
      <c r="BY103" s="29">
        <f t="shared" ca="1" si="59"/>
        <v>1</v>
      </c>
      <c r="BZ103" s="29">
        <f t="shared" ca="1" si="59"/>
        <v>2</v>
      </c>
      <c r="CA103" s="29">
        <f t="shared" ca="1" si="62"/>
        <v>2</v>
      </c>
      <c r="CB103" s="29">
        <f t="shared" ca="1" si="62"/>
        <v>4</v>
      </c>
      <c r="CC103" s="29">
        <f t="shared" ca="1" si="62"/>
        <v>3</v>
      </c>
      <c r="CD103" s="29">
        <f t="shared" ca="1" si="62"/>
        <v>5</v>
      </c>
      <c r="CE103" s="29">
        <f t="shared" ca="1" si="62"/>
        <v>4</v>
      </c>
      <c r="CF103" s="29">
        <f t="shared" ca="1" si="62"/>
        <v>1</v>
      </c>
      <c r="CG103" s="29">
        <f t="shared" ca="1" si="62"/>
        <v>4</v>
      </c>
      <c r="CH103" s="29">
        <f t="shared" ca="1" si="62"/>
        <v>1</v>
      </c>
      <c r="CI103" s="29">
        <f t="shared" ca="1" si="62"/>
        <v>2</v>
      </c>
      <c r="CJ103" s="29">
        <f t="shared" ca="1" si="62"/>
        <v>4</v>
      </c>
      <c r="CK103" s="29">
        <f t="shared" ca="1" si="62"/>
        <v>2</v>
      </c>
      <c r="CL103" s="29">
        <f t="shared" ca="1" si="62"/>
        <v>1</v>
      </c>
      <c r="CM103" s="29">
        <f t="shared" ca="1" si="62"/>
        <v>4</v>
      </c>
      <c r="CN103" s="29">
        <f t="shared" ca="1" si="62"/>
        <v>0</v>
      </c>
      <c r="CO103" s="29">
        <f t="shared" ca="1" si="62"/>
        <v>2</v>
      </c>
      <c r="CP103" s="29">
        <f t="shared" ca="1" si="62"/>
        <v>5</v>
      </c>
      <c r="CQ103" s="29">
        <f t="shared" ca="1" si="61"/>
        <v>2</v>
      </c>
      <c r="CR103" s="29">
        <f t="shared" ca="1" si="61"/>
        <v>2</v>
      </c>
      <c r="CS103" s="29">
        <f t="shared" ca="1" si="61"/>
        <v>0</v>
      </c>
      <c r="CT103" s="29">
        <f t="shared" ca="1" si="61"/>
        <v>2</v>
      </c>
      <c r="CU103" s="29">
        <f t="shared" ca="1" si="61"/>
        <v>0</v>
      </c>
      <c r="CV103" s="29">
        <f t="shared" ca="1" si="61"/>
        <v>3</v>
      </c>
      <c r="CW103" s="29">
        <f t="shared" ca="1" si="38"/>
        <v>3</v>
      </c>
      <c r="CX103" s="29">
        <f t="shared" ca="1" si="63"/>
        <v>4</v>
      </c>
      <c r="CY103" s="29">
        <f t="shared" ca="1" si="63"/>
        <v>2</v>
      </c>
      <c r="CZ103" s="29">
        <f t="shared" ca="1" si="63"/>
        <v>3</v>
      </c>
      <c r="DA103" s="29">
        <f t="shared" ca="1" si="63"/>
        <v>2</v>
      </c>
      <c r="DB103" s="29">
        <f t="shared" ca="1" si="63"/>
        <v>4</v>
      </c>
      <c r="DC103" s="29">
        <f t="shared" ca="1" si="63"/>
        <v>2</v>
      </c>
      <c r="DD103" s="29">
        <f t="shared" ca="1" si="63"/>
        <v>4</v>
      </c>
      <c r="DE103" s="29">
        <f t="shared" ca="1" si="63"/>
        <v>3</v>
      </c>
      <c r="DF103" s="29">
        <f t="shared" ca="1" si="63"/>
        <v>2</v>
      </c>
      <c r="DG103" s="29">
        <f t="shared" ca="1" si="63"/>
        <v>1</v>
      </c>
      <c r="DH103" s="29">
        <f t="shared" ca="1" si="63"/>
        <v>4</v>
      </c>
      <c r="DI103" s="29">
        <f t="shared" ca="1" si="63"/>
        <v>5</v>
      </c>
      <c r="DJ103" s="29">
        <f t="shared" ca="1" si="63"/>
        <v>3</v>
      </c>
      <c r="DK103" s="29">
        <f t="shared" ca="1" si="63"/>
        <v>2</v>
      </c>
      <c r="DL103" s="29">
        <f t="shared" ca="1" si="63"/>
        <v>3</v>
      </c>
    </row>
    <row r="104" spans="1:116" ht="14.4" x14ac:dyDescent="0.3">
      <c r="A104" s="31">
        <v>230</v>
      </c>
      <c r="B104" s="28">
        <v>2.5299999999999998</v>
      </c>
      <c r="C104" s="30">
        <v>66.489999999999995</v>
      </c>
      <c r="D104" s="28">
        <v>2.17</v>
      </c>
      <c r="E104" s="34">
        <f t="shared" si="43"/>
        <v>4.3400000000000001E-2</v>
      </c>
      <c r="F104" s="35">
        <f t="shared" si="44"/>
        <v>16.622499999999999</v>
      </c>
      <c r="G104" s="34">
        <f t="shared" si="45"/>
        <v>54.25</v>
      </c>
      <c r="H104" s="33">
        <f t="shared" si="46"/>
        <v>14.872529644268775</v>
      </c>
      <c r="I104" s="28">
        <f t="shared" si="49"/>
        <v>220.17</v>
      </c>
      <c r="J104" s="32">
        <v>1</v>
      </c>
      <c r="K104" s="30">
        <f t="shared" si="47"/>
        <v>16.622499999999999</v>
      </c>
      <c r="L104" s="30"/>
      <c r="M104" s="30"/>
      <c r="N104" s="30"/>
      <c r="O104" s="30"/>
      <c r="Q104" s="29">
        <f t="shared" ca="1" si="48"/>
        <v>1</v>
      </c>
      <c r="R104" s="29">
        <f t="shared" ca="1" si="58"/>
        <v>2</v>
      </c>
      <c r="S104" s="29">
        <f t="shared" ca="1" si="58"/>
        <v>1</v>
      </c>
      <c r="T104" s="29">
        <f t="shared" ca="1" si="58"/>
        <v>1</v>
      </c>
      <c r="U104" s="29">
        <f t="shared" ca="1" si="58"/>
        <v>2</v>
      </c>
      <c r="V104" s="29">
        <f t="shared" ca="1" si="58"/>
        <v>3</v>
      </c>
      <c r="W104" s="29">
        <f t="shared" ca="1" si="58"/>
        <v>3</v>
      </c>
      <c r="X104" s="29">
        <f t="shared" ca="1" si="58"/>
        <v>5</v>
      </c>
      <c r="Y104" s="29">
        <f t="shared" ca="1" si="58"/>
        <v>2</v>
      </c>
      <c r="Z104" s="29">
        <f t="shared" ca="1" si="58"/>
        <v>2</v>
      </c>
      <c r="AA104" s="29">
        <f t="shared" ca="1" si="58"/>
        <v>2</v>
      </c>
      <c r="AB104" s="29">
        <f t="shared" ca="1" si="58"/>
        <v>2</v>
      </c>
      <c r="AC104" s="29">
        <f t="shared" ca="1" si="58"/>
        <v>0</v>
      </c>
      <c r="AD104" s="29">
        <f t="shared" ca="1" si="58"/>
        <v>1</v>
      </c>
      <c r="AE104" s="29">
        <f t="shared" ca="1" si="58"/>
        <v>5</v>
      </c>
      <c r="AF104" s="29">
        <f t="shared" ca="1" si="58"/>
        <v>3</v>
      </c>
      <c r="AG104" s="29">
        <f t="shared" ca="1" si="57"/>
        <v>3</v>
      </c>
      <c r="AH104" s="29">
        <f t="shared" ca="1" si="57"/>
        <v>1</v>
      </c>
      <c r="AI104" s="29">
        <f t="shared" ca="1" si="57"/>
        <v>0</v>
      </c>
      <c r="AJ104" s="29">
        <f t="shared" ca="1" si="57"/>
        <v>0</v>
      </c>
      <c r="AK104" s="29">
        <f t="shared" ca="1" si="57"/>
        <v>1</v>
      </c>
      <c r="AL104" s="29">
        <f t="shared" ca="1" si="57"/>
        <v>1</v>
      </c>
      <c r="AM104" s="29">
        <f t="shared" ca="1" si="57"/>
        <v>4</v>
      </c>
      <c r="AN104" s="29">
        <f t="shared" ca="1" si="57"/>
        <v>3</v>
      </c>
      <c r="AO104" s="29">
        <f t="shared" ca="1" si="57"/>
        <v>0</v>
      </c>
      <c r="AP104" s="29">
        <f t="shared" ca="1" si="57"/>
        <v>4</v>
      </c>
      <c r="AQ104" s="29">
        <f t="shared" ca="1" si="57"/>
        <v>4</v>
      </c>
      <c r="AR104" s="29">
        <f t="shared" ca="1" si="57"/>
        <v>2</v>
      </c>
      <c r="AS104" s="29">
        <f t="shared" ca="1" si="57"/>
        <v>4</v>
      </c>
      <c r="AT104" s="29">
        <f t="shared" ca="1" si="57"/>
        <v>2</v>
      </c>
      <c r="AU104" s="29">
        <f t="shared" ca="1" si="57"/>
        <v>1</v>
      </c>
      <c r="AV104" s="29">
        <f t="shared" ca="1" si="60"/>
        <v>3</v>
      </c>
      <c r="AW104" s="29">
        <f t="shared" ca="1" si="60"/>
        <v>6</v>
      </c>
      <c r="AX104" s="29">
        <f t="shared" ca="1" si="60"/>
        <v>4</v>
      </c>
      <c r="AY104" s="29">
        <f t="shared" ca="1" si="60"/>
        <v>0</v>
      </c>
      <c r="AZ104" s="29">
        <f t="shared" ca="1" si="60"/>
        <v>1</v>
      </c>
      <c r="BA104" s="29">
        <f t="shared" ca="1" si="60"/>
        <v>2</v>
      </c>
      <c r="BB104" s="29">
        <f t="shared" ca="1" si="60"/>
        <v>1</v>
      </c>
      <c r="BC104" s="29">
        <f t="shared" ca="1" si="60"/>
        <v>2</v>
      </c>
      <c r="BD104" s="29">
        <f t="shared" ca="1" si="60"/>
        <v>2</v>
      </c>
      <c r="BE104" s="29">
        <f t="shared" ca="1" si="60"/>
        <v>1</v>
      </c>
      <c r="BF104" s="29">
        <f t="shared" ca="1" si="60"/>
        <v>3</v>
      </c>
      <c r="BG104" s="29">
        <f t="shared" ca="1" si="60"/>
        <v>4</v>
      </c>
      <c r="BH104" s="29">
        <f t="shared" ca="1" si="60"/>
        <v>0</v>
      </c>
      <c r="BI104" s="29">
        <f t="shared" ca="1" si="60"/>
        <v>3</v>
      </c>
      <c r="BJ104" s="29">
        <f t="shared" ca="1" si="60"/>
        <v>3</v>
      </c>
      <c r="BK104" s="29">
        <f t="shared" ca="1" si="60"/>
        <v>2</v>
      </c>
      <c r="BL104" s="29">
        <f t="shared" ca="1" si="59"/>
        <v>3</v>
      </c>
      <c r="BM104" s="29">
        <f t="shared" ca="1" si="59"/>
        <v>0</v>
      </c>
      <c r="BN104" s="29">
        <f t="shared" ca="1" si="59"/>
        <v>0</v>
      </c>
      <c r="BO104" s="29">
        <f t="shared" ca="1" si="59"/>
        <v>4</v>
      </c>
      <c r="BP104" s="29">
        <f t="shared" ca="1" si="59"/>
        <v>3</v>
      </c>
      <c r="BQ104" s="29">
        <f t="shared" ca="1" si="59"/>
        <v>2</v>
      </c>
      <c r="BR104" s="29">
        <f t="shared" ca="1" si="59"/>
        <v>4</v>
      </c>
      <c r="BS104" s="29">
        <f t="shared" ca="1" si="59"/>
        <v>2</v>
      </c>
      <c r="BT104" s="29">
        <f t="shared" ca="1" si="59"/>
        <v>0</v>
      </c>
      <c r="BU104" s="29">
        <f t="shared" ca="1" si="59"/>
        <v>5</v>
      </c>
      <c r="BV104" s="29">
        <f t="shared" ca="1" si="59"/>
        <v>1</v>
      </c>
      <c r="BW104" s="29">
        <f t="shared" ca="1" si="59"/>
        <v>2</v>
      </c>
      <c r="BX104" s="29">
        <f t="shared" ca="1" si="59"/>
        <v>2</v>
      </c>
      <c r="BY104" s="29">
        <f t="shared" ca="1" si="59"/>
        <v>3</v>
      </c>
      <c r="BZ104" s="29">
        <f t="shared" ca="1" si="59"/>
        <v>3</v>
      </c>
      <c r="CA104" s="29">
        <f t="shared" ca="1" si="62"/>
        <v>2</v>
      </c>
      <c r="CB104" s="29">
        <f t="shared" ca="1" si="62"/>
        <v>0</v>
      </c>
      <c r="CC104" s="29">
        <f t="shared" ca="1" si="62"/>
        <v>5</v>
      </c>
      <c r="CD104" s="29">
        <f t="shared" ca="1" si="62"/>
        <v>4</v>
      </c>
      <c r="CE104" s="29">
        <f t="shared" ca="1" si="62"/>
        <v>0</v>
      </c>
      <c r="CF104" s="29">
        <f t="shared" ca="1" si="62"/>
        <v>1</v>
      </c>
      <c r="CG104" s="29">
        <f t="shared" ca="1" si="62"/>
        <v>0</v>
      </c>
      <c r="CH104" s="29">
        <f t="shared" ca="1" si="62"/>
        <v>0</v>
      </c>
      <c r="CI104" s="29">
        <f t="shared" ca="1" si="62"/>
        <v>1</v>
      </c>
      <c r="CJ104" s="29">
        <f t="shared" ca="1" si="62"/>
        <v>4</v>
      </c>
      <c r="CK104" s="29">
        <f t="shared" ca="1" si="62"/>
        <v>0</v>
      </c>
      <c r="CL104" s="29">
        <f t="shared" ca="1" si="62"/>
        <v>1</v>
      </c>
      <c r="CM104" s="29">
        <f t="shared" ca="1" si="62"/>
        <v>3</v>
      </c>
      <c r="CN104" s="29">
        <f t="shared" ca="1" si="62"/>
        <v>3</v>
      </c>
      <c r="CO104" s="29">
        <f t="shared" ca="1" si="62"/>
        <v>1</v>
      </c>
      <c r="CP104" s="29">
        <f t="shared" ca="1" si="62"/>
        <v>2</v>
      </c>
      <c r="CQ104" s="29">
        <f t="shared" ca="1" si="61"/>
        <v>4</v>
      </c>
      <c r="CR104" s="29">
        <f t="shared" ca="1" si="61"/>
        <v>2</v>
      </c>
      <c r="CS104" s="29">
        <f t="shared" ca="1" si="61"/>
        <v>1</v>
      </c>
      <c r="CT104" s="29">
        <f t="shared" ca="1" si="61"/>
        <v>5</v>
      </c>
      <c r="CU104" s="29">
        <f t="shared" ca="1" si="61"/>
        <v>1</v>
      </c>
      <c r="CV104" s="29">
        <f t="shared" ca="1" si="61"/>
        <v>1</v>
      </c>
      <c r="CW104" s="29">
        <f t="shared" ca="1" si="38"/>
        <v>2</v>
      </c>
      <c r="CX104" s="29">
        <f t="shared" ca="1" si="63"/>
        <v>1</v>
      </c>
      <c r="CY104" s="29">
        <f t="shared" ca="1" si="63"/>
        <v>4</v>
      </c>
      <c r="CZ104" s="29">
        <f t="shared" ca="1" si="63"/>
        <v>4</v>
      </c>
      <c r="DA104" s="29">
        <f t="shared" ca="1" si="63"/>
        <v>4</v>
      </c>
      <c r="DB104" s="29">
        <f t="shared" ca="1" si="63"/>
        <v>4</v>
      </c>
      <c r="DC104" s="29">
        <f t="shared" ca="1" si="63"/>
        <v>3</v>
      </c>
      <c r="DD104" s="29">
        <f t="shared" ca="1" si="63"/>
        <v>0</v>
      </c>
      <c r="DE104" s="29">
        <f t="shared" ca="1" si="63"/>
        <v>2</v>
      </c>
      <c r="DF104" s="29">
        <f t="shared" ca="1" si="63"/>
        <v>5</v>
      </c>
      <c r="DG104" s="29">
        <f t="shared" ca="1" si="63"/>
        <v>2</v>
      </c>
      <c r="DH104" s="29">
        <f t="shared" ca="1" si="63"/>
        <v>1</v>
      </c>
      <c r="DI104" s="29">
        <f t="shared" ca="1" si="63"/>
        <v>2</v>
      </c>
      <c r="DJ104" s="29">
        <f t="shared" ca="1" si="63"/>
        <v>1</v>
      </c>
      <c r="DK104" s="29">
        <f t="shared" ca="1" si="63"/>
        <v>5</v>
      </c>
      <c r="DL104" s="29">
        <f t="shared" ca="1" si="63"/>
        <v>3</v>
      </c>
    </row>
    <row r="105" spans="1:116" ht="14.4" x14ac:dyDescent="0.3">
      <c r="A105" s="31">
        <v>442</v>
      </c>
      <c r="B105" s="28">
        <v>3.44</v>
      </c>
      <c r="C105" s="30">
        <v>11.73</v>
      </c>
      <c r="D105" s="28">
        <v>2.16</v>
      </c>
      <c r="E105" s="34">
        <f t="shared" si="43"/>
        <v>4.3200000000000002E-2</v>
      </c>
      <c r="F105" s="35">
        <f t="shared" si="44"/>
        <v>2.9325000000000001</v>
      </c>
      <c r="G105" s="34">
        <f t="shared" si="45"/>
        <v>54</v>
      </c>
      <c r="H105" s="33">
        <f t="shared" si="46"/>
        <v>14.845203488372094</v>
      </c>
      <c r="I105" s="28">
        <f t="shared" si="49"/>
        <v>223.60999999999999</v>
      </c>
      <c r="J105" s="32">
        <v>1</v>
      </c>
      <c r="K105" s="30">
        <f t="shared" si="47"/>
        <v>2.9325000000000001</v>
      </c>
      <c r="L105" s="30"/>
      <c r="M105" s="30"/>
      <c r="N105" s="30"/>
      <c r="O105" s="30"/>
      <c r="Q105" s="29">
        <f t="shared" ca="1" si="48"/>
        <v>2</v>
      </c>
      <c r="R105" s="29">
        <f t="shared" ca="1" si="58"/>
        <v>1</v>
      </c>
      <c r="S105" s="29">
        <f t="shared" ca="1" si="58"/>
        <v>2</v>
      </c>
      <c r="T105" s="29">
        <f t="shared" ca="1" si="58"/>
        <v>2</v>
      </c>
      <c r="U105" s="29">
        <f t="shared" ca="1" si="58"/>
        <v>6</v>
      </c>
      <c r="V105" s="29">
        <f t="shared" ca="1" si="58"/>
        <v>1</v>
      </c>
      <c r="W105" s="29">
        <f t="shared" ca="1" si="58"/>
        <v>1</v>
      </c>
      <c r="X105" s="29">
        <f t="shared" ca="1" si="58"/>
        <v>0</v>
      </c>
      <c r="Y105" s="29">
        <f t="shared" ca="1" si="58"/>
        <v>2</v>
      </c>
      <c r="Z105" s="29">
        <f t="shared" ca="1" si="58"/>
        <v>2</v>
      </c>
      <c r="AA105" s="29">
        <f t="shared" ca="1" si="58"/>
        <v>0</v>
      </c>
      <c r="AB105" s="29">
        <f t="shared" ca="1" si="58"/>
        <v>1</v>
      </c>
      <c r="AC105" s="29">
        <f t="shared" ca="1" si="58"/>
        <v>2</v>
      </c>
      <c r="AD105" s="29">
        <f t="shared" ca="1" si="58"/>
        <v>4</v>
      </c>
      <c r="AE105" s="29">
        <f t="shared" ca="1" si="58"/>
        <v>6</v>
      </c>
      <c r="AF105" s="29">
        <f t="shared" ref="AF105:AU120" ca="1" si="64">_xlfn.BINOM.INV(50,$E105,RAND())</f>
        <v>1</v>
      </c>
      <c r="AG105" s="29">
        <f t="shared" ca="1" si="64"/>
        <v>3</v>
      </c>
      <c r="AH105" s="29">
        <f t="shared" ca="1" si="64"/>
        <v>1</v>
      </c>
      <c r="AI105" s="29">
        <f t="shared" ca="1" si="64"/>
        <v>2</v>
      </c>
      <c r="AJ105" s="29">
        <f t="shared" ca="1" si="64"/>
        <v>4</v>
      </c>
      <c r="AK105" s="29">
        <f t="shared" ca="1" si="64"/>
        <v>1</v>
      </c>
      <c r="AL105" s="29">
        <f t="shared" ca="1" si="64"/>
        <v>3</v>
      </c>
      <c r="AM105" s="29">
        <f t="shared" ca="1" si="64"/>
        <v>2</v>
      </c>
      <c r="AN105" s="29">
        <f t="shared" ca="1" si="64"/>
        <v>1</v>
      </c>
      <c r="AO105" s="29">
        <f t="shared" ca="1" si="64"/>
        <v>0</v>
      </c>
      <c r="AP105" s="29">
        <f t="shared" ca="1" si="64"/>
        <v>3</v>
      </c>
      <c r="AQ105" s="29">
        <f t="shared" ca="1" si="64"/>
        <v>1</v>
      </c>
      <c r="AR105" s="29">
        <f t="shared" ca="1" si="64"/>
        <v>2</v>
      </c>
      <c r="AS105" s="29">
        <f t="shared" ca="1" si="64"/>
        <v>0</v>
      </c>
      <c r="AT105" s="29">
        <f t="shared" ca="1" si="64"/>
        <v>5</v>
      </c>
      <c r="AU105" s="29">
        <f t="shared" ca="1" si="64"/>
        <v>1</v>
      </c>
      <c r="AV105" s="29">
        <f t="shared" ca="1" si="60"/>
        <v>0</v>
      </c>
      <c r="AW105" s="29">
        <f t="shared" ca="1" si="60"/>
        <v>4</v>
      </c>
      <c r="AX105" s="29">
        <f t="shared" ca="1" si="60"/>
        <v>3</v>
      </c>
      <c r="AY105" s="29">
        <f t="shared" ca="1" si="60"/>
        <v>0</v>
      </c>
      <c r="AZ105" s="29">
        <f t="shared" ca="1" si="60"/>
        <v>0</v>
      </c>
      <c r="BA105" s="29">
        <f t="shared" ca="1" si="60"/>
        <v>2</v>
      </c>
      <c r="BB105" s="29">
        <f t="shared" ca="1" si="60"/>
        <v>1</v>
      </c>
      <c r="BC105" s="29">
        <f t="shared" ca="1" si="60"/>
        <v>1</v>
      </c>
      <c r="BD105" s="29">
        <f t="shared" ca="1" si="60"/>
        <v>3</v>
      </c>
      <c r="BE105" s="29">
        <f t="shared" ca="1" si="60"/>
        <v>1</v>
      </c>
      <c r="BF105" s="29">
        <f t="shared" ca="1" si="60"/>
        <v>2</v>
      </c>
      <c r="BG105" s="29">
        <f t="shared" ca="1" si="60"/>
        <v>1</v>
      </c>
      <c r="BH105" s="29">
        <f t="shared" ca="1" si="60"/>
        <v>4</v>
      </c>
      <c r="BI105" s="29">
        <f t="shared" ca="1" si="60"/>
        <v>4</v>
      </c>
      <c r="BJ105" s="29">
        <f t="shared" ca="1" si="60"/>
        <v>5</v>
      </c>
      <c r="BK105" s="29">
        <f t="shared" ca="1" si="60"/>
        <v>4</v>
      </c>
      <c r="BL105" s="29">
        <f t="shared" ca="1" si="59"/>
        <v>1</v>
      </c>
      <c r="BM105" s="29">
        <f t="shared" ca="1" si="59"/>
        <v>4</v>
      </c>
      <c r="BN105" s="29">
        <f t="shared" ca="1" si="59"/>
        <v>2</v>
      </c>
      <c r="BO105" s="29">
        <f t="shared" ca="1" si="59"/>
        <v>3</v>
      </c>
      <c r="BP105" s="29">
        <f t="shared" ca="1" si="59"/>
        <v>1</v>
      </c>
      <c r="BQ105" s="29">
        <f t="shared" ca="1" si="59"/>
        <v>2</v>
      </c>
      <c r="BR105" s="29">
        <f t="shared" ca="1" si="59"/>
        <v>5</v>
      </c>
      <c r="BS105" s="29">
        <f t="shared" ca="1" si="59"/>
        <v>3</v>
      </c>
      <c r="BT105" s="29">
        <f t="shared" ca="1" si="59"/>
        <v>3</v>
      </c>
      <c r="BU105" s="29">
        <f t="shared" ca="1" si="59"/>
        <v>2</v>
      </c>
      <c r="BV105" s="29">
        <f t="shared" ca="1" si="59"/>
        <v>1</v>
      </c>
      <c r="BW105" s="29">
        <f t="shared" ca="1" si="59"/>
        <v>2</v>
      </c>
      <c r="BX105" s="29">
        <f t="shared" ca="1" si="59"/>
        <v>1</v>
      </c>
      <c r="BY105" s="29">
        <f t="shared" ca="1" si="59"/>
        <v>2</v>
      </c>
      <c r="BZ105" s="29">
        <f t="shared" ca="1" si="59"/>
        <v>1</v>
      </c>
      <c r="CA105" s="29">
        <f t="shared" ca="1" si="62"/>
        <v>1</v>
      </c>
      <c r="CB105" s="29">
        <f t="shared" ca="1" si="62"/>
        <v>1</v>
      </c>
      <c r="CC105" s="29">
        <f t="shared" ca="1" si="62"/>
        <v>0</v>
      </c>
      <c r="CD105" s="29">
        <f t="shared" ca="1" si="62"/>
        <v>2</v>
      </c>
      <c r="CE105" s="29">
        <f t="shared" ca="1" si="62"/>
        <v>2</v>
      </c>
      <c r="CF105" s="29">
        <f t="shared" ca="1" si="62"/>
        <v>0</v>
      </c>
      <c r="CG105" s="29">
        <f t="shared" ca="1" si="62"/>
        <v>0</v>
      </c>
      <c r="CH105" s="29">
        <f t="shared" ca="1" si="62"/>
        <v>5</v>
      </c>
      <c r="CI105" s="29">
        <f t="shared" ca="1" si="62"/>
        <v>2</v>
      </c>
      <c r="CJ105" s="29">
        <f t="shared" ca="1" si="62"/>
        <v>2</v>
      </c>
      <c r="CK105" s="29">
        <f t="shared" ca="1" si="62"/>
        <v>0</v>
      </c>
      <c r="CL105" s="29">
        <f t="shared" ca="1" si="62"/>
        <v>5</v>
      </c>
      <c r="CM105" s="29">
        <f t="shared" ca="1" si="62"/>
        <v>4</v>
      </c>
      <c r="CN105" s="29">
        <f t="shared" ca="1" si="62"/>
        <v>1</v>
      </c>
      <c r="CO105" s="29">
        <f t="shared" ca="1" si="62"/>
        <v>2</v>
      </c>
      <c r="CP105" s="29">
        <f t="shared" ca="1" si="62"/>
        <v>3</v>
      </c>
      <c r="CQ105" s="29">
        <f t="shared" ca="1" si="61"/>
        <v>1</v>
      </c>
      <c r="CR105" s="29">
        <f t="shared" ca="1" si="61"/>
        <v>2</v>
      </c>
      <c r="CS105" s="29">
        <f t="shared" ca="1" si="61"/>
        <v>2</v>
      </c>
      <c r="CT105" s="29">
        <f t="shared" ca="1" si="61"/>
        <v>2</v>
      </c>
      <c r="CU105" s="29">
        <f t="shared" ca="1" si="61"/>
        <v>0</v>
      </c>
      <c r="CV105" s="29">
        <f t="shared" ca="1" si="61"/>
        <v>1</v>
      </c>
      <c r="CW105" s="29">
        <f t="shared" ca="1" si="38"/>
        <v>1</v>
      </c>
      <c r="CX105" s="29">
        <f t="shared" ca="1" si="63"/>
        <v>0</v>
      </c>
      <c r="CY105" s="29">
        <f t="shared" ca="1" si="63"/>
        <v>1</v>
      </c>
      <c r="CZ105" s="29">
        <f t="shared" ca="1" si="63"/>
        <v>6</v>
      </c>
      <c r="DA105" s="29">
        <f t="shared" ca="1" si="63"/>
        <v>0</v>
      </c>
      <c r="DB105" s="29">
        <f t="shared" ca="1" si="63"/>
        <v>5</v>
      </c>
      <c r="DC105" s="29">
        <f t="shared" ca="1" si="63"/>
        <v>0</v>
      </c>
      <c r="DD105" s="29">
        <f t="shared" ca="1" si="63"/>
        <v>1</v>
      </c>
      <c r="DE105" s="29">
        <f t="shared" ca="1" si="63"/>
        <v>3</v>
      </c>
      <c r="DF105" s="29">
        <f t="shared" ca="1" si="63"/>
        <v>1</v>
      </c>
      <c r="DG105" s="29">
        <f t="shared" ca="1" si="63"/>
        <v>0</v>
      </c>
      <c r="DH105" s="29">
        <f t="shared" ca="1" si="63"/>
        <v>0</v>
      </c>
      <c r="DI105" s="29">
        <f t="shared" ca="1" si="63"/>
        <v>5</v>
      </c>
      <c r="DJ105" s="29">
        <f t="shared" ca="1" si="63"/>
        <v>4</v>
      </c>
      <c r="DK105" s="29">
        <f t="shared" ca="1" si="63"/>
        <v>2</v>
      </c>
      <c r="DL105" s="29">
        <f t="shared" ca="1" si="63"/>
        <v>1</v>
      </c>
    </row>
    <row r="106" spans="1:116" ht="14.4" x14ac:dyDescent="0.3">
      <c r="A106" s="31">
        <v>1008</v>
      </c>
      <c r="B106" s="28">
        <v>2.96</v>
      </c>
      <c r="C106" s="30">
        <v>27.87</v>
      </c>
      <c r="D106" s="28">
        <v>2.0299999999999998</v>
      </c>
      <c r="E106" s="34">
        <f t="shared" si="43"/>
        <v>4.0599999999999997E-2</v>
      </c>
      <c r="F106" s="35">
        <f t="shared" si="44"/>
        <v>6.9675000000000002</v>
      </c>
      <c r="G106" s="34">
        <f t="shared" si="45"/>
        <v>50.749999999999993</v>
      </c>
      <c r="H106" s="33">
        <f t="shared" si="46"/>
        <v>14.791385135135133</v>
      </c>
      <c r="I106" s="28">
        <f t="shared" si="49"/>
        <v>226.57</v>
      </c>
      <c r="J106" s="32">
        <v>1</v>
      </c>
      <c r="K106" s="30">
        <f t="shared" si="47"/>
        <v>6.9675000000000002</v>
      </c>
      <c r="L106" s="30"/>
      <c r="M106" s="30"/>
      <c r="N106" s="30"/>
      <c r="O106" s="30"/>
      <c r="Q106" s="29">
        <f t="shared" ca="1" si="48"/>
        <v>2</v>
      </c>
      <c r="R106" s="29">
        <f t="shared" ref="R106:AF121" ca="1" si="65">_xlfn.BINOM.INV(50,$E106,RAND())</f>
        <v>0</v>
      </c>
      <c r="S106" s="29">
        <f t="shared" ca="1" si="65"/>
        <v>1</v>
      </c>
      <c r="T106" s="29">
        <f t="shared" ca="1" si="65"/>
        <v>0</v>
      </c>
      <c r="U106" s="29">
        <f t="shared" ca="1" si="65"/>
        <v>3</v>
      </c>
      <c r="V106" s="29">
        <f t="shared" ca="1" si="65"/>
        <v>0</v>
      </c>
      <c r="W106" s="29">
        <f t="shared" ca="1" si="65"/>
        <v>1</v>
      </c>
      <c r="X106" s="29">
        <f t="shared" ca="1" si="65"/>
        <v>1</v>
      </c>
      <c r="Y106" s="29">
        <f t="shared" ca="1" si="65"/>
        <v>3</v>
      </c>
      <c r="Z106" s="29">
        <f t="shared" ca="1" si="65"/>
        <v>2</v>
      </c>
      <c r="AA106" s="29">
        <f t="shared" ca="1" si="65"/>
        <v>3</v>
      </c>
      <c r="AB106" s="29">
        <f t="shared" ca="1" si="65"/>
        <v>4</v>
      </c>
      <c r="AC106" s="29">
        <f t="shared" ca="1" si="65"/>
        <v>1</v>
      </c>
      <c r="AD106" s="29">
        <f t="shared" ca="1" si="65"/>
        <v>0</v>
      </c>
      <c r="AE106" s="29">
        <f t="shared" ca="1" si="65"/>
        <v>0</v>
      </c>
      <c r="AF106" s="29">
        <f t="shared" ca="1" si="65"/>
        <v>0</v>
      </c>
      <c r="AG106" s="29">
        <f t="shared" ca="1" si="64"/>
        <v>3</v>
      </c>
      <c r="AH106" s="29">
        <f t="shared" ca="1" si="64"/>
        <v>0</v>
      </c>
      <c r="AI106" s="29">
        <f t="shared" ca="1" si="64"/>
        <v>2</v>
      </c>
      <c r="AJ106" s="29">
        <f t="shared" ca="1" si="64"/>
        <v>1</v>
      </c>
      <c r="AK106" s="29">
        <f t="shared" ca="1" si="64"/>
        <v>2</v>
      </c>
      <c r="AL106" s="29">
        <f t="shared" ca="1" si="64"/>
        <v>1</v>
      </c>
      <c r="AM106" s="29">
        <f t="shared" ca="1" si="64"/>
        <v>1</v>
      </c>
      <c r="AN106" s="29">
        <f t="shared" ca="1" si="64"/>
        <v>2</v>
      </c>
      <c r="AO106" s="29">
        <f t="shared" ca="1" si="64"/>
        <v>2</v>
      </c>
      <c r="AP106" s="29">
        <f t="shared" ca="1" si="64"/>
        <v>2</v>
      </c>
      <c r="AQ106" s="29">
        <f t="shared" ca="1" si="64"/>
        <v>3</v>
      </c>
      <c r="AR106" s="29">
        <f t="shared" ca="1" si="64"/>
        <v>4</v>
      </c>
      <c r="AS106" s="29">
        <f t="shared" ca="1" si="64"/>
        <v>6</v>
      </c>
      <c r="AT106" s="29">
        <f t="shared" ca="1" si="64"/>
        <v>3</v>
      </c>
      <c r="AU106" s="29">
        <f t="shared" ca="1" si="64"/>
        <v>1</v>
      </c>
      <c r="AV106" s="29">
        <f t="shared" ca="1" si="60"/>
        <v>3</v>
      </c>
      <c r="AW106" s="29">
        <f t="shared" ca="1" si="60"/>
        <v>4</v>
      </c>
      <c r="AX106" s="29">
        <f t="shared" ca="1" si="60"/>
        <v>1</v>
      </c>
      <c r="AY106" s="29">
        <f t="shared" ca="1" si="60"/>
        <v>0</v>
      </c>
      <c r="AZ106" s="29">
        <f t="shared" ca="1" si="60"/>
        <v>3</v>
      </c>
      <c r="BA106" s="29">
        <f t="shared" ca="1" si="60"/>
        <v>0</v>
      </c>
      <c r="BB106" s="29">
        <f t="shared" ca="1" si="60"/>
        <v>0</v>
      </c>
      <c r="BC106" s="29">
        <f t="shared" ca="1" si="60"/>
        <v>1</v>
      </c>
      <c r="BD106" s="29">
        <f t="shared" ca="1" si="60"/>
        <v>1</v>
      </c>
      <c r="BE106" s="29">
        <f t="shared" ca="1" si="60"/>
        <v>0</v>
      </c>
      <c r="BF106" s="29">
        <f t="shared" ca="1" si="60"/>
        <v>2</v>
      </c>
      <c r="BG106" s="29">
        <f t="shared" ca="1" si="60"/>
        <v>1</v>
      </c>
      <c r="BH106" s="29">
        <f t="shared" ca="1" si="60"/>
        <v>4</v>
      </c>
      <c r="BI106" s="29">
        <f t="shared" ca="1" si="60"/>
        <v>5</v>
      </c>
      <c r="BJ106" s="29">
        <f t="shared" ca="1" si="60"/>
        <v>3</v>
      </c>
      <c r="BK106" s="29">
        <f t="shared" ca="1" si="60"/>
        <v>3</v>
      </c>
      <c r="BL106" s="29">
        <f t="shared" ca="1" si="59"/>
        <v>5</v>
      </c>
      <c r="BM106" s="29">
        <f t="shared" ca="1" si="59"/>
        <v>2</v>
      </c>
      <c r="BN106" s="29">
        <f t="shared" ca="1" si="59"/>
        <v>3</v>
      </c>
      <c r="BO106" s="29">
        <f t="shared" ca="1" si="59"/>
        <v>2</v>
      </c>
      <c r="BP106" s="29">
        <f t="shared" ca="1" si="59"/>
        <v>2</v>
      </c>
      <c r="BQ106" s="29">
        <f t="shared" ca="1" si="59"/>
        <v>1</v>
      </c>
      <c r="BR106" s="29">
        <f t="shared" ca="1" si="59"/>
        <v>2</v>
      </c>
      <c r="BS106" s="29">
        <f t="shared" ca="1" si="59"/>
        <v>3</v>
      </c>
      <c r="BT106" s="29">
        <f t="shared" ca="1" si="59"/>
        <v>2</v>
      </c>
      <c r="BU106" s="29">
        <f t="shared" ca="1" si="59"/>
        <v>7</v>
      </c>
      <c r="BV106" s="29">
        <f t="shared" ca="1" si="59"/>
        <v>1</v>
      </c>
      <c r="BW106" s="29">
        <f t="shared" ca="1" si="59"/>
        <v>2</v>
      </c>
      <c r="BX106" s="29">
        <f t="shared" ca="1" si="59"/>
        <v>2</v>
      </c>
      <c r="BY106" s="29">
        <f t="shared" ca="1" si="59"/>
        <v>6</v>
      </c>
      <c r="BZ106" s="29">
        <f t="shared" ca="1" si="59"/>
        <v>2</v>
      </c>
      <c r="CA106" s="29">
        <f t="shared" ca="1" si="62"/>
        <v>2</v>
      </c>
      <c r="CB106" s="29">
        <f t="shared" ca="1" si="62"/>
        <v>1</v>
      </c>
      <c r="CC106" s="29">
        <f t="shared" ca="1" si="62"/>
        <v>3</v>
      </c>
      <c r="CD106" s="29">
        <f t="shared" ca="1" si="62"/>
        <v>2</v>
      </c>
      <c r="CE106" s="29">
        <f t="shared" ca="1" si="62"/>
        <v>2</v>
      </c>
      <c r="CF106" s="29">
        <f t="shared" ca="1" si="62"/>
        <v>4</v>
      </c>
      <c r="CG106" s="29">
        <f t="shared" ca="1" si="62"/>
        <v>1</v>
      </c>
      <c r="CH106" s="29">
        <f t="shared" ca="1" si="62"/>
        <v>2</v>
      </c>
      <c r="CI106" s="29">
        <f t="shared" ca="1" si="62"/>
        <v>2</v>
      </c>
      <c r="CJ106" s="29">
        <f t="shared" ca="1" si="62"/>
        <v>2</v>
      </c>
      <c r="CK106" s="29">
        <f t="shared" ca="1" si="62"/>
        <v>2</v>
      </c>
      <c r="CL106" s="29">
        <f t="shared" ca="1" si="62"/>
        <v>3</v>
      </c>
      <c r="CM106" s="29">
        <f t="shared" ca="1" si="62"/>
        <v>5</v>
      </c>
      <c r="CN106" s="29">
        <f t="shared" ca="1" si="62"/>
        <v>4</v>
      </c>
      <c r="CO106" s="29">
        <f t="shared" ca="1" si="62"/>
        <v>2</v>
      </c>
      <c r="CP106" s="29">
        <f t="shared" ca="1" si="62"/>
        <v>2</v>
      </c>
      <c r="CQ106" s="29">
        <f t="shared" ca="1" si="61"/>
        <v>3</v>
      </c>
      <c r="CR106" s="29">
        <f t="shared" ca="1" si="61"/>
        <v>0</v>
      </c>
      <c r="CS106" s="29">
        <f t="shared" ca="1" si="61"/>
        <v>3</v>
      </c>
      <c r="CT106" s="29">
        <f t="shared" ca="1" si="61"/>
        <v>1</v>
      </c>
      <c r="CU106" s="29">
        <f t="shared" ca="1" si="61"/>
        <v>2</v>
      </c>
      <c r="CV106" s="29">
        <f t="shared" ca="1" si="61"/>
        <v>1</v>
      </c>
      <c r="CW106" s="29">
        <f t="shared" ca="1" si="38"/>
        <v>0</v>
      </c>
      <c r="CX106" s="29">
        <f t="shared" ca="1" si="63"/>
        <v>4</v>
      </c>
      <c r="CY106" s="29">
        <f t="shared" ca="1" si="63"/>
        <v>3</v>
      </c>
      <c r="CZ106" s="29">
        <f t="shared" ca="1" si="63"/>
        <v>2</v>
      </c>
      <c r="DA106" s="29">
        <f t="shared" ca="1" si="63"/>
        <v>5</v>
      </c>
      <c r="DB106" s="29">
        <f t="shared" ca="1" si="63"/>
        <v>3</v>
      </c>
      <c r="DC106" s="29">
        <f t="shared" ca="1" si="63"/>
        <v>3</v>
      </c>
      <c r="DD106" s="29">
        <f t="shared" ca="1" si="63"/>
        <v>1</v>
      </c>
      <c r="DE106" s="29">
        <f t="shared" ca="1" si="63"/>
        <v>3</v>
      </c>
      <c r="DF106" s="29">
        <f t="shared" ca="1" si="63"/>
        <v>1</v>
      </c>
      <c r="DG106" s="29">
        <f t="shared" ca="1" si="63"/>
        <v>2</v>
      </c>
      <c r="DH106" s="29">
        <f t="shared" ca="1" si="63"/>
        <v>1</v>
      </c>
      <c r="DI106" s="29">
        <f t="shared" ca="1" si="63"/>
        <v>0</v>
      </c>
      <c r="DJ106" s="29">
        <f t="shared" ca="1" si="63"/>
        <v>2</v>
      </c>
      <c r="DK106" s="29">
        <f t="shared" ca="1" si="63"/>
        <v>0</v>
      </c>
      <c r="DL106" s="29">
        <f t="shared" ca="1" si="63"/>
        <v>2</v>
      </c>
    </row>
    <row r="107" spans="1:116" ht="14.4" x14ac:dyDescent="0.3">
      <c r="A107" s="31">
        <v>908</v>
      </c>
      <c r="B107" s="28">
        <v>0.73</v>
      </c>
      <c r="C107" s="30">
        <v>21.89</v>
      </c>
      <c r="D107" s="28">
        <v>0.65</v>
      </c>
      <c r="E107" s="34">
        <f t="shared" si="43"/>
        <v>1.3000000000000001E-2</v>
      </c>
      <c r="F107" s="35">
        <f t="shared" si="44"/>
        <v>5.4725000000000001</v>
      </c>
      <c r="G107" s="34">
        <f t="shared" si="45"/>
        <v>16.25</v>
      </c>
      <c r="H107" s="33">
        <f t="shared" si="46"/>
        <v>14.763698630136986</v>
      </c>
      <c r="I107" s="28">
        <f t="shared" si="49"/>
        <v>227.29999999999998</v>
      </c>
      <c r="J107" s="32">
        <v>1</v>
      </c>
      <c r="K107" s="30">
        <f t="shared" si="47"/>
        <v>5.4725000000000001</v>
      </c>
      <c r="L107" s="30"/>
      <c r="M107" s="30"/>
      <c r="N107" s="30"/>
      <c r="O107" s="30"/>
      <c r="Q107" s="29">
        <f t="shared" ca="1" si="48"/>
        <v>1</v>
      </c>
      <c r="R107" s="29">
        <f t="shared" ca="1" si="65"/>
        <v>0</v>
      </c>
      <c r="S107" s="29">
        <f t="shared" ca="1" si="65"/>
        <v>0</v>
      </c>
      <c r="T107" s="29">
        <f t="shared" ca="1" si="65"/>
        <v>1</v>
      </c>
      <c r="U107" s="29">
        <f t="shared" ca="1" si="65"/>
        <v>0</v>
      </c>
      <c r="V107" s="29">
        <f t="shared" ca="1" si="65"/>
        <v>0</v>
      </c>
      <c r="W107" s="29">
        <f t="shared" ca="1" si="65"/>
        <v>0</v>
      </c>
      <c r="X107" s="29">
        <f t="shared" ca="1" si="65"/>
        <v>0</v>
      </c>
      <c r="Y107" s="29">
        <f t="shared" ca="1" si="65"/>
        <v>1</v>
      </c>
      <c r="Z107" s="29">
        <f t="shared" ca="1" si="65"/>
        <v>1</v>
      </c>
      <c r="AA107" s="29">
        <f t="shared" ca="1" si="65"/>
        <v>1</v>
      </c>
      <c r="AB107" s="29">
        <f t="shared" ca="1" si="65"/>
        <v>0</v>
      </c>
      <c r="AC107" s="29">
        <f t="shared" ca="1" si="65"/>
        <v>1</v>
      </c>
      <c r="AD107" s="29">
        <f t="shared" ca="1" si="65"/>
        <v>1</v>
      </c>
      <c r="AE107" s="29">
        <f t="shared" ca="1" si="65"/>
        <v>0</v>
      </c>
      <c r="AF107" s="29">
        <f t="shared" ca="1" si="65"/>
        <v>1</v>
      </c>
      <c r="AG107" s="29">
        <f t="shared" ca="1" si="64"/>
        <v>0</v>
      </c>
      <c r="AH107" s="29">
        <f t="shared" ca="1" si="64"/>
        <v>1</v>
      </c>
      <c r="AI107" s="29">
        <f t="shared" ca="1" si="64"/>
        <v>1</v>
      </c>
      <c r="AJ107" s="29">
        <f t="shared" ca="1" si="64"/>
        <v>0</v>
      </c>
      <c r="AK107" s="29">
        <f t="shared" ca="1" si="64"/>
        <v>0</v>
      </c>
      <c r="AL107" s="29">
        <f t="shared" ca="1" si="64"/>
        <v>1</v>
      </c>
      <c r="AM107" s="29">
        <f t="shared" ca="1" si="64"/>
        <v>1</v>
      </c>
      <c r="AN107" s="29">
        <f t="shared" ca="1" si="64"/>
        <v>1</v>
      </c>
      <c r="AO107" s="29">
        <f t="shared" ca="1" si="64"/>
        <v>0</v>
      </c>
      <c r="AP107" s="29">
        <f t="shared" ca="1" si="64"/>
        <v>2</v>
      </c>
      <c r="AQ107" s="29">
        <f t="shared" ca="1" si="64"/>
        <v>1</v>
      </c>
      <c r="AR107" s="29">
        <f t="shared" ca="1" si="64"/>
        <v>0</v>
      </c>
      <c r="AS107" s="29">
        <f t="shared" ca="1" si="64"/>
        <v>0</v>
      </c>
      <c r="AT107" s="29">
        <f t="shared" ca="1" si="64"/>
        <v>3</v>
      </c>
      <c r="AU107" s="29">
        <f t="shared" ca="1" si="64"/>
        <v>0</v>
      </c>
      <c r="AV107" s="29">
        <f t="shared" ca="1" si="60"/>
        <v>2</v>
      </c>
      <c r="AW107" s="29">
        <f t="shared" ca="1" si="60"/>
        <v>0</v>
      </c>
      <c r="AX107" s="29">
        <f t="shared" ca="1" si="60"/>
        <v>0</v>
      </c>
      <c r="AY107" s="29">
        <f t="shared" ca="1" si="60"/>
        <v>0</v>
      </c>
      <c r="AZ107" s="29">
        <f t="shared" ca="1" si="60"/>
        <v>1</v>
      </c>
      <c r="BA107" s="29">
        <f t="shared" ca="1" si="60"/>
        <v>0</v>
      </c>
      <c r="BB107" s="29">
        <f t="shared" ca="1" si="60"/>
        <v>0</v>
      </c>
      <c r="BC107" s="29">
        <f t="shared" ca="1" si="60"/>
        <v>0</v>
      </c>
      <c r="BD107" s="29">
        <f t="shared" ca="1" si="60"/>
        <v>1</v>
      </c>
      <c r="BE107" s="29">
        <f t="shared" ca="1" si="60"/>
        <v>1</v>
      </c>
      <c r="BF107" s="29">
        <f t="shared" ca="1" si="60"/>
        <v>0</v>
      </c>
      <c r="BG107" s="29">
        <f t="shared" ca="1" si="60"/>
        <v>4</v>
      </c>
      <c r="BH107" s="29">
        <f t="shared" ca="1" si="60"/>
        <v>0</v>
      </c>
      <c r="BI107" s="29">
        <f t="shared" ca="1" si="60"/>
        <v>0</v>
      </c>
      <c r="BJ107" s="29">
        <f t="shared" ca="1" si="60"/>
        <v>0</v>
      </c>
      <c r="BK107" s="29">
        <f t="shared" ca="1" si="60"/>
        <v>0</v>
      </c>
      <c r="BL107" s="29">
        <f t="shared" ca="1" si="59"/>
        <v>2</v>
      </c>
      <c r="BM107" s="29">
        <f t="shared" ca="1" si="59"/>
        <v>1</v>
      </c>
      <c r="BN107" s="29">
        <f t="shared" ca="1" si="59"/>
        <v>0</v>
      </c>
      <c r="BO107" s="29">
        <f t="shared" ca="1" si="59"/>
        <v>1</v>
      </c>
      <c r="BP107" s="29">
        <f t="shared" ca="1" si="59"/>
        <v>0</v>
      </c>
      <c r="BQ107" s="29">
        <f t="shared" ca="1" si="59"/>
        <v>1</v>
      </c>
      <c r="BR107" s="29">
        <f t="shared" ca="1" si="59"/>
        <v>3</v>
      </c>
      <c r="BS107" s="29">
        <f t="shared" ca="1" si="59"/>
        <v>2</v>
      </c>
      <c r="BT107" s="29">
        <f t="shared" ca="1" si="59"/>
        <v>0</v>
      </c>
      <c r="BU107" s="29">
        <f t="shared" ca="1" si="59"/>
        <v>0</v>
      </c>
      <c r="BV107" s="29">
        <f t="shared" ca="1" si="59"/>
        <v>1</v>
      </c>
      <c r="BW107" s="29">
        <f t="shared" ca="1" si="59"/>
        <v>2</v>
      </c>
      <c r="BX107" s="29">
        <f t="shared" ca="1" si="59"/>
        <v>0</v>
      </c>
      <c r="BY107" s="29">
        <f t="shared" ca="1" si="59"/>
        <v>0</v>
      </c>
      <c r="BZ107" s="29">
        <f t="shared" ca="1" si="59"/>
        <v>2</v>
      </c>
      <c r="CA107" s="29">
        <f t="shared" ca="1" si="62"/>
        <v>1</v>
      </c>
      <c r="CB107" s="29">
        <f t="shared" ca="1" si="62"/>
        <v>2</v>
      </c>
      <c r="CC107" s="29">
        <f t="shared" ca="1" si="62"/>
        <v>2</v>
      </c>
      <c r="CD107" s="29">
        <f t="shared" ca="1" si="62"/>
        <v>1</v>
      </c>
      <c r="CE107" s="29">
        <f t="shared" ca="1" si="62"/>
        <v>0</v>
      </c>
      <c r="CF107" s="29">
        <f t="shared" ca="1" si="62"/>
        <v>0</v>
      </c>
      <c r="CG107" s="29">
        <f t="shared" ca="1" si="62"/>
        <v>2</v>
      </c>
      <c r="CH107" s="29">
        <f t="shared" ca="1" si="62"/>
        <v>0</v>
      </c>
      <c r="CI107" s="29">
        <f t="shared" ca="1" si="62"/>
        <v>0</v>
      </c>
      <c r="CJ107" s="29">
        <f t="shared" ca="1" si="62"/>
        <v>1</v>
      </c>
      <c r="CK107" s="29">
        <f t="shared" ca="1" si="62"/>
        <v>1</v>
      </c>
      <c r="CL107" s="29">
        <f t="shared" ca="1" si="62"/>
        <v>2</v>
      </c>
      <c r="CM107" s="29">
        <f t="shared" ca="1" si="62"/>
        <v>0</v>
      </c>
      <c r="CN107" s="29">
        <f t="shared" ca="1" si="62"/>
        <v>0</v>
      </c>
      <c r="CO107" s="29">
        <f t="shared" ca="1" si="62"/>
        <v>0</v>
      </c>
      <c r="CP107" s="29">
        <f t="shared" ca="1" si="62"/>
        <v>1</v>
      </c>
      <c r="CQ107" s="29">
        <f t="shared" ca="1" si="61"/>
        <v>1</v>
      </c>
      <c r="CR107" s="29">
        <f t="shared" ca="1" si="61"/>
        <v>1</v>
      </c>
      <c r="CS107" s="29">
        <f t="shared" ca="1" si="61"/>
        <v>0</v>
      </c>
      <c r="CT107" s="29">
        <f t="shared" ca="1" si="61"/>
        <v>0</v>
      </c>
      <c r="CU107" s="29">
        <f t="shared" ca="1" si="61"/>
        <v>0</v>
      </c>
      <c r="CV107" s="29">
        <f t="shared" ca="1" si="61"/>
        <v>1</v>
      </c>
      <c r="CW107" s="29">
        <f t="shared" ca="1" si="38"/>
        <v>0</v>
      </c>
      <c r="CX107" s="29">
        <f t="shared" ca="1" si="63"/>
        <v>0</v>
      </c>
      <c r="CY107" s="29">
        <f t="shared" ca="1" si="63"/>
        <v>0</v>
      </c>
      <c r="CZ107" s="29">
        <f t="shared" ca="1" si="63"/>
        <v>0</v>
      </c>
      <c r="DA107" s="29">
        <f t="shared" ca="1" si="63"/>
        <v>0</v>
      </c>
      <c r="DB107" s="29">
        <f t="shared" ca="1" si="63"/>
        <v>0</v>
      </c>
      <c r="DC107" s="29">
        <f t="shared" ca="1" si="63"/>
        <v>0</v>
      </c>
      <c r="DD107" s="29">
        <f t="shared" ca="1" si="63"/>
        <v>1</v>
      </c>
      <c r="DE107" s="29">
        <f t="shared" ca="1" si="63"/>
        <v>0</v>
      </c>
      <c r="DF107" s="29">
        <f t="shared" ca="1" si="63"/>
        <v>1</v>
      </c>
      <c r="DG107" s="29">
        <f t="shared" ca="1" si="63"/>
        <v>1</v>
      </c>
      <c r="DH107" s="29">
        <f t="shared" ca="1" si="63"/>
        <v>0</v>
      </c>
      <c r="DI107" s="29">
        <f t="shared" ca="1" si="63"/>
        <v>1</v>
      </c>
      <c r="DJ107" s="29">
        <f t="shared" ca="1" si="63"/>
        <v>1</v>
      </c>
      <c r="DK107" s="29">
        <f t="shared" ca="1" si="63"/>
        <v>0</v>
      </c>
      <c r="DL107" s="29">
        <f t="shared" ca="1" si="63"/>
        <v>0</v>
      </c>
    </row>
    <row r="108" spans="1:116" ht="14.4" x14ac:dyDescent="0.3">
      <c r="A108" s="31">
        <v>786</v>
      </c>
      <c r="B108" s="28">
        <v>3</v>
      </c>
      <c r="C108" s="30">
        <v>99.09</v>
      </c>
      <c r="D108" s="28">
        <v>2.75</v>
      </c>
      <c r="E108" s="34">
        <f t="shared" si="43"/>
        <v>5.5E-2</v>
      </c>
      <c r="F108" s="35">
        <f t="shared" si="44"/>
        <v>24.772500000000001</v>
      </c>
      <c r="G108" s="34">
        <f t="shared" si="45"/>
        <v>68.75</v>
      </c>
      <c r="H108" s="33">
        <f t="shared" si="46"/>
        <v>14.659166666666666</v>
      </c>
      <c r="I108" s="28">
        <f t="shared" si="49"/>
        <v>230.29999999999998</v>
      </c>
      <c r="J108" s="32">
        <v>1</v>
      </c>
      <c r="K108" s="30">
        <f t="shared" si="47"/>
        <v>24.772500000000001</v>
      </c>
      <c r="L108" s="30"/>
      <c r="M108" s="30"/>
      <c r="N108" s="30"/>
      <c r="O108" s="30"/>
      <c r="Q108" s="29">
        <f t="shared" ca="1" si="48"/>
        <v>2</v>
      </c>
      <c r="R108" s="29">
        <f t="shared" ca="1" si="65"/>
        <v>3</v>
      </c>
      <c r="S108" s="29">
        <f t="shared" ca="1" si="65"/>
        <v>3</v>
      </c>
      <c r="T108" s="29">
        <f t="shared" ca="1" si="65"/>
        <v>2</v>
      </c>
      <c r="U108" s="29">
        <f t="shared" ca="1" si="65"/>
        <v>3</v>
      </c>
      <c r="V108" s="29">
        <f t="shared" ca="1" si="65"/>
        <v>3</v>
      </c>
      <c r="W108" s="29">
        <f t="shared" ca="1" si="65"/>
        <v>4</v>
      </c>
      <c r="X108" s="29">
        <f t="shared" ca="1" si="65"/>
        <v>3</v>
      </c>
      <c r="Y108" s="29">
        <f t="shared" ca="1" si="65"/>
        <v>3</v>
      </c>
      <c r="Z108" s="29">
        <f t="shared" ca="1" si="65"/>
        <v>0</v>
      </c>
      <c r="AA108" s="29">
        <f t="shared" ca="1" si="65"/>
        <v>2</v>
      </c>
      <c r="AB108" s="29">
        <f t="shared" ca="1" si="65"/>
        <v>0</v>
      </c>
      <c r="AC108" s="29">
        <f t="shared" ca="1" si="65"/>
        <v>2</v>
      </c>
      <c r="AD108" s="29">
        <f t="shared" ca="1" si="65"/>
        <v>3</v>
      </c>
      <c r="AE108" s="29">
        <f t="shared" ca="1" si="65"/>
        <v>1</v>
      </c>
      <c r="AF108" s="29">
        <f t="shared" ca="1" si="65"/>
        <v>2</v>
      </c>
      <c r="AG108" s="29">
        <f t="shared" ca="1" si="64"/>
        <v>1</v>
      </c>
      <c r="AH108" s="29">
        <f t="shared" ca="1" si="64"/>
        <v>3</v>
      </c>
      <c r="AI108" s="29">
        <f t="shared" ca="1" si="64"/>
        <v>2</v>
      </c>
      <c r="AJ108" s="29">
        <f t="shared" ca="1" si="64"/>
        <v>2</v>
      </c>
      <c r="AK108" s="29">
        <f t="shared" ca="1" si="64"/>
        <v>4</v>
      </c>
      <c r="AL108" s="29">
        <f t="shared" ca="1" si="64"/>
        <v>3</v>
      </c>
      <c r="AM108" s="29">
        <f t="shared" ca="1" si="64"/>
        <v>2</v>
      </c>
      <c r="AN108" s="29">
        <f t="shared" ca="1" si="64"/>
        <v>3</v>
      </c>
      <c r="AO108" s="29">
        <f t="shared" ca="1" si="64"/>
        <v>2</v>
      </c>
      <c r="AP108" s="29">
        <f t="shared" ca="1" si="64"/>
        <v>4</v>
      </c>
      <c r="AQ108" s="29">
        <f t="shared" ca="1" si="64"/>
        <v>3</v>
      </c>
      <c r="AR108" s="29">
        <f t="shared" ca="1" si="64"/>
        <v>5</v>
      </c>
      <c r="AS108" s="29">
        <f t="shared" ca="1" si="64"/>
        <v>2</v>
      </c>
      <c r="AT108" s="29">
        <f t="shared" ca="1" si="64"/>
        <v>4</v>
      </c>
      <c r="AU108" s="29">
        <f t="shared" ca="1" si="64"/>
        <v>2</v>
      </c>
      <c r="AV108" s="29">
        <f t="shared" ca="1" si="60"/>
        <v>1</v>
      </c>
      <c r="AW108" s="29">
        <f t="shared" ca="1" si="60"/>
        <v>1</v>
      </c>
      <c r="AX108" s="29">
        <f t="shared" ca="1" si="60"/>
        <v>3</v>
      </c>
      <c r="AY108" s="29">
        <f t="shared" ca="1" si="60"/>
        <v>2</v>
      </c>
      <c r="AZ108" s="29">
        <f t="shared" ca="1" si="60"/>
        <v>1</v>
      </c>
      <c r="BA108" s="29">
        <f t="shared" ca="1" si="60"/>
        <v>0</v>
      </c>
      <c r="BB108" s="29">
        <f t="shared" ca="1" si="60"/>
        <v>2</v>
      </c>
      <c r="BC108" s="29">
        <f t="shared" ca="1" si="60"/>
        <v>3</v>
      </c>
      <c r="BD108" s="29">
        <f t="shared" ca="1" si="60"/>
        <v>4</v>
      </c>
      <c r="BE108" s="29">
        <f t="shared" ca="1" si="60"/>
        <v>6</v>
      </c>
      <c r="BF108" s="29">
        <f t="shared" ca="1" si="60"/>
        <v>3</v>
      </c>
      <c r="BG108" s="29">
        <f t="shared" ca="1" si="60"/>
        <v>4</v>
      </c>
      <c r="BH108" s="29">
        <f t="shared" ca="1" si="60"/>
        <v>4</v>
      </c>
      <c r="BI108" s="29">
        <f t="shared" ca="1" si="60"/>
        <v>3</v>
      </c>
      <c r="BJ108" s="29">
        <f t="shared" ca="1" si="60"/>
        <v>1</v>
      </c>
      <c r="BK108" s="29">
        <f t="shared" ref="BK108:BZ123" ca="1" si="66">_xlfn.BINOM.INV(50,$E108,RAND())</f>
        <v>3</v>
      </c>
      <c r="BL108" s="29">
        <f t="shared" ca="1" si="66"/>
        <v>5</v>
      </c>
      <c r="BM108" s="29">
        <f t="shared" ca="1" si="66"/>
        <v>4</v>
      </c>
      <c r="BN108" s="29">
        <f t="shared" ca="1" si="66"/>
        <v>4</v>
      </c>
      <c r="BO108" s="29">
        <f t="shared" ca="1" si="66"/>
        <v>2</v>
      </c>
      <c r="BP108" s="29">
        <f t="shared" ca="1" si="66"/>
        <v>1</v>
      </c>
      <c r="BQ108" s="29">
        <f t="shared" ca="1" si="66"/>
        <v>3</v>
      </c>
      <c r="BR108" s="29">
        <f t="shared" ca="1" si="66"/>
        <v>3</v>
      </c>
      <c r="BS108" s="29">
        <f t="shared" ca="1" si="66"/>
        <v>1</v>
      </c>
      <c r="BT108" s="29">
        <f t="shared" ca="1" si="66"/>
        <v>4</v>
      </c>
      <c r="BU108" s="29">
        <f t="shared" ca="1" si="66"/>
        <v>1</v>
      </c>
      <c r="BV108" s="29">
        <f t="shared" ca="1" si="66"/>
        <v>4</v>
      </c>
      <c r="BW108" s="29">
        <f t="shared" ca="1" si="66"/>
        <v>4</v>
      </c>
      <c r="BX108" s="29">
        <f t="shared" ca="1" si="66"/>
        <v>4</v>
      </c>
      <c r="BY108" s="29">
        <f t="shared" ca="1" si="66"/>
        <v>1</v>
      </c>
      <c r="BZ108" s="29">
        <f t="shared" ca="1" si="66"/>
        <v>4</v>
      </c>
      <c r="CA108" s="29">
        <f t="shared" ca="1" si="62"/>
        <v>3</v>
      </c>
      <c r="CB108" s="29">
        <f t="shared" ca="1" si="62"/>
        <v>1</v>
      </c>
      <c r="CC108" s="29">
        <f t="shared" ca="1" si="62"/>
        <v>2</v>
      </c>
      <c r="CD108" s="29">
        <f t="shared" ca="1" si="62"/>
        <v>0</v>
      </c>
      <c r="CE108" s="29">
        <f t="shared" ca="1" si="62"/>
        <v>2</v>
      </c>
      <c r="CF108" s="29">
        <f t="shared" ca="1" si="62"/>
        <v>1</v>
      </c>
      <c r="CG108" s="29">
        <f t="shared" ca="1" si="62"/>
        <v>2</v>
      </c>
      <c r="CH108" s="29">
        <f t="shared" ca="1" si="62"/>
        <v>4</v>
      </c>
      <c r="CI108" s="29">
        <f t="shared" ca="1" si="62"/>
        <v>1</v>
      </c>
      <c r="CJ108" s="29">
        <f t="shared" ca="1" si="62"/>
        <v>1</v>
      </c>
      <c r="CK108" s="29">
        <f t="shared" ca="1" si="62"/>
        <v>1</v>
      </c>
      <c r="CL108" s="29">
        <f t="shared" ca="1" si="62"/>
        <v>0</v>
      </c>
      <c r="CM108" s="29">
        <f t="shared" ca="1" si="62"/>
        <v>3</v>
      </c>
      <c r="CN108" s="29">
        <f t="shared" ca="1" si="62"/>
        <v>3</v>
      </c>
      <c r="CO108" s="29">
        <f t="shared" ca="1" si="62"/>
        <v>1</v>
      </c>
      <c r="CP108" s="29">
        <f t="shared" ca="1" si="62"/>
        <v>4</v>
      </c>
      <c r="CQ108" s="29">
        <f t="shared" ca="1" si="61"/>
        <v>7</v>
      </c>
      <c r="CR108" s="29">
        <f t="shared" ca="1" si="61"/>
        <v>4</v>
      </c>
      <c r="CS108" s="29">
        <f t="shared" ca="1" si="61"/>
        <v>1</v>
      </c>
      <c r="CT108" s="29">
        <f t="shared" ca="1" si="61"/>
        <v>3</v>
      </c>
      <c r="CU108" s="29">
        <f t="shared" ca="1" si="61"/>
        <v>2</v>
      </c>
      <c r="CV108" s="29">
        <f t="shared" ca="1" si="61"/>
        <v>2</v>
      </c>
      <c r="CW108" s="29">
        <f t="shared" ca="1" si="38"/>
        <v>5</v>
      </c>
      <c r="CX108" s="29">
        <f t="shared" ca="1" si="63"/>
        <v>3</v>
      </c>
      <c r="CY108" s="29">
        <f t="shared" ca="1" si="63"/>
        <v>2</v>
      </c>
      <c r="CZ108" s="29">
        <f t="shared" ca="1" si="63"/>
        <v>3</v>
      </c>
      <c r="DA108" s="29">
        <f t="shared" ca="1" si="63"/>
        <v>3</v>
      </c>
      <c r="DB108" s="29">
        <f t="shared" ca="1" si="63"/>
        <v>2</v>
      </c>
      <c r="DC108" s="29">
        <f t="shared" ca="1" si="63"/>
        <v>4</v>
      </c>
      <c r="DD108" s="29">
        <f t="shared" ca="1" si="63"/>
        <v>2</v>
      </c>
      <c r="DE108" s="29">
        <f t="shared" ca="1" si="63"/>
        <v>4</v>
      </c>
      <c r="DF108" s="29">
        <f t="shared" ca="1" si="63"/>
        <v>5</v>
      </c>
      <c r="DG108" s="29">
        <f t="shared" ca="1" si="63"/>
        <v>2</v>
      </c>
      <c r="DH108" s="29">
        <f t="shared" ca="1" si="63"/>
        <v>2</v>
      </c>
      <c r="DI108" s="29">
        <f t="shared" ca="1" si="63"/>
        <v>3</v>
      </c>
      <c r="DJ108" s="29">
        <f t="shared" ca="1" si="63"/>
        <v>6</v>
      </c>
      <c r="DK108" s="29">
        <f t="shared" ca="1" si="63"/>
        <v>3</v>
      </c>
      <c r="DL108" s="29">
        <f t="shared" ca="1" si="63"/>
        <v>2</v>
      </c>
    </row>
    <row r="109" spans="1:116" ht="14.4" x14ac:dyDescent="0.3">
      <c r="A109" s="31">
        <v>225</v>
      </c>
      <c r="B109" s="28">
        <v>1.97</v>
      </c>
      <c r="C109" s="30">
        <v>40.659999999999997</v>
      </c>
      <c r="D109" s="28">
        <v>1.56</v>
      </c>
      <c r="E109" s="34">
        <f t="shared" si="43"/>
        <v>3.1200000000000002E-2</v>
      </c>
      <c r="F109" s="35">
        <f t="shared" si="44"/>
        <v>10.164999999999999</v>
      </c>
      <c r="G109" s="34">
        <f t="shared" si="45"/>
        <v>39</v>
      </c>
      <c r="H109" s="33">
        <f t="shared" si="46"/>
        <v>14.637055837563452</v>
      </c>
      <c r="I109" s="28">
        <f t="shared" si="49"/>
        <v>232.26999999999998</v>
      </c>
      <c r="J109" s="32">
        <v>1</v>
      </c>
      <c r="K109" s="30">
        <f t="shared" si="47"/>
        <v>10.164999999999999</v>
      </c>
      <c r="L109" s="30"/>
      <c r="M109" s="30"/>
      <c r="N109" s="30"/>
      <c r="O109" s="30"/>
      <c r="Q109" s="29">
        <f t="shared" ca="1" si="48"/>
        <v>1</v>
      </c>
      <c r="R109" s="29">
        <f t="shared" ca="1" si="65"/>
        <v>5</v>
      </c>
      <c r="S109" s="29">
        <f t="shared" ca="1" si="65"/>
        <v>0</v>
      </c>
      <c r="T109" s="29">
        <f t="shared" ca="1" si="65"/>
        <v>4</v>
      </c>
      <c r="U109" s="29">
        <f t="shared" ca="1" si="65"/>
        <v>1</v>
      </c>
      <c r="V109" s="29">
        <f t="shared" ca="1" si="65"/>
        <v>2</v>
      </c>
      <c r="W109" s="29">
        <f t="shared" ca="1" si="65"/>
        <v>1</v>
      </c>
      <c r="X109" s="29">
        <f t="shared" ca="1" si="65"/>
        <v>2</v>
      </c>
      <c r="Y109" s="29">
        <f t="shared" ca="1" si="65"/>
        <v>0</v>
      </c>
      <c r="Z109" s="29">
        <f t="shared" ca="1" si="65"/>
        <v>2</v>
      </c>
      <c r="AA109" s="29">
        <f t="shared" ca="1" si="65"/>
        <v>1</v>
      </c>
      <c r="AB109" s="29">
        <f t="shared" ca="1" si="65"/>
        <v>1</v>
      </c>
      <c r="AC109" s="29">
        <f t="shared" ca="1" si="65"/>
        <v>1</v>
      </c>
      <c r="AD109" s="29">
        <f t="shared" ca="1" si="65"/>
        <v>2</v>
      </c>
      <c r="AE109" s="29">
        <f t="shared" ca="1" si="65"/>
        <v>4</v>
      </c>
      <c r="AF109" s="29">
        <f t="shared" ca="1" si="65"/>
        <v>3</v>
      </c>
      <c r="AG109" s="29">
        <f t="shared" ca="1" si="64"/>
        <v>2</v>
      </c>
      <c r="AH109" s="29">
        <f t="shared" ca="1" si="64"/>
        <v>1</v>
      </c>
      <c r="AI109" s="29">
        <f t="shared" ca="1" si="64"/>
        <v>1</v>
      </c>
      <c r="AJ109" s="29">
        <f t="shared" ca="1" si="64"/>
        <v>3</v>
      </c>
      <c r="AK109" s="29">
        <f t="shared" ca="1" si="64"/>
        <v>3</v>
      </c>
      <c r="AL109" s="29">
        <f t="shared" ca="1" si="64"/>
        <v>1</v>
      </c>
      <c r="AM109" s="29">
        <f t="shared" ca="1" si="64"/>
        <v>0</v>
      </c>
      <c r="AN109" s="29">
        <f t="shared" ca="1" si="64"/>
        <v>0</v>
      </c>
      <c r="AO109" s="29">
        <f t="shared" ca="1" si="64"/>
        <v>1</v>
      </c>
      <c r="AP109" s="29">
        <f t="shared" ca="1" si="64"/>
        <v>0</v>
      </c>
      <c r="AQ109" s="29">
        <f t="shared" ca="1" si="64"/>
        <v>0</v>
      </c>
      <c r="AR109" s="29">
        <f t="shared" ca="1" si="64"/>
        <v>5</v>
      </c>
      <c r="AS109" s="29">
        <f t="shared" ca="1" si="64"/>
        <v>2</v>
      </c>
      <c r="AT109" s="29">
        <f t="shared" ca="1" si="64"/>
        <v>1</v>
      </c>
      <c r="AU109" s="29">
        <f t="shared" ca="1" si="64"/>
        <v>1</v>
      </c>
      <c r="AV109" s="29">
        <f t="shared" ref="AV109:BK124" ca="1" si="67">_xlfn.BINOM.INV(50,$E109,RAND())</f>
        <v>3</v>
      </c>
      <c r="AW109" s="29">
        <f t="shared" ca="1" si="67"/>
        <v>0</v>
      </c>
      <c r="AX109" s="29">
        <f t="shared" ca="1" si="67"/>
        <v>1</v>
      </c>
      <c r="AY109" s="29">
        <f t="shared" ca="1" si="67"/>
        <v>1</v>
      </c>
      <c r="AZ109" s="29">
        <f t="shared" ca="1" si="67"/>
        <v>1</v>
      </c>
      <c r="BA109" s="29">
        <f t="shared" ca="1" si="67"/>
        <v>2</v>
      </c>
      <c r="BB109" s="29">
        <f t="shared" ca="1" si="67"/>
        <v>1</v>
      </c>
      <c r="BC109" s="29">
        <f t="shared" ca="1" si="67"/>
        <v>1</v>
      </c>
      <c r="BD109" s="29">
        <f t="shared" ca="1" si="67"/>
        <v>0</v>
      </c>
      <c r="BE109" s="29">
        <f t="shared" ca="1" si="67"/>
        <v>0</v>
      </c>
      <c r="BF109" s="29">
        <f t="shared" ca="1" si="67"/>
        <v>0</v>
      </c>
      <c r="BG109" s="29">
        <f t="shared" ca="1" si="67"/>
        <v>2</v>
      </c>
      <c r="BH109" s="29">
        <f t="shared" ca="1" si="67"/>
        <v>2</v>
      </c>
      <c r="BI109" s="29">
        <f t="shared" ca="1" si="67"/>
        <v>1</v>
      </c>
      <c r="BJ109" s="29">
        <f t="shared" ca="1" si="67"/>
        <v>0</v>
      </c>
      <c r="BK109" s="29">
        <f t="shared" ca="1" si="67"/>
        <v>4</v>
      </c>
      <c r="BL109" s="29">
        <f t="shared" ca="1" si="66"/>
        <v>0</v>
      </c>
      <c r="BM109" s="29">
        <f t="shared" ca="1" si="66"/>
        <v>1</v>
      </c>
      <c r="BN109" s="29">
        <f t="shared" ca="1" si="66"/>
        <v>2</v>
      </c>
      <c r="BO109" s="29">
        <f t="shared" ca="1" si="66"/>
        <v>1</v>
      </c>
      <c r="BP109" s="29">
        <f t="shared" ca="1" si="66"/>
        <v>2</v>
      </c>
      <c r="BQ109" s="29">
        <f t="shared" ca="1" si="66"/>
        <v>1</v>
      </c>
      <c r="BR109" s="29">
        <f t="shared" ca="1" si="66"/>
        <v>1</v>
      </c>
      <c r="BS109" s="29">
        <f t="shared" ca="1" si="66"/>
        <v>1</v>
      </c>
      <c r="BT109" s="29">
        <f t="shared" ca="1" si="66"/>
        <v>2</v>
      </c>
      <c r="BU109" s="29">
        <f t="shared" ca="1" si="66"/>
        <v>1</v>
      </c>
      <c r="BV109" s="29">
        <f t="shared" ca="1" si="66"/>
        <v>2</v>
      </c>
      <c r="BW109" s="29">
        <f t="shared" ca="1" si="66"/>
        <v>0</v>
      </c>
      <c r="BX109" s="29">
        <f t="shared" ca="1" si="66"/>
        <v>2</v>
      </c>
      <c r="BY109" s="29">
        <f t="shared" ca="1" si="66"/>
        <v>1</v>
      </c>
      <c r="BZ109" s="29">
        <f t="shared" ca="1" si="66"/>
        <v>1</v>
      </c>
      <c r="CA109" s="29">
        <f t="shared" ca="1" si="62"/>
        <v>3</v>
      </c>
      <c r="CB109" s="29">
        <f t="shared" ca="1" si="62"/>
        <v>2</v>
      </c>
      <c r="CC109" s="29">
        <f t="shared" ca="1" si="62"/>
        <v>1</v>
      </c>
      <c r="CD109" s="29">
        <f t="shared" ca="1" si="62"/>
        <v>2</v>
      </c>
      <c r="CE109" s="29">
        <f t="shared" ca="1" si="62"/>
        <v>2</v>
      </c>
      <c r="CF109" s="29">
        <f t="shared" ca="1" si="62"/>
        <v>0</v>
      </c>
      <c r="CG109" s="29">
        <f t="shared" ca="1" si="62"/>
        <v>1</v>
      </c>
      <c r="CH109" s="29">
        <f t="shared" ca="1" si="62"/>
        <v>1</v>
      </c>
      <c r="CI109" s="29">
        <f t="shared" ca="1" si="62"/>
        <v>4</v>
      </c>
      <c r="CJ109" s="29">
        <f t="shared" ca="1" si="62"/>
        <v>2</v>
      </c>
      <c r="CK109" s="29">
        <f t="shared" ca="1" si="62"/>
        <v>2</v>
      </c>
      <c r="CL109" s="29">
        <f t="shared" ca="1" si="62"/>
        <v>2</v>
      </c>
      <c r="CM109" s="29">
        <f t="shared" ca="1" si="62"/>
        <v>0</v>
      </c>
      <c r="CN109" s="29">
        <f t="shared" ca="1" si="62"/>
        <v>0</v>
      </c>
      <c r="CO109" s="29">
        <f t="shared" ca="1" si="62"/>
        <v>1</v>
      </c>
      <c r="CP109" s="29">
        <f t="shared" ref="CP109:DE121" ca="1" si="68">_xlfn.BINOM.INV(50,$E109,RAND())</f>
        <v>1</v>
      </c>
      <c r="CQ109" s="29">
        <f t="shared" ca="1" si="68"/>
        <v>2</v>
      </c>
      <c r="CR109" s="29">
        <f t="shared" ca="1" si="68"/>
        <v>3</v>
      </c>
      <c r="CS109" s="29">
        <f t="shared" ca="1" si="68"/>
        <v>2</v>
      </c>
      <c r="CT109" s="29">
        <f t="shared" ca="1" si="68"/>
        <v>2</v>
      </c>
      <c r="CU109" s="29">
        <f t="shared" ca="1" si="68"/>
        <v>2</v>
      </c>
      <c r="CV109" s="29">
        <f t="shared" ca="1" si="68"/>
        <v>3</v>
      </c>
      <c r="CW109" s="29">
        <f t="shared" ca="1" si="68"/>
        <v>1</v>
      </c>
      <c r="CX109" s="29">
        <f t="shared" ca="1" si="68"/>
        <v>2</v>
      </c>
      <c r="CY109" s="29">
        <f t="shared" ca="1" si="68"/>
        <v>2</v>
      </c>
      <c r="CZ109" s="29">
        <f t="shared" ca="1" si="68"/>
        <v>0</v>
      </c>
      <c r="DA109" s="29">
        <f t="shared" ca="1" si="68"/>
        <v>0</v>
      </c>
      <c r="DB109" s="29">
        <f t="shared" ca="1" si="68"/>
        <v>1</v>
      </c>
      <c r="DC109" s="29">
        <f t="shared" ca="1" si="68"/>
        <v>2</v>
      </c>
      <c r="DD109" s="29">
        <f t="shared" ca="1" si="68"/>
        <v>1</v>
      </c>
      <c r="DE109" s="29">
        <f t="shared" ca="1" si="68"/>
        <v>0</v>
      </c>
      <c r="DF109" s="29">
        <f t="shared" ca="1" si="63"/>
        <v>1</v>
      </c>
      <c r="DG109" s="29">
        <f t="shared" ca="1" si="63"/>
        <v>3</v>
      </c>
      <c r="DH109" s="29">
        <f t="shared" ca="1" si="63"/>
        <v>1</v>
      </c>
      <c r="DI109" s="29">
        <f t="shared" ca="1" si="63"/>
        <v>1</v>
      </c>
      <c r="DJ109" s="29">
        <f t="shared" ca="1" si="63"/>
        <v>2</v>
      </c>
      <c r="DK109" s="29">
        <f t="shared" ca="1" si="63"/>
        <v>1</v>
      </c>
      <c r="DL109" s="29">
        <f t="shared" ca="1" si="63"/>
        <v>0</v>
      </c>
    </row>
    <row r="110" spans="1:116" ht="14.4" x14ac:dyDescent="0.3">
      <c r="A110" s="31">
        <v>1010</v>
      </c>
      <c r="B110" s="28">
        <v>4.08</v>
      </c>
      <c r="C110" s="30">
        <v>59.35</v>
      </c>
      <c r="D110" s="28">
        <v>2.98</v>
      </c>
      <c r="E110" s="34">
        <f t="shared" si="43"/>
        <v>5.96E-2</v>
      </c>
      <c r="F110" s="35">
        <f t="shared" si="44"/>
        <v>14.8375</v>
      </c>
      <c r="G110" s="34">
        <f t="shared" si="45"/>
        <v>74.5</v>
      </c>
      <c r="H110" s="33">
        <f t="shared" si="46"/>
        <v>14.623161764705882</v>
      </c>
      <c r="I110" s="28">
        <f t="shared" si="49"/>
        <v>236.35</v>
      </c>
      <c r="J110" s="32">
        <v>1</v>
      </c>
      <c r="K110" s="30">
        <f t="shared" si="47"/>
        <v>14.8375</v>
      </c>
      <c r="L110" s="30"/>
      <c r="M110" s="30"/>
      <c r="N110" s="30"/>
      <c r="O110" s="30"/>
      <c r="Q110" s="29">
        <f t="shared" ca="1" si="48"/>
        <v>4</v>
      </c>
      <c r="R110" s="29">
        <f t="shared" ca="1" si="65"/>
        <v>3</v>
      </c>
      <c r="S110" s="29">
        <f t="shared" ca="1" si="65"/>
        <v>2</v>
      </c>
      <c r="T110" s="29">
        <f t="shared" ca="1" si="65"/>
        <v>1</v>
      </c>
      <c r="U110" s="29">
        <f t="shared" ca="1" si="65"/>
        <v>4</v>
      </c>
      <c r="V110" s="29">
        <f t="shared" ca="1" si="65"/>
        <v>2</v>
      </c>
      <c r="W110" s="29">
        <f t="shared" ca="1" si="65"/>
        <v>2</v>
      </c>
      <c r="X110" s="29">
        <f t="shared" ca="1" si="65"/>
        <v>3</v>
      </c>
      <c r="Y110" s="29">
        <f t="shared" ca="1" si="65"/>
        <v>6</v>
      </c>
      <c r="Z110" s="29">
        <f t="shared" ca="1" si="65"/>
        <v>6</v>
      </c>
      <c r="AA110" s="29">
        <f t="shared" ca="1" si="65"/>
        <v>0</v>
      </c>
      <c r="AB110" s="29">
        <f t="shared" ca="1" si="65"/>
        <v>3</v>
      </c>
      <c r="AC110" s="29">
        <f t="shared" ca="1" si="65"/>
        <v>0</v>
      </c>
      <c r="AD110" s="29">
        <f t="shared" ca="1" si="65"/>
        <v>0</v>
      </c>
      <c r="AE110" s="29">
        <f t="shared" ca="1" si="65"/>
        <v>1</v>
      </c>
      <c r="AF110" s="29">
        <f t="shared" ca="1" si="65"/>
        <v>3</v>
      </c>
      <c r="AG110" s="29">
        <f t="shared" ca="1" si="64"/>
        <v>3</v>
      </c>
      <c r="AH110" s="29">
        <f t="shared" ca="1" si="64"/>
        <v>2</v>
      </c>
      <c r="AI110" s="29">
        <f t="shared" ca="1" si="64"/>
        <v>5</v>
      </c>
      <c r="AJ110" s="29">
        <f t="shared" ca="1" si="64"/>
        <v>3</v>
      </c>
      <c r="AK110" s="29">
        <f t="shared" ca="1" si="64"/>
        <v>3</v>
      </c>
      <c r="AL110" s="29">
        <f t="shared" ca="1" si="64"/>
        <v>3</v>
      </c>
      <c r="AM110" s="29">
        <f t="shared" ca="1" si="64"/>
        <v>2</v>
      </c>
      <c r="AN110" s="29">
        <f t="shared" ca="1" si="64"/>
        <v>3</v>
      </c>
      <c r="AO110" s="29">
        <f t="shared" ca="1" si="64"/>
        <v>4</v>
      </c>
      <c r="AP110" s="29">
        <f t="shared" ca="1" si="64"/>
        <v>4</v>
      </c>
      <c r="AQ110" s="29">
        <f t="shared" ca="1" si="64"/>
        <v>2</v>
      </c>
      <c r="AR110" s="29">
        <f t="shared" ca="1" si="64"/>
        <v>3</v>
      </c>
      <c r="AS110" s="29">
        <f t="shared" ca="1" si="64"/>
        <v>1</v>
      </c>
      <c r="AT110" s="29">
        <f t="shared" ca="1" si="64"/>
        <v>2</v>
      </c>
      <c r="AU110" s="29">
        <f t="shared" ca="1" si="64"/>
        <v>1</v>
      </c>
      <c r="AV110" s="29">
        <f t="shared" ca="1" si="67"/>
        <v>5</v>
      </c>
      <c r="AW110" s="29">
        <f t="shared" ca="1" si="67"/>
        <v>0</v>
      </c>
      <c r="AX110" s="29">
        <f t="shared" ca="1" si="67"/>
        <v>4</v>
      </c>
      <c r="AY110" s="29">
        <f t="shared" ca="1" si="67"/>
        <v>2</v>
      </c>
      <c r="AZ110" s="29">
        <f t="shared" ca="1" si="67"/>
        <v>3</v>
      </c>
      <c r="BA110" s="29">
        <f t="shared" ca="1" si="67"/>
        <v>4</v>
      </c>
      <c r="BB110" s="29">
        <f t="shared" ca="1" si="67"/>
        <v>5</v>
      </c>
      <c r="BC110" s="29">
        <f t="shared" ca="1" si="67"/>
        <v>6</v>
      </c>
      <c r="BD110" s="29">
        <f t="shared" ca="1" si="67"/>
        <v>3</v>
      </c>
      <c r="BE110" s="29">
        <f t="shared" ca="1" si="67"/>
        <v>2</v>
      </c>
      <c r="BF110" s="29">
        <f t="shared" ca="1" si="67"/>
        <v>3</v>
      </c>
      <c r="BG110" s="29">
        <f t="shared" ca="1" si="67"/>
        <v>5</v>
      </c>
      <c r="BH110" s="29">
        <f t="shared" ca="1" si="67"/>
        <v>2</v>
      </c>
      <c r="BI110" s="29">
        <f t="shared" ca="1" si="67"/>
        <v>4</v>
      </c>
      <c r="BJ110" s="29">
        <f t="shared" ca="1" si="67"/>
        <v>2</v>
      </c>
      <c r="BK110" s="29">
        <f t="shared" ca="1" si="67"/>
        <v>4</v>
      </c>
      <c r="BL110" s="29">
        <f t="shared" ca="1" si="66"/>
        <v>2</v>
      </c>
      <c r="BM110" s="29">
        <f t="shared" ca="1" si="66"/>
        <v>5</v>
      </c>
      <c r="BN110" s="29">
        <f t="shared" ca="1" si="66"/>
        <v>3</v>
      </c>
      <c r="BO110" s="29">
        <f t="shared" ca="1" si="66"/>
        <v>4</v>
      </c>
      <c r="BP110" s="29">
        <f t="shared" ca="1" si="66"/>
        <v>2</v>
      </c>
      <c r="BQ110" s="29">
        <f t="shared" ca="1" si="66"/>
        <v>4</v>
      </c>
      <c r="BR110" s="29">
        <f t="shared" ca="1" si="66"/>
        <v>1</v>
      </c>
      <c r="BS110" s="29">
        <f t="shared" ca="1" si="66"/>
        <v>0</v>
      </c>
      <c r="BT110" s="29">
        <f t="shared" ca="1" si="66"/>
        <v>2</v>
      </c>
      <c r="BU110" s="29">
        <f t="shared" ca="1" si="66"/>
        <v>5</v>
      </c>
      <c r="BV110" s="29">
        <f t="shared" ca="1" si="66"/>
        <v>4</v>
      </c>
      <c r="BW110" s="29">
        <f t="shared" ca="1" si="66"/>
        <v>0</v>
      </c>
      <c r="BX110" s="29">
        <f t="shared" ca="1" si="66"/>
        <v>2</v>
      </c>
      <c r="BY110" s="29">
        <f t="shared" ca="1" si="66"/>
        <v>4</v>
      </c>
      <c r="BZ110" s="29">
        <f t="shared" ca="1" si="66"/>
        <v>1</v>
      </c>
      <c r="CA110" s="29">
        <f t="shared" ref="CA110:CP132" ca="1" si="69">_xlfn.BINOM.INV(50,$E110,RAND())</f>
        <v>0</v>
      </c>
      <c r="CB110" s="29">
        <f t="shared" ca="1" si="69"/>
        <v>2</v>
      </c>
      <c r="CC110" s="29">
        <f t="shared" ca="1" si="69"/>
        <v>2</v>
      </c>
      <c r="CD110" s="29">
        <f t="shared" ca="1" si="69"/>
        <v>4</v>
      </c>
      <c r="CE110" s="29">
        <f t="shared" ca="1" si="69"/>
        <v>4</v>
      </c>
      <c r="CF110" s="29">
        <f t="shared" ca="1" si="69"/>
        <v>2</v>
      </c>
      <c r="CG110" s="29">
        <f t="shared" ca="1" si="69"/>
        <v>3</v>
      </c>
      <c r="CH110" s="29">
        <f t="shared" ca="1" si="69"/>
        <v>3</v>
      </c>
      <c r="CI110" s="29">
        <f t="shared" ca="1" si="69"/>
        <v>5</v>
      </c>
      <c r="CJ110" s="29">
        <f t="shared" ca="1" si="69"/>
        <v>4</v>
      </c>
      <c r="CK110" s="29">
        <f t="shared" ca="1" si="69"/>
        <v>3</v>
      </c>
      <c r="CL110" s="29">
        <f t="shared" ca="1" si="69"/>
        <v>5</v>
      </c>
      <c r="CM110" s="29">
        <f t="shared" ca="1" si="69"/>
        <v>3</v>
      </c>
      <c r="CN110" s="29">
        <f t="shared" ca="1" si="69"/>
        <v>1</v>
      </c>
      <c r="CO110" s="29">
        <f t="shared" ca="1" si="69"/>
        <v>3</v>
      </c>
      <c r="CP110" s="29">
        <f t="shared" ca="1" si="69"/>
        <v>2</v>
      </c>
      <c r="CQ110" s="29">
        <f t="shared" ca="1" si="68"/>
        <v>3</v>
      </c>
      <c r="CR110" s="29">
        <f t="shared" ca="1" si="68"/>
        <v>4</v>
      </c>
      <c r="CS110" s="29">
        <f t="shared" ca="1" si="68"/>
        <v>2</v>
      </c>
      <c r="CT110" s="29">
        <f t="shared" ca="1" si="68"/>
        <v>3</v>
      </c>
      <c r="CU110" s="29">
        <f t="shared" ca="1" si="68"/>
        <v>3</v>
      </c>
      <c r="CV110" s="29">
        <f t="shared" ca="1" si="68"/>
        <v>3</v>
      </c>
      <c r="CW110" s="29">
        <f t="shared" ca="1" si="68"/>
        <v>0</v>
      </c>
      <c r="CX110" s="29">
        <f t="shared" ca="1" si="68"/>
        <v>3</v>
      </c>
      <c r="CY110" s="29">
        <f t="shared" ca="1" si="68"/>
        <v>2</v>
      </c>
      <c r="CZ110" s="29">
        <f t="shared" ca="1" si="68"/>
        <v>3</v>
      </c>
      <c r="DA110" s="29">
        <f t="shared" ca="1" si="68"/>
        <v>3</v>
      </c>
      <c r="DB110" s="29">
        <f t="shared" ca="1" si="68"/>
        <v>5</v>
      </c>
      <c r="DC110" s="29">
        <f t="shared" ca="1" si="68"/>
        <v>3</v>
      </c>
      <c r="DD110" s="29">
        <f t="shared" ca="1" si="68"/>
        <v>3</v>
      </c>
      <c r="DE110" s="29">
        <f t="shared" ca="1" si="68"/>
        <v>5</v>
      </c>
      <c r="DF110" s="29">
        <f t="shared" ca="1" si="63"/>
        <v>2</v>
      </c>
      <c r="DG110" s="29">
        <f t="shared" ca="1" si="63"/>
        <v>5</v>
      </c>
      <c r="DH110" s="29">
        <f t="shared" ca="1" si="63"/>
        <v>3</v>
      </c>
      <c r="DI110" s="29">
        <f t="shared" ca="1" si="63"/>
        <v>3</v>
      </c>
      <c r="DJ110" s="29">
        <f t="shared" ca="1" si="63"/>
        <v>5</v>
      </c>
      <c r="DK110" s="29">
        <f t="shared" ca="1" si="63"/>
        <v>4</v>
      </c>
      <c r="DL110" s="29">
        <f t="shared" ca="1" si="63"/>
        <v>2</v>
      </c>
    </row>
    <row r="111" spans="1:116" ht="14.4" x14ac:dyDescent="0.3">
      <c r="A111" s="31">
        <v>580</v>
      </c>
      <c r="B111" s="28">
        <v>3.03</v>
      </c>
      <c r="C111" s="30">
        <v>36.81</v>
      </c>
      <c r="D111" s="28">
        <v>2.14</v>
      </c>
      <c r="E111" s="34">
        <f t="shared" si="43"/>
        <v>4.2800000000000005E-2</v>
      </c>
      <c r="F111" s="35">
        <f t="shared" si="44"/>
        <v>9.2025000000000006</v>
      </c>
      <c r="G111" s="34">
        <f t="shared" si="45"/>
        <v>53.5</v>
      </c>
      <c r="H111" s="33">
        <f t="shared" si="46"/>
        <v>14.619636963696371</v>
      </c>
      <c r="I111" s="28">
        <f t="shared" si="49"/>
        <v>239.38</v>
      </c>
      <c r="J111" s="32">
        <v>1</v>
      </c>
      <c r="K111" s="30">
        <f t="shared" si="47"/>
        <v>9.2025000000000006</v>
      </c>
      <c r="L111" s="30"/>
      <c r="M111" s="30"/>
      <c r="N111" s="30"/>
      <c r="O111" s="30"/>
      <c r="Q111" s="29">
        <f t="shared" ca="1" si="48"/>
        <v>6</v>
      </c>
      <c r="R111" s="29">
        <f t="shared" ca="1" si="65"/>
        <v>1</v>
      </c>
      <c r="S111" s="29">
        <f t="shared" ca="1" si="65"/>
        <v>0</v>
      </c>
      <c r="T111" s="29">
        <f t="shared" ca="1" si="65"/>
        <v>3</v>
      </c>
      <c r="U111" s="29">
        <f t="shared" ca="1" si="65"/>
        <v>2</v>
      </c>
      <c r="V111" s="29">
        <f t="shared" ca="1" si="65"/>
        <v>3</v>
      </c>
      <c r="W111" s="29">
        <f t="shared" ca="1" si="65"/>
        <v>6</v>
      </c>
      <c r="X111" s="29">
        <f t="shared" ca="1" si="65"/>
        <v>2</v>
      </c>
      <c r="Y111" s="29">
        <f t="shared" ca="1" si="65"/>
        <v>2</v>
      </c>
      <c r="Z111" s="29">
        <f t="shared" ca="1" si="65"/>
        <v>4</v>
      </c>
      <c r="AA111" s="29">
        <f t="shared" ca="1" si="65"/>
        <v>3</v>
      </c>
      <c r="AB111" s="29">
        <f t="shared" ca="1" si="65"/>
        <v>5</v>
      </c>
      <c r="AC111" s="29">
        <f t="shared" ca="1" si="65"/>
        <v>3</v>
      </c>
      <c r="AD111" s="29">
        <f t="shared" ca="1" si="65"/>
        <v>4</v>
      </c>
      <c r="AE111" s="29">
        <f t="shared" ca="1" si="65"/>
        <v>2</v>
      </c>
      <c r="AF111" s="29">
        <f t="shared" ca="1" si="65"/>
        <v>3</v>
      </c>
      <c r="AG111" s="29">
        <f t="shared" ca="1" si="64"/>
        <v>1</v>
      </c>
      <c r="AH111" s="29">
        <f t="shared" ca="1" si="64"/>
        <v>1</v>
      </c>
      <c r="AI111" s="29">
        <f t="shared" ca="1" si="64"/>
        <v>0</v>
      </c>
      <c r="AJ111" s="29">
        <f t="shared" ca="1" si="64"/>
        <v>2</v>
      </c>
      <c r="AK111" s="29">
        <f t="shared" ca="1" si="64"/>
        <v>2</v>
      </c>
      <c r="AL111" s="29">
        <f t="shared" ca="1" si="64"/>
        <v>1</v>
      </c>
      <c r="AM111" s="29">
        <f t="shared" ca="1" si="64"/>
        <v>2</v>
      </c>
      <c r="AN111" s="29">
        <f t="shared" ca="1" si="64"/>
        <v>5</v>
      </c>
      <c r="AO111" s="29">
        <f t="shared" ca="1" si="64"/>
        <v>3</v>
      </c>
      <c r="AP111" s="29">
        <f t="shared" ca="1" si="64"/>
        <v>1</v>
      </c>
      <c r="AQ111" s="29">
        <f t="shared" ca="1" si="64"/>
        <v>2</v>
      </c>
      <c r="AR111" s="29">
        <f t="shared" ca="1" si="64"/>
        <v>4</v>
      </c>
      <c r="AS111" s="29">
        <f t="shared" ca="1" si="64"/>
        <v>3</v>
      </c>
      <c r="AT111" s="29">
        <f t="shared" ca="1" si="64"/>
        <v>5</v>
      </c>
      <c r="AU111" s="29">
        <f t="shared" ca="1" si="64"/>
        <v>2</v>
      </c>
      <c r="AV111" s="29">
        <f t="shared" ca="1" si="67"/>
        <v>2</v>
      </c>
      <c r="AW111" s="29">
        <f t="shared" ca="1" si="67"/>
        <v>5</v>
      </c>
      <c r="AX111" s="29">
        <f t="shared" ca="1" si="67"/>
        <v>0</v>
      </c>
      <c r="AY111" s="29">
        <f t="shared" ca="1" si="67"/>
        <v>1</v>
      </c>
      <c r="AZ111" s="29">
        <f t="shared" ca="1" si="67"/>
        <v>1</v>
      </c>
      <c r="BA111" s="29">
        <f t="shared" ca="1" si="67"/>
        <v>3</v>
      </c>
      <c r="BB111" s="29">
        <f t="shared" ca="1" si="67"/>
        <v>0</v>
      </c>
      <c r="BC111" s="29">
        <f t="shared" ca="1" si="67"/>
        <v>0</v>
      </c>
      <c r="BD111" s="29">
        <f t="shared" ca="1" si="67"/>
        <v>3</v>
      </c>
      <c r="BE111" s="29">
        <f t="shared" ca="1" si="67"/>
        <v>2</v>
      </c>
      <c r="BF111" s="29">
        <f t="shared" ca="1" si="67"/>
        <v>1</v>
      </c>
      <c r="BG111" s="29">
        <f t="shared" ca="1" si="67"/>
        <v>0</v>
      </c>
      <c r="BH111" s="29">
        <f t="shared" ca="1" si="67"/>
        <v>1</v>
      </c>
      <c r="BI111" s="29">
        <f t="shared" ca="1" si="67"/>
        <v>1</v>
      </c>
      <c r="BJ111" s="29">
        <f t="shared" ca="1" si="67"/>
        <v>2</v>
      </c>
      <c r="BK111" s="29">
        <f t="shared" ca="1" si="67"/>
        <v>2</v>
      </c>
      <c r="BL111" s="29">
        <f t="shared" ca="1" si="66"/>
        <v>5</v>
      </c>
      <c r="BM111" s="29">
        <f t="shared" ca="1" si="66"/>
        <v>3</v>
      </c>
      <c r="BN111" s="29">
        <f t="shared" ca="1" si="66"/>
        <v>3</v>
      </c>
      <c r="BO111" s="29">
        <f t="shared" ca="1" si="66"/>
        <v>0</v>
      </c>
      <c r="BP111" s="29">
        <f t="shared" ca="1" si="66"/>
        <v>1</v>
      </c>
      <c r="BQ111" s="29">
        <f t="shared" ca="1" si="66"/>
        <v>1</v>
      </c>
      <c r="BR111" s="29">
        <f t="shared" ca="1" si="66"/>
        <v>1</v>
      </c>
      <c r="BS111" s="29">
        <f t="shared" ca="1" si="66"/>
        <v>2</v>
      </c>
      <c r="BT111" s="29">
        <f t="shared" ca="1" si="66"/>
        <v>0</v>
      </c>
      <c r="BU111" s="29">
        <f t="shared" ca="1" si="66"/>
        <v>0</v>
      </c>
      <c r="BV111" s="29">
        <f t="shared" ca="1" si="66"/>
        <v>2</v>
      </c>
      <c r="BW111" s="29">
        <f t="shared" ca="1" si="66"/>
        <v>1</v>
      </c>
      <c r="BX111" s="29">
        <f t="shared" ca="1" si="66"/>
        <v>5</v>
      </c>
      <c r="BY111" s="29">
        <f t="shared" ca="1" si="66"/>
        <v>0</v>
      </c>
      <c r="BZ111" s="29">
        <f t="shared" ca="1" si="66"/>
        <v>3</v>
      </c>
      <c r="CA111" s="29">
        <f t="shared" ca="1" si="69"/>
        <v>0</v>
      </c>
      <c r="CB111" s="29">
        <f t="shared" ca="1" si="69"/>
        <v>1</v>
      </c>
      <c r="CC111" s="29">
        <f t="shared" ca="1" si="69"/>
        <v>3</v>
      </c>
      <c r="CD111" s="29">
        <f t="shared" ca="1" si="69"/>
        <v>4</v>
      </c>
      <c r="CE111" s="29">
        <f t="shared" ca="1" si="69"/>
        <v>3</v>
      </c>
      <c r="CF111" s="29">
        <f t="shared" ca="1" si="69"/>
        <v>3</v>
      </c>
      <c r="CG111" s="29">
        <f t="shared" ca="1" si="69"/>
        <v>3</v>
      </c>
      <c r="CH111" s="29">
        <f t="shared" ca="1" si="69"/>
        <v>0</v>
      </c>
      <c r="CI111" s="29">
        <f t="shared" ca="1" si="69"/>
        <v>4</v>
      </c>
      <c r="CJ111" s="29">
        <f t="shared" ca="1" si="69"/>
        <v>1</v>
      </c>
      <c r="CK111" s="29">
        <f t="shared" ca="1" si="69"/>
        <v>2</v>
      </c>
      <c r="CL111" s="29">
        <f t="shared" ca="1" si="69"/>
        <v>1</v>
      </c>
      <c r="CM111" s="29">
        <f t="shared" ca="1" si="69"/>
        <v>1</v>
      </c>
      <c r="CN111" s="29">
        <f t="shared" ca="1" si="69"/>
        <v>4</v>
      </c>
      <c r="CO111" s="29">
        <f t="shared" ca="1" si="69"/>
        <v>1</v>
      </c>
      <c r="CP111" s="29">
        <f t="shared" ca="1" si="69"/>
        <v>3</v>
      </c>
      <c r="CQ111" s="29">
        <f t="shared" ca="1" si="68"/>
        <v>0</v>
      </c>
      <c r="CR111" s="29">
        <f t="shared" ca="1" si="68"/>
        <v>0</v>
      </c>
      <c r="CS111" s="29">
        <f t="shared" ca="1" si="68"/>
        <v>3</v>
      </c>
      <c r="CT111" s="29">
        <f t="shared" ca="1" si="68"/>
        <v>3</v>
      </c>
      <c r="CU111" s="29">
        <f t="shared" ca="1" si="68"/>
        <v>2</v>
      </c>
      <c r="CV111" s="29">
        <f t="shared" ca="1" si="68"/>
        <v>1</v>
      </c>
      <c r="CW111" s="29">
        <f t="shared" ca="1" si="68"/>
        <v>2</v>
      </c>
      <c r="CX111" s="29">
        <f t="shared" ca="1" si="68"/>
        <v>3</v>
      </c>
      <c r="CY111" s="29">
        <f t="shared" ca="1" si="68"/>
        <v>2</v>
      </c>
      <c r="CZ111" s="29">
        <f t="shared" ca="1" si="68"/>
        <v>1</v>
      </c>
      <c r="DA111" s="29">
        <f t="shared" ca="1" si="68"/>
        <v>1</v>
      </c>
      <c r="DB111" s="29">
        <f t="shared" ca="1" si="68"/>
        <v>4</v>
      </c>
      <c r="DC111" s="29">
        <f t="shared" ca="1" si="68"/>
        <v>2</v>
      </c>
      <c r="DD111" s="29">
        <f t="shared" ca="1" si="68"/>
        <v>2</v>
      </c>
      <c r="DE111" s="29">
        <f t="shared" ca="1" si="68"/>
        <v>2</v>
      </c>
      <c r="DF111" s="29">
        <f t="shared" ca="1" si="63"/>
        <v>4</v>
      </c>
      <c r="DG111" s="29">
        <f t="shared" ca="1" si="63"/>
        <v>3</v>
      </c>
      <c r="DH111" s="29">
        <f t="shared" ca="1" si="63"/>
        <v>3</v>
      </c>
      <c r="DI111" s="29">
        <f t="shared" ca="1" si="63"/>
        <v>0</v>
      </c>
      <c r="DJ111" s="29">
        <f t="shared" ca="1" si="63"/>
        <v>3</v>
      </c>
      <c r="DK111" s="29">
        <f t="shared" ca="1" si="63"/>
        <v>1</v>
      </c>
      <c r="DL111" s="29">
        <f t="shared" ca="1" si="63"/>
        <v>2</v>
      </c>
    </row>
    <row r="112" spans="1:116" ht="14.4" x14ac:dyDescent="0.3">
      <c r="A112" s="31">
        <v>811</v>
      </c>
      <c r="B112" s="28">
        <v>4.75</v>
      </c>
      <c r="C112" s="30">
        <v>38.28</v>
      </c>
      <c r="D112" s="28">
        <v>3.14</v>
      </c>
      <c r="E112" s="34">
        <f t="shared" si="43"/>
        <v>6.2800000000000009E-2</v>
      </c>
      <c r="F112" s="35">
        <f t="shared" si="44"/>
        <v>9.57</v>
      </c>
      <c r="G112" s="34">
        <f t="shared" si="45"/>
        <v>78.5</v>
      </c>
      <c r="H112" s="33">
        <f t="shared" si="46"/>
        <v>14.511578947368422</v>
      </c>
      <c r="I112" s="28">
        <f t="shared" si="49"/>
        <v>244.13</v>
      </c>
      <c r="J112" s="32">
        <v>1</v>
      </c>
      <c r="K112" s="30">
        <f t="shared" si="47"/>
        <v>9.57</v>
      </c>
      <c r="L112" s="30"/>
      <c r="M112" s="30"/>
      <c r="N112" s="30"/>
      <c r="O112" s="30"/>
      <c r="Q112" s="29">
        <f t="shared" ca="1" si="48"/>
        <v>3</v>
      </c>
      <c r="R112" s="29">
        <f t="shared" ca="1" si="65"/>
        <v>4</v>
      </c>
      <c r="S112" s="29">
        <f t="shared" ca="1" si="65"/>
        <v>5</v>
      </c>
      <c r="T112" s="29">
        <f t="shared" ca="1" si="65"/>
        <v>3</v>
      </c>
      <c r="U112" s="29">
        <f t="shared" ca="1" si="65"/>
        <v>4</v>
      </c>
      <c r="V112" s="29">
        <f t="shared" ca="1" si="65"/>
        <v>4</v>
      </c>
      <c r="W112" s="29">
        <f t="shared" ca="1" si="65"/>
        <v>1</v>
      </c>
      <c r="X112" s="29">
        <f t="shared" ca="1" si="65"/>
        <v>5</v>
      </c>
      <c r="Y112" s="29">
        <f t="shared" ca="1" si="65"/>
        <v>7</v>
      </c>
      <c r="Z112" s="29">
        <f t="shared" ca="1" si="65"/>
        <v>3</v>
      </c>
      <c r="AA112" s="29">
        <f t="shared" ca="1" si="65"/>
        <v>6</v>
      </c>
      <c r="AB112" s="29">
        <f t="shared" ca="1" si="65"/>
        <v>3</v>
      </c>
      <c r="AC112" s="29">
        <f t="shared" ca="1" si="65"/>
        <v>4</v>
      </c>
      <c r="AD112" s="29">
        <f t="shared" ca="1" si="65"/>
        <v>2</v>
      </c>
      <c r="AE112" s="29">
        <f t="shared" ca="1" si="65"/>
        <v>5</v>
      </c>
      <c r="AF112" s="29">
        <f t="shared" ca="1" si="65"/>
        <v>2</v>
      </c>
      <c r="AG112" s="29">
        <f t="shared" ca="1" si="64"/>
        <v>2</v>
      </c>
      <c r="AH112" s="29">
        <f t="shared" ca="1" si="64"/>
        <v>2</v>
      </c>
      <c r="AI112" s="29">
        <f t="shared" ca="1" si="64"/>
        <v>5</v>
      </c>
      <c r="AJ112" s="29">
        <f t="shared" ca="1" si="64"/>
        <v>1</v>
      </c>
      <c r="AK112" s="29">
        <f t="shared" ca="1" si="64"/>
        <v>8</v>
      </c>
      <c r="AL112" s="29">
        <f t="shared" ca="1" si="64"/>
        <v>3</v>
      </c>
      <c r="AM112" s="29">
        <f t="shared" ca="1" si="64"/>
        <v>3</v>
      </c>
      <c r="AN112" s="29">
        <f t="shared" ca="1" si="64"/>
        <v>3</v>
      </c>
      <c r="AO112" s="29">
        <f t="shared" ca="1" si="64"/>
        <v>3</v>
      </c>
      <c r="AP112" s="29">
        <f t="shared" ca="1" si="64"/>
        <v>4</v>
      </c>
      <c r="AQ112" s="29">
        <f t="shared" ca="1" si="64"/>
        <v>4</v>
      </c>
      <c r="AR112" s="29">
        <f t="shared" ca="1" si="64"/>
        <v>3</v>
      </c>
      <c r="AS112" s="29">
        <f t="shared" ca="1" si="64"/>
        <v>1</v>
      </c>
      <c r="AT112" s="29">
        <f t="shared" ca="1" si="64"/>
        <v>2</v>
      </c>
      <c r="AU112" s="29">
        <f t="shared" ca="1" si="64"/>
        <v>3</v>
      </c>
      <c r="AV112" s="29">
        <f t="shared" ca="1" si="67"/>
        <v>4</v>
      </c>
      <c r="AW112" s="29">
        <f t="shared" ca="1" si="67"/>
        <v>5</v>
      </c>
      <c r="AX112" s="29">
        <f t="shared" ca="1" si="67"/>
        <v>3</v>
      </c>
      <c r="AY112" s="29">
        <f t="shared" ca="1" si="67"/>
        <v>3</v>
      </c>
      <c r="AZ112" s="29">
        <f t="shared" ca="1" si="67"/>
        <v>1</v>
      </c>
      <c r="BA112" s="29">
        <f t="shared" ca="1" si="67"/>
        <v>4</v>
      </c>
      <c r="BB112" s="29">
        <f t="shared" ca="1" si="67"/>
        <v>3</v>
      </c>
      <c r="BC112" s="29">
        <f t="shared" ca="1" si="67"/>
        <v>3</v>
      </c>
      <c r="BD112" s="29">
        <f t="shared" ca="1" si="67"/>
        <v>5</v>
      </c>
      <c r="BE112" s="29">
        <f t="shared" ca="1" si="67"/>
        <v>7</v>
      </c>
      <c r="BF112" s="29">
        <f t="shared" ca="1" si="67"/>
        <v>5</v>
      </c>
      <c r="BG112" s="29">
        <f t="shared" ca="1" si="67"/>
        <v>2</v>
      </c>
      <c r="BH112" s="29">
        <f t="shared" ca="1" si="67"/>
        <v>2</v>
      </c>
      <c r="BI112" s="29">
        <f t="shared" ca="1" si="67"/>
        <v>4</v>
      </c>
      <c r="BJ112" s="29">
        <f t="shared" ca="1" si="67"/>
        <v>5</v>
      </c>
      <c r="BK112" s="29">
        <f t="shared" ca="1" si="67"/>
        <v>1</v>
      </c>
      <c r="BL112" s="29">
        <f t="shared" ca="1" si="66"/>
        <v>4</v>
      </c>
      <c r="BM112" s="29">
        <f t="shared" ca="1" si="66"/>
        <v>4</v>
      </c>
      <c r="BN112" s="29">
        <f t="shared" ca="1" si="66"/>
        <v>4</v>
      </c>
      <c r="BO112" s="29">
        <f t="shared" ca="1" si="66"/>
        <v>3</v>
      </c>
      <c r="BP112" s="29">
        <f t="shared" ca="1" si="66"/>
        <v>0</v>
      </c>
      <c r="BQ112" s="29">
        <f t="shared" ca="1" si="66"/>
        <v>1</v>
      </c>
      <c r="BR112" s="29">
        <f t="shared" ca="1" si="66"/>
        <v>1</v>
      </c>
      <c r="BS112" s="29">
        <f t="shared" ca="1" si="66"/>
        <v>2</v>
      </c>
      <c r="BT112" s="29">
        <f t="shared" ca="1" si="66"/>
        <v>3</v>
      </c>
      <c r="BU112" s="29">
        <f t="shared" ca="1" si="66"/>
        <v>7</v>
      </c>
      <c r="BV112" s="29">
        <f t="shared" ca="1" si="66"/>
        <v>1</v>
      </c>
      <c r="BW112" s="29">
        <f t="shared" ca="1" si="66"/>
        <v>4</v>
      </c>
      <c r="BX112" s="29">
        <f t="shared" ca="1" si="66"/>
        <v>6</v>
      </c>
      <c r="BY112" s="29">
        <f t="shared" ca="1" si="66"/>
        <v>5</v>
      </c>
      <c r="BZ112" s="29">
        <f t="shared" ca="1" si="66"/>
        <v>5</v>
      </c>
      <c r="CA112" s="29">
        <f t="shared" ca="1" si="69"/>
        <v>5</v>
      </c>
      <c r="CB112" s="29">
        <f t="shared" ca="1" si="69"/>
        <v>3</v>
      </c>
      <c r="CC112" s="29">
        <f t="shared" ca="1" si="69"/>
        <v>0</v>
      </c>
      <c r="CD112" s="29">
        <f t="shared" ca="1" si="69"/>
        <v>4</v>
      </c>
      <c r="CE112" s="29">
        <f t="shared" ca="1" si="69"/>
        <v>4</v>
      </c>
      <c r="CF112" s="29">
        <f t="shared" ca="1" si="69"/>
        <v>6</v>
      </c>
      <c r="CG112" s="29">
        <f t="shared" ca="1" si="69"/>
        <v>5</v>
      </c>
      <c r="CH112" s="29">
        <f t="shared" ca="1" si="69"/>
        <v>2</v>
      </c>
      <c r="CI112" s="29">
        <f t="shared" ca="1" si="69"/>
        <v>4</v>
      </c>
      <c r="CJ112" s="29">
        <f t="shared" ca="1" si="69"/>
        <v>1</v>
      </c>
      <c r="CK112" s="29">
        <f t="shared" ca="1" si="69"/>
        <v>0</v>
      </c>
      <c r="CL112" s="29">
        <f t="shared" ca="1" si="69"/>
        <v>3</v>
      </c>
      <c r="CM112" s="29">
        <f t="shared" ca="1" si="69"/>
        <v>2</v>
      </c>
      <c r="CN112" s="29">
        <f t="shared" ca="1" si="69"/>
        <v>3</v>
      </c>
      <c r="CO112" s="29">
        <f t="shared" ca="1" si="69"/>
        <v>6</v>
      </c>
      <c r="CP112" s="29">
        <f t="shared" ca="1" si="69"/>
        <v>3</v>
      </c>
      <c r="CQ112" s="29">
        <f t="shared" ca="1" si="68"/>
        <v>6</v>
      </c>
      <c r="CR112" s="29">
        <f t="shared" ca="1" si="68"/>
        <v>3</v>
      </c>
      <c r="CS112" s="29">
        <f t="shared" ca="1" si="68"/>
        <v>1</v>
      </c>
      <c r="CT112" s="29">
        <f t="shared" ca="1" si="68"/>
        <v>5</v>
      </c>
      <c r="CU112" s="29">
        <f t="shared" ca="1" si="68"/>
        <v>6</v>
      </c>
      <c r="CV112" s="29">
        <f t="shared" ca="1" si="68"/>
        <v>1</v>
      </c>
      <c r="CW112" s="29">
        <f t="shared" ca="1" si="68"/>
        <v>3</v>
      </c>
      <c r="CX112" s="29">
        <f t="shared" ca="1" si="68"/>
        <v>7</v>
      </c>
      <c r="CY112" s="29">
        <f t="shared" ca="1" si="68"/>
        <v>3</v>
      </c>
      <c r="CZ112" s="29">
        <f t="shared" ca="1" si="68"/>
        <v>5</v>
      </c>
      <c r="DA112" s="29">
        <f t="shared" ca="1" si="68"/>
        <v>0</v>
      </c>
      <c r="DB112" s="29">
        <f t="shared" ca="1" si="68"/>
        <v>4</v>
      </c>
      <c r="DC112" s="29">
        <f t="shared" ca="1" si="68"/>
        <v>4</v>
      </c>
      <c r="DD112" s="29">
        <f t="shared" ca="1" si="68"/>
        <v>3</v>
      </c>
      <c r="DE112" s="29">
        <f t="shared" ca="1" si="68"/>
        <v>4</v>
      </c>
      <c r="DF112" s="29">
        <f t="shared" ca="1" si="63"/>
        <v>5</v>
      </c>
      <c r="DG112" s="29">
        <f t="shared" ca="1" si="63"/>
        <v>3</v>
      </c>
      <c r="DH112" s="29">
        <f t="shared" ca="1" si="63"/>
        <v>7</v>
      </c>
      <c r="DI112" s="29">
        <f t="shared" ca="1" si="63"/>
        <v>4</v>
      </c>
      <c r="DJ112" s="29">
        <f t="shared" ca="1" si="63"/>
        <v>1</v>
      </c>
      <c r="DK112" s="29">
        <f t="shared" ca="1" si="63"/>
        <v>3</v>
      </c>
      <c r="DL112" s="29">
        <f t="shared" ca="1" si="63"/>
        <v>4</v>
      </c>
    </row>
    <row r="113" spans="1:116" ht="14.4" x14ac:dyDescent="0.3">
      <c r="A113" s="31">
        <v>173</v>
      </c>
      <c r="B113" s="28">
        <v>1.19</v>
      </c>
      <c r="C113" s="30">
        <v>77.41</v>
      </c>
      <c r="D113" s="28">
        <v>1.46</v>
      </c>
      <c r="E113" s="34">
        <f t="shared" si="43"/>
        <v>2.92E-2</v>
      </c>
      <c r="F113" s="35">
        <f t="shared" si="44"/>
        <v>19.352499999999999</v>
      </c>
      <c r="G113" s="34">
        <f t="shared" si="45"/>
        <v>36.5</v>
      </c>
      <c r="H113" s="33">
        <f t="shared" si="46"/>
        <v>14.40966386554622</v>
      </c>
      <c r="I113" s="28">
        <f t="shared" si="49"/>
        <v>245.32</v>
      </c>
      <c r="J113" s="32">
        <v>1</v>
      </c>
      <c r="K113" s="30">
        <f t="shared" si="47"/>
        <v>19.352499999999999</v>
      </c>
      <c r="L113" s="30"/>
      <c r="M113" s="30"/>
      <c r="N113" s="30"/>
      <c r="O113" s="30"/>
      <c r="Q113" s="29">
        <f t="shared" ca="1" si="48"/>
        <v>1</v>
      </c>
      <c r="R113" s="29">
        <f t="shared" ca="1" si="65"/>
        <v>0</v>
      </c>
      <c r="S113" s="29">
        <f t="shared" ca="1" si="65"/>
        <v>3</v>
      </c>
      <c r="T113" s="29">
        <f t="shared" ca="1" si="65"/>
        <v>2</v>
      </c>
      <c r="U113" s="29">
        <f t="shared" ca="1" si="65"/>
        <v>1</v>
      </c>
      <c r="V113" s="29">
        <f t="shared" ca="1" si="65"/>
        <v>0</v>
      </c>
      <c r="W113" s="29">
        <f t="shared" ca="1" si="65"/>
        <v>2</v>
      </c>
      <c r="X113" s="29">
        <f t="shared" ca="1" si="65"/>
        <v>2</v>
      </c>
      <c r="Y113" s="29">
        <f t="shared" ca="1" si="65"/>
        <v>0</v>
      </c>
      <c r="Z113" s="29">
        <f t="shared" ca="1" si="65"/>
        <v>1</v>
      </c>
      <c r="AA113" s="29">
        <f t="shared" ca="1" si="65"/>
        <v>3</v>
      </c>
      <c r="AB113" s="29">
        <f t="shared" ca="1" si="65"/>
        <v>0</v>
      </c>
      <c r="AC113" s="29">
        <f t="shared" ca="1" si="65"/>
        <v>4</v>
      </c>
      <c r="AD113" s="29">
        <f t="shared" ca="1" si="65"/>
        <v>3</v>
      </c>
      <c r="AE113" s="29">
        <f t="shared" ca="1" si="65"/>
        <v>0</v>
      </c>
      <c r="AF113" s="29">
        <f t="shared" ca="1" si="65"/>
        <v>1</v>
      </c>
      <c r="AG113" s="29">
        <f t="shared" ca="1" si="64"/>
        <v>1</v>
      </c>
      <c r="AH113" s="29">
        <f t="shared" ca="1" si="64"/>
        <v>3</v>
      </c>
      <c r="AI113" s="29">
        <f t="shared" ca="1" si="64"/>
        <v>0</v>
      </c>
      <c r="AJ113" s="29">
        <f t="shared" ca="1" si="64"/>
        <v>2</v>
      </c>
      <c r="AK113" s="29">
        <f t="shared" ca="1" si="64"/>
        <v>1</v>
      </c>
      <c r="AL113" s="29">
        <f t="shared" ca="1" si="64"/>
        <v>2</v>
      </c>
      <c r="AM113" s="29">
        <f t="shared" ca="1" si="64"/>
        <v>3</v>
      </c>
      <c r="AN113" s="29">
        <f t="shared" ca="1" si="64"/>
        <v>0</v>
      </c>
      <c r="AO113" s="29">
        <f t="shared" ca="1" si="64"/>
        <v>3</v>
      </c>
      <c r="AP113" s="29">
        <f t="shared" ca="1" si="64"/>
        <v>1</v>
      </c>
      <c r="AQ113" s="29">
        <f t="shared" ca="1" si="64"/>
        <v>1</v>
      </c>
      <c r="AR113" s="29">
        <f t="shared" ca="1" si="64"/>
        <v>2</v>
      </c>
      <c r="AS113" s="29">
        <f t="shared" ca="1" si="64"/>
        <v>1</v>
      </c>
      <c r="AT113" s="29">
        <f t="shared" ca="1" si="64"/>
        <v>0</v>
      </c>
      <c r="AU113" s="29">
        <f t="shared" ca="1" si="64"/>
        <v>0</v>
      </c>
      <c r="AV113" s="29">
        <f t="shared" ca="1" si="67"/>
        <v>1</v>
      </c>
      <c r="AW113" s="29">
        <f t="shared" ca="1" si="67"/>
        <v>3</v>
      </c>
      <c r="AX113" s="29">
        <f t="shared" ca="1" si="67"/>
        <v>1</v>
      </c>
      <c r="AY113" s="29">
        <f t="shared" ca="1" si="67"/>
        <v>1</v>
      </c>
      <c r="AZ113" s="29">
        <f t="shared" ca="1" si="67"/>
        <v>5</v>
      </c>
      <c r="BA113" s="29">
        <f t="shared" ca="1" si="67"/>
        <v>2</v>
      </c>
      <c r="BB113" s="29">
        <f t="shared" ca="1" si="67"/>
        <v>1</v>
      </c>
      <c r="BC113" s="29">
        <f t="shared" ca="1" si="67"/>
        <v>2</v>
      </c>
      <c r="BD113" s="29">
        <f t="shared" ca="1" si="67"/>
        <v>0</v>
      </c>
      <c r="BE113" s="29">
        <f t="shared" ca="1" si="67"/>
        <v>2</v>
      </c>
      <c r="BF113" s="29">
        <f t="shared" ca="1" si="67"/>
        <v>1</v>
      </c>
      <c r="BG113" s="29">
        <f t="shared" ca="1" si="67"/>
        <v>0</v>
      </c>
      <c r="BH113" s="29">
        <f t="shared" ca="1" si="67"/>
        <v>1</v>
      </c>
      <c r="BI113" s="29">
        <f t="shared" ca="1" si="67"/>
        <v>1</v>
      </c>
      <c r="BJ113" s="29">
        <f t="shared" ca="1" si="67"/>
        <v>2</v>
      </c>
      <c r="BK113" s="29">
        <f t="shared" ca="1" si="67"/>
        <v>1</v>
      </c>
      <c r="BL113" s="29">
        <f t="shared" ca="1" si="66"/>
        <v>3</v>
      </c>
      <c r="BM113" s="29">
        <f t="shared" ca="1" si="66"/>
        <v>1</v>
      </c>
      <c r="BN113" s="29">
        <f t="shared" ca="1" si="66"/>
        <v>1</v>
      </c>
      <c r="BO113" s="29">
        <f t="shared" ca="1" si="66"/>
        <v>2</v>
      </c>
      <c r="BP113" s="29">
        <f t="shared" ca="1" si="66"/>
        <v>0</v>
      </c>
      <c r="BQ113" s="29">
        <f t="shared" ca="1" si="66"/>
        <v>2</v>
      </c>
      <c r="BR113" s="29">
        <f t="shared" ca="1" si="66"/>
        <v>2</v>
      </c>
      <c r="BS113" s="29">
        <f t="shared" ca="1" si="66"/>
        <v>2</v>
      </c>
      <c r="BT113" s="29">
        <f t="shared" ca="1" si="66"/>
        <v>1</v>
      </c>
      <c r="BU113" s="29">
        <f t="shared" ca="1" si="66"/>
        <v>1</v>
      </c>
      <c r="BV113" s="29">
        <f t="shared" ca="1" si="66"/>
        <v>1</v>
      </c>
      <c r="BW113" s="29">
        <f t="shared" ca="1" si="66"/>
        <v>2</v>
      </c>
      <c r="BX113" s="29">
        <f t="shared" ca="1" si="66"/>
        <v>1</v>
      </c>
      <c r="BY113" s="29">
        <f t="shared" ca="1" si="66"/>
        <v>5</v>
      </c>
      <c r="BZ113" s="29">
        <f t="shared" ca="1" si="66"/>
        <v>3</v>
      </c>
      <c r="CA113" s="29">
        <f t="shared" ca="1" si="69"/>
        <v>0</v>
      </c>
      <c r="CB113" s="29">
        <f t="shared" ca="1" si="69"/>
        <v>1</v>
      </c>
      <c r="CC113" s="29">
        <f t="shared" ca="1" si="69"/>
        <v>2</v>
      </c>
      <c r="CD113" s="29">
        <f t="shared" ca="1" si="69"/>
        <v>0</v>
      </c>
      <c r="CE113" s="29">
        <f t="shared" ca="1" si="69"/>
        <v>4</v>
      </c>
      <c r="CF113" s="29">
        <f t="shared" ca="1" si="69"/>
        <v>2</v>
      </c>
      <c r="CG113" s="29">
        <f t="shared" ca="1" si="69"/>
        <v>4</v>
      </c>
      <c r="CH113" s="29">
        <f t="shared" ca="1" si="69"/>
        <v>4</v>
      </c>
      <c r="CI113" s="29">
        <f t="shared" ca="1" si="69"/>
        <v>4</v>
      </c>
      <c r="CJ113" s="29">
        <f t="shared" ca="1" si="69"/>
        <v>2</v>
      </c>
      <c r="CK113" s="29">
        <f t="shared" ca="1" si="69"/>
        <v>1</v>
      </c>
      <c r="CL113" s="29">
        <f t="shared" ca="1" si="69"/>
        <v>1</v>
      </c>
      <c r="CM113" s="29">
        <f t="shared" ca="1" si="69"/>
        <v>4</v>
      </c>
      <c r="CN113" s="29">
        <f t="shared" ca="1" si="69"/>
        <v>3</v>
      </c>
      <c r="CO113" s="29">
        <f t="shared" ca="1" si="69"/>
        <v>3</v>
      </c>
      <c r="CP113" s="29">
        <f t="shared" ca="1" si="69"/>
        <v>0</v>
      </c>
      <c r="CQ113" s="29">
        <f t="shared" ca="1" si="68"/>
        <v>2</v>
      </c>
      <c r="CR113" s="29">
        <f t="shared" ca="1" si="68"/>
        <v>1</v>
      </c>
      <c r="CS113" s="29">
        <f t="shared" ca="1" si="68"/>
        <v>0</v>
      </c>
      <c r="CT113" s="29">
        <f t="shared" ca="1" si="68"/>
        <v>0</v>
      </c>
      <c r="CU113" s="29">
        <f t="shared" ca="1" si="68"/>
        <v>0</v>
      </c>
      <c r="CV113" s="29">
        <f t="shared" ca="1" si="68"/>
        <v>2</v>
      </c>
      <c r="CW113" s="29">
        <f t="shared" ca="1" si="68"/>
        <v>1</v>
      </c>
      <c r="CX113" s="29">
        <f t="shared" ca="1" si="68"/>
        <v>4</v>
      </c>
      <c r="CY113" s="29">
        <f t="shared" ca="1" si="68"/>
        <v>2</v>
      </c>
      <c r="CZ113" s="29">
        <f t="shared" ca="1" si="68"/>
        <v>0</v>
      </c>
      <c r="DA113" s="29">
        <f t="shared" ca="1" si="68"/>
        <v>2</v>
      </c>
      <c r="DB113" s="29">
        <f t="shared" ca="1" si="68"/>
        <v>2</v>
      </c>
      <c r="DC113" s="29">
        <f t="shared" ca="1" si="68"/>
        <v>1</v>
      </c>
      <c r="DD113" s="29">
        <f t="shared" ca="1" si="68"/>
        <v>1</v>
      </c>
      <c r="DE113" s="29">
        <f t="shared" ca="1" si="68"/>
        <v>1</v>
      </c>
      <c r="DF113" s="29">
        <f t="shared" ca="1" si="63"/>
        <v>0</v>
      </c>
      <c r="DG113" s="29">
        <f t="shared" ca="1" si="63"/>
        <v>3</v>
      </c>
      <c r="DH113" s="29">
        <f t="shared" ca="1" si="63"/>
        <v>0</v>
      </c>
      <c r="DI113" s="29">
        <f t="shared" ca="1" si="63"/>
        <v>0</v>
      </c>
      <c r="DJ113" s="29">
        <f t="shared" ca="1" si="63"/>
        <v>1</v>
      </c>
      <c r="DK113" s="29">
        <f t="shared" ca="1" si="63"/>
        <v>2</v>
      </c>
      <c r="DL113" s="29">
        <f t="shared" ca="1" si="63"/>
        <v>4</v>
      </c>
    </row>
    <row r="114" spans="1:116" ht="14.4" x14ac:dyDescent="0.3">
      <c r="A114" s="31">
        <v>89</v>
      </c>
      <c r="B114" s="28">
        <v>2.82</v>
      </c>
      <c r="C114" s="30">
        <v>72.83</v>
      </c>
      <c r="D114" s="28">
        <v>2.34</v>
      </c>
      <c r="E114" s="34">
        <f t="shared" si="43"/>
        <v>4.6799999999999994E-2</v>
      </c>
      <c r="F114" s="35">
        <f t="shared" si="44"/>
        <v>18.2075</v>
      </c>
      <c r="G114" s="34">
        <f t="shared" si="45"/>
        <v>58.5</v>
      </c>
      <c r="H114" s="33">
        <f t="shared" si="46"/>
        <v>14.28812056737589</v>
      </c>
      <c r="I114" s="28">
        <f t="shared" si="49"/>
        <v>248.14</v>
      </c>
      <c r="J114" s="32">
        <v>1</v>
      </c>
      <c r="K114" s="30">
        <f t="shared" si="47"/>
        <v>18.2075</v>
      </c>
      <c r="L114" s="30"/>
      <c r="M114" s="30"/>
      <c r="N114" s="30"/>
      <c r="O114" s="30"/>
      <c r="Q114" s="29">
        <f t="shared" ca="1" si="48"/>
        <v>1</v>
      </c>
      <c r="R114" s="29">
        <f t="shared" ca="1" si="65"/>
        <v>1</v>
      </c>
      <c r="S114" s="29">
        <f t="shared" ca="1" si="65"/>
        <v>5</v>
      </c>
      <c r="T114" s="29">
        <f t="shared" ca="1" si="65"/>
        <v>3</v>
      </c>
      <c r="U114" s="29">
        <f t="shared" ca="1" si="65"/>
        <v>6</v>
      </c>
      <c r="V114" s="29">
        <f t="shared" ca="1" si="65"/>
        <v>4</v>
      </c>
      <c r="W114" s="29">
        <f t="shared" ca="1" si="65"/>
        <v>1</v>
      </c>
      <c r="X114" s="29">
        <f t="shared" ca="1" si="65"/>
        <v>0</v>
      </c>
      <c r="Y114" s="29">
        <f t="shared" ca="1" si="65"/>
        <v>5</v>
      </c>
      <c r="Z114" s="29">
        <f t="shared" ca="1" si="65"/>
        <v>1</v>
      </c>
      <c r="AA114" s="29">
        <f t="shared" ca="1" si="65"/>
        <v>5</v>
      </c>
      <c r="AB114" s="29">
        <f t="shared" ca="1" si="65"/>
        <v>3</v>
      </c>
      <c r="AC114" s="29">
        <f t="shared" ca="1" si="65"/>
        <v>0</v>
      </c>
      <c r="AD114" s="29">
        <f t="shared" ca="1" si="65"/>
        <v>5</v>
      </c>
      <c r="AE114" s="29">
        <f t="shared" ca="1" si="65"/>
        <v>4</v>
      </c>
      <c r="AF114" s="29">
        <f t="shared" ca="1" si="65"/>
        <v>1</v>
      </c>
      <c r="AG114" s="29">
        <f t="shared" ca="1" si="64"/>
        <v>4</v>
      </c>
      <c r="AH114" s="29">
        <f t="shared" ca="1" si="64"/>
        <v>2</v>
      </c>
      <c r="AI114" s="29">
        <f t="shared" ca="1" si="64"/>
        <v>2</v>
      </c>
      <c r="AJ114" s="29">
        <f t="shared" ca="1" si="64"/>
        <v>1</v>
      </c>
      <c r="AK114" s="29">
        <f t="shared" ca="1" si="64"/>
        <v>3</v>
      </c>
      <c r="AL114" s="29">
        <f t="shared" ca="1" si="64"/>
        <v>1</v>
      </c>
      <c r="AM114" s="29">
        <f t="shared" ca="1" si="64"/>
        <v>4</v>
      </c>
      <c r="AN114" s="29">
        <f t="shared" ca="1" si="64"/>
        <v>4</v>
      </c>
      <c r="AO114" s="29">
        <f t="shared" ca="1" si="64"/>
        <v>2</v>
      </c>
      <c r="AP114" s="29">
        <f t="shared" ca="1" si="64"/>
        <v>3</v>
      </c>
      <c r="AQ114" s="29">
        <f t="shared" ca="1" si="64"/>
        <v>4</v>
      </c>
      <c r="AR114" s="29">
        <f t="shared" ca="1" si="64"/>
        <v>2</v>
      </c>
      <c r="AS114" s="29">
        <f t="shared" ca="1" si="64"/>
        <v>5</v>
      </c>
      <c r="AT114" s="29">
        <f t="shared" ca="1" si="64"/>
        <v>2</v>
      </c>
      <c r="AU114" s="29">
        <f t="shared" ca="1" si="64"/>
        <v>1</v>
      </c>
      <c r="AV114" s="29">
        <f t="shared" ca="1" si="67"/>
        <v>3</v>
      </c>
      <c r="AW114" s="29">
        <f t="shared" ca="1" si="67"/>
        <v>4</v>
      </c>
      <c r="AX114" s="29">
        <f t="shared" ca="1" si="67"/>
        <v>3</v>
      </c>
      <c r="AY114" s="29">
        <f t="shared" ca="1" si="67"/>
        <v>2</v>
      </c>
      <c r="AZ114" s="29">
        <f t="shared" ca="1" si="67"/>
        <v>3</v>
      </c>
      <c r="BA114" s="29">
        <f t="shared" ca="1" si="67"/>
        <v>2</v>
      </c>
      <c r="BB114" s="29">
        <f t="shared" ca="1" si="67"/>
        <v>0</v>
      </c>
      <c r="BC114" s="29">
        <f t="shared" ca="1" si="67"/>
        <v>1</v>
      </c>
      <c r="BD114" s="29">
        <f t="shared" ca="1" si="67"/>
        <v>2</v>
      </c>
      <c r="BE114" s="29">
        <f t="shared" ca="1" si="67"/>
        <v>1</v>
      </c>
      <c r="BF114" s="29">
        <f t="shared" ca="1" si="67"/>
        <v>2</v>
      </c>
      <c r="BG114" s="29">
        <f t="shared" ca="1" si="67"/>
        <v>2</v>
      </c>
      <c r="BH114" s="29">
        <f t="shared" ca="1" si="67"/>
        <v>3</v>
      </c>
      <c r="BI114" s="29">
        <f t="shared" ca="1" si="67"/>
        <v>3</v>
      </c>
      <c r="BJ114" s="29">
        <f t="shared" ca="1" si="67"/>
        <v>2</v>
      </c>
      <c r="BK114" s="29">
        <f t="shared" ca="1" si="67"/>
        <v>0</v>
      </c>
      <c r="BL114" s="29">
        <f t="shared" ca="1" si="66"/>
        <v>5</v>
      </c>
      <c r="BM114" s="29">
        <f t="shared" ca="1" si="66"/>
        <v>2</v>
      </c>
      <c r="BN114" s="29">
        <f t="shared" ca="1" si="66"/>
        <v>0</v>
      </c>
      <c r="BO114" s="29">
        <f t="shared" ca="1" si="66"/>
        <v>4</v>
      </c>
      <c r="BP114" s="29">
        <f t="shared" ca="1" si="66"/>
        <v>4</v>
      </c>
      <c r="BQ114" s="29">
        <f t="shared" ca="1" si="66"/>
        <v>4</v>
      </c>
      <c r="BR114" s="29">
        <f t="shared" ca="1" si="66"/>
        <v>1</v>
      </c>
      <c r="BS114" s="29">
        <f t="shared" ca="1" si="66"/>
        <v>2</v>
      </c>
      <c r="BT114" s="29">
        <f t="shared" ca="1" si="66"/>
        <v>5</v>
      </c>
      <c r="BU114" s="29">
        <f t="shared" ca="1" si="66"/>
        <v>6</v>
      </c>
      <c r="BV114" s="29">
        <f t="shared" ca="1" si="66"/>
        <v>4</v>
      </c>
      <c r="BW114" s="29">
        <f t="shared" ca="1" si="66"/>
        <v>3</v>
      </c>
      <c r="BX114" s="29">
        <f t="shared" ca="1" si="66"/>
        <v>3</v>
      </c>
      <c r="BY114" s="29">
        <f t="shared" ca="1" si="66"/>
        <v>1</v>
      </c>
      <c r="BZ114" s="29">
        <f t="shared" ca="1" si="66"/>
        <v>7</v>
      </c>
      <c r="CA114" s="29">
        <f t="shared" ca="1" si="69"/>
        <v>0</v>
      </c>
      <c r="CB114" s="29">
        <f t="shared" ca="1" si="69"/>
        <v>2</v>
      </c>
      <c r="CC114" s="29">
        <f t="shared" ca="1" si="69"/>
        <v>1</v>
      </c>
      <c r="CD114" s="29">
        <f t="shared" ca="1" si="69"/>
        <v>2</v>
      </c>
      <c r="CE114" s="29">
        <f t="shared" ca="1" si="69"/>
        <v>2</v>
      </c>
      <c r="CF114" s="29">
        <f t="shared" ca="1" si="69"/>
        <v>1</v>
      </c>
      <c r="CG114" s="29">
        <f t="shared" ca="1" si="69"/>
        <v>3</v>
      </c>
      <c r="CH114" s="29">
        <f t="shared" ca="1" si="69"/>
        <v>2</v>
      </c>
      <c r="CI114" s="29">
        <f t="shared" ca="1" si="69"/>
        <v>2</v>
      </c>
      <c r="CJ114" s="29">
        <f t="shared" ca="1" si="69"/>
        <v>4</v>
      </c>
      <c r="CK114" s="29">
        <f t="shared" ca="1" si="69"/>
        <v>1</v>
      </c>
      <c r="CL114" s="29">
        <f t="shared" ca="1" si="69"/>
        <v>1</v>
      </c>
      <c r="CM114" s="29">
        <f t="shared" ca="1" si="69"/>
        <v>0</v>
      </c>
      <c r="CN114" s="29">
        <f t="shared" ca="1" si="69"/>
        <v>3</v>
      </c>
      <c r="CO114" s="29">
        <f t="shared" ca="1" si="69"/>
        <v>1</v>
      </c>
      <c r="CP114" s="29">
        <f t="shared" ca="1" si="69"/>
        <v>2</v>
      </c>
      <c r="CQ114" s="29">
        <f t="shared" ca="1" si="68"/>
        <v>1</v>
      </c>
      <c r="CR114" s="29">
        <f t="shared" ca="1" si="68"/>
        <v>1</v>
      </c>
      <c r="CS114" s="29">
        <f t="shared" ca="1" si="68"/>
        <v>2</v>
      </c>
      <c r="CT114" s="29">
        <f t="shared" ca="1" si="68"/>
        <v>4</v>
      </c>
      <c r="CU114" s="29">
        <f t="shared" ca="1" si="68"/>
        <v>2</v>
      </c>
      <c r="CV114" s="29">
        <f t="shared" ca="1" si="68"/>
        <v>1</v>
      </c>
      <c r="CW114" s="29">
        <f t="shared" ca="1" si="68"/>
        <v>1</v>
      </c>
      <c r="CX114" s="29">
        <f t="shared" ca="1" si="68"/>
        <v>4</v>
      </c>
      <c r="CY114" s="29">
        <f t="shared" ca="1" si="68"/>
        <v>3</v>
      </c>
      <c r="CZ114" s="29">
        <f t="shared" ca="1" si="68"/>
        <v>3</v>
      </c>
      <c r="DA114" s="29">
        <f t="shared" ca="1" si="68"/>
        <v>2</v>
      </c>
      <c r="DB114" s="29">
        <f t="shared" ca="1" si="68"/>
        <v>4</v>
      </c>
      <c r="DC114" s="29">
        <f t="shared" ca="1" si="68"/>
        <v>0</v>
      </c>
      <c r="DD114" s="29">
        <f t="shared" ca="1" si="68"/>
        <v>2</v>
      </c>
      <c r="DE114" s="29">
        <f t="shared" ca="1" si="68"/>
        <v>3</v>
      </c>
      <c r="DF114" s="29">
        <f t="shared" ca="1" si="63"/>
        <v>4</v>
      </c>
      <c r="DG114" s="29">
        <f t="shared" ca="1" si="63"/>
        <v>1</v>
      </c>
      <c r="DH114" s="29">
        <f t="shared" ca="1" si="63"/>
        <v>1</v>
      </c>
      <c r="DI114" s="29">
        <f t="shared" ca="1" si="63"/>
        <v>4</v>
      </c>
      <c r="DJ114" s="29">
        <f t="shared" ca="1" si="63"/>
        <v>2</v>
      </c>
      <c r="DK114" s="29">
        <f t="shared" ca="1" si="63"/>
        <v>2</v>
      </c>
      <c r="DL114" s="29">
        <f t="shared" ca="1" si="63"/>
        <v>2</v>
      </c>
    </row>
    <row r="115" spans="1:116" ht="14.4" x14ac:dyDescent="0.3">
      <c r="A115" s="31">
        <v>770</v>
      </c>
      <c r="B115" s="28">
        <v>2.77</v>
      </c>
      <c r="C115" s="30">
        <v>43.97</v>
      </c>
      <c r="D115" s="28">
        <v>2</v>
      </c>
      <c r="E115" s="34">
        <f t="shared" si="43"/>
        <v>0.04</v>
      </c>
      <c r="F115" s="35">
        <f t="shared" si="44"/>
        <v>10.9925</v>
      </c>
      <c r="G115" s="34">
        <f t="shared" si="45"/>
        <v>50</v>
      </c>
      <c r="H115" s="33">
        <f t="shared" si="46"/>
        <v>14.082129963898916</v>
      </c>
      <c r="I115" s="28">
        <f t="shared" si="49"/>
        <v>250.91</v>
      </c>
      <c r="J115" s="32">
        <v>1</v>
      </c>
      <c r="K115" s="30">
        <f t="shared" si="47"/>
        <v>10.9925</v>
      </c>
      <c r="L115" s="30"/>
      <c r="M115" s="30"/>
      <c r="N115" s="30"/>
      <c r="O115" s="30"/>
      <c r="Q115" s="29">
        <f t="shared" ca="1" si="48"/>
        <v>2</v>
      </c>
      <c r="R115" s="29">
        <f t="shared" ca="1" si="65"/>
        <v>2</v>
      </c>
      <c r="S115" s="29">
        <f t="shared" ca="1" si="65"/>
        <v>1</v>
      </c>
      <c r="T115" s="29">
        <f t="shared" ca="1" si="65"/>
        <v>4</v>
      </c>
      <c r="U115" s="29">
        <f t="shared" ca="1" si="65"/>
        <v>4</v>
      </c>
      <c r="V115" s="29">
        <f t="shared" ca="1" si="65"/>
        <v>3</v>
      </c>
      <c r="W115" s="29">
        <f t="shared" ca="1" si="65"/>
        <v>2</v>
      </c>
      <c r="X115" s="29">
        <f t="shared" ca="1" si="65"/>
        <v>1</v>
      </c>
      <c r="Y115" s="29">
        <f t="shared" ca="1" si="65"/>
        <v>1</v>
      </c>
      <c r="Z115" s="29">
        <f t="shared" ca="1" si="65"/>
        <v>0</v>
      </c>
      <c r="AA115" s="29">
        <f t="shared" ca="1" si="65"/>
        <v>0</v>
      </c>
      <c r="AB115" s="29">
        <f t="shared" ca="1" si="65"/>
        <v>4</v>
      </c>
      <c r="AC115" s="29">
        <f t="shared" ca="1" si="65"/>
        <v>2</v>
      </c>
      <c r="AD115" s="29">
        <f t="shared" ca="1" si="65"/>
        <v>3</v>
      </c>
      <c r="AE115" s="29">
        <f t="shared" ca="1" si="65"/>
        <v>2</v>
      </c>
      <c r="AF115" s="29">
        <f t="shared" ca="1" si="65"/>
        <v>1</v>
      </c>
      <c r="AG115" s="29">
        <f t="shared" ca="1" si="64"/>
        <v>1</v>
      </c>
      <c r="AH115" s="29">
        <f t="shared" ca="1" si="64"/>
        <v>3</v>
      </c>
      <c r="AI115" s="29">
        <f t="shared" ca="1" si="64"/>
        <v>3</v>
      </c>
      <c r="AJ115" s="29">
        <f t="shared" ca="1" si="64"/>
        <v>2</v>
      </c>
      <c r="AK115" s="29">
        <f t="shared" ca="1" si="64"/>
        <v>0</v>
      </c>
      <c r="AL115" s="29">
        <f t="shared" ca="1" si="64"/>
        <v>1</v>
      </c>
      <c r="AM115" s="29">
        <f t="shared" ca="1" si="64"/>
        <v>0</v>
      </c>
      <c r="AN115" s="29">
        <f t="shared" ca="1" si="64"/>
        <v>3</v>
      </c>
      <c r="AO115" s="29">
        <f t="shared" ca="1" si="64"/>
        <v>4</v>
      </c>
      <c r="AP115" s="29">
        <f t="shared" ca="1" si="64"/>
        <v>2</v>
      </c>
      <c r="AQ115" s="29">
        <f t="shared" ca="1" si="64"/>
        <v>0</v>
      </c>
      <c r="AR115" s="29">
        <f t="shared" ca="1" si="64"/>
        <v>4</v>
      </c>
      <c r="AS115" s="29">
        <f t="shared" ca="1" si="64"/>
        <v>2</v>
      </c>
      <c r="AT115" s="29">
        <f t="shared" ca="1" si="64"/>
        <v>2</v>
      </c>
      <c r="AU115" s="29">
        <f t="shared" ca="1" si="64"/>
        <v>4</v>
      </c>
      <c r="AV115" s="29">
        <f t="shared" ca="1" si="67"/>
        <v>2</v>
      </c>
      <c r="AW115" s="29">
        <f t="shared" ca="1" si="67"/>
        <v>3</v>
      </c>
      <c r="AX115" s="29">
        <f t="shared" ca="1" si="67"/>
        <v>0</v>
      </c>
      <c r="AY115" s="29">
        <f t="shared" ca="1" si="67"/>
        <v>1</v>
      </c>
      <c r="AZ115" s="29">
        <f t="shared" ca="1" si="67"/>
        <v>3</v>
      </c>
      <c r="BA115" s="29">
        <f t="shared" ca="1" si="67"/>
        <v>4</v>
      </c>
      <c r="BB115" s="29">
        <f t="shared" ca="1" si="67"/>
        <v>0</v>
      </c>
      <c r="BC115" s="29">
        <f t="shared" ca="1" si="67"/>
        <v>1</v>
      </c>
      <c r="BD115" s="29">
        <f t="shared" ca="1" si="67"/>
        <v>2</v>
      </c>
      <c r="BE115" s="29">
        <f t="shared" ca="1" si="67"/>
        <v>4</v>
      </c>
      <c r="BF115" s="29">
        <f t="shared" ca="1" si="67"/>
        <v>2</v>
      </c>
      <c r="BG115" s="29">
        <f t="shared" ca="1" si="67"/>
        <v>1</v>
      </c>
      <c r="BH115" s="29">
        <f t="shared" ca="1" si="67"/>
        <v>2</v>
      </c>
      <c r="BI115" s="29">
        <f t="shared" ca="1" si="67"/>
        <v>1</v>
      </c>
      <c r="BJ115" s="29">
        <f t="shared" ca="1" si="67"/>
        <v>2</v>
      </c>
      <c r="BK115" s="29">
        <f t="shared" ca="1" si="67"/>
        <v>4</v>
      </c>
      <c r="BL115" s="29">
        <f t="shared" ca="1" si="66"/>
        <v>2</v>
      </c>
      <c r="BM115" s="29">
        <f t="shared" ca="1" si="66"/>
        <v>1</v>
      </c>
      <c r="BN115" s="29">
        <f t="shared" ca="1" si="66"/>
        <v>1</v>
      </c>
      <c r="BO115" s="29">
        <f t="shared" ca="1" si="66"/>
        <v>2</v>
      </c>
      <c r="BP115" s="29">
        <f t="shared" ca="1" si="66"/>
        <v>1</v>
      </c>
      <c r="BQ115" s="29">
        <f t="shared" ca="1" si="66"/>
        <v>4</v>
      </c>
      <c r="BR115" s="29">
        <f t="shared" ca="1" si="66"/>
        <v>2</v>
      </c>
      <c r="BS115" s="29">
        <f t="shared" ca="1" si="66"/>
        <v>1</v>
      </c>
      <c r="BT115" s="29">
        <f t="shared" ca="1" si="66"/>
        <v>1</v>
      </c>
      <c r="BU115" s="29">
        <f t="shared" ca="1" si="66"/>
        <v>2</v>
      </c>
      <c r="BV115" s="29">
        <f t="shared" ca="1" si="66"/>
        <v>0</v>
      </c>
      <c r="BW115" s="29">
        <f t="shared" ca="1" si="66"/>
        <v>3</v>
      </c>
      <c r="BX115" s="29">
        <f t="shared" ca="1" si="66"/>
        <v>0</v>
      </c>
      <c r="BY115" s="29">
        <f t="shared" ca="1" si="66"/>
        <v>3</v>
      </c>
      <c r="BZ115" s="29">
        <f t="shared" ca="1" si="66"/>
        <v>2</v>
      </c>
      <c r="CA115" s="29">
        <f t="shared" ca="1" si="69"/>
        <v>1</v>
      </c>
      <c r="CB115" s="29">
        <f t="shared" ca="1" si="69"/>
        <v>3</v>
      </c>
      <c r="CC115" s="29">
        <f t="shared" ca="1" si="69"/>
        <v>2</v>
      </c>
      <c r="CD115" s="29">
        <f t="shared" ca="1" si="69"/>
        <v>0</v>
      </c>
      <c r="CE115" s="29">
        <f t="shared" ca="1" si="69"/>
        <v>3</v>
      </c>
      <c r="CF115" s="29">
        <f t="shared" ca="1" si="69"/>
        <v>4</v>
      </c>
      <c r="CG115" s="29">
        <f t="shared" ca="1" si="69"/>
        <v>2</v>
      </c>
      <c r="CH115" s="29">
        <f t="shared" ca="1" si="69"/>
        <v>0</v>
      </c>
      <c r="CI115" s="29">
        <f t="shared" ca="1" si="69"/>
        <v>5</v>
      </c>
      <c r="CJ115" s="29">
        <f t="shared" ca="1" si="69"/>
        <v>0</v>
      </c>
      <c r="CK115" s="29">
        <f t="shared" ca="1" si="69"/>
        <v>2</v>
      </c>
      <c r="CL115" s="29">
        <f t="shared" ca="1" si="69"/>
        <v>3</v>
      </c>
      <c r="CM115" s="29">
        <f t="shared" ca="1" si="69"/>
        <v>1</v>
      </c>
      <c r="CN115" s="29">
        <f t="shared" ca="1" si="69"/>
        <v>4</v>
      </c>
      <c r="CO115" s="29">
        <f t="shared" ca="1" si="69"/>
        <v>1</v>
      </c>
      <c r="CP115" s="29">
        <f t="shared" ca="1" si="69"/>
        <v>3</v>
      </c>
      <c r="CQ115" s="29">
        <f t="shared" ca="1" si="68"/>
        <v>4</v>
      </c>
      <c r="CR115" s="29">
        <f t="shared" ca="1" si="68"/>
        <v>3</v>
      </c>
      <c r="CS115" s="29">
        <f t="shared" ca="1" si="68"/>
        <v>2</v>
      </c>
      <c r="CT115" s="29">
        <f t="shared" ca="1" si="68"/>
        <v>3</v>
      </c>
      <c r="CU115" s="29">
        <f t="shared" ca="1" si="68"/>
        <v>4</v>
      </c>
      <c r="CV115" s="29">
        <f t="shared" ca="1" si="68"/>
        <v>2</v>
      </c>
      <c r="CW115" s="29">
        <f t="shared" ca="1" si="68"/>
        <v>5</v>
      </c>
      <c r="CX115" s="29">
        <f t="shared" ca="1" si="68"/>
        <v>3</v>
      </c>
      <c r="CY115" s="29">
        <f t="shared" ca="1" si="68"/>
        <v>1</v>
      </c>
      <c r="CZ115" s="29">
        <f t="shared" ca="1" si="68"/>
        <v>3</v>
      </c>
      <c r="DA115" s="29">
        <f t="shared" ca="1" si="68"/>
        <v>2</v>
      </c>
      <c r="DB115" s="29">
        <f t="shared" ca="1" si="68"/>
        <v>1</v>
      </c>
      <c r="DC115" s="29">
        <f t="shared" ca="1" si="68"/>
        <v>3</v>
      </c>
      <c r="DD115" s="29">
        <f t="shared" ca="1" si="68"/>
        <v>2</v>
      </c>
      <c r="DE115" s="29">
        <f t="shared" ca="1" si="68"/>
        <v>2</v>
      </c>
      <c r="DF115" s="29">
        <f t="shared" ca="1" si="63"/>
        <v>3</v>
      </c>
      <c r="DG115" s="29">
        <f t="shared" ca="1" si="63"/>
        <v>4</v>
      </c>
      <c r="DH115" s="29">
        <f t="shared" ca="1" si="63"/>
        <v>1</v>
      </c>
      <c r="DI115" s="29">
        <f t="shared" ca="1" si="63"/>
        <v>1</v>
      </c>
      <c r="DJ115" s="29">
        <f t="shared" ca="1" si="63"/>
        <v>0</v>
      </c>
      <c r="DK115" s="29">
        <f t="shared" ca="1" si="63"/>
        <v>3</v>
      </c>
      <c r="DL115" s="29">
        <f t="shared" ca="1" si="63"/>
        <v>2</v>
      </c>
    </row>
    <row r="116" spans="1:116" ht="14.4" x14ac:dyDescent="0.3">
      <c r="A116" s="31">
        <v>847</v>
      </c>
      <c r="B116" s="28">
        <v>2.31</v>
      </c>
      <c r="C116" s="30">
        <v>20.27</v>
      </c>
      <c r="D116" s="28">
        <v>1.5</v>
      </c>
      <c r="E116" s="34">
        <f t="shared" si="43"/>
        <v>0.03</v>
      </c>
      <c r="F116" s="35">
        <f t="shared" si="44"/>
        <v>5.0674999999999999</v>
      </c>
      <c r="G116" s="34">
        <f t="shared" si="45"/>
        <v>37.5</v>
      </c>
      <c r="H116" s="33">
        <f t="shared" si="46"/>
        <v>14.040043290043288</v>
      </c>
      <c r="I116" s="28">
        <f t="shared" si="49"/>
        <v>253.22</v>
      </c>
      <c r="J116" s="32">
        <v>1</v>
      </c>
      <c r="K116" s="30">
        <f t="shared" si="47"/>
        <v>5.0674999999999999</v>
      </c>
      <c r="L116" s="30"/>
      <c r="M116" s="30"/>
      <c r="N116" s="30"/>
      <c r="O116" s="30"/>
      <c r="Q116" s="29">
        <f t="shared" ca="1" si="48"/>
        <v>3</v>
      </c>
      <c r="R116" s="29">
        <f t="shared" ca="1" si="65"/>
        <v>2</v>
      </c>
      <c r="S116" s="29">
        <f t="shared" ca="1" si="65"/>
        <v>1</v>
      </c>
      <c r="T116" s="29">
        <f t="shared" ca="1" si="65"/>
        <v>0</v>
      </c>
      <c r="U116" s="29">
        <f t="shared" ca="1" si="65"/>
        <v>2</v>
      </c>
      <c r="V116" s="29">
        <f t="shared" ca="1" si="65"/>
        <v>2</v>
      </c>
      <c r="W116" s="29">
        <f t="shared" ca="1" si="65"/>
        <v>1</v>
      </c>
      <c r="X116" s="29">
        <f t="shared" ca="1" si="65"/>
        <v>2</v>
      </c>
      <c r="Y116" s="29">
        <f t="shared" ca="1" si="65"/>
        <v>2</v>
      </c>
      <c r="Z116" s="29">
        <f t="shared" ca="1" si="65"/>
        <v>0</v>
      </c>
      <c r="AA116" s="29">
        <f t="shared" ca="1" si="65"/>
        <v>2</v>
      </c>
      <c r="AB116" s="29">
        <f t="shared" ca="1" si="65"/>
        <v>2</v>
      </c>
      <c r="AC116" s="29">
        <f t="shared" ca="1" si="65"/>
        <v>3</v>
      </c>
      <c r="AD116" s="29">
        <f t="shared" ca="1" si="65"/>
        <v>2</v>
      </c>
      <c r="AE116" s="29">
        <f t="shared" ca="1" si="65"/>
        <v>3</v>
      </c>
      <c r="AF116" s="29">
        <f t="shared" ca="1" si="65"/>
        <v>2</v>
      </c>
      <c r="AG116" s="29">
        <f t="shared" ca="1" si="64"/>
        <v>2</v>
      </c>
      <c r="AH116" s="29">
        <f t="shared" ca="1" si="64"/>
        <v>6</v>
      </c>
      <c r="AI116" s="29">
        <f t="shared" ca="1" si="64"/>
        <v>0</v>
      </c>
      <c r="AJ116" s="29">
        <f t="shared" ca="1" si="64"/>
        <v>4</v>
      </c>
      <c r="AK116" s="29">
        <f t="shared" ca="1" si="64"/>
        <v>1</v>
      </c>
      <c r="AL116" s="29">
        <f t="shared" ca="1" si="64"/>
        <v>3</v>
      </c>
      <c r="AM116" s="29">
        <f t="shared" ca="1" si="64"/>
        <v>1</v>
      </c>
      <c r="AN116" s="29">
        <f t="shared" ca="1" si="64"/>
        <v>3</v>
      </c>
      <c r="AO116" s="29">
        <f t="shared" ca="1" si="64"/>
        <v>1</v>
      </c>
      <c r="AP116" s="29">
        <f t="shared" ca="1" si="64"/>
        <v>2</v>
      </c>
      <c r="AQ116" s="29">
        <f t="shared" ca="1" si="64"/>
        <v>1</v>
      </c>
      <c r="AR116" s="29">
        <f t="shared" ca="1" si="64"/>
        <v>1</v>
      </c>
      <c r="AS116" s="29">
        <f t="shared" ca="1" si="64"/>
        <v>0</v>
      </c>
      <c r="AT116" s="29">
        <f t="shared" ca="1" si="64"/>
        <v>2</v>
      </c>
      <c r="AU116" s="29">
        <f t="shared" ca="1" si="64"/>
        <v>0</v>
      </c>
      <c r="AV116" s="29">
        <f t="shared" ca="1" si="67"/>
        <v>1</v>
      </c>
      <c r="AW116" s="29">
        <f t="shared" ca="1" si="67"/>
        <v>1</v>
      </c>
      <c r="AX116" s="29">
        <f t="shared" ca="1" si="67"/>
        <v>2</v>
      </c>
      <c r="AY116" s="29">
        <f t="shared" ca="1" si="67"/>
        <v>1</v>
      </c>
      <c r="AZ116" s="29">
        <f t="shared" ca="1" si="67"/>
        <v>1</v>
      </c>
      <c r="BA116" s="29">
        <f t="shared" ca="1" si="67"/>
        <v>4</v>
      </c>
      <c r="BB116" s="29">
        <f t="shared" ca="1" si="67"/>
        <v>3</v>
      </c>
      <c r="BC116" s="29">
        <f t="shared" ca="1" si="67"/>
        <v>1</v>
      </c>
      <c r="BD116" s="29">
        <f t="shared" ca="1" si="67"/>
        <v>2</v>
      </c>
      <c r="BE116" s="29">
        <f t="shared" ca="1" si="67"/>
        <v>1</v>
      </c>
      <c r="BF116" s="29">
        <f t="shared" ca="1" si="67"/>
        <v>0</v>
      </c>
      <c r="BG116" s="29">
        <f t="shared" ca="1" si="67"/>
        <v>3</v>
      </c>
      <c r="BH116" s="29">
        <f t="shared" ca="1" si="67"/>
        <v>0</v>
      </c>
      <c r="BI116" s="29">
        <f t="shared" ca="1" si="67"/>
        <v>0</v>
      </c>
      <c r="BJ116" s="29">
        <f t="shared" ca="1" si="67"/>
        <v>0</v>
      </c>
      <c r="BK116" s="29">
        <f t="shared" ca="1" si="67"/>
        <v>0</v>
      </c>
      <c r="BL116" s="29">
        <f t="shared" ca="1" si="66"/>
        <v>1</v>
      </c>
      <c r="BM116" s="29">
        <f t="shared" ca="1" si="66"/>
        <v>2</v>
      </c>
      <c r="BN116" s="29">
        <f t="shared" ca="1" si="66"/>
        <v>2</v>
      </c>
      <c r="BO116" s="29">
        <f t="shared" ca="1" si="66"/>
        <v>0</v>
      </c>
      <c r="BP116" s="29">
        <f t="shared" ca="1" si="66"/>
        <v>0</v>
      </c>
      <c r="BQ116" s="29">
        <f t="shared" ca="1" si="66"/>
        <v>3</v>
      </c>
      <c r="BR116" s="29">
        <f t="shared" ca="1" si="66"/>
        <v>1</v>
      </c>
      <c r="BS116" s="29">
        <f t="shared" ca="1" si="66"/>
        <v>1</v>
      </c>
      <c r="BT116" s="29">
        <f t="shared" ca="1" si="66"/>
        <v>1</v>
      </c>
      <c r="BU116" s="29">
        <f t="shared" ca="1" si="66"/>
        <v>2</v>
      </c>
      <c r="BV116" s="29">
        <f t="shared" ca="1" si="66"/>
        <v>2</v>
      </c>
      <c r="BW116" s="29">
        <f t="shared" ca="1" si="66"/>
        <v>3</v>
      </c>
      <c r="BX116" s="29">
        <f t="shared" ca="1" si="66"/>
        <v>0</v>
      </c>
      <c r="BY116" s="29">
        <f t="shared" ca="1" si="66"/>
        <v>2</v>
      </c>
      <c r="BZ116" s="29">
        <f t="shared" ca="1" si="66"/>
        <v>1</v>
      </c>
      <c r="CA116" s="29">
        <f t="shared" ca="1" si="69"/>
        <v>1</v>
      </c>
      <c r="CB116" s="29">
        <f t="shared" ca="1" si="69"/>
        <v>2</v>
      </c>
      <c r="CC116" s="29">
        <f t="shared" ca="1" si="69"/>
        <v>1</v>
      </c>
      <c r="CD116" s="29">
        <f t="shared" ca="1" si="69"/>
        <v>2</v>
      </c>
      <c r="CE116" s="29">
        <f t="shared" ca="1" si="69"/>
        <v>3</v>
      </c>
      <c r="CF116" s="29">
        <f t="shared" ca="1" si="69"/>
        <v>3</v>
      </c>
      <c r="CG116" s="29">
        <f t="shared" ca="1" si="69"/>
        <v>2</v>
      </c>
      <c r="CH116" s="29">
        <f t="shared" ca="1" si="69"/>
        <v>0</v>
      </c>
      <c r="CI116" s="29">
        <f t="shared" ca="1" si="69"/>
        <v>0</v>
      </c>
      <c r="CJ116" s="29">
        <f t="shared" ca="1" si="69"/>
        <v>1</v>
      </c>
      <c r="CK116" s="29">
        <f t="shared" ca="1" si="69"/>
        <v>0</v>
      </c>
      <c r="CL116" s="29">
        <f t="shared" ca="1" si="69"/>
        <v>0</v>
      </c>
      <c r="CM116" s="29">
        <f t="shared" ca="1" si="69"/>
        <v>4</v>
      </c>
      <c r="CN116" s="29">
        <f t="shared" ca="1" si="69"/>
        <v>2</v>
      </c>
      <c r="CO116" s="29">
        <f t="shared" ca="1" si="69"/>
        <v>1</v>
      </c>
      <c r="CP116" s="29">
        <f t="shared" ca="1" si="69"/>
        <v>1</v>
      </c>
      <c r="CQ116" s="29">
        <f t="shared" ca="1" si="68"/>
        <v>1</v>
      </c>
      <c r="CR116" s="29">
        <f t="shared" ca="1" si="68"/>
        <v>2</v>
      </c>
      <c r="CS116" s="29">
        <f t="shared" ca="1" si="68"/>
        <v>1</v>
      </c>
      <c r="CT116" s="29">
        <f t="shared" ca="1" si="68"/>
        <v>1</v>
      </c>
      <c r="CU116" s="29">
        <f t="shared" ca="1" si="68"/>
        <v>1</v>
      </c>
      <c r="CV116" s="29">
        <f t="shared" ca="1" si="68"/>
        <v>2</v>
      </c>
      <c r="CW116" s="29">
        <f t="shared" ca="1" si="68"/>
        <v>2</v>
      </c>
      <c r="CX116" s="29">
        <f t="shared" ca="1" si="68"/>
        <v>1</v>
      </c>
      <c r="CY116" s="29">
        <f t="shared" ca="1" si="68"/>
        <v>2</v>
      </c>
      <c r="CZ116" s="29">
        <f t="shared" ca="1" si="68"/>
        <v>1</v>
      </c>
      <c r="DA116" s="29">
        <f t="shared" ca="1" si="68"/>
        <v>0</v>
      </c>
      <c r="DB116" s="29">
        <f t="shared" ca="1" si="68"/>
        <v>1</v>
      </c>
      <c r="DC116" s="29">
        <f t="shared" ca="1" si="68"/>
        <v>1</v>
      </c>
      <c r="DD116" s="29">
        <f t="shared" ca="1" si="68"/>
        <v>4</v>
      </c>
      <c r="DE116" s="29">
        <f t="shared" ca="1" si="68"/>
        <v>0</v>
      </c>
      <c r="DF116" s="29">
        <f t="shared" ca="1" si="63"/>
        <v>1</v>
      </c>
      <c r="DG116" s="29">
        <f t="shared" ca="1" si="63"/>
        <v>4</v>
      </c>
      <c r="DH116" s="29">
        <f t="shared" ca="1" si="63"/>
        <v>4</v>
      </c>
      <c r="DI116" s="29">
        <f t="shared" ca="1" si="63"/>
        <v>0</v>
      </c>
      <c r="DJ116" s="29">
        <f t="shared" ca="1" si="63"/>
        <v>0</v>
      </c>
      <c r="DK116" s="29">
        <f t="shared" ca="1" si="63"/>
        <v>1</v>
      </c>
      <c r="DL116" s="29">
        <f t="shared" ca="1" si="63"/>
        <v>2</v>
      </c>
    </row>
    <row r="117" spans="1:116" ht="14.4" x14ac:dyDescent="0.3">
      <c r="A117" s="31">
        <v>341</v>
      </c>
      <c r="B117" s="28">
        <v>3.51</v>
      </c>
      <c r="C117" s="30">
        <v>72.84</v>
      </c>
      <c r="D117" s="28">
        <v>2.69</v>
      </c>
      <c r="E117" s="34">
        <f t="shared" si="43"/>
        <v>5.3800000000000001E-2</v>
      </c>
      <c r="F117" s="35">
        <f t="shared" si="44"/>
        <v>18.21</v>
      </c>
      <c r="G117" s="34">
        <f t="shared" si="45"/>
        <v>67.25</v>
      </c>
      <c r="H117" s="33">
        <f t="shared" si="46"/>
        <v>13.971509971509972</v>
      </c>
      <c r="I117" s="28">
        <f t="shared" si="49"/>
        <v>256.73</v>
      </c>
      <c r="J117" s="32">
        <v>1</v>
      </c>
      <c r="K117" s="30">
        <f t="shared" si="47"/>
        <v>18.21</v>
      </c>
      <c r="L117" s="30"/>
      <c r="M117" s="30"/>
      <c r="N117" s="30"/>
      <c r="O117" s="30"/>
      <c r="Q117" s="29">
        <f t="shared" ca="1" si="48"/>
        <v>4</v>
      </c>
      <c r="R117" s="29">
        <f t="shared" ca="1" si="65"/>
        <v>0</v>
      </c>
      <c r="S117" s="29">
        <f t="shared" ca="1" si="65"/>
        <v>2</v>
      </c>
      <c r="T117" s="29">
        <f t="shared" ca="1" si="65"/>
        <v>3</v>
      </c>
      <c r="U117" s="29">
        <f t="shared" ca="1" si="65"/>
        <v>2</v>
      </c>
      <c r="V117" s="29">
        <f t="shared" ca="1" si="65"/>
        <v>2</v>
      </c>
      <c r="W117" s="29">
        <f t="shared" ca="1" si="65"/>
        <v>2</v>
      </c>
      <c r="X117" s="29">
        <f t="shared" ca="1" si="65"/>
        <v>2</v>
      </c>
      <c r="Y117" s="29">
        <f t="shared" ca="1" si="65"/>
        <v>1</v>
      </c>
      <c r="Z117" s="29">
        <f t="shared" ca="1" si="65"/>
        <v>3</v>
      </c>
      <c r="AA117" s="29">
        <f t="shared" ca="1" si="65"/>
        <v>2</v>
      </c>
      <c r="AB117" s="29">
        <f t="shared" ca="1" si="65"/>
        <v>4</v>
      </c>
      <c r="AC117" s="29">
        <f t="shared" ca="1" si="65"/>
        <v>3</v>
      </c>
      <c r="AD117" s="29">
        <f t="shared" ca="1" si="65"/>
        <v>0</v>
      </c>
      <c r="AE117" s="29">
        <f t="shared" ca="1" si="65"/>
        <v>4</v>
      </c>
      <c r="AF117" s="29">
        <f t="shared" ca="1" si="65"/>
        <v>6</v>
      </c>
      <c r="AG117" s="29">
        <f t="shared" ca="1" si="64"/>
        <v>5</v>
      </c>
      <c r="AH117" s="29">
        <f t="shared" ca="1" si="64"/>
        <v>1</v>
      </c>
      <c r="AI117" s="29">
        <f t="shared" ca="1" si="64"/>
        <v>1</v>
      </c>
      <c r="AJ117" s="29">
        <f t="shared" ca="1" si="64"/>
        <v>2</v>
      </c>
      <c r="AK117" s="29">
        <f t="shared" ca="1" si="64"/>
        <v>4</v>
      </c>
      <c r="AL117" s="29">
        <f t="shared" ca="1" si="64"/>
        <v>0</v>
      </c>
      <c r="AM117" s="29">
        <f t="shared" ca="1" si="64"/>
        <v>2</v>
      </c>
      <c r="AN117" s="29">
        <f t="shared" ca="1" si="64"/>
        <v>2</v>
      </c>
      <c r="AO117" s="29">
        <f t="shared" ca="1" si="64"/>
        <v>1</v>
      </c>
      <c r="AP117" s="29">
        <f t="shared" ca="1" si="64"/>
        <v>4</v>
      </c>
      <c r="AQ117" s="29">
        <f t="shared" ca="1" si="64"/>
        <v>5</v>
      </c>
      <c r="AR117" s="29">
        <f t="shared" ca="1" si="64"/>
        <v>3</v>
      </c>
      <c r="AS117" s="29">
        <f t="shared" ca="1" si="64"/>
        <v>1</v>
      </c>
      <c r="AT117" s="29">
        <f t="shared" ca="1" si="64"/>
        <v>2</v>
      </c>
      <c r="AU117" s="29">
        <f t="shared" ca="1" si="64"/>
        <v>1</v>
      </c>
      <c r="AV117" s="29">
        <f t="shared" ca="1" si="67"/>
        <v>2</v>
      </c>
      <c r="AW117" s="29">
        <f t="shared" ca="1" si="67"/>
        <v>1</v>
      </c>
      <c r="AX117" s="29">
        <f t="shared" ca="1" si="67"/>
        <v>2</v>
      </c>
      <c r="AY117" s="29">
        <f t="shared" ca="1" si="67"/>
        <v>2</v>
      </c>
      <c r="AZ117" s="29">
        <f t="shared" ca="1" si="67"/>
        <v>3</v>
      </c>
      <c r="BA117" s="29">
        <f t="shared" ca="1" si="67"/>
        <v>2</v>
      </c>
      <c r="BB117" s="29">
        <f t="shared" ca="1" si="67"/>
        <v>3</v>
      </c>
      <c r="BC117" s="29">
        <f t="shared" ca="1" si="67"/>
        <v>6</v>
      </c>
      <c r="BD117" s="29">
        <f t="shared" ca="1" si="67"/>
        <v>1</v>
      </c>
      <c r="BE117" s="29">
        <f t="shared" ca="1" si="67"/>
        <v>6</v>
      </c>
      <c r="BF117" s="29">
        <f t="shared" ca="1" si="67"/>
        <v>1</v>
      </c>
      <c r="BG117" s="29">
        <f t="shared" ca="1" si="67"/>
        <v>3</v>
      </c>
      <c r="BH117" s="29">
        <f t="shared" ca="1" si="67"/>
        <v>2</v>
      </c>
      <c r="BI117" s="29">
        <f t="shared" ca="1" si="67"/>
        <v>4</v>
      </c>
      <c r="BJ117" s="29">
        <f t="shared" ca="1" si="67"/>
        <v>1</v>
      </c>
      <c r="BK117" s="29">
        <f t="shared" ca="1" si="67"/>
        <v>1</v>
      </c>
      <c r="BL117" s="29">
        <f t="shared" ca="1" si="66"/>
        <v>1</v>
      </c>
      <c r="BM117" s="29">
        <f t="shared" ca="1" si="66"/>
        <v>5</v>
      </c>
      <c r="BN117" s="29">
        <f t="shared" ca="1" si="66"/>
        <v>3</v>
      </c>
      <c r="BO117" s="29">
        <f t="shared" ca="1" si="66"/>
        <v>5</v>
      </c>
      <c r="BP117" s="29">
        <f t="shared" ca="1" si="66"/>
        <v>3</v>
      </c>
      <c r="BQ117" s="29">
        <f t="shared" ca="1" si="66"/>
        <v>1</v>
      </c>
      <c r="BR117" s="29">
        <f t="shared" ca="1" si="66"/>
        <v>3</v>
      </c>
      <c r="BS117" s="29">
        <f t="shared" ca="1" si="66"/>
        <v>3</v>
      </c>
      <c r="BT117" s="29">
        <f t="shared" ca="1" si="66"/>
        <v>1</v>
      </c>
      <c r="BU117" s="29">
        <f t="shared" ca="1" si="66"/>
        <v>3</v>
      </c>
      <c r="BV117" s="29">
        <f t="shared" ca="1" si="66"/>
        <v>4</v>
      </c>
      <c r="BW117" s="29">
        <f t="shared" ca="1" si="66"/>
        <v>3</v>
      </c>
      <c r="BX117" s="29">
        <f t="shared" ca="1" si="66"/>
        <v>3</v>
      </c>
      <c r="BY117" s="29">
        <f t="shared" ca="1" si="66"/>
        <v>2</v>
      </c>
      <c r="BZ117" s="29">
        <f t="shared" ca="1" si="66"/>
        <v>3</v>
      </c>
      <c r="CA117" s="29">
        <f t="shared" ca="1" si="69"/>
        <v>3</v>
      </c>
      <c r="CB117" s="29">
        <f t="shared" ca="1" si="69"/>
        <v>3</v>
      </c>
      <c r="CC117" s="29">
        <f t="shared" ca="1" si="69"/>
        <v>0</v>
      </c>
      <c r="CD117" s="29">
        <f t="shared" ca="1" si="69"/>
        <v>1</v>
      </c>
      <c r="CE117" s="29">
        <f t="shared" ca="1" si="69"/>
        <v>0</v>
      </c>
      <c r="CF117" s="29">
        <f t="shared" ca="1" si="69"/>
        <v>4</v>
      </c>
      <c r="CG117" s="29">
        <f t="shared" ca="1" si="69"/>
        <v>7</v>
      </c>
      <c r="CH117" s="29">
        <f t="shared" ca="1" si="69"/>
        <v>2</v>
      </c>
      <c r="CI117" s="29">
        <f t="shared" ca="1" si="69"/>
        <v>2</v>
      </c>
      <c r="CJ117" s="29">
        <f t="shared" ca="1" si="69"/>
        <v>1</v>
      </c>
      <c r="CK117" s="29">
        <f t="shared" ca="1" si="69"/>
        <v>4</v>
      </c>
      <c r="CL117" s="29">
        <f t="shared" ca="1" si="69"/>
        <v>2</v>
      </c>
      <c r="CM117" s="29">
        <f t="shared" ca="1" si="69"/>
        <v>3</v>
      </c>
      <c r="CN117" s="29">
        <f t="shared" ca="1" si="69"/>
        <v>3</v>
      </c>
      <c r="CO117" s="29">
        <f t="shared" ca="1" si="69"/>
        <v>2</v>
      </c>
      <c r="CP117" s="29">
        <f t="shared" ca="1" si="69"/>
        <v>0</v>
      </c>
      <c r="CQ117" s="29">
        <f t="shared" ca="1" si="68"/>
        <v>4</v>
      </c>
      <c r="CR117" s="29">
        <f t="shared" ca="1" si="68"/>
        <v>6</v>
      </c>
      <c r="CS117" s="29">
        <f t="shared" ca="1" si="68"/>
        <v>2</v>
      </c>
      <c r="CT117" s="29">
        <f t="shared" ca="1" si="68"/>
        <v>3</v>
      </c>
      <c r="CU117" s="29">
        <f t="shared" ca="1" si="68"/>
        <v>1</v>
      </c>
      <c r="CV117" s="29">
        <f t="shared" ca="1" si="68"/>
        <v>1</v>
      </c>
      <c r="CW117" s="29">
        <f t="shared" ca="1" si="68"/>
        <v>4</v>
      </c>
      <c r="CX117" s="29">
        <f t="shared" ca="1" si="68"/>
        <v>3</v>
      </c>
      <c r="CY117" s="29">
        <f t="shared" ca="1" si="68"/>
        <v>2</v>
      </c>
      <c r="CZ117" s="29">
        <f t="shared" ca="1" si="68"/>
        <v>3</v>
      </c>
      <c r="DA117" s="29">
        <f t="shared" ca="1" si="68"/>
        <v>2</v>
      </c>
      <c r="DB117" s="29">
        <f t="shared" ca="1" si="68"/>
        <v>0</v>
      </c>
      <c r="DC117" s="29">
        <f t="shared" ca="1" si="68"/>
        <v>3</v>
      </c>
      <c r="DD117" s="29">
        <f t="shared" ca="1" si="68"/>
        <v>0</v>
      </c>
      <c r="DE117" s="29">
        <f t="shared" ca="1" si="68"/>
        <v>1</v>
      </c>
      <c r="DF117" s="29">
        <f t="shared" ca="1" si="63"/>
        <v>3</v>
      </c>
      <c r="DG117" s="29">
        <f t="shared" ca="1" si="63"/>
        <v>2</v>
      </c>
      <c r="DH117" s="29">
        <f t="shared" ca="1" si="63"/>
        <v>1</v>
      </c>
      <c r="DI117" s="29">
        <f t="shared" ca="1" si="63"/>
        <v>1</v>
      </c>
      <c r="DJ117" s="29">
        <f t="shared" ca="1" si="63"/>
        <v>4</v>
      </c>
      <c r="DK117" s="29">
        <f t="shared" ca="1" si="63"/>
        <v>4</v>
      </c>
      <c r="DL117" s="29">
        <f t="shared" ca="1" si="63"/>
        <v>2</v>
      </c>
    </row>
    <row r="118" spans="1:116" ht="14.4" x14ac:dyDescent="0.3">
      <c r="A118" s="31">
        <v>882</v>
      </c>
      <c r="B118" s="28">
        <v>4.21</v>
      </c>
      <c r="C118" s="30">
        <v>75.38</v>
      </c>
      <c r="D118" s="28">
        <v>3.07</v>
      </c>
      <c r="E118" s="34">
        <f t="shared" si="43"/>
        <v>6.1399999999999996E-2</v>
      </c>
      <c r="F118" s="35">
        <f t="shared" si="44"/>
        <v>18.844999999999999</v>
      </c>
      <c r="G118" s="34">
        <f t="shared" si="45"/>
        <v>76.75</v>
      </c>
      <c r="H118" s="33">
        <f t="shared" si="46"/>
        <v>13.7541567695962</v>
      </c>
      <c r="I118" s="28">
        <f t="shared" si="49"/>
        <v>260.94</v>
      </c>
      <c r="J118" s="32">
        <v>1</v>
      </c>
      <c r="K118" s="30">
        <f t="shared" si="47"/>
        <v>18.844999999999999</v>
      </c>
      <c r="L118" s="30"/>
      <c r="M118" s="30"/>
      <c r="N118" s="30"/>
      <c r="O118" s="30"/>
      <c r="Q118" s="29">
        <f t="shared" ca="1" si="48"/>
        <v>3</v>
      </c>
      <c r="R118" s="29">
        <f t="shared" ca="1" si="65"/>
        <v>3</v>
      </c>
      <c r="S118" s="29">
        <f t="shared" ca="1" si="65"/>
        <v>3</v>
      </c>
      <c r="T118" s="29">
        <f t="shared" ca="1" si="65"/>
        <v>4</v>
      </c>
      <c r="U118" s="29">
        <f t="shared" ca="1" si="65"/>
        <v>4</v>
      </c>
      <c r="V118" s="29">
        <f t="shared" ca="1" si="65"/>
        <v>2</v>
      </c>
      <c r="W118" s="29">
        <f t="shared" ca="1" si="65"/>
        <v>7</v>
      </c>
      <c r="X118" s="29">
        <f t="shared" ca="1" si="65"/>
        <v>5</v>
      </c>
      <c r="Y118" s="29">
        <f t="shared" ca="1" si="65"/>
        <v>1</v>
      </c>
      <c r="Z118" s="29">
        <f t="shared" ca="1" si="65"/>
        <v>3</v>
      </c>
      <c r="AA118" s="29">
        <f t="shared" ca="1" si="65"/>
        <v>1</v>
      </c>
      <c r="AB118" s="29">
        <f t="shared" ca="1" si="65"/>
        <v>5</v>
      </c>
      <c r="AC118" s="29">
        <f t="shared" ca="1" si="65"/>
        <v>3</v>
      </c>
      <c r="AD118" s="29">
        <f t="shared" ca="1" si="65"/>
        <v>2</v>
      </c>
      <c r="AE118" s="29">
        <f t="shared" ca="1" si="65"/>
        <v>3</v>
      </c>
      <c r="AF118" s="29">
        <f t="shared" ca="1" si="65"/>
        <v>3</v>
      </c>
      <c r="AG118" s="29">
        <f t="shared" ca="1" si="64"/>
        <v>1</v>
      </c>
      <c r="AH118" s="29">
        <f t="shared" ca="1" si="64"/>
        <v>3</v>
      </c>
      <c r="AI118" s="29">
        <f t="shared" ca="1" si="64"/>
        <v>0</v>
      </c>
      <c r="AJ118" s="29">
        <f t="shared" ca="1" si="64"/>
        <v>2</v>
      </c>
      <c r="AK118" s="29">
        <f t="shared" ca="1" si="64"/>
        <v>3</v>
      </c>
      <c r="AL118" s="29">
        <f t="shared" ca="1" si="64"/>
        <v>6</v>
      </c>
      <c r="AM118" s="29">
        <f t="shared" ca="1" si="64"/>
        <v>2</v>
      </c>
      <c r="AN118" s="29">
        <f t="shared" ca="1" si="64"/>
        <v>2</v>
      </c>
      <c r="AO118" s="29">
        <f t="shared" ca="1" si="64"/>
        <v>2</v>
      </c>
      <c r="AP118" s="29">
        <f t="shared" ca="1" si="64"/>
        <v>3</v>
      </c>
      <c r="AQ118" s="29">
        <f t="shared" ca="1" si="64"/>
        <v>4</v>
      </c>
      <c r="AR118" s="29">
        <f t="shared" ca="1" si="64"/>
        <v>2</v>
      </c>
      <c r="AS118" s="29">
        <f t="shared" ca="1" si="64"/>
        <v>5</v>
      </c>
      <c r="AT118" s="29">
        <f t="shared" ca="1" si="64"/>
        <v>4</v>
      </c>
      <c r="AU118" s="29">
        <f t="shared" ca="1" si="64"/>
        <v>3</v>
      </c>
      <c r="AV118" s="29">
        <f t="shared" ca="1" si="67"/>
        <v>2</v>
      </c>
      <c r="AW118" s="29">
        <f t="shared" ca="1" si="67"/>
        <v>2</v>
      </c>
      <c r="AX118" s="29">
        <f t="shared" ca="1" si="67"/>
        <v>4</v>
      </c>
      <c r="AY118" s="29">
        <f t="shared" ca="1" si="67"/>
        <v>3</v>
      </c>
      <c r="AZ118" s="29">
        <f t="shared" ca="1" si="67"/>
        <v>4</v>
      </c>
      <c r="BA118" s="29">
        <f t="shared" ca="1" si="67"/>
        <v>3</v>
      </c>
      <c r="BB118" s="29">
        <f t="shared" ca="1" si="67"/>
        <v>4</v>
      </c>
      <c r="BC118" s="29">
        <f t="shared" ca="1" si="67"/>
        <v>5</v>
      </c>
      <c r="BD118" s="29">
        <f t="shared" ca="1" si="67"/>
        <v>2</v>
      </c>
      <c r="BE118" s="29">
        <f t="shared" ca="1" si="67"/>
        <v>3</v>
      </c>
      <c r="BF118" s="29">
        <f t="shared" ca="1" si="67"/>
        <v>3</v>
      </c>
      <c r="BG118" s="29">
        <f t="shared" ca="1" si="67"/>
        <v>4</v>
      </c>
      <c r="BH118" s="29">
        <f t="shared" ca="1" si="67"/>
        <v>4</v>
      </c>
      <c r="BI118" s="29">
        <f t="shared" ca="1" si="67"/>
        <v>4</v>
      </c>
      <c r="BJ118" s="29">
        <f t="shared" ca="1" si="67"/>
        <v>1</v>
      </c>
      <c r="BK118" s="29">
        <f t="shared" ca="1" si="67"/>
        <v>0</v>
      </c>
      <c r="BL118" s="29">
        <f t="shared" ca="1" si="66"/>
        <v>1</v>
      </c>
      <c r="BM118" s="29">
        <f t="shared" ca="1" si="66"/>
        <v>2</v>
      </c>
      <c r="BN118" s="29">
        <f t="shared" ca="1" si="66"/>
        <v>2</v>
      </c>
      <c r="BO118" s="29">
        <f t="shared" ca="1" si="66"/>
        <v>4</v>
      </c>
      <c r="BP118" s="29">
        <f t="shared" ca="1" si="66"/>
        <v>7</v>
      </c>
      <c r="BQ118" s="29">
        <f t="shared" ca="1" si="66"/>
        <v>4</v>
      </c>
      <c r="BR118" s="29">
        <f t="shared" ca="1" si="66"/>
        <v>3</v>
      </c>
      <c r="BS118" s="29">
        <f t="shared" ca="1" si="66"/>
        <v>2</v>
      </c>
      <c r="BT118" s="29">
        <f t="shared" ca="1" si="66"/>
        <v>6</v>
      </c>
      <c r="BU118" s="29">
        <f t="shared" ca="1" si="66"/>
        <v>0</v>
      </c>
      <c r="BV118" s="29">
        <f t="shared" ca="1" si="66"/>
        <v>5</v>
      </c>
      <c r="BW118" s="29">
        <f t="shared" ca="1" si="66"/>
        <v>2</v>
      </c>
      <c r="BX118" s="29">
        <f t="shared" ca="1" si="66"/>
        <v>2</v>
      </c>
      <c r="BY118" s="29">
        <f t="shared" ca="1" si="66"/>
        <v>5</v>
      </c>
      <c r="BZ118" s="29">
        <f t="shared" ca="1" si="66"/>
        <v>2</v>
      </c>
      <c r="CA118" s="29">
        <f t="shared" ca="1" si="69"/>
        <v>7</v>
      </c>
      <c r="CB118" s="29">
        <f t="shared" ca="1" si="69"/>
        <v>3</v>
      </c>
      <c r="CC118" s="29">
        <f t="shared" ca="1" si="69"/>
        <v>2</v>
      </c>
      <c r="CD118" s="29">
        <f t="shared" ca="1" si="69"/>
        <v>5</v>
      </c>
      <c r="CE118" s="29">
        <f t="shared" ca="1" si="69"/>
        <v>2</v>
      </c>
      <c r="CF118" s="29">
        <f t="shared" ca="1" si="69"/>
        <v>3</v>
      </c>
      <c r="CG118" s="29">
        <f t="shared" ca="1" si="69"/>
        <v>3</v>
      </c>
      <c r="CH118" s="29">
        <f t="shared" ca="1" si="69"/>
        <v>4</v>
      </c>
      <c r="CI118" s="29">
        <f t="shared" ca="1" si="69"/>
        <v>2</v>
      </c>
      <c r="CJ118" s="29">
        <f t="shared" ca="1" si="69"/>
        <v>4</v>
      </c>
      <c r="CK118" s="29">
        <f t="shared" ca="1" si="69"/>
        <v>2</v>
      </c>
      <c r="CL118" s="29">
        <f t="shared" ca="1" si="69"/>
        <v>2</v>
      </c>
      <c r="CM118" s="29">
        <f t="shared" ca="1" si="69"/>
        <v>2</v>
      </c>
      <c r="CN118" s="29">
        <f t="shared" ca="1" si="69"/>
        <v>4</v>
      </c>
      <c r="CO118" s="29">
        <f t="shared" ca="1" si="69"/>
        <v>1</v>
      </c>
      <c r="CP118" s="29">
        <f t="shared" ca="1" si="69"/>
        <v>1</v>
      </c>
      <c r="CQ118" s="29">
        <f t="shared" ca="1" si="68"/>
        <v>2</v>
      </c>
      <c r="CR118" s="29">
        <f t="shared" ca="1" si="68"/>
        <v>5</v>
      </c>
      <c r="CS118" s="29">
        <f t="shared" ca="1" si="68"/>
        <v>5</v>
      </c>
      <c r="CT118" s="29">
        <f t="shared" ca="1" si="68"/>
        <v>4</v>
      </c>
      <c r="CU118" s="29">
        <f t="shared" ca="1" si="68"/>
        <v>2</v>
      </c>
      <c r="CV118" s="29">
        <f t="shared" ca="1" si="68"/>
        <v>1</v>
      </c>
      <c r="CW118" s="29">
        <f t="shared" ca="1" si="68"/>
        <v>4</v>
      </c>
      <c r="CX118" s="29">
        <f t="shared" ca="1" si="68"/>
        <v>6</v>
      </c>
      <c r="CY118" s="29">
        <f t="shared" ca="1" si="68"/>
        <v>3</v>
      </c>
      <c r="CZ118" s="29">
        <f t="shared" ca="1" si="68"/>
        <v>3</v>
      </c>
      <c r="DA118" s="29">
        <f t="shared" ca="1" si="68"/>
        <v>2</v>
      </c>
      <c r="DB118" s="29">
        <f t="shared" ca="1" si="68"/>
        <v>1</v>
      </c>
      <c r="DC118" s="29">
        <f t="shared" ca="1" si="68"/>
        <v>4</v>
      </c>
      <c r="DD118" s="29">
        <f t="shared" ca="1" si="68"/>
        <v>2</v>
      </c>
      <c r="DE118" s="29">
        <f t="shared" ca="1" si="68"/>
        <v>1</v>
      </c>
      <c r="DF118" s="29">
        <f t="shared" ca="1" si="63"/>
        <v>3</v>
      </c>
      <c r="DG118" s="29">
        <f t="shared" ca="1" si="63"/>
        <v>1</v>
      </c>
      <c r="DH118" s="29">
        <f t="shared" ca="1" si="63"/>
        <v>1</v>
      </c>
      <c r="DI118" s="29">
        <f t="shared" ca="1" si="63"/>
        <v>3</v>
      </c>
      <c r="DJ118" s="29">
        <f t="shared" ca="1" si="63"/>
        <v>2</v>
      </c>
      <c r="DK118" s="29">
        <f t="shared" ca="1" si="63"/>
        <v>4</v>
      </c>
      <c r="DL118" s="29">
        <f t="shared" ca="1" si="63"/>
        <v>3</v>
      </c>
    </row>
    <row r="119" spans="1:116" ht="14.4" x14ac:dyDescent="0.3">
      <c r="A119" s="31">
        <v>952</v>
      </c>
      <c r="B119" s="28">
        <v>2.69</v>
      </c>
      <c r="C119" s="30">
        <v>90.91</v>
      </c>
      <c r="D119" s="28">
        <v>2.38</v>
      </c>
      <c r="E119" s="34">
        <f t="shared" si="43"/>
        <v>4.7599999999999996E-2</v>
      </c>
      <c r="F119" s="35">
        <f t="shared" si="44"/>
        <v>22.727499999999999</v>
      </c>
      <c r="G119" s="34">
        <f t="shared" si="45"/>
        <v>59.5</v>
      </c>
      <c r="H119" s="33">
        <f t="shared" si="46"/>
        <v>13.67007434944238</v>
      </c>
      <c r="I119" s="28">
        <f t="shared" si="49"/>
        <v>263.63</v>
      </c>
      <c r="J119" s="32">
        <v>1</v>
      </c>
      <c r="K119" s="30">
        <f t="shared" si="47"/>
        <v>22.727499999999999</v>
      </c>
      <c r="L119" s="30"/>
      <c r="M119" s="30"/>
      <c r="N119" s="30"/>
      <c r="O119" s="30"/>
      <c r="Q119" s="29">
        <f t="shared" ca="1" si="48"/>
        <v>6</v>
      </c>
      <c r="R119" s="29">
        <f t="shared" ca="1" si="65"/>
        <v>2</v>
      </c>
      <c r="S119" s="29">
        <f t="shared" ca="1" si="65"/>
        <v>0</v>
      </c>
      <c r="T119" s="29">
        <f t="shared" ca="1" si="65"/>
        <v>4</v>
      </c>
      <c r="U119" s="29">
        <f t="shared" ca="1" si="65"/>
        <v>1</v>
      </c>
      <c r="V119" s="29">
        <f t="shared" ca="1" si="65"/>
        <v>4</v>
      </c>
      <c r="W119" s="29">
        <f t="shared" ca="1" si="65"/>
        <v>1</v>
      </c>
      <c r="X119" s="29">
        <f t="shared" ca="1" si="65"/>
        <v>3</v>
      </c>
      <c r="Y119" s="29">
        <f t="shared" ca="1" si="65"/>
        <v>0</v>
      </c>
      <c r="Z119" s="29">
        <f t="shared" ca="1" si="65"/>
        <v>4</v>
      </c>
      <c r="AA119" s="29">
        <f t="shared" ca="1" si="65"/>
        <v>4</v>
      </c>
      <c r="AB119" s="29">
        <f t="shared" ca="1" si="65"/>
        <v>2</v>
      </c>
      <c r="AC119" s="29">
        <f t="shared" ca="1" si="65"/>
        <v>3</v>
      </c>
      <c r="AD119" s="29">
        <f t="shared" ca="1" si="65"/>
        <v>3</v>
      </c>
      <c r="AE119" s="29">
        <f t="shared" ca="1" si="65"/>
        <v>4</v>
      </c>
      <c r="AF119" s="29">
        <f t="shared" ca="1" si="65"/>
        <v>2</v>
      </c>
      <c r="AG119" s="29">
        <f t="shared" ca="1" si="64"/>
        <v>4</v>
      </c>
      <c r="AH119" s="29">
        <f t="shared" ca="1" si="64"/>
        <v>2</v>
      </c>
      <c r="AI119" s="29">
        <f t="shared" ca="1" si="64"/>
        <v>2</v>
      </c>
      <c r="AJ119" s="29">
        <f t="shared" ca="1" si="64"/>
        <v>3</v>
      </c>
      <c r="AK119" s="29">
        <f t="shared" ca="1" si="64"/>
        <v>2</v>
      </c>
      <c r="AL119" s="29">
        <f t="shared" ca="1" si="64"/>
        <v>2</v>
      </c>
      <c r="AM119" s="29">
        <f t="shared" ca="1" si="64"/>
        <v>3</v>
      </c>
      <c r="AN119" s="29">
        <f t="shared" ca="1" si="64"/>
        <v>1</v>
      </c>
      <c r="AO119" s="29">
        <f t="shared" ca="1" si="64"/>
        <v>2</v>
      </c>
      <c r="AP119" s="29">
        <f t="shared" ca="1" si="64"/>
        <v>1</v>
      </c>
      <c r="AQ119" s="29">
        <f t="shared" ca="1" si="64"/>
        <v>2</v>
      </c>
      <c r="AR119" s="29">
        <f t="shared" ca="1" si="64"/>
        <v>2</v>
      </c>
      <c r="AS119" s="29">
        <f t="shared" ca="1" si="64"/>
        <v>3</v>
      </c>
      <c r="AT119" s="29">
        <f t="shared" ca="1" si="64"/>
        <v>2</v>
      </c>
      <c r="AU119" s="29">
        <f t="shared" ca="1" si="64"/>
        <v>5</v>
      </c>
      <c r="AV119" s="29">
        <f t="shared" ca="1" si="67"/>
        <v>5</v>
      </c>
      <c r="AW119" s="29">
        <f t="shared" ca="1" si="67"/>
        <v>4</v>
      </c>
      <c r="AX119" s="29">
        <f t="shared" ca="1" si="67"/>
        <v>3</v>
      </c>
      <c r="AY119" s="29">
        <f t="shared" ca="1" si="67"/>
        <v>2</v>
      </c>
      <c r="AZ119" s="29">
        <f t="shared" ca="1" si="67"/>
        <v>2</v>
      </c>
      <c r="BA119" s="29">
        <f t="shared" ca="1" si="67"/>
        <v>4</v>
      </c>
      <c r="BB119" s="29">
        <f t="shared" ca="1" si="67"/>
        <v>0</v>
      </c>
      <c r="BC119" s="29">
        <f t="shared" ca="1" si="67"/>
        <v>3</v>
      </c>
      <c r="BD119" s="29">
        <f t="shared" ca="1" si="67"/>
        <v>2</v>
      </c>
      <c r="BE119" s="29">
        <f t="shared" ca="1" si="67"/>
        <v>2</v>
      </c>
      <c r="BF119" s="29">
        <f t="shared" ca="1" si="67"/>
        <v>3</v>
      </c>
      <c r="BG119" s="29">
        <f t="shared" ca="1" si="67"/>
        <v>7</v>
      </c>
      <c r="BH119" s="29">
        <f t="shared" ca="1" si="67"/>
        <v>2</v>
      </c>
      <c r="BI119" s="29">
        <f t="shared" ca="1" si="67"/>
        <v>1</v>
      </c>
      <c r="BJ119" s="29">
        <f t="shared" ca="1" si="67"/>
        <v>0</v>
      </c>
      <c r="BK119" s="29">
        <f t="shared" ca="1" si="67"/>
        <v>4</v>
      </c>
      <c r="BL119" s="29">
        <f t="shared" ca="1" si="66"/>
        <v>4</v>
      </c>
      <c r="BM119" s="29">
        <f t="shared" ca="1" si="66"/>
        <v>0</v>
      </c>
      <c r="BN119" s="29">
        <f t="shared" ca="1" si="66"/>
        <v>1</v>
      </c>
      <c r="BO119" s="29">
        <f t="shared" ca="1" si="66"/>
        <v>5</v>
      </c>
      <c r="BP119" s="29">
        <f t="shared" ca="1" si="66"/>
        <v>6</v>
      </c>
      <c r="BQ119" s="29">
        <f t="shared" ca="1" si="66"/>
        <v>1</v>
      </c>
      <c r="BR119" s="29">
        <f t="shared" ca="1" si="66"/>
        <v>6</v>
      </c>
      <c r="BS119" s="29">
        <f t="shared" ca="1" si="66"/>
        <v>1</v>
      </c>
      <c r="BT119" s="29">
        <f t="shared" ca="1" si="66"/>
        <v>3</v>
      </c>
      <c r="BU119" s="29">
        <f t="shared" ca="1" si="66"/>
        <v>3</v>
      </c>
      <c r="BV119" s="29">
        <f t="shared" ca="1" si="66"/>
        <v>0</v>
      </c>
      <c r="BW119" s="29">
        <f t="shared" ca="1" si="66"/>
        <v>6</v>
      </c>
      <c r="BX119" s="29">
        <f t="shared" ca="1" si="66"/>
        <v>3</v>
      </c>
      <c r="BY119" s="29">
        <f t="shared" ca="1" si="66"/>
        <v>2</v>
      </c>
      <c r="BZ119" s="29">
        <f t="shared" ca="1" si="66"/>
        <v>4</v>
      </c>
      <c r="CA119" s="29">
        <f t="shared" ca="1" si="69"/>
        <v>0</v>
      </c>
      <c r="CB119" s="29">
        <f t="shared" ca="1" si="69"/>
        <v>2</v>
      </c>
      <c r="CC119" s="29">
        <f t="shared" ca="1" si="69"/>
        <v>2</v>
      </c>
      <c r="CD119" s="29">
        <f t="shared" ca="1" si="69"/>
        <v>3</v>
      </c>
      <c r="CE119" s="29">
        <f t="shared" ca="1" si="69"/>
        <v>5</v>
      </c>
      <c r="CF119" s="29">
        <f t="shared" ca="1" si="69"/>
        <v>1</v>
      </c>
      <c r="CG119" s="29">
        <f t="shared" ca="1" si="69"/>
        <v>1</v>
      </c>
      <c r="CH119" s="29">
        <f t="shared" ca="1" si="69"/>
        <v>3</v>
      </c>
      <c r="CI119" s="29">
        <f t="shared" ca="1" si="69"/>
        <v>1</v>
      </c>
      <c r="CJ119" s="29">
        <f t="shared" ca="1" si="69"/>
        <v>4</v>
      </c>
      <c r="CK119" s="29">
        <f t="shared" ca="1" si="69"/>
        <v>0</v>
      </c>
      <c r="CL119" s="29">
        <f t="shared" ca="1" si="69"/>
        <v>2</v>
      </c>
      <c r="CM119" s="29">
        <f t="shared" ca="1" si="69"/>
        <v>3</v>
      </c>
      <c r="CN119" s="29">
        <f t="shared" ca="1" si="69"/>
        <v>0</v>
      </c>
      <c r="CO119" s="29">
        <f t="shared" ca="1" si="69"/>
        <v>4</v>
      </c>
      <c r="CP119" s="29">
        <f t="shared" ca="1" si="69"/>
        <v>3</v>
      </c>
      <c r="CQ119" s="29">
        <f t="shared" ca="1" si="68"/>
        <v>3</v>
      </c>
      <c r="CR119" s="29">
        <f t="shared" ca="1" si="68"/>
        <v>2</v>
      </c>
      <c r="CS119" s="29">
        <f t="shared" ca="1" si="68"/>
        <v>1</v>
      </c>
      <c r="CT119" s="29">
        <f t="shared" ca="1" si="68"/>
        <v>2</v>
      </c>
      <c r="CU119" s="29">
        <f t="shared" ca="1" si="68"/>
        <v>3</v>
      </c>
      <c r="CV119" s="29">
        <f t="shared" ca="1" si="68"/>
        <v>6</v>
      </c>
      <c r="CW119" s="29">
        <f t="shared" ca="1" si="68"/>
        <v>2</v>
      </c>
      <c r="CX119" s="29">
        <f t="shared" ca="1" si="68"/>
        <v>3</v>
      </c>
      <c r="CY119" s="29">
        <f t="shared" ca="1" si="68"/>
        <v>1</v>
      </c>
      <c r="CZ119" s="29">
        <f t="shared" ca="1" si="68"/>
        <v>4</v>
      </c>
      <c r="DA119" s="29">
        <f t="shared" ca="1" si="68"/>
        <v>4</v>
      </c>
      <c r="DB119" s="29">
        <f t="shared" ca="1" si="68"/>
        <v>4</v>
      </c>
      <c r="DC119" s="29">
        <f t="shared" ca="1" si="68"/>
        <v>6</v>
      </c>
      <c r="DD119" s="29">
        <f t="shared" ca="1" si="68"/>
        <v>1</v>
      </c>
      <c r="DE119" s="29">
        <f t="shared" ca="1" si="68"/>
        <v>2</v>
      </c>
      <c r="DF119" s="29">
        <f t="shared" ca="1" si="63"/>
        <v>2</v>
      </c>
      <c r="DG119" s="29">
        <f t="shared" ca="1" si="63"/>
        <v>2</v>
      </c>
      <c r="DH119" s="29">
        <f t="shared" ca="1" si="63"/>
        <v>3</v>
      </c>
      <c r="DI119" s="29">
        <f t="shared" ca="1" si="63"/>
        <v>4</v>
      </c>
      <c r="DJ119" s="29">
        <f t="shared" ca="1" si="63"/>
        <v>2</v>
      </c>
      <c r="DK119" s="29">
        <f t="shared" ca="1" si="63"/>
        <v>2</v>
      </c>
      <c r="DL119" s="29">
        <f t="shared" ca="1" si="63"/>
        <v>4</v>
      </c>
    </row>
    <row r="120" spans="1:116" ht="14.4" x14ac:dyDescent="0.3">
      <c r="A120" s="31">
        <v>728</v>
      </c>
      <c r="B120" s="28">
        <v>1.47</v>
      </c>
      <c r="C120" s="30">
        <v>53.88</v>
      </c>
      <c r="D120" s="28">
        <v>1.34</v>
      </c>
      <c r="E120" s="34">
        <f t="shared" si="43"/>
        <v>2.6800000000000001E-2</v>
      </c>
      <c r="F120" s="35">
        <f t="shared" si="44"/>
        <v>13.47</v>
      </c>
      <c r="G120" s="34">
        <f t="shared" si="45"/>
        <v>33.5</v>
      </c>
      <c r="H120" s="33">
        <f t="shared" si="46"/>
        <v>13.625850340136056</v>
      </c>
      <c r="I120" s="28">
        <f t="shared" si="49"/>
        <v>265.10000000000002</v>
      </c>
      <c r="J120" s="32">
        <v>1</v>
      </c>
      <c r="K120" s="30">
        <f t="shared" si="47"/>
        <v>13.47</v>
      </c>
      <c r="L120" s="30"/>
      <c r="M120" s="30"/>
      <c r="N120" s="30"/>
      <c r="O120" s="30"/>
      <c r="Q120" s="29">
        <f t="shared" ca="1" si="48"/>
        <v>1</v>
      </c>
      <c r="R120" s="29">
        <f t="shared" ca="1" si="65"/>
        <v>1</v>
      </c>
      <c r="S120" s="29">
        <f t="shared" ca="1" si="65"/>
        <v>5</v>
      </c>
      <c r="T120" s="29">
        <f t="shared" ca="1" si="65"/>
        <v>1</v>
      </c>
      <c r="U120" s="29">
        <f t="shared" ca="1" si="65"/>
        <v>2</v>
      </c>
      <c r="V120" s="29">
        <f t="shared" ca="1" si="65"/>
        <v>1</v>
      </c>
      <c r="W120" s="29">
        <f t="shared" ca="1" si="65"/>
        <v>2</v>
      </c>
      <c r="X120" s="29">
        <f t="shared" ca="1" si="65"/>
        <v>2</v>
      </c>
      <c r="Y120" s="29">
        <f t="shared" ca="1" si="65"/>
        <v>1</v>
      </c>
      <c r="Z120" s="29">
        <f t="shared" ca="1" si="65"/>
        <v>1</v>
      </c>
      <c r="AA120" s="29">
        <f t="shared" ca="1" si="65"/>
        <v>2</v>
      </c>
      <c r="AB120" s="29">
        <f t="shared" ca="1" si="65"/>
        <v>0</v>
      </c>
      <c r="AC120" s="29">
        <f t="shared" ca="1" si="65"/>
        <v>2</v>
      </c>
      <c r="AD120" s="29">
        <f t="shared" ca="1" si="65"/>
        <v>0</v>
      </c>
      <c r="AE120" s="29">
        <f t="shared" ca="1" si="65"/>
        <v>0</v>
      </c>
      <c r="AF120" s="29">
        <f t="shared" ca="1" si="65"/>
        <v>1</v>
      </c>
      <c r="AG120" s="29">
        <f t="shared" ca="1" si="64"/>
        <v>1</v>
      </c>
      <c r="AH120" s="29">
        <f t="shared" ca="1" si="64"/>
        <v>5</v>
      </c>
      <c r="AI120" s="29">
        <f t="shared" ca="1" si="64"/>
        <v>2</v>
      </c>
      <c r="AJ120" s="29">
        <f t="shared" ca="1" si="64"/>
        <v>4</v>
      </c>
      <c r="AK120" s="29">
        <f t="shared" ca="1" si="64"/>
        <v>0</v>
      </c>
      <c r="AL120" s="29">
        <f t="shared" ca="1" si="64"/>
        <v>1</v>
      </c>
      <c r="AM120" s="29">
        <f t="shared" ca="1" si="64"/>
        <v>0</v>
      </c>
      <c r="AN120" s="29">
        <f t="shared" ca="1" si="64"/>
        <v>1</v>
      </c>
      <c r="AO120" s="29">
        <f t="shared" ca="1" si="64"/>
        <v>1</v>
      </c>
      <c r="AP120" s="29">
        <f t="shared" ca="1" si="64"/>
        <v>3</v>
      </c>
      <c r="AQ120" s="29">
        <f t="shared" ca="1" si="64"/>
        <v>2</v>
      </c>
      <c r="AR120" s="29">
        <f t="shared" ca="1" si="64"/>
        <v>1</v>
      </c>
      <c r="AS120" s="29">
        <f t="shared" ca="1" si="64"/>
        <v>2</v>
      </c>
      <c r="AT120" s="29">
        <f t="shared" ca="1" si="64"/>
        <v>2</v>
      </c>
      <c r="AU120" s="29">
        <f t="shared" ca="1" si="64"/>
        <v>2</v>
      </c>
      <c r="AV120" s="29">
        <f t="shared" ca="1" si="67"/>
        <v>0</v>
      </c>
      <c r="AW120" s="29">
        <f t="shared" ca="1" si="67"/>
        <v>2</v>
      </c>
      <c r="AX120" s="29">
        <f t="shared" ca="1" si="67"/>
        <v>0</v>
      </c>
      <c r="AY120" s="29">
        <f t="shared" ca="1" si="67"/>
        <v>0</v>
      </c>
      <c r="AZ120" s="29">
        <f t="shared" ca="1" si="67"/>
        <v>0</v>
      </c>
      <c r="BA120" s="29">
        <f t="shared" ca="1" si="67"/>
        <v>0</v>
      </c>
      <c r="BB120" s="29">
        <f t="shared" ca="1" si="67"/>
        <v>0</v>
      </c>
      <c r="BC120" s="29">
        <f t="shared" ca="1" si="67"/>
        <v>3</v>
      </c>
      <c r="BD120" s="29">
        <f t="shared" ca="1" si="67"/>
        <v>0</v>
      </c>
      <c r="BE120" s="29">
        <f t="shared" ca="1" si="67"/>
        <v>1</v>
      </c>
      <c r="BF120" s="29">
        <f t="shared" ca="1" si="67"/>
        <v>1</v>
      </c>
      <c r="BG120" s="29">
        <f t="shared" ca="1" si="67"/>
        <v>1</v>
      </c>
      <c r="BH120" s="29">
        <f t="shared" ca="1" si="67"/>
        <v>0</v>
      </c>
      <c r="BI120" s="29">
        <f t="shared" ca="1" si="67"/>
        <v>0</v>
      </c>
      <c r="BJ120" s="29">
        <f t="shared" ca="1" si="67"/>
        <v>2</v>
      </c>
      <c r="BK120" s="29">
        <f t="shared" ca="1" si="67"/>
        <v>2</v>
      </c>
      <c r="BL120" s="29">
        <f t="shared" ca="1" si="66"/>
        <v>4</v>
      </c>
      <c r="BM120" s="29">
        <f t="shared" ca="1" si="66"/>
        <v>0</v>
      </c>
      <c r="BN120" s="29">
        <f t="shared" ca="1" si="66"/>
        <v>1</v>
      </c>
      <c r="BO120" s="29">
        <f t="shared" ca="1" si="66"/>
        <v>3</v>
      </c>
      <c r="BP120" s="29">
        <f t="shared" ca="1" si="66"/>
        <v>4</v>
      </c>
      <c r="BQ120" s="29">
        <f t="shared" ca="1" si="66"/>
        <v>1</v>
      </c>
      <c r="BR120" s="29">
        <f t="shared" ca="1" si="66"/>
        <v>1</v>
      </c>
      <c r="BS120" s="29">
        <f t="shared" ca="1" si="66"/>
        <v>1</v>
      </c>
      <c r="BT120" s="29">
        <f t="shared" ca="1" si="66"/>
        <v>1</v>
      </c>
      <c r="BU120" s="29">
        <f t="shared" ca="1" si="66"/>
        <v>0</v>
      </c>
      <c r="BV120" s="29">
        <f t="shared" ca="1" si="66"/>
        <v>1</v>
      </c>
      <c r="BW120" s="29">
        <f t="shared" ca="1" si="66"/>
        <v>2</v>
      </c>
      <c r="BX120" s="29">
        <f t="shared" ca="1" si="66"/>
        <v>0</v>
      </c>
      <c r="BY120" s="29">
        <f t="shared" ca="1" si="66"/>
        <v>1</v>
      </c>
      <c r="BZ120" s="29">
        <f t="shared" ca="1" si="66"/>
        <v>2</v>
      </c>
      <c r="CA120" s="29">
        <f t="shared" ca="1" si="69"/>
        <v>2</v>
      </c>
      <c r="CB120" s="29">
        <f t="shared" ca="1" si="69"/>
        <v>1</v>
      </c>
      <c r="CC120" s="29">
        <f t="shared" ca="1" si="69"/>
        <v>0</v>
      </c>
      <c r="CD120" s="29">
        <f t="shared" ca="1" si="69"/>
        <v>0</v>
      </c>
      <c r="CE120" s="29">
        <f t="shared" ca="1" si="69"/>
        <v>2</v>
      </c>
      <c r="CF120" s="29">
        <f t="shared" ca="1" si="69"/>
        <v>1</v>
      </c>
      <c r="CG120" s="29">
        <f t="shared" ca="1" si="69"/>
        <v>0</v>
      </c>
      <c r="CH120" s="29">
        <f t="shared" ca="1" si="69"/>
        <v>4</v>
      </c>
      <c r="CI120" s="29">
        <f t="shared" ca="1" si="69"/>
        <v>0</v>
      </c>
      <c r="CJ120" s="29">
        <f t="shared" ca="1" si="69"/>
        <v>2</v>
      </c>
      <c r="CK120" s="29">
        <f t="shared" ca="1" si="69"/>
        <v>0</v>
      </c>
      <c r="CL120" s="29">
        <f t="shared" ca="1" si="69"/>
        <v>3</v>
      </c>
      <c r="CM120" s="29">
        <f t="shared" ca="1" si="69"/>
        <v>2</v>
      </c>
      <c r="CN120" s="29">
        <f t="shared" ca="1" si="69"/>
        <v>1</v>
      </c>
      <c r="CO120" s="29">
        <f t="shared" ca="1" si="69"/>
        <v>3</v>
      </c>
      <c r="CP120" s="29">
        <f t="shared" ca="1" si="69"/>
        <v>4</v>
      </c>
      <c r="CQ120" s="29">
        <f t="shared" ca="1" si="68"/>
        <v>3</v>
      </c>
      <c r="CR120" s="29">
        <f t="shared" ca="1" si="68"/>
        <v>1</v>
      </c>
      <c r="CS120" s="29">
        <f t="shared" ca="1" si="68"/>
        <v>1</v>
      </c>
      <c r="CT120" s="29">
        <f t="shared" ca="1" si="68"/>
        <v>3</v>
      </c>
      <c r="CU120" s="29">
        <f t="shared" ca="1" si="68"/>
        <v>0</v>
      </c>
      <c r="CV120" s="29">
        <f t="shared" ca="1" si="68"/>
        <v>0</v>
      </c>
      <c r="CW120" s="29">
        <f t="shared" ca="1" si="68"/>
        <v>0</v>
      </c>
      <c r="CX120" s="29">
        <f t="shared" ca="1" si="68"/>
        <v>3</v>
      </c>
      <c r="CY120" s="29">
        <f t="shared" ca="1" si="68"/>
        <v>1</v>
      </c>
      <c r="CZ120" s="29">
        <f t="shared" ca="1" si="68"/>
        <v>1</v>
      </c>
      <c r="DA120" s="29">
        <f t="shared" ca="1" si="68"/>
        <v>2</v>
      </c>
      <c r="DB120" s="29">
        <f t="shared" ca="1" si="68"/>
        <v>0</v>
      </c>
      <c r="DC120" s="29">
        <f t="shared" ca="1" si="68"/>
        <v>1</v>
      </c>
      <c r="DD120" s="29">
        <f t="shared" ca="1" si="68"/>
        <v>3</v>
      </c>
      <c r="DE120" s="29">
        <f t="shared" ca="1" si="68"/>
        <v>4</v>
      </c>
      <c r="DF120" s="29">
        <f t="shared" ca="1" si="63"/>
        <v>2</v>
      </c>
      <c r="DG120" s="29">
        <f t="shared" ca="1" si="63"/>
        <v>1</v>
      </c>
      <c r="DH120" s="29">
        <f t="shared" ca="1" si="63"/>
        <v>2</v>
      </c>
      <c r="DI120" s="29">
        <f t="shared" ca="1" si="63"/>
        <v>0</v>
      </c>
      <c r="DJ120" s="29">
        <f t="shared" ca="1" si="63"/>
        <v>2</v>
      </c>
      <c r="DK120" s="29">
        <f t="shared" ca="1" si="63"/>
        <v>0</v>
      </c>
      <c r="DL120" s="29">
        <f t="shared" ca="1" si="63"/>
        <v>2</v>
      </c>
    </row>
    <row r="121" spans="1:116" ht="14.4" x14ac:dyDescent="0.3">
      <c r="A121" s="31">
        <v>194</v>
      </c>
      <c r="B121" s="28">
        <v>1.77</v>
      </c>
      <c r="C121" s="30">
        <v>28.69</v>
      </c>
      <c r="D121" s="28">
        <v>1.25</v>
      </c>
      <c r="E121" s="34">
        <f t="shared" si="43"/>
        <v>2.5000000000000001E-2</v>
      </c>
      <c r="F121" s="35">
        <f t="shared" si="44"/>
        <v>7.1725000000000003</v>
      </c>
      <c r="G121" s="34">
        <f t="shared" si="45"/>
        <v>31.25</v>
      </c>
      <c r="H121" s="33">
        <f t="shared" si="46"/>
        <v>13.603107344632768</v>
      </c>
      <c r="I121" s="28">
        <f t="shared" si="49"/>
        <v>266.87</v>
      </c>
      <c r="J121" s="32">
        <v>1</v>
      </c>
      <c r="K121" s="30">
        <f t="shared" si="47"/>
        <v>7.1725000000000003</v>
      </c>
      <c r="L121" s="30"/>
      <c r="M121" s="30"/>
      <c r="N121" s="30"/>
      <c r="O121" s="30"/>
      <c r="Q121" s="29">
        <f t="shared" ca="1" si="48"/>
        <v>1</v>
      </c>
      <c r="R121" s="29">
        <f t="shared" ca="1" si="65"/>
        <v>2</v>
      </c>
      <c r="S121" s="29">
        <f t="shared" ca="1" si="65"/>
        <v>0</v>
      </c>
      <c r="T121" s="29">
        <f t="shared" ca="1" si="65"/>
        <v>3</v>
      </c>
      <c r="U121" s="29">
        <f t="shared" ca="1" si="65"/>
        <v>2</v>
      </c>
      <c r="V121" s="29">
        <f t="shared" ca="1" si="65"/>
        <v>2</v>
      </c>
      <c r="W121" s="29">
        <f t="shared" ca="1" si="65"/>
        <v>0</v>
      </c>
      <c r="X121" s="29">
        <f t="shared" ca="1" si="65"/>
        <v>3</v>
      </c>
      <c r="Y121" s="29">
        <f t="shared" ca="1" si="65"/>
        <v>4</v>
      </c>
      <c r="Z121" s="29">
        <f t="shared" ca="1" si="65"/>
        <v>0</v>
      </c>
      <c r="AA121" s="29">
        <f t="shared" ca="1" si="65"/>
        <v>0</v>
      </c>
      <c r="AB121" s="29">
        <f t="shared" ca="1" si="65"/>
        <v>3</v>
      </c>
      <c r="AC121" s="29">
        <f t="shared" ca="1" si="65"/>
        <v>3</v>
      </c>
      <c r="AD121" s="29">
        <f t="shared" ca="1" si="65"/>
        <v>1</v>
      </c>
      <c r="AE121" s="29">
        <f t="shared" ca="1" si="65"/>
        <v>3</v>
      </c>
      <c r="AF121" s="29">
        <f t="shared" ref="AF121:AU136" ca="1" si="70">_xlfn.BINOM.INV(50,$E121,RAND())</f>
        <v>1</v>
      </c>
      <c r="AG121" s="29">
        <f t="shared" ca="1" si="70"/>
        <v>1</v>
      </c>
      <c r="AH121" s="29">
        <f t="shared" ca="1" si="70"/>
        <v>1</v>
      </c>
      <c r="AI121" s="29">
        <f t="shared" ca="1" si="70"/>
        <v>0</v>
      </c>
      <c r="AJ121" s="29">
        <f t="shared" ca="1" si="70"/>
        <v>4</v>
      </c>
      <c r="AK121" s="29">
        <f t="shared" ca="1" si="70"/>
        <v>1</v>
      </c>
      <c r="AL121" s="29">
        <f t="shared" ca="1" si="70"/>
        <v>1</v>
      </c>
      <c r="AM121" s="29">
        <f t="shared" ca="1" si="70"/>
        <v>1</v>
      </c>
      <c r="AN121" s="29">
        <f t="shared" ca="1" si="70"/>
        <v>0</v>
      </c>
      <c r="AO121" s="29">
        <f t="shared" ca="1" si="70"/>
        <v>1</v>
      </c>
      <c r="AP121" s="29">
        <f t="shared" ca="1" si="70"/>
        <v>2</v>
      </c>
      <c r="AQ121" s="29">
        <f t="shared" ca="1" si="70"/>
        <v>3</v>
      </c>
      <c r="AR121" s="29">
        <f t="shared" ca="1" si="70"/>
        <v>2</v>
      </c>
      <c r="AS121" s="29">
        <f t="shared" ca="1" si="70"/>
        <v>2</v>
      </c>
      <c r="AT121" s="29">
        <f t="shared" ca="1" si="70"/>
        <v>1</v>
      </c>
      <c r="AU121" s="29">
        <f t="shared" ca="1" si="70"/>
        <v>3</v>
      </c>
      <c r="AV121" s="29">
        <f t="shared" ca="1" si="67"/>
        <v>2</v>
      </c>
      <c r="AW121" s="29">
        <f t="shared" ca="1" si="67"/>
        <v>2</v>
      </c>
      <c r="AX121" s="29">
        <f t="shared" ca="1" si="67"/>
        <v>2</v>
      </c>
      <c r="AY121" s="29">
        <f t="shared" ca="1" si="67"/>
        <v>0</v>
      </c>
      <c r="AZ121" s="29">
        <f t="shared" ca="1" si="67"/>
        <v>1</v>
      </c>
      <c r="BA121" s="29">
        <f t="shared" ca="1" si="67"/>
        <v>1</v>
      </c>
      <c r="BB121" s="29">
        <f t="shared" ca="1" si="67"/>
        <v>3</v>
      </c>
      <c r="BC121" s="29">
        <f t="shared" ca="1" si="67"/>
        <v>2</v>
      </c>
      <c r="BD121" s="29">
        <f t="shared" ca="1" si="67"/>
        <v>0</v>
      </c>
      <c r="BE121" s="29">
        <f t="shared" ca="1" si="67"/>
        <v>1</v>
      </c>
      <c r="BF121" s="29">
        <f t="shared" ca="1" si="67"/>
        <v>1</v>
      </c>
      <c r="BG121" s="29">
        <f t="shared" ca="1" si="67"/>
        <v>1</v>
      </c>
      <c r="BH121" s="29">
        <f t="shared" ca="1" si="67"/>
        <v>3</v>
      </c>
      <c r="BI121" s="29">
        <f t="shared" ca="1" si="67"/>
        <v>4</v>
      </c>
      <c r="BJ121" s="29">
        <f t="shared" ca="1" si="67"/>
        <v>3</v>
      </c>
      <c r="BK121" s="29">
        <f t="shared" ca="1" si="67"/>
        <v>0</v>
      </c>
      <c r="BL121" s="29">
        <f t="shared" ca="1" si="66"/>
        <v>0</v>
      </c>
      <c r="BM121" s="29">
        <f t="shared" ca="1" si="66"/>
        <v>1</v>
      </c>
      <c r="BN121" s="29">
        <f t="shared" ca="1" si="66"/>
        <v>3</v>
      </c>
      <c r="BO121" s="29">
        <f t="shared" ca="1" si="66"/>
        <v>0</v>
      </c>
      <c r="BP121" s="29">
        <f t="shared" ca="1" si="66"/>
        <v>2</v>
      </c>
      <c r="BQ121" s="29">
        <f t="shared" ca="1" si="66"/>
        <v>0</v>
      </c>
      <c r="BR121" s="29">
        <f t="shared" ca="1" si="66"/>
        <v>0</v>
      </c>
      <c r="BS121" s="29">
        <f t="shared" ca="1" si="66"/>
        <v>0</v>
      </c>
      <c r="BT121" s="29">
        <f t="shared" ca="1" si="66"/>
        <v>1</v>
      </c>
      <c r="BU121" s="29">
        <f t="shared" ca="1" si="66"/>
        <v>1</v>
      </c>
      <c r="BV121" s="29">
        <f t="shared" ca="1" si="66"/>
        <v>0</v>
      </c>
      <c r="BW121" s="29">
        <f t="shared" ca="1" si="66"/>
        <v>1</v>
      </c>
      <c r="BX121" s="29">
        <f t="shared" ca="1" si="66"/>
        <v>2</v>
      </c>
      <c r="BY121" s="29">
        <f t="shared" ca="1" si="66"/>
        <v>1</v>
      </c>
      <c r="BZ121" s="29">
        <f t="shared" ca="1" si="66"/>
        <v>1</v>
      </c>
      <c r="CA121" s="29">
        <f t="shared" ca="1" si="69"/>
        <v>1</v>
      </c>
      <c r="CB121" s="29">
        <f t="shared" ca="1" si="69"/>
        <v>4</v>
      </c>
      <c r="CC121" s="29">
        <f t="shared" ca="1" si="69"/>
        <v>0</v>
      </c>
      <c r="CD121" s="29">
        <f t="shared" ca="1" si="69"/>
        <v>0</v>
      </c>
      <c r="CE121" s="29">
        <f t="shared" ca="1" si="69"/>
        <v>3</v>
      </c>
      <c r="CF121" s="29">
        <f t="shared" ca="1" si="69"/>
        <v>1</v>
      </c>
      <c r="CG121" s="29">
        <f t="shared" ca="1" si="69"/>
        <v>1</v>
      </c>
      <c r="CH121" s="29">
        <f t="shared" ca="1" si="69"/>
        <v>3</v>
      </c>
      <c r="CI121" s="29">
        <f t="shared" ca="1" si="69"/>
        <v>1</v>
      </c>
      <c r="CJ121" s="29">
        <f t="shared" ca="1" si="69"/>
        <v>1</v>
      </c>
      <c r="CK121" s="29">
        <f t="shared" ca="1" si="69"/>
        <v>0</v>
      </c>
      <c r="CL121" s="29">
        <f t="shared" ca="1" si="69"/>
        <v>0</v>
      </c>
      <c r="CM121" s="29">
        <f t="shared" ca="1" si="69"/>
        <v>1</v>
      </c>
      <c r="CN121" s="29">
        <f t="shared" ca="1" si="69"/>
        <v>0</v>
      </c>
      <c r="CO121" s="29">
        <f t="shared" ca="1" si="69"/>
        <v>1</v>
      </c>
      <c r="CP121" s="29">
        <f t="shared" ca="1" si="69"/>
        <v>0</v>
      </c>
      <c r="CQ121" s="29">
        <f t="shared" ca="1" si="68"/>
        <v>3</v>
      </c>
      <c r="CR121" s="29">
        <f t="shared" ca="1" si="68"/>
        <v>0</v>
      </c>
      <c r="CS121" s="29">
        <f t="shared" ca="1" si="68"/>
        <v>1</v>
      </c>
      <c r="CT121" s="29">
        <f t="shared" ca="1" si="68"/>
        <v>0</v>
      </c>
      <c r="CU121" s="29">
        <f t="shared" ca="1" si="68"/>
        <v>2</v>
      </c>
      <c r="CV121" s="29">
        <f t="shared" ca="1" si="68"/>
        <v>2</v>
      </c>
      <c r="CW121" s="29">
        <f t="shared" ca="1" si="68"/>
        <v>2</v>
      </c>
      <c r="CX121" s="29">
        <f t="shared" ca="1" si="68"/>
        <v>0</v>
      </c>
      <c r="CY121" s="29">
        <f t="shared" ca="1" si="68"/>
        <v>0</v>
      </c>
      <c r="CZ121" s="29">
        <f t="shared" ca="1" si="68"/>
        <v>1</v>
      </c>
      <c r="DA121" s="29">
        <f t="shared" ca="1" si="68"/>
        <v>1</v>
      </c>
      <c r="DB121" s="29">
        <f t="shared" ca="1" si="68"/>
        <v>1</v>
      </c>
      <c r="DC121" s="29">
        <f t="shared" ca="1" si="68"/>
        <v>1</v>
      </c>
      <c r="DD121" s="29">
        <f t="shared" ca="1" si="68"/>
        <v>2</v>
      </c>
      <c r="DE121" s="29">
        <f t="shared" ca="1" si="68"/>
        <v>2</v>
      </c>
      <c r="DF121" s="29">
        <f t="shared" ca="1" si="63"/>
        <v>2</v>
      </c>
      <c r="DG121" s="29">
        <f t="shared" ca="1" si="63"/>
        <v>2</v>
      </c>
      <c r="DH121" s="29">
        <f t="shared" ca="1" si="63"/>
        <v>2</v>
      </c>
      <c r="DI121" s="29">
        <f t="shared" ca="1" si="63"/>
        <v>1</v>
      </c>
      <c r="DJ121" s="29">
        <f t="shared" ca="1" si="63"/>
        <v>0</v>
      </c>
      <c r="DK121" s="29">
        <f t="shared" ca="1" si="63"/>
        <v>2</v>
      </c>
      <c r="DL121" s="29">
        <f t="shared" ref="CD121:DL129" ca="1" si="71">_xlfn.BINOM.INV(50,$E121,RAND())</f>
        <v>1</v>
      </c>
    </row>
    <row r="122" spans="1:116" ht="14.4" x14ac:dyDescent="0.3">
      <c r="A122" s="31">
        <v>343</v>
      </c>
      <c r="B122" s="28">
        <v>1.19</v>
      </c>
      <c r="C122" s="30">
        <v>42.64</v>
      </c>
      <c r="D122" s="28">
        <v>1.07</v>
      </c>
      <c r="E122" s="34">
        <f t="shared" si="43"/>
        <v>2.1400000000000002E-2</v>
      </c>
      <c r="F122" s="35">
        <f t="shared" si="44"/>
        <v>10.66</v>
      </c>
      <c r="G122" s="34">
        <f t="shared" si="45"/>
        <v>26.75</v>
      </c>
      <c r="H122" s="33">
        <f t="shared" si="46"/>
        <v>13.521008403361344</v>
      </c>
      <c r="I122" s="28">
        <f t="shared" si="49"/>
        <v>268.06</v>
      </c>
      <c r="J122" s="32">
        <v>1</v>
      </c>
      <c r="K122" s="30">
        <f t="shared" si="47"/>
        <v>10.66</v>
      </c>
      <c r="L122" s="30"/>
      <c r="M122" s="30"/>
      <c r="N122" s="30"/>
      <c r="O122" s="30"/>
      <c r="Q122" s="29">
        <f t="shared" ca="1" si="48"/>
        <v>1</v>
      </c>
      <c r="R122" s="29">
        <f t="shared" ref="R122:AF137" ca="1" si="72">_xlfn.BINOM.INV(50,$E122,RAND())</f>
        <v>2</v>
      </c>
      <c r="S122" s="29">
        <f t="shared" ca="1" si="72"/>
        <v>1</v>
      </c>
      <c r="T122" s="29">
        <f t="shared" ca="1" si="72"/>
        <v>2</v>
      </c>
      <c r="U122" s="29">
        <f t="shared" ca="1" si="72"/>
        <v>1</v>
      </c>
      <c r="V122" s="29">
        <f t="shared" ca="1" si="72"/>
        <v>0</v>
      </c>
      <c r="W122" s="29">
        <f t="shared" ca="1" si="72"/>
        <v>1</v>
      </c>
      <c r="X122" s="29">
        <f t="shared" ca="1" si="72"/>
        <v>1</v>
      </c>
      <c r="Y122" s="29">
        <f t="shared" ca="1" si="72"/>
        <v>1</v>
      </c>
      <c r="Z122" s="29">
        <f t="shared" ca="1" si="72"/>
        <v>4</v>
      </c>
      <c r="AA122" s="29">
        <f t="shared" ca="1" si="72"/>
        <v>2</v>
      </c>
      <c r="AB122" s="29">
        <f t="shared" ca="1" si="72"/>
        <v>2</v>
      </c>
      <c r="AC122" s="29">
        <f t="shared" ca="1" si="72"/>
        <v>1</v>
      </c>
      <c r="AD122" s="29">
        <f t="shared" ca="1" si="72"/>
        <v>2</v>
      </c>
      <c r="AE122" s="29">
        <f t="shared" ca="1" si="72"/>
        <v>0</v>
      </c>
      <c r="AF122" s="29">
        <f t="shared" ca="1" si="72"/>
        <v>1</v>
      </c>
      <c r="AG122" s="29">
        <f t="shared" ca="1" si="70"/>
        <v>0</v>
      </c>
      <c r="AH122" s="29">
        <f t="shared" ca="1" si="70"/>
        <v>3</v>
      </c>
      <c r="AI122" s="29">
        <f t="shared" ca="1" si="70"/>
        <v>3</v>
      </c>
      <c r="AJ122" s="29">
        <f t="shared" ca="1" si="70"/>
        <v>0</v>
      </c>
      <c r="AK122" s="29">
        <f t="shared" ca="1" si="70"/>
        <v>0</v>
      </c>
      <c r="AL122" s="29">
        <f t="shared" ca="1" si="70"/>
        <v>1</v>
      </c>
      <c r="AM122" s="29">
        <f t="shared" ca="1" si="70"/>
        <v>0</v>
      </c>
      <c r="AN122" s="29">
        <f t="shared" ca="1" si="70"/>
        <v>0</v>
      </c>
      <c r="AO122" s="29">
        <f t="shared" ca="1" si="70"/>
        <v>2</v>
      </c>
      <c r="AP122" s="29">
        <f t="shared" ca="1" si="70"/>
        <v>0</v>
      </c>
      <c r="AQ122" s="29">
        <f t="shared" ca="1" si="70"/>
        <v>0</v>
      </c>
      <c r="AR122" s="29">
        <f t="shared" ca="1" si="70"/>
        <v>0</v>
      </c>
      <c r="AS122" s="29">
        <f t="shared" ca="1" si="70"/>
        <v>2</v>
      </c>
      <c r="AT122" s="29">
        <f t="shared" ca="1" si="70"/>
        <v>0</v>
      </c>
      <c r="AU122" s="29">
        <f t="shared" ca="1" si="70"/>
        <v>0</v>
      </c>
      <c r="AV122" s="29">
        <f t="shared" ca="1" si="67"/>
        <v>3</v>
      </c>
      <c r="AW122" s="29">
        <f t="shared" ca="1" si="67"/>
        <v>1</v>
      </c>
      <c r="AX122" s="29">
        <f t="shared" ca="1" si="67"/>
        <v>2</v>
      </c>
      <c r="AY122" s="29">
        <f t="shared" ca="1" si="67"/>
        <v>3</v>
      </c>
      <c r="AZ122" s="29">
        <f t="shared" ca="1" si="67"/>
        <v>2</v>
      </c>
      <c r="BA122" s="29">
        <f t="shared" ca="1" si="67"/>
        <v>0</v>
      </c>
      <c r="BB122" s="29">
        <f t="shared" ca="1" si="67"/>
        <v>2</v>
      </c>
      <c r="BC122" s="29">
        <f t="shared" ca="1" si="67"/>
        <v>1</v>
      </c>
      <c r="BD122" s="29">
        <f t="shared" ca="1" si="67"/>
        <v>1</v>
      </c>
      <c r="BE122" s="29">
        <f t="shared" ca="1" si="67"/>
        <v>2</v>
      </c>
      <c r="BF122" s="29">
        <f t="shared" ca="1" si="67"/>
        <v>0</v>
      </c>
      <c r="BG122" s="29">
        <f t="shared" ca="1" si="67"/>
        <v>2</v>
      </c>
      <c r="BH122" s="29">
        <f t="shared" ca="1" si="67"/>
        <v>1</v>
      </c>
      <c r="BI122" s="29">
        <f t="shared" ca="1" si="67"/>
        <v>3</v>
      </c>
      <c r="BJ122" s="29">
        <f t="shared" ca="1" si="67"/>
        <v>1</v>
      </c>
      <c r="BK122" s="29">
        <f t="shared" ca="1" si="67"/>
        <v>4</v>
      </c>
      <c r="BL122" s="29">
        <f t="shared" ca="1" si="66"/>
        <v>3</v>
      </c>
      <c r="BM122" s="29">
        <f t="shared" ca="1" si="66"/>
        <v>0</v>
      </c>
      <c r="BN122" s="29">
        <f t="shared" ca="1" si="66"/>
        <v>0</v>
      </c>
      <c r="BO122" s="29">
        <f t="shared" ca="1" si="66"/>
        <v>1</v>
      </c>
      <c r="BP122" s="29">
        <f t="shared" ca="1" si="66"/>
        <v>1</v>
      </c>
      <c r="BQ122" s="29">
        <f t="shared" ca="1" si="66"/>
        <v>0</v>
      </c>
      <c r="BR122" s="29">
        <f t="shared" ca="1" si="66"/>
        <v>1</v>
      </c>
      <c r="BS122" s="29">
        <f t="shared" ca="1" si="66"/>
        <v>1</v>
      </c>
      <c r="BT122" s="29">
        <f t="shared" ca="1" si="66"/>
        <v>0</v>
      </c>
      <c r="BU122" s="29">
        <f t="shared" ca="1" si="66"/>
        <v>1</v>
      </c>
      <c r="BV122" s="29">
        <f t="shared" ca="1" si="66"/>
        <v>1</v>
      </c>
      <c r="BW122" s="29">
        <f t="shared" ca="1" si="66"/>
        <v>1</v>
      </c>
      <c r="BX122" s="29">
        <f t="shared" ca="1" si="66"/>
        <v>2</v>
      </c>
      <c r="BY122" s="29">
        <f t="shared" ca="1" si="66"/>
        <v>2</v>
      </c>
      <c r="BZ122" s="29">
        <f t="shared" ca="1" si="66"/>
        <v>0</v>
      </c>
      <c r="CA122" s="29">
        <f t="shared" ca="1" si="69"/>
        <v>0</v>
      </c>
      <c r="CB122" s="29">
        <f t="shared" ca="1" si="69"/>
        <v>1</v>
      </c>
      <c r="CC122" s="29">
        <f t="shared" ca="1" si="69"/>
        <v>2</v>
      </c>
      <c r="CD122" s="29">
        <f t="shared" ca="1" si="71"/>
        <v>1</v>
      </c>
      <c r="CE122" s="29">
        <f t="shared" ca="1" si="71"/>
        <v>2</v>
      </c>
      <c r="CF122" s="29">
        <f t="shared" ca="1" si="71"/>
        <v>0</v>
      </c>
      <c r="CG122" s="29">
        <f t="shared" ca="1" si="71"/>
        <v>2</v>
      </c>
      <c r="CH122" s="29">
        <f t="shared" ca="1" si="71"/>
        <v>2</v>
      </c>
      <c r="CI122" s="29">
        <f t="shared" ca="1" si="71"/>
        <v>4</v>
      </c>
      <c r="CJ122" s="29">
        <f t="shared" ca="1" si="71"/>
        <v>2</v>
      </c>
      <c r="CK122" s="29">
        <f t="shared" ca="1" si="71"/>
        <v>1</v>
      </c>
      <c r="CL122" s="29">
        <f t="shared" ca="1" si="71"/>
        <v>1</v>
      </c>
      <c r="CM122" s="29">
        <f t="shared" ca="1" si="71"/>
        <v>0</v>
      </c>
      <c r="CN122" s="29">
        <f t="shared" ca="1" si="71"/>
        <v>2</v>
      </c>
      <c r="CO122" s="29">
        <f t="shared" ca="1" si="71"/>
        <v>1</v>
      </c>
      <c r="CP122" s="29">
        <f t="shared" ca="1" si="71"/>
        <v>0</v>
      </c>
      <c r="CQ122" s="29">
        <f t="shared" ca="1" si="71"/>
        <v>1</v>
      </c>
      <c r="CR122" s="29">
        <f t="shared" ca="1" si="71"/>
        <v>1</v>
      </c>
      <c r="CS122" s="29">
        <f t="shared" ca="1" si="71"/>
        <v>0</v>
      </c>
      <c r="CT122" s="29">
        <f t="shared" ca="1" si="71"/>
        <v>0</v>
      </c>
      <c r="CU122" s="29">
        <f t="shared" ca="1" si="71"/>
        <v>2</v>
      </c>
      <c r="CV122" s="29">
        <f t="shared" ca="1" si="71"/>
        <v>1</v>
      </c>
      <c r="CW122" s="29">
        <f t="shared" ca="1" si="71"/>
        <v>1</v>
      </c>
      <c r="CX122" s="29">
        <f t="shared" ca="1" si="71"/>
        <v>1</v>
      </c>
      <c r="CY122" s="29">
        <f t="shared" ca="1" si="71"/>
        <v>1</v>
      </c>
      <c r="CZ122" s="29">
        <f t="shared" ca="1" si="71"/>
        <v>0</v>
      </c>
      <c r="DA122" s="29">
        <f t="shared" ca="1" si="71"/>
        <v>1</v>
      </c>
      <c r="DB122" s="29">
        <f t="shared" ca="1" si="71"/>
        <v>0</v>
      </c>
      <c r="DC122" s="29">
        <f t="shared" ca="1" si="71"/>
        <v>2</v>
      </c>
      <c r="DD122" s="29">
        <f t="shared" ca="1" si="71"/>
        <v>0</v>
      </c>
      <c r="DE122" s="29">
        <f t="shared" ca="1" si="71"/>
        <v>1</v>
      </c>
      <c r="DF122" s="29">
        <f t="shared" ca="1" si="71"/>
        <v>0</v>
      </c>
      <c r="DG122" s="29">
        <f t="shared" ca="1" si="71"/>
        <v>0</v>
      </c>
      <c r="DH122" s="29">
        <f t="shared" ca="1" si="71"/>
        <v>4</v>
      </c>
      <c r="DI122" s="29">
        <f t="shared" ca="1" si="71"/>
        <v>1</v>
      </c>
      <c r="DJ122" s="29">
        <f t="shared" ca="1" si="71"/>
        <v>0</v>
      </c>
      <c r="DK122" s="29">
        <f t="shared" ca="1" si="71"/>
        <v>1</v>
      </c>
      <c r="DL122" s="29">
        <f t="shared" ca="1" si="71"/>
        <v>1</v>
      </c>
    </row>
    <row r="123" spans="1:116" ht="14.4" x14ac:dyDescent="0.3">
      <c r="A123" s="31">
        <v>623</v>
      </c>
      <c r="B123" s="28">
        <v>2.92</v>
      </c>
      <c r="C123" s="30">
        <v>50.29</v>
      </c>
      <c r="D123" s="28">
        <v>2.0699999999999998</v>
      </c>
      <c r="E123" s="34">
        <f t="shared" si="43"/>
        <v>4.1399999999999999E-2</v>
      </c>
      <c r="F123" s="35">
        <f t="shared" si="44"/>
        <v>12.5725</v>
      </c>
      <c r="G123" s="34">
        <f t="shared" si="45"/>
        <v>51.749999999999993</v>
      </c>
      <c r="H123" s="33">
        <f t="shared" si="46"/>
        <v>13.416952054794519</v>
      </c>
      <c r="I123" s="28">
        <f t="shared" si="49"/>
        <v>270.98</v>
      </c>
      <c r="J123" s="32">
        <v>1</v>
      </c>
      <c r="K123" s="30">
        <f t="shared" si="47"/>
        <v>12.5725</v>
      </c>
      <c r="L123" s="30"/>
      <c r="M123" s="30"/>
      <c r="N123" s="30"/>
      <c r="O123" s="30"/>
      <c r="Q123" s="29">
        <f t="shared" ca="1" si="48"/>
        <v>3</v>
      </c>
      <c r="R123" s="29">
        <f t="shared" ca="1" si="72"/>
        <v>4</v>
      </c>
      <c r="S123" s="29">
        <f t="shared" ca="1" si="72"/>
        <v>0</v>
      </c>
      <c r="T123" s="29">
        <f t="shared" ca="1" si="72"/>
        <v>4</v>
      </c>
      <c r="U123" s="29">
        <f t="shared" ca="1" si="72"/>
        <v>1</v>
      </c>
      <c r="V123" s="29">
        <f t="shared" ca="1" si="72"/>
        <v>2</v>
      </c>
      <c r="W123" s="29">
        <f t="shared" ca="1" si="72"/>
        <v>2</v>
      </c>
      <c r="X123" s="29">
        <f t="shared" ca="1" si="72"/>
        <v>3</v>
      </c>
      <c r="Y123" s="29">
        <f t="shared" ca="1" si="72"/>
        <v>1</v>
      </c>
      <c r="Z123" s="29">
        <f t="shared" ca="1" si="72"/>
        <v>0</v>
      </c>
      <c r="AA123" s="29">
        <f t="shared" ca="1" si="72"/>
        <v>1</v>
      </c>
      <c r="AB123" s="29">
        <f t="shared" ca="1" si="72"/>
        <v>0</v>
      </c>
      <c r="AC123" s="29">
        <f t="shared" ca="1" si="72"/>
        <v>1</v>
      </c>
      <c r="AD123" s="29">
        <f t="shared" ca="1" si="72"/>
        <v>0</v>
      </c>
      <c r="AE123" s="29">
        <f t="shared" ca="1" si="72"/>
        <v>3</v>
      </c>
      <c r="AF123" s="29">
        <f t="shared" ca="1" si="72"/>
        <v>3</v>
      </c>
      <c r="AG123" s="29">
        <f t="shared" ca="1" si="70"/>
        <v>2</v>
      </c>
      <c r="AH123" s="29">
        <f t="shared" ca="1" si="70"/>
        <v>3</v>
      </c>
      <c r="AI123" s="29">
        <f t="shared" ca="1" si="70"/>
        <v>1</v>
      </c>
      <c r="AJ123" s="29">
        <f t="shared" ca="1" si="70"/>
        <v>4</v>
      </c>
      <c r="AK123" s="29">
        <f t="shared" ca="1" si="70"/>
        <v>0</v>
      </c>
      <c r="AL123" s="29">
        <f t="shared" ca="1" si="70"/>
        <v>4</v>
      </c>
      <c r="AM123" s="29">
        <f t="shared" ca="1" si="70"/>
        <v>1</v>
      </c>
      <c r="AN123" s="29">
        <f t="shared" ca="1" si="70"/>
        <v>0</v>
      </c>
      <c r="AO123" s="29">
        <f t="shared" ca="1" si="70"/>
        <v>2</v>
      </c>
      <c r="AP123" s="29">
        <f t="shared" ca="1" si="70"/>
        <v>5</v>
      </c>
      <c r="AQ123" s="29">
        <f t="shared" ca="1" si="70"/>
        <v>2</v>
      </c>
      <c r="AR123" s="29">
        <f t="shared" ca="1" si="70"/>
        <v>0</v>
      </c>
      <c r="AS123" s="29">
        <f t="shared" ca="1" si="70"/>
        <v>4</v>
      </c>
      <c r="AT123" s="29">
        <f t="shared" ca="1" si="70"/>
        <v>3</v>
      </c>
      <c r="AU123" s="29">
        <f t="shared" ca="1" si="70"/>
        <v>2</v>
      </c>
      <c r="AV123" s="29">
        <f t="shared" ca="1" si="67"/>
        <v>0</v>
      </c>
      <c r="AW123" s="29">
        <f t="shared" ca="1" si="67"/>
        <v>1</v>
      </c>
      <c r="AX123" s="29">
        <f t="shared" ca="1" si="67"/>
        <v>3</v>
      </c>
      <c r="AY123" s="29">
        <f t="shared" ca="1" si="67"/>
        <v>2</v>
      </c>
      <c r="AZ123" s="29">
        <f t="shared" ca="1" si="67"/>
        <v>1</v>
      </c>
      <c r="BA123" s="29">
        <f t="shared" ca="1" si="67"/>
        <v>6</v>
      </c>
      <c r="BB123" s="29">
        <f t="shared" ca="1" si="67"/>
        <v>2</v>
      </c>
      <c r="BC123" s="29">
        <f t="shared" ca="1" si="67"/>
        <v>4</v>
      </c>
      <c r="BD123" s="29">
        <f t="shared" ca="1" si="67"/>
        <v>1</v>
      </c>
      <c r="BE123" s="29">
        <f t="shared" ca="1" si="67"/>
        <v>1</v>
      </c>
      <c r="BF123" s="29">
        <f t="shared" ca="1" si="67"/>
        <v>4</v>
      </c>
      <c r="BG123" s="29">
        <f t="shared" ca="1" si="67"/>
        <v>1</v>
      </c>
      <c r="BH123" s="29">
        <f t="shared" ca="1" si="67"/>
        <v>3</v>
      </c>
      <c r="BI123" s="29">
        <f t="shared" ca="1" si="67"/>
        <v>3</v>
      </c>
      <c r="BJ123" s="29">
        <f t="shared" ca="1" si="67"/>
        <v>4</v>
      </c>
      <c r="BK123" s="29">
        <f t="shared" ca="1" si="67"/>
        <v>3</v>
      </c>
      <c r="BL123" s="29">
        <f t="shared" ca="1" si="66"/>
        <v>1</v>
      </c>
      <c r="BM123" s="29">
        <f t="shared" ca="1" si="66"/>
        <v>2</v>
      </c>
      <c r="BN123" s="29">
        <f t="shared" ca="1" si="66"/>
        <v>1</v>
      </c>
      <c r="BO123" s="29">
        <f t="shared" ca="1" si="66"/>
        <v>1</v>
      </c>
      <c r="BP123" s="29">
        <f t="shared" ca="1" si="66"/>
        <v>1</v>
      </c>
      <c r="BQ123" s="29">
        <f t="shared" ca="1" si="66"/>
        <v>1</v>
      </c>
      <c r="BR123" s="29">
        <f t="shared" ca="1" si="66"/>
        <v>1</v>
      </c>
      <c r="BS123" s="29">
        <f t="shared" ca="1" si="66"/>
        <v>1</v>
      </c>
      <c r="BT123" s="29">
        <f t="shared" ca="1" si="66"/>
        <v>6</v>
      </c>
      <c r="BU123" s="29">
        <f t="shared" ca="1" si="66"/>
        <v>1</v>
      </c>
      <c r="BV123" s="29">
        <f t="shared" ca="1" si="66"/>
        <v>3</v>
      </c>
      <c r="BW123" s="29">
        <f t="shared" ca="1" si="66"/>
        <v>1</v>
      </c>
      <c r="BX123" s="29">
        <f t="shared" ca="1" si="66"/>
        <v>1</v>
      </c>
      <c r="BY123" s="29">
        <f t="shared" ca="1" si="66"/>
        <v>3</v>
      </c>
      <c r="BZ123" s="29">
        <f t="shared" ca="1" si="66"/>
        <v>1</v>
      </c>
      <c r="CA123" s="29">
        <f t="shared" ca="1" si="69"/>
        <v>1</v>
      </c>
      <c r="CB123" s="29">
        <f t="shared" ca="1" si="69"/>
        <v>3</v>
      </c>
      <c r="CC123" s="29">
        <f t="shared" ca="1" si="69"/>
        <v>5</v>
      </c>
      <c r="CD123" s="29">
        <f t="shared" ca="1" si="71"/>
        <v>1</v>
      </c>
      <c r="CE123" s="29">
        <f t="shared" ca="1" si="71"/>
        <v>2</v>
      </c>
      <c r="CF123" s="29">
        <f t="shared" ca="1" si="71"/>
        <v>1</v>
      </c>
      <c r="CG123" s="29">
        <f t="shared" ca="1" si="71"/>
        <v>1</v>
      </c>
      <c r="CH123" s="29">
        <f t="shared" ca="1" si="71"/>
        <v>1</v>
      </c>
      <c r="CI123" s="29">
        <f t="shared" ca="1" si="71"/>
        <v>4</v>
      </c>
      <c r="CJ123" s="29">
        <f t="shared" ca="1" si="71"/>
        <v>3</v>
      </c>
      <c r="CK123" s="29">
        <f t="shared" ca="1" si="71"/>
        <v>0</v>
      </c>
      <c r="CL123" s="29">
        <f t="shared" ca="1" si="71"/>
        <v>3</v>
      </c>
      <c r="CM123" s="29">
        <f t="shared" ca="1" si="71"/>
        <v>0</v>
      </c>
      <c r="CN123" s="29">
        <f t="shared" ca="1" si="71"/>
        <v>4</v>
      </c>
      <c r="CO123" s="29">
        <f t="shared" ca="1" si="71"/>
        <v>2</v>
      </c>
      <c r="CP123" s="29">
        <f t="shared" ca="1" si="71"/>
        <v>3</v>
      </c>
      <c r="CQ123" s="29">
        <f t="shared" ca="1" si="71"/>
        <v>2</v>
      </c>
      <c r="CR123" s="29">
        <f t="shared" ca="1" si="71"/>
        <v>0</v>
      </c>
      <c r="CS123" s="29">
        <f t="shared" ca="1" si="71"/>
        <v>0</v>
      </c>
      <c r="CT123" s="29">
        <f t="shared" ca="1" si="71"/>
        <v>5</v>
      </c>
      <c r="CU123" s="29">
        <f t="shared" ca="1" si="71"/>
        <v>4</v>
      </c>
      <c r="CV123" s="29">
        <f t="shared" ca="1" si="71"/>
        <v>2</v>
      </c>
      <c r="CW123" s="29">
        <f t="shared" ca="1" si="71"/>
        <v>2</v>
      </c>
      <c r="CX123" s="29">
        <f t="shared" ca="1" si="71"/>
        <v>0</v>
      </c>
      <c r="CY123" s="29">
        <f t="shared" ca="1" si="71"/>
        <v>0</v>
      </c>
      <c r="CZ123" s="29">
        <f t="shared" ca="1" si="71"/>
        <v>1</v>
      </c>
      <c r="DA123" s="29">
        <f t="shared" ca="1" si="71"/>
        <v>5</v>
      </c>
      <c r="DB123" s="29">
        <f t="shared" ca="1" si="71"/>
        <v>2</v>
      </c>
      <c r="DC123" s="29">
        <f t="shared" ca="1" si="71"/>
        <v>3</v>
      </c>
      <c r="DD123" s="29">
        <f t="shared" ca="1" si="71"/>
        <v>3</v>
      </c>
      <c r="DE123" s="29">
        <f t="shared" ca="1" si="71"/>
        <v>1</v>
      </c>
      <c r="DF123" s="29">
        <f t="shared" ca="1" si="71"/>
        <v>3</v>
      </c>
      <c r="DG123" s="29">
        <f t="shared" ca="1" si="71"/>
        <v>2</v>
      </c>
      <c r="DH123" s="29">
        <f t="shared" ca="1" si="71"/>
        <v>1</v>
      </c>
      <c r="DI123" s="29">
        <f t="shared" ca="1" si="71"/>
        <v>2</v>
      </c>
      <c r="DJ123" s="29">
        <f t="shared" ca="1" si="71"/>
        <v>2</v>
      </c>
      <c r="DK123" s="29">
        <f t="shared" ca="1" si="71"/>
        <v>4</v>
      </c>
      <c r="DL123" s="29">
        <f t="shared" ca="1" si="71"/>
        <v>3</v>
      </c>
    </row>
    <row r="124" spans="1:116" ht="14.4" x14ac:dyDescent="0.3">
      <c r="A124" s="31">
        <v>457</v>
      </c>
      <c r="B124" s="28">
        <v>2.88</v>
      </c>
      <c r="C124" s="30">
        <v>65.87</v>
      </c>
      <c r="D124" s="28">
        <v>2.2000000000000002</v>
      </c>
      <c r="E124" s="34">
        <f t="shared" si="43"/>
        <v>4.4000000000000004E-2</v>
      </c>
      <c r="F124" s="35">
        <f t="shared" si="44"/>
        <v>16.467500000000001</v>
      </c>
      <c r="G124" s="34">
        <f t="shared" si="45"/>
        <v>55.000000000000007</v>
      </c>
      <c r="H124" s="33">
        <f t="shared" si="46"/>
        <v>13.37934027777778</v>
      </c>
      <c r="I124" s="28">
        <f t="shared" si="49"/>
        <v>273.86</v>
      </c>
      <c r="J124" s="32">
        <v>1</v>
      </c>
      <c r="K124" s="30">
        <f t="shared" si="47"/>
        <v>16.467500000000001</v>
      </c>
      <c r="L124" s="30"/>
      <c r="M124" s="30"/>
      <c r="N124" s="30"/>
      <c r="O124" s="30"/>
      <c r="Q124" s="29">
        <f t="shared" ca="1" si="48"/>
        <v>2</v>
      </c>
      <c r="R124" s="29">
        <f t="shared" ca="1" si="72"/>
        <v>4</v>
      </c>
      <c r="S124" s="29">
        <f t="shared" ca="1" si="72"/>
        <v>0</v>
      </c>
      <c r="T124" s="29">
        <f t="shared" ca="1" si="72"/>
        <v>3</v>
      </c>
      <c r="U124" s="29">
        <f t="shared" ca="1" si="72"/>
        <v>3</v>
      </c>
      <c r="V124" s="29">
        <f t="shared" ca="1" si="72"/>
        <v>3</v>
      </c>
      <c r="W124" s="29">
        <f t="shared" ca="1" si="72"/>
        <v>1</v>
      </c>
      <c r="X124" s="29">
        <f t="shared" ca="1" si="72"/>
        <v>1</v>
      </c>
      <c r="Y124" s="29">
        <f t="shared" ca="1" si="72"/>
        <v>3</v>
      </c>
      <c r="Z124" s="29">
        <f t="shared" ca="1" si="72"/>
        <v>3</v>
      </c>
      <c r="AA124" s="29">
        <f t="shared" ca="1" si="72"/>
        <v>3</v>
      </c>
      <c r="AB124" s="29">
        <f t="shared" ca="1" si="72"/>
        <v>3</v>
      </c>
      <c r="AC124" s="29">
        <f t="shared" ca="1" si="72"/>
        <v>1</v>
      </c>
      <c r="AD124" s="29">
        <f t="shared" ca="1" si="72"/>
        <v>3</v>
      </c>
      <c r="AE124" s="29">
        <f t="shared" ca="1" si="72"/>
        <v>5</v>
      </c>
      <c r="AF124" s="29">
        <f t="shared" ca="1" si="72"/>
        <v>2</v>
      </c>
      <c r="AG124" s="29">
        <f t="shared" ca="1" si="70"/>
        <v>1</v>
      </c>
      <c r="AH124" s="29">
        <f t="shared" ca="1" si="70"/>
        <v>1</v>
      </c>
      <c r="AI124" s="29">
        <f t="shared" ca="1" si="70"/>
        <v>2</v>
      </c>
      <c r="AJ124" s="29">
        <f t="shared" ca="1" si="70"/>
        <v>3</v>
      </c>
      <c r="AK124" s="29">
        <f t="shared" ca="1" si="70"/>
        <v>2</v>
      </c>
      <c r="AL124" s="29">
        <f t="shared" ca="1" si="70"/>
        <v>2</v>
      </c>
      <c r="AM124" s="29">
        <f t="shared" ca="1" si="70"/>
        <v>3</v>
      </c>
      <c r="AN124" s="29">
        <f t="shared" ca="1" si="70"/>
        <v>1</v>
      </c>
      <c r="AO124" s="29">
        <f t="shared" ca="1" si="70"/>
        <v>4</v>
      </c>
      <c r="AP124" s="29">
        <f t="shared" ca="1" si="70"/>
        <v>2</v>
      </c>
      <c r="AQ124" s="29">
        <f t="shared" ca="1" si="70"/>
        <v>3</v>
      </c>
      <c r="AR124" s="29">
        <f t="shared" ca="1" si="70"/>
        <v>3</v>
      </c>
      <c r="AS124" s="29">
        <f t="shared" ca="1" si="70"/>
        <v>3</v>
      </c>
      <c r="AT124" s="29">
        <f t="shared" ca="1" si="70"/>
        <v>4</v>
      </c>
      <c r="AU124" s="29">
        <f t="shared" ca="1" si="70"/>
        <v>0</v>
      </c>
      <c r="AV124" s="29">
        <f t="shared" ca="1" si="67"/>
        <v>3</v>
      </c>
      <c r="AW124" s="29">
        <f t="shared" ca="1" si="67"/>
        <v>1</v>
      </c>
      <c r="AX124" s="29">
        <f t="shared" ca="1" si="67"/>
        <v>1</v>
      </c>
      <c r="AY124" s="29">
        <f t="shared" ca="1" si="67"/>
        <v>2</v>
      </c>
      <c r="AZ124" s="29">
        <f t="shared" ca="1" si="67"/>
        <v>2</v>
      </c>
      <c r="BA124" s="29">
        <f t="shared" ca="1" si="67"/>
        <v>4</v>
      </c>
      <c r="BB124" s="29">
        <f t="shared" ca="1" si="67"/>
        <v>0</v>
      </c>
      <c r="BC124" s="29">
        <f t="shared" ca="1" si="67"/>
        <v>0</v>
      </c>
      <c r="BD124" s="29">
        <f t="shared" ca="1" si="67"/>
        <v>2</v>
      </c>
      <c r="BE124" s="29">
        <f t="shared" ca="1" si="67"/>
        <v>0</v>
      </c>
      <c r="BF124" s="29">
        <f t="shared" ca="1" si="67"/>
        <v>1</v>
      </c>
      <c r="BG124" s="29">
        <f t="shared" ca="1" si="67"/>
        <v>6</v>
      </c>
      <c r="BH124" s="29">
        <f t="shared" ca="1" si="67"/>
        <v>3</v>
      </c>
      <c r="BI124" s="29">
        <f t="shared" ca="1" si="67"/>
        <v>1</v>
      </c>
      <c r="BJ124" s="29">
        <f t="shared" ca="1" si="67"/>
        <v>2</v>
      </c>
      <c r="BK124" s="29">
        <f t="shared" ref="BK124:BZ139" ca="1" si="73">_xlfn.BINOM.INV(50,$E124,RAND())</f>
        <v>0</v>
      </c>
      <c r="BL124" s="29">
        <f t="shared" ca="1" si="73"/>
        <v>0</v>
      </c>
      <c r="BM124" s="29">
        <f t="shared" ca="1" si="73"/>
        <v>4</v>
      </c>
      <c r="BN124" s="29">
        <f t="shared" ca="1" si="73"/>
        <v>4</v>
      </c>
      <c r="BO124" s="29">
        <f t="shared" ca="1" si="73"/>
        <v>2</v>
      </c>
      <c r="BP124" s="29">
        <f t="shared" ca="1" si="73"/>
        <v>1</v>
      </c>
      <c r="BQ124" s="29">
        <f t="shared" ca="1" si="73"/>
        <v>0</v>
      </c>
      <c r="BR124" s="29">
        <f t="shared" ca="1" si="73"/>
        <v>3</v>
      </c>
      <c r="BS124" s="29">
        <f t="shared" ca="1" si="73"/>
        <v>1</v>
      </c>
      <c r="BT124" s="29">
        <f t="shared" ca="1" si="73"/>
        <v>3</v>
      </c>
      <c r="BU124" s="29">
        <f t="shared" ca="1" si="73"/>
        <v>1</v>
      </c>
      <c r="BV124" s="29">
        <f t="shared" ca="1" si="73"/>
        <v>0</v>
      </c>
      <c r="BW124" s="29">
        <f t="shared" ca="1" si="73"/>
        <v>3</v>
      </c>
      <c r="BX124" s="29">
        <f t="shared" ca="1" si="73"/>
        <v>4</v>
      </c>
      <c r="BY124" s="29">
        <f t="shared" ca="1" si="73"/>
        <v>2</v>
      </c>
      <c r="BZ124" s="29">
        <f t="shared" ca="1" si="73"/>
        <v>3</v>
      </c>
      <c r="CA124" s="29">
        <f t="shared" ca="1" si="69"/>
        <v>3</v>
      </c>
      <c r="CB124" s="29">
        <f t="shared" ca="1" si="69"/>
        <v>1</v>
      </c>
      <c r="CC124" s="29">
        <f t="shared" ca="1" si="69"/>
        <v>2</v>
      </c>
      <c r="CD124" s="29">
        <f t="shared" ca="1" si="71"/>
        <v>0</v>
      </c>
      <c r="CE124" s="29">
        <f t="shared" ca="1" si="71"/>
        <v>1</v>
      </c>
      <c r="CF124" s="29">
        <f t="shared" ca="1" si="71"/>
        <v>2</v>
      </c>
      <c r="CG124" s="29">
        <f t="shared" ca="1" si="71"/>
        <v>2</v>
      </c>
      <c r="CH124" s="29">
        <f t="shared" ca="1" si="71"/>
        <v>1</v>
      </c>
      <c r="CI124" s="29">
        <f t="shared" ca="1" si="71"/>
        <v>4</v>
      </c>
      <c r="CJ124" s="29">
        <f t="shared" ca="1" si="71"/>
        <v>1</v>
      </c>
      <c r="CK124" s="29">
        <f t="shared" ca="1" si="71"/>
        <v>2</v>
      </c>
      <c r="CL124" s="29">
        <f t="shared" ca="1" si="71"/>
        <v>1</v>
      </c>
      <c r="CM124" s="29">
        <f t="shared" ca="1" si="71"/>
        <v>1</v>
      </c>
      <c r="CN124" s="29">
        <f t="shared" ca="1" si="71"/>
        <v>2</v>
      </c>
      <c r="CO124" s="29">
        <f t="shared" ca="1" si="71"/>
        <v>2</v>
      </c>
      <c r="CP124" s="29">
        <f t="shared" ca="1" si="71"/>
        <v>0</v>
      </c>
      <c r="CQ124" s="29">
        <f t="shared" ca="1" si="71"/>
        <v>3</v>
      </c>
      <c r="CR124" s="29">
        <f t="shared" ca="1" si="71"/>
        <v>3</v>
      </c>
      <c r="CS124" s="29">
        <f t="shared" ca="1" si="71"/>
        <v>2</v>
      </c>
      <c r="CT124" s="29">
        <f t="shared" ca="1" si="71"/>
        <v>4</v>
      </c>
      <c r="CU124" s="29">
        <f t="shared" ca="1" si="71"/>
        <v>2</v>
      </c>
      <c r="CV124" s="29">
        <f t="shared" ca="1" si="71"/>
        <v>4</v>
      </c>
      <c r="CW124" s="29">
        <f t="shared" ca="1" si="71"/>
        <v>3</v>
      </c>
      <c r="CX124" s="29">
        <f t="shared" ca="1" si="71"/>
        <v>0</v>
      </c>
      <c r="CY124" s="29">
        <f t="shared" ca="1" si="71"/>
        <v>2</v>
      </c>
      <c r="CZ124" s="29">
        <f t="shared" ca="1" si="71"/>
        <v>2</v>
      </c>
      <c r="DA124" s="29">
        <f t="shared" ca="1" si="71"/>
        <v>0</v>
      </c>
      <c r="DB124" s="29">
        <f t="shared" ca="1" si="71"/>
        <v>3</v>
      </c>
      <c r="DC124" s="29">
        <f t="shared" ca="1" si="71"/>
        <v>2</v>
      </c>
      <c r="DD124" s="29">
        <f t="shared" ca="1" si="71"/>
        <v>2</v>
      </c>
      <c r="DE124" s="29">
        <f t="shared" ca="1" si="71"/>
        <v>3</v>
      </c>
      <c r="DF124" s="29">
        <f t="shared" ca="1" si="71"/>
        <v>1</v>
      </c>
      <c r="DG124" s="29">
        <f t="shared" ca="1" si="71"/>
        <v>2</v>
      </c>
      <c r="DH124" s="29">
        <f t="shared" ca="1" si="71"/>
        <v>2</v>
      </c>
      <c r="DI124" s="29">
        <f t="shared" ca="1" si="71"/>
        <v>3</v>
      </c>
      <c r="DJ124" s="29">
        <f t="shared" ca="1" si="71"/>
        <v>2</v>
      </c>
      <c r="DK124" s="29">
        <f t="shared" ca="1" si="71"/>
        <v>3</v>
      </c>
      <c r="DL124" s="29">
        <f t="shared" ca="1" si="71"/>
        <v>3</v>
      </c>
    </row>
    <row r="125" spans="1:116" ht="14.4" x14ac:dyDescent="0.3">
      <c r="A125" s="31">
        <v>221</v>
      </c>
      <c r="B125" s="28">
        <v>2.41</v>
      </c>
      <c r="C125" s="30">
        <v>50.39</v>
      </c>
      <c r="D125" s="28">
        <v>1.79</v>
      </c>
      <c r="E125" s="34">
        <f t="shared" si="43"/>
        <v>3.5799999999999998E-2</v>
      </c>
      <c r="F125" s="35">
        <f t="shared" si="44"/>
        <v>12.5975</v>
      </c>
      <c r="G125" s="34">
        <f t="shared" si="45"/>
        <v>44.75</v>
      </c>
      <c r="H125" s="33">
        <f t="shared" si="46"/>
        <v>13.341286307053943</v>
      </c>
      <c r="I125" s="28">
        <f t="shared" si="49"/>
        <v>276.27000000000004</v>
      </c>
      <c r="J125" s="32">
        <v>1</v>
      </c>
      <c r="K125" s="30">
        <f t="shared" si="47"/>
        <v>12.5975</v>
      </c>
      <c r="L125" s="30"/>
      <c r="M125" s="30"/>
      <c r="N125" s="30"/>
      <c r="O125" s="30"/>
      <c r="Q125" s="29">
        <f t="shared" ca="1" si="48"/>
        <v>2</v>
      </c>
      <c r="R125" s="29">
        <f t="shared" ca="1" si="72"/>
        <v>3</v>
      </c>
      <c r="S125" s="29">
        <f t="shared" ca="1" si="72"/>
        <v>0</v>
      </c>
      <c r="T125" s="29">
        <f t="shared" ca="1" si="72"/>
        <v>3</v>
      </c>
      <c r="U125" s="29">
        <f t="shared" ca="1" si="72"/>
        <v>1</v>
      </c>
      <c r="V125" s="29">
        <f t="shared" ca="1" si="72"/>
        <v>5</v>
      </c>
      <c r="W125" s="29">
        <f t="shared" ca="1" si="72"/>
        <v>2</v>
      </c>
      <c r="X125" s="29">
        <f t="shared" ca="1" si="72"/>
        <v>2</v>
      </c>
      <c r="Y125" s="29">
        <f t="shared" ca="1" si="72"/>
        <v>1</v>
      </c>
      <c r="Z125" s="29">
        <f t="shared" ca="1" si="72"/>
        <v>0</v>
      </c>
      <c r="AA125" s="29">
        <f t="shared" ca="1" si="72"/>
        <v>1</v>
      </c>
      <c r="AB125" s="29">
        <f t="shared" ca="1" si="72"/>
        <v>4</v>
      </c>
      <c r="AC125" s="29">
        <f t="shared" ca="1" si="72"/>
        <v>1</v>
      </c>
      <c r="AD125" s="29">
        <f t="shared" ca="1" si="72"/>
        <v>1</v>
      </c>
      <c r="AE125" s="29">
        <f t="shared" ca="1" si="72"/>
        <v>0</v>
      </c>
      <c r="AF125" s="29">
        <f t="shared" ca="1" si="72"/>
        <v>3</v>
      </c>
      <c r="AG125" s="29">
        <f t="shared" ca="1" si="70"/>
        <v>1</v>
      </c>
      <c r="AH125" s="29">
        <f t="shared" ca="1" si="70"/>
        <v>3</v>
      </c>
      <c r="AI125" s="29">
        <f t="shared" ca="1" si="70"/>
        <v>0</v>
      </c>
      <c r="AJ125" s="29">
        <f t="shared" ca="1" si="70"/>
        <v>2</v>
      </c>
      <c r="AK125" s="29">
        <f t="shared" ca="1" si="70"/>
        <v>3</v>
      </c>
      <c r="AL125" s="29">
        <f t="shared" ca="1" si="70"/>
        <v>0</v>
      </c>
      <c r="AM125" s="29">
        <f t="shared" ca="1" si="70"/>
        <v>1</v>
      </c>
      <c r="AN125" s="29">
        <f t="shared" ca="1" si="70"/>
        <v>0</v>
      </c>
      <c r="AO125" s="29">
        <f t="shared" ca="1" si="70"/>
        <v>3</v>
      </c>
      <c r="AP125" s="29">
        <f t="shared" ca="1" si="70"/>
        <v>3</v>
      </c>
      <c r="AQ125" s="29">
        <f t="shared" ca="1" si="70"/>
        <v>1</v>
      </c>
      <c r="AR125" s="29">
        <f t="shared" ca="1" si="70"/>
        <v>1</v>
      </c>
      <c r="AS125" s="29">
        <f t="shared" ca="1" si="70"/>
        <v>2</v>
      </c>
      <c r="AT125" s="29">
        <f t="shared" ca="1" si="70"/>
        <v>3</v>
      </c>
      <c r="AU125" s="29">
        <f t="shared" ca="1" si="70"/>
        <v>3</v>
      </c>
      <c r="AV125" s="29">
        <f t="shared" ref="AV125:BK140" ca="1" si="74">_xlfn.BINOM.INV(50,$E125,RAND())</f>
        <v>2</v>
      </c>
      <c r="AW125" s="29">
        <f t="shared" ca="1" si="74"/>
        <v>2</v>
      </c>
      <c r="AX125" s="29">
        <f t="shared" ca="1" si="74"/>
        <v>1</v>
      </c>
      <c r="AY125" s="29">
        <f t="shared" ca="1" si="74"/>
        <v>0</v>
      </c>
      <c r="AZ125" s="29">
        <f t="shared" ca="1" si="74"/>
        <v>0</v>
      </c>
      <c r="BA125" s="29">
        <f t="shared" ca="1" si="74"/>
        <v>3</v>
      </c>
      <c r="BB125" s="29">
        <f t="shared" ca="1" si="74"/>
        <v>1</v>
      </c>
      <c r="BC125" s="29">
        <f t="shared" ca="1" si="74"/>
        <v>1</v>
      </c>
      <c r="BD125" s="29">
        <f t="shared" ca="1" si="74"/>
        <v>2</v>
      </c>
      <c r="BE125" s="29">
        <f t="shared" ca="1" si="74"/>
        <v>1</v>
      </c>
      <c r="BF125" s="29">
        <f t="shared" ca="1" si="74"/>
        <v>0</v>
      </c>
      <c r="BG125" s="29">
        <f t="shared" ca="1" si="74"/>
        <v>4</v>
      </c>
      <c r="BH125" s="29">
        <f t="shared" ca="1" si="74"/>
        <v>1</v>
      </c>
      <c r="BI125" s="29">
        <f t="shared" ca="1" si="74"/>
        <v>0</v>
      </c>
      <c r="BJ125" s="29">
        <f t="shared" ca="1" si="74"/>
        <v>0</v>
      </c>
      <c r="BK125" s="29">
        <f t="shared" ca="1" si="74"/>
        <v>2</v>
      </c>
      <c r="BL125" s="29">
        <f t="shared" ca="1" si="73"/>
        <v>3</v>
      </c>
      <c r="BM125" s="29">
        <f t="shared" ca="1" si="73"/>
        <v>0</v>
      </c>
      <c r="BN125" s="29">
        <f t="shared" ca="1" si="73"/>
        <v>2</v>
      </c>
      <c r="BO125" s="29">
        <f t="shared" ca="1" si="73"/>
        <v>3</v>
      </c>
      <c r="BP125" s="29">
        <f t="shared" ca="1" si="73"/>
        <v>1</v>
      </c>
      <c r="BQ125" s="29">
        <f t="shared" ca="1" si="73"/>
        <v>0</v>
      </c>
      <c r="BR125" s="29">
        <f t="shared" ca="1" si="73"/>
        <v>1</v>
      </c>
      <c r="BS125" s="29">
        <f t="shared" ca="1" si="73"/>
        <v>1</v>
      </c>
      <c r="BT125" s="29">
        <f t="shared" ca="1" si="73"/>
        <v>0</v>
      </c>
      <c r="BU125" s="29">
        <f t="shared" ca="1" si="73"/>
        <v>1</v>
      </c>
      <c r="BV125" s="29">
        <f t="shared" ca="1" si="73"/>
        <v>0</v>
      </c>
      <c r="BW125" s="29">
        <f t="shared" ca="1" si="73"/>
        <v>1</v>
      </c>
      <c r="BX125" s="29">
        <f t="shared" ca="1" si="73"/>
        <v>0</v>
      </c>
      <c r="BY125" s="29">
        <f t="shared" ca="1" si="73"/>
        <v>1</v>
      </c>
      <c r="BZ125" s="29">
        <f t="shared" ca="1" si="73"/>
        <v>2</v>
      </c>
      <c r="CA125" s="29">
        <f t="shared" ca="1" si="69"/>
        <v>0</v>
      </c>
      <c r="CB125" s="29">
        <f t="shared" ca="1" si="69"/>
        <v>1</v>
      </c>
      <c r="CC125" s="29">
        <f t="shared" ca="1" si="69"/>
        <v>3</v>
      </c>
      <c r="CD125" s="29">
        <f t="shared" ca="1" si="71"/>
        <v>2</v>
      </c>
      <c r="CE125" s="29">
        <f t="shared" ca="1" si="71"/>
        <v>1</v>
      </c>
      <c r="CF125" s="29">
        <f t="shared" ca="1" si="71"/>
        <v>3</v>
      </c>
      <c r="CG125" s="29">
        <f t="shared" ca="1" si="71"/>
        <v>3</v>
      </c>
      <c r="CH125" s="29">
        <f t="shared" ca="1" si="71"/>
        <v>0</v>
      </c>
      <c r="CI125" s="29">
        <f t="shared" ca="1" si="71"/>
        <v>3</v>
      </c>
      <c r="CJ125" s="29">
        <f t="shared" ca="1" si="71"/>
        <v>1</v>
      </c>
      <c r="CK125" s="29">
        <f t="shared" ca="1" si="71"/>
        <v>1</v>
      </c>
      <c r="CL125" s="29">
        <f t="shared" ca="1" si="71"/>
        <v>2</v>
      </c>
      <c r="CM125" s="29">
        <f t="shared" ca="1" si="71"/>
        <v>1</v>
      </c>
      <c r="CN125" s="29">
        <f t="shared" ca="1" si="71"/>
        <v>1</v>
      </c>
      <c r="CO125" s="29">
        <f t="shared" ca="1" si="71"/>
        <v>1</v>
      </c>
      <c r="CP125" s="29">
        <f t="shared" ca="1" si="71"/>
        <v>2</v>
      </c>
      <c r="CQ125" s="29">
        <f t="shared" ca="1" si="71"/>
        <v>2</v>
      </c>
      <c r="CR125" s="29">
        <f t="shared" ca="1" si="71"/>
        <v>5</v>
      </c>
      <c r="CS125" s="29">
        <f t="shared" ca="1" si="71"/>
        <v>1</v>
      </c>
      <c r="CT125" s="29">
        <f t="shared" ca="1" si="71"/>
        <v>3</v>
      </c>
      <c r="CU125" s="29">
        <f t="shared" ca="1" si="71"/>
        <v>1</v>
      </c>
      <c r="CV125" s="29">
        <f t="shared" ca="1" si="71"/>
        <v>0</v>
      </c>
      <c r="CW125" s="29">
        <f t="shared" ca="1" si="71"/>
        <v>2</v>
      </c>
      <c r="CX125" s="29">
        <f t="shared" ca="1" si="71"/>
        <v>0</v>
      </c>
      <c r="CY125" s="29">
        <f t="shared" ca="1" si="71"/>
        <v>2</v>
      </c>
      <c r="CZ125" s="29">
        <f t="shared" ca="1" si="71"/>
        <v>2</v>
      </c>
      <c r="DA125" s="29">
        <f t="shared" ca="1" si="71"/>
        <v>3</v>
      </c>
      <c r="DB125" s="29">
        <f t="shared" ca="1" si="71"/>
        <v>0</v>
      </c>
      <c r="DC125" s="29">
        <f t="shared" ca="1" si="71"/>
        <v>3</v>
      </c>
      <c r="DD125" s="29">
        <f t="shared" ca="1" si="71"/>
        <v>2</v>
      </c>
      <c r="DE125" s="29">
        <f t="shared" ca="1" si="71"/>
        <v>2</v>
      </c>
      <c r="DF125" s="29">
        <f t="shared" ca="1" si="71"/>
        <v>3</v>
      </c>
      <c r="DG125" s="29">
        <f t="shared" ca="1" si="71"/>
        <v>2</v>
      </c>
      <c r="DH125" s="29">
        <f t="shared" ca="1" si="71"/>
        <v>1</v>
      </c>
      <c r="DI125" s="29">
        <f t="shared" ca="1" si="71"/>
        <v>0</v>
      </c>
      <c r="DJ125" s="29">
        <f t="shared" ca="1" si="71"/>
        <v>1</v>
      </c>
      <c r="DK125" s="29">
        <f t="shared" ca="1" si="71"/>
        <v>1</v>
      </c>
      <c r="DL125" s="29">
        <f t="shared" ca="1" si="71"/>
        <v>5</v>
      </c>
    </row>
    <row r="126" spans="1:116" ht="14.4" x14ac:dyDescent="0.3">
      <c r="A126" s="31">
        <v>58</v>
      </c>
      <c r="B126" s="28">
        <v>3.44</v>
      </c>
      <c r="C126" s="30">
        <v>66.34</v>
      </c>
      <c r="D126" s="28">
        <v>2.4900000000000002</v>
      </c>
      <c r="E126" s="34">
        <f t="shared" si="43"/>
        <v>4.9800000000000004E-2</v>
      </c>
      <c r="F126" s="35">
        <f t="shared" si="44"/>
        <v>16.585000000000001</v>
      </c>
      <c r="G126" s="34">
        <f t="shared" si="45"/>
        <v>62.250000000000007</v>
      </c>
      <c r="H126" s="33">
        <f t="shared" si="46"/>
        <v>13.274709302325583</v>
      </c>
      <c r="I126" s="28">
        <f t="shared" si="49"/>
        <v>279.71000000000004</v>
      </c>
      <c r="J126" s="32">
        <v>1</v>
      </c>
      <c r="K126" s="30">
        <f t="shared" si="47"/>
        <v>16.585000000000001</v>
      </c>
      <c r="L126" s="30"/>
      <c r="M126" s="30"/>
      <c r="N126" s="30"/>
      <c r="O126" s="30"/>
      <c r="Q126" s="29">
        <f t="shared" ca="1" si="48"/>
        <v>1</v>
      </c>
      <c r="R126" s="29">
        <f t="shared" ca="1" si="72"/>
        <v>3</v>
      </c>
      <c r="S126" s="29">
        <f t="shared" ca="1" si="72"/>
        <v>3</v>
      </c>
      <c r="T126" s="29">
        <f t="shared" ca="1" si="72"/>
        <v>6</v>
      </c>
      <c r="U126" s="29">
        <f t="shared" ca="1" si="72"/>
        <v>0</v>
      </c>
      <c r="V126" s="29">
        <f t="shared" ca="1" si="72"/>
        <v>4</v>
      </c>
      <c r="W126" s="29">
        <f t="shared" ca="1" si="72"/>
        <v>1</v>
      </c>
      <c r="X126" s="29">
        <f t="shared" ca="1" si="72"/>
        <v>3</v>
      </c>
      <c r="Y126" s="29">
        <f t="shared" ca="1" si="72"/>
        <v>4</v>
      </c>
      <c r="Z126" s="29">
        <f t="shared" ca="1" si="72"/>
        <v>2</v>
      </c>
      <c r="AA126" s="29">
        <f t="shared" ca="1" si="72"/>
        <v>1</v>
      </c>
      <c r="AB126" s="29">
        <f t="shared" ca="1" si="72"/>
        <v>5</v>
      </c>
      <c r="AC126" s="29">
        <f t="shared" ca="1" si="72"/>
        <v>4</v>
      </c>
      <c r="AD126" s="29">
        <f t="shared" ca="1" si="72"/>
        <v>1</v>
      </c>
      <c r="AE126" s="29">
        <f t="shared" ca="1" si="72"/>
        <v>4</v>
      </c>
      <c r="AF126" s="29">
        <f t="shared" ca="1" si="72"/>
        <v>2</v>
      </c>
      <c r="AG126" s="29">
        <f t="shared" ca="1" si="70"/>
        <v>5</v>
      </c>
      <c r="AH126" s="29">
        <f t="shared" ca="1" si="70"/>
        <v>4</v>
      </c>
      <c r="AI126" s="29">
        <f t="shared" ca="1" si="70"/>
        <v>4</v>
      </c>
      <c r="AJ126" s="29">
        <f t="shared" ca="1" si="70"/>
        <v>4</v>
      </c>
      <c r="AK126" s="29">
        <f t="shared" ca="1" si="70"/>
        <v>2</v>
      </c>
      <c r="AL126" s="29">
        <f t="shared" ca="1" si="70"/>
        <v>3</v>
      </c>
      <c r="AM126" s="29">
        <f t="shared" ca="1" si="70"/>
        <v>2</v>
      </c>
      <c r="AN126" s="29">
        <f t="shared" ca="1" si="70"/>
        <v>4</v>
      </c>
      <c r="AO126" s="29">
        <f t="shared" ca="1" si="70"/>
        <v>3</v>
      </c>
      <c r="AP126" s="29">
        <f t="shared" ca="1" si="70"/>
        <v>5</v>
      </c>
      <c r="AQ126" s="29">
        <f t="shared" ca="1" si="70"/>
        <v>1</v>
      </c>
      <c r="AR126" s="29">
        <f t="shared" ca="1" si="70"/>
        <v>2</v>
      </c>
      <c r="AS126" s="29">
        <f t="shared" ca="1" si="70"/>
        <v>5</v>
      </c>
      <c r="AT126" s="29">
        <f t="shared" ca="1" si="70"/>
        <v>2</v>
      </c>
      <c r="AU126" s="29">
        <f t="shared" ca="1" si="70"/>
        <v>5</v>
      </c>
      <c r="AV126" s="29">
        <f t="shared" ca="1" si="74"/>
        <v>1</v>
      </c>
      <c r="AW126" s="29">
        <f t="shared" ca="1" si="74"/>
        <v>3</v>
      </c>
      <c r="AX126" s="29">
        <f t="shared" ca="1" si="74"/>
        <v>3</v>
      </c>
      <c r="AY126" s="29">
        <f t="shared" ca="1" si="74"/>
        <v>1</v>
      </c>
      <c r="AZ126" s="29">
        <f t="shared" ca="1" si="74"/>
        <v>1</v>
      </c>
      <c r="BA126" s="29">
        <f t="shared" ca="1" si="74"/>
        <v>4</v>
      </c>
      <c r="BB126" s="29">
        <f t="shared" ca="1" si="74"/>
        <v>1</v>
      </c>
      <c r="BC126" s="29">
        <f t="shared" ca="1" si="74"/>
        <v>3</v>
      </c>
      <c r="BD126" s="29">
        <f t="shared" ca="1" si="74"/>
        <v>3</v>
      </c>
      <c r="BE126" s="29">
        <f t="shared" ca="1" si="74"/>
        <v>6</v>
      </c>
      <c r="BF126" s="29">
        <f t="shared" ca="1" si="74"/>
        <v>5</v>
      </c>
      <c r="BG126" s="29">
        <f t="shared" ca="1" si="74"/>
        <v>2</v>
      </c>
      <c r="BH126" s="29">
        <f t="shared" ca="1" si="74"/>
        <v>4</v>
      </c>
      <c r="BI126" s="29">
        <f t="shared" ca="1" si="74"/>
        <v>3</v>
      </c>
      <c r="BJ126" s="29">
        <f t="shared" ca="1" si="74"/>
        <v>6</v>
      </c>
      <c r="BK126" s="29">
        <f t="shared" ca="1" si="74"/>
        <v>1</v>
      </c>
      <c r="BL126" s="29">
        <f t="shared" ca="1" si="73"/>
        <v>5</v>
      </c>
      <c r="BM126" s="29">
        <f t="shared" ca="1" si="73"/>
        <v>0</v>
      </c>
      <c r="BN126" s="29">
        <f t="shared" ca="1" si="73"/>
        <v>2</v>
      </c>
      <c r="BO126" s="29">
        <f t="shared" ca="1" si="73"/>
        <v>2</v>
      </c>
      <c r="BP126" s="29">
        <f t="shared" ca="1" si="73"/>
        <v>1</v>
      </c>
      <c r="BQ126" s="29">
        <f t="shared" ca="1" si="73"/>
        <v>3</v>
      </c>
      <c r="BR126" s="29">
        <f t="shared" ca="1" si="73"/>
        <v>1</v>
      </c>
      <c r="BS126" s="29">
        <f t="shared" ca="1" si="73"/>
        <v>2</v>
      </c>
      <c r="BT126" s="29">
        <f t="shared" ca="1" si="73"/>
        <v>1</v>
      </c>
      <c r="BU126" s="29">
        <f t="shared" ca="1" si="73"/>
        <v>6</v>
      </c>
      <c r="BV126" s="29">
        <f t="shared" ca="1" si="73"/>
        <v>3</v>
      </c>
      <c r="BW126" s="29">
        <f t="shared" ca="1" si="73"/>
        <v>2</v>
      </c>
      <c r="BX126" s="29">
        <f t="shared" ca="1" si="73"/>
        <v>5</v>
      </c>
      <c r="BY126" s="29">
        <f t="shared" ca="1" si="73"/>
        <v>1</v>
      </c>
      <c r="BZ126" s="29">
        <f t="shared" ca="1" si="73"/>
        <v>3</v>
      </c>
      <c r="CA126" s="29">
        <f t="shared" ca="1" si="69"/>
        <v>2</v>
      </c>
      <c r="CB126" s="29">
        <f t="shared" ca="1" si="69"/>
        <v>5</v>
      </c>
      <c r="CC126" s="29">
        <f t="shared" ca="1" si="69"/>
        <v>1</v>
      </c>
      <c r="CD126" s="29">
        <f t="shared" ca="1" si="71"/>
        <v>6</v>
      </c>
      <c r="CE126" s="29">
        <f t="shared" ca="1" si="71"/>
        <v>5</v>
      </c>
      <c r="CF126" s="29">
        <f t="shared" ca="1" si="71"/>
        <v>2</v>
      </c>
      <c r="CG126" s="29">
        <f t="shared" ca="1" si="71"/>
        <v>4</v>
      </c>
      <c r="CH126" s="29">
        <f t="shared" ca="1" si="71"/>
        <v>2</v>
      </c>
      <c r="CI126" s="29">
        <f t="shared" ca="1" si="71"/>
        <v>2</v>
      </c>
      <c r="CJ126" s="29">
        <f t="shared" ca="1" si="71"/>
        <v>3</v>
      </c>
      <c r="CK126" s="29">
        <f t="shared" ca="1" si="71"/>
        <v>3</v>
      </c>
      <c r="CL126" s="29">
        <f t="shared" ca="1" si="71"/>
        <v>2</v>
      </c>
      <c r="CM126" s="29">
        <f t="shared" ca="1" si="71"/>
        <v>3</v>
      </c>
      <c r="CN126" s="29">
        <f t="shared" ca="1" si="71"/>
        <v>3</v>
      </c>
      <c r="CO126" s="29">
        <f t="shared" ca="1" si="71"/>
        <v>0</v>
      </c>
      <c r="CP126" s="29">
        <f t="shared" ca="1" si="71"/>
        <v>1</v>
      </c>
      <c r="CQ126" s="29">
        <f t="shared" ca="1" si="71"/>
        <v>3</v>
      </c>
      <c r="CR126" s="29">
        <f t="shared" ca="1" si="71"/>
        <v>2</v>
      </c>
      <c r="CS126" s="29">
        <f t="shared" ca="1" si="71"/>
        <v>2</v>
      </c>
      <c r="CT126" s="29">
        <f t="shared" ca="1" si="71"/>
        <v>7</v>
      </c>
      <c r="CU126" s="29">
        <f t="shared" ca="1" si="71"/>
        <v>2</v>
      </c>
      <c r="CV126" s="29">
        <f t="shared" ca="1" si="71"/>
        <v>3</v>
      </c>
      <c r="CW126" s="29">
        <f t="shared" ca="1" si="71"/>
        <v>1</v>
      </c>
      <c r="CX126" s="29">
        <f t="shared" ca="1" si="71"/>
        <v>3</v>
      </c>
      <c r="CY126" s="29">
        <f t="shared" ca="1" si="71"/>
        <v>2</v>
      </c>
      <c r="CZ126" s="29">
        <f t="shared" ca="1" si="71"/>
        <v>1</v>
      </c>
      <c r="DA126" s="29">
        <f t="shared" ca="1" si="71"/>
        <v>1</v>
      </c>
      <c r="DB126" s="29">
        <f t="shared" ca="1" si="71"/>
        <v>0</v>
      </c>
      <c r="DC126" s="29">
        <f t="shared" ca="1" si="71"/>
        <v>1</v>
      </c>
      <c r="DD126" s="29">
        <f t="shared" ca="1" si="71"/>
        <v>2</v>
      </c>
      <c r="DE126" s="29">
        <f t="shared" ca="1" si="71"/>
        <v>1</v>
      </c>
      <c r="DF126" s="29">
        <f t="shared" ca="1" si="71"/>
        <v>1</v>
      </c>
      <c r="DG126" s="29">
        <f t="shared" ca="1" si="71"/>
        <v>5</v>
      </c>
      <c r="DH126" s="29">
        <f t="shared" ca="1" si="71"/>
        <v>1</v>
      </c>
      <c r="DI126" s="29">
        <f t="shared" ca="1" si="71"/>
        <v>2</v>
      </c>
      <c r="DJ126" s="29">
        <f t="shared" ca="1" si="71"/>
        <v>2</v>
      </c>
      <c r="DK126" s="29">
        <f t="shared" ca="1" si="71"/>
        <v>0</v>
      </c>
      <c r="DL126" s="29">
        <f t="shared" ca="1" si="71"/>
        <v>3</v>
      </c>
    </row>
    <row r="127" spans="1:116" ht="14.4" x14ac:dyDescent="0.3">
      <c r="A127" s="31">
        <v>14</v>
      </c>
      <c r="B127" s="28">
        <v>3.01</v>
      </c>
      <c r="C127" s="30">
        <v>86.64</v>
      </c>
      <c r="D127" s="28">
        <v>2.46</v>
      </c>
      <c r="E127" s="34">
        <f t="shared" si="43"/>
        <v>4.9200000000000001E-2</v>
      </c>
      <c r="F127" s="35">
        <f t="shared" si="44"/>
        <v>21.66</v>
      </c>
      <c r="G127" s="34">
        <f t="shared" si="45"/>
        <v>61.5</v>
      </c>
      <c r="H127" s="33">
        <f t="shared" si="46"/>
        <v>13.235880398671098</v>
      </c>
      <c r="I127" s="28">
        <f t="shared" si="49"/>
        <v>282.72000000000003</v>
      </c>
      <c r="J127" s="32">
        <v>1</v>
      </c>
      <c r="K127" s="30">
        <f t="shared" si="47"/>
        <v>21.66</v>
      </c>
      <c r="L127" s="30"/>
      <c r="M127" s="30"/>
      <c r="N127" s="30"/>
      <c r="O127" s="30"/>
      <c r="Q127" s="29">
        <f t="shared" ca="1" si="48"/>
        <v>0</v>
      </c>
      <c r="R127" s="29">
        <f t="shared" ca="1" si="72"/>
        <v>3</v>
      </c>
      <c r="S127" s="29">
        <f t="shared" ca="1" si="72"/>
        <v>1</v>
      </c>
      <c r="T127" s="29">
        <f t="shared" ca="1" si="72"/>
        <v>1</v>
      </c>
      <c r="U127" s="29">
        <f t="shared" ca="1" si="72"/>
        <v>1</v>
      </c>
      <c r="V127" s="29">
        <f t="shared" ca="1" si="72"/>
        <v>1</v>
      </c>
      <c r="W127" s="29">
        <f t="shared" ca="1" si="72"/>
        <v>1</v>
      </c>
      <c r="X127" s="29">
        <f t="shared" ca="1" si="72"/>
        <v>4</v>
      </c>
      <c r="Y127" s="29">
        <f t="shared" ca="1" si="72"/>
        <v>3</v>
      </c>
      <c r="Z127" s="29">
        <f t="shared" ca="1" si="72"/>
        <v>2</v>
      </c>
      <c r="AA127" s="29">
        <f t="shared" ca="1" si="72"/>
        <v>3</v>
      </c>
      <c r="AB127" s="29">
        <f t="shared" ca="1" si="72"/>
        <v>2</v>
      </c>
      <c r="AC127" s="29">
        <f t="shared" ca="1" si="72"/>
        <v>0</v>
      </c>
      <c r="AD127" s="29">
        <f t="shared" ca="1" si="72"/>
        <v>3</v>
      </c>
      <c r="AE127" s="29">
        <f t="shared" ca="1" si="72"/>
        <v>2</v>
      </c>
      <c r="AF127" s="29">
        <f t="shared" ca="1" si="72"/>
        <v>3</v>
      </c>
      <c r="AG127" s="29">
        <f t="shared" ca="1" si="70"/>
        <v>0</v>
      </c>
      <c r="AH127" s="29">
        <f t="shared" ca="1" si="70"/>
        <v>4</v>
      </c>
      <c r="AI127" s="29">
        <f t="shared" ca="1" si="70"/>
        <v>1</v>
      </c>
      <c r="AJ127" s="29">
        <f t="shared" ca="1" si="70"/>
        <v>1</v>
      </c>
      <c r="AK127" s="29">
        <f t="shared" ca="1" si="70"/>
        <v>3</v>
      </c>
      <c r="AL127" s="29">
        <f t="shared" ca="1" si="70"/>
        <v>2</v>
      </c>
      <c r="AM127" s="29">
        <f t="shared" ca="1" si="70"/>
        <v>1</v>
      </c>
      <c r="AN127" s="29">
        <f t="shared" ca="1" si="70"/>
        <v>1</v>
      </c>
      <c r="AO127" s="29">
        <f t="shared" ca="1" si="70"/>
        <v>4</v>
      </c>
      <c r="AP127" s="29">
        <f t="shared" ca="1" si="70"/>
        <v>4</v>
      </c>
      <c r="AQ127" s="29">
        <f t="shared" ca="1" si="70"/>
        <v>1</v>
      </c>
      <c r="AR127" s="29">
        <f t="shared" ca="1" si="70"/>
        <v>5</v>
      </c>
      <c r="AS127" s="29">
        <f t="shared" ca="1" si="70"/>
        <v>0</v>
      </c>
      <c r="AT127" s="29">
        <f t="shared" ca="1" si="70"/>
        <v>0</v>
      </c>
      <c r="AU127" s="29">
        <f t="shared" ca="1" si="70"/>
        <v>5</v>
      </c>
      <c r="AV127" s="29">
        <f t="shared" ca="1" si="74"/>
        <v>3</v>
      </c>
      <c r="AW127" s="29">
        <f t="shared" ca="1" si="74"/>
        <v>3</v>
      </c>
      <c r="AX127" s="29">
        <f t="shared" ca="1" si="74"/>
        <v>5</v>
      </c>
      <c r="AY127" s="29">
        <f t="shared" ca="1" si="74"/>
        <v>4</v>
      </c>
      <c r="AZ127" s="29">
        <f t="shared" ca="1" si="74"/>
        <v>3</v>
      </c>
      <c r="BA127" s="29">
        <f t="shared" ca="1" si="74"/>
        <v>2</v>
      </c>
      <c r="BB127" s="29">
        <f t="shared" ca="1" si="74"/>
        <v>6</v>
      </c>
      <c r="BC127" s="29">
        <f t="shared" ca="1" si="74"/>
        <v>1</v>
      </c>
      <c r="BD127" s="29">
        <f t="shared" ca="1" si="74"/>
        <v>2</v>
      </c>
      <c r="BE127" s="29">
        <f t="shared" ca="1" si="74"/>
        <v>4</v>
      </c>
      <c r="BF127" s="29">
        <f t="shared" ca="1" si="74"/>
        <v>3</v>
      </c>
      <c r="BG127" s="29">
        <f t="shared" ca="1" si="74"/>
        <v>6</v>
      </c>
      <c r="BH127" s="29">
        <f t="shared" ca="1" si="74"/>
        <v>0</v>
      </c>
      <c r="BI127" s="29">
        <f t="shared" ca="1" si="74"/>
        <v>2</v>
      </c>
      <c r="BJ127" s="29">
        <f t="shared" ca="1" si="74"/>
        <v>5</v>
      </c>
      <c r="BK127" s="29">
        <f t="shared" ca="1" si="74"/>
        <v>2</v>
      </c>
      <c r="BL127" s="29">
        <f t="shared" ca="1" si="73"/>
        <v>3</v>
      </c>
      <c r="BM127" s="29">
        <f t="shared" ca="1" si="73"/>
        <v>1</v>
      </c>
      <c r="BN127" s="29">
        <f t="shared" ca="1" si="73"/>
        <v>2</v>
      </c>
      <c r="BO127" s="29">
        <f t="shared" ca="1" si="73"/>
        <v>3</v>
      </c>
      <c r="BP127" s="29">
        <f t="shared" ca="1" si="73"/>
        <v>5</v>
      </c>
      <c r="BQ127" s="29">
        <f t="shared" ca="1" si="73"/>
        <v>4</v>
      </c>
      <c r="BR127" s="29">
        <f t="shared" ca="1" si="73"/>
        <v>1</v>
      </c>
      <c r="BS127" s="29">
        <f t="shared" ca="1" si="73"/>
        <v>0</v>
      </c>
      <c r="BT127" s="29">
        <f t="shared" ca="1" si="73"/>
        <v>1</v>
      </c>
      <c r="BU127" s="29">
        <f t="shared" ca="1" si="73"/>
        <v>4</v>
      </c>
      <c r="BV127" s="29">
        <f t="shared" ca="1" si="73"/>
        <v>2</v>
      </c>
      <c r="BW127" s="29">
        <f t="shared" ca="1" si="73"/>
        <v>1</v>
      </c>
      <c r="BX127" s="29">
        <f t="shared" ca="1" si="73"/>
        <v>3</v>
      </c>
      <c r="BY127" s="29">
        <f t="shared" ca="1" si="73"/>
        <v>1</v>
      </c>
      <c r="BZ127" s="29">
        <f t="shared" ca="1" si="73"/>
        <v>0</v>
      </c>
      <c r="CA127" s="29">
        <f t="shared" ca="1" si="69"/>
        <v>0</v>
      </c>
      <c r="CB127" s="29">
        <f t="shared" ca="1" si="69"/>
        <v>3</v>
      </c>
      <c r="CC127" s="29">
        <f t="shared" ca="1" si="69"/>
        <v>4</v>
      </c>
      <c r="CD127" s="29">
        <f t="shared" ca="1" si="71"/>
        <v>2</v>
      </c>
      <c r="CE127" s="29">
        <f t="shared" ca="1" si="71"/>
        <v>1</v>
      </c>
      <c r="CF127" s="29">
        <f t="shared" ca="1" si="71"/>
        <v>4</v>
      </c>
      <c r="CG127" s="29">
        <f t="shared" ca="1" si="71"/>
        <v>3</v>
      </c>
      <c r="CH127" s="29">
        <f t="shared" ca="1" si="71"/>
        <v>1</v>
      </c>
      <c r="CI127" s="29">
        <f t="shared" ca="1" si="71"/>
        <v>2</v>
      </c>
      <c r="CJ127" s="29">
        <f t="shared" ca="1" si="71"/>
        <v>4</v>
      </c>
      <c r="CK127" s="29">
        <f t="shared" ca="1" si="71"/>
        <v>4</v>
      </c>
      <c r="CL127" s="29">
        <f t="shared" ca="1" si="71"/>
        <v>0</v>
      </c>
      <c r="CM127" s="29">
        <f t="shared" ca="1" si="71"/>
        <v>2</v>
      </c>
      <c r="CN127" s="29">
        <f t="shared" ca="1" si="71"/>
        <v>2</v>
      </c>
      <c r="CO127" s="29">
        <f t="shared" ca="1" si="71"/>
        <v>0</v>
      </c>
      <c r="CP127" s="29">
        <f t="shared" ca="1" si="71"/>
        <v>2</v>
      </c>
      <c r="CQ127" s="29">
        <f t="shared" ca="1" si="71"/>
        <v>0</v>
      </c>
      <c r="CR127" s="29">
        <f t="shared" ca="1" si="71"/>
        <v>3</v>
      </c>
      <c r="CS127" s="29">
        <f t="shared" ca="1" si="71"/>
        <v>2</v>
      </c>
      <c r="CT127" s="29">
        <f t="shared" ca="1" si="71"/>
        <v>0</v>
      </c>
      <c r="CU127" s="29">
        <f t="shared" ca="1" si="71"/>
        <v>2</v>
      </c>
      <c r="CV127" s="29">
        <f t="shared" ca="1" si="71"/>
        <v>4</v>
      </c>
      <c r="CW127" s="29">
        <f t="shared" ca="1" si="71"/>
        <v>3</v>
      </c>
      <c r="CX127" s="29">
        <f t="shared" ca="1" si="71"/>
        <v>3</v>
      </c>
      <c r="CY127" s="29">
        <f t="shared" ca="1" si="71"/>
        <v>4</v>
      </c>
      <c r="CZ127" s="29">
        <f t="shared" ca="1" si="71"/>
        <v>2</v>
      </c>
      <c r="DA127" s="29">
        <f t="shared" ca="1" si="71"/>
        <v>0</v>
      </c>
      <c r="DB127" s="29">
        <f t="shared" ca="1" si="71"/>
        <v>2</v>
      </c>
      <c r="DC127" s="29">
        <f t="shared" ca="1" si="71"/>
        <v>0</v>
      </c>
      <c r="DD127" s="29">
        <f t="shared" ca="1" si="71"/>
        <v>1</v>
      </c>
      <c r="DE127" s="29">
        <f t="shared" ca="1" si="71"/>
        <v>6</v>
      </c>
      <c r="DF127" s="29">
        <f t="shared" ca="1" si="71"/>
        <v>3</v>
      </c>
      <c r="DG127" s="29">
        <f t="shared" ca="1" si="71"/>
        <v>6</v>
      </c>
      <c r="DH127" s="29">
        <f t="shared" ca="1" si="71"/>
        <v>3</v>
      </c>
      <c r="DI127" s="29">
        <f t="shared" ca="1" si="71"/>
        <v>3</v>
      </c>
      <c r="DJ127" s="29">
        <f t="shared" ca="1" si="71"/>
        <v>1</v>
      </c>
      <c r="DK127" s="29">
        <f t="shared" ca="1" si="71"/>
        <v>2</v>
      </c>
      <c r="DL127" s="29">
        <f t="shared" ca="1" si="71"/>
        <v>0</v>
      </c>
    </row>
    <row r="128" spans="1:116" ht="14.4" x14ac:dyDescent="0.3">
      <c r="A128" s="31">
        <v>164</v>
      </c>
      <c r="B128" s="28">
        <v>3.78</v>
      </c>
      <c r="C128" s="30">
        <v>72.78</v>
      </c>
      <c r="D128" s="28">
        <v>2.71</v>
      </c>
      <c r="E128" s="34">
        <f t="shared" si="43"/>
        <v>5.4199999999999998E-2</v>
      </c>
      <c r="F128" s="35">
        <f t="shared" si="44"/>
        <v>18.195</v>
      </c>
      <c r="G128" s="34">
        <f t="shared" si="45"/>
        <v>67.75</v>
      </c>
      <c r="H128" s="33">
        <f t="shared" si="46"/>
        <v>13.109788359788361</v>
      </c>
      <c r="I128" s="28">
        <f t="shared" si="49"/>
        <v>286.5</v>
      </c>
      <c r="J128" s="32">
        <v>1</v>
      </c>
      <c r="K128" s="30">
        <f t="shared" si="47"/>
        <v>18.195</v>
      </c>
      <c r="L128" s="30"/>
      <c r="M128" s="30"/>
      <c r="N128" s="30"/>
      <c r="O128" s="30"/>
      <c r="Q128" s="29">
        <f t="shared" ca="1" si="48"/>
        <v>4</v>
      </c>
      <c r="R128" s="29">
        <f t="shared" ca="1" si="72"/>
        <v>5</v>
      </c>
      <c r="S128" s="29">
        <f t="shared" ca="1" si="72"/>
        <v>3</v>
      </c>
      <c r="T128" s="29">
        <f t="shared" ca="1" si="72"/>
        <v>7</v>
      </c>
      <c r="U128" s="29">
        <f t="shared" ca="1" si="72"/>
        <v>1</v>
      </c>
      <c r="V128" s="29">
        <f t="shared" ca="1" si="72"/>
        <v>4</v>
      </c>
      <c r="W128" s="29">
        <f t="shared" ca="1" si="72"/>
        <v>0</v>
      </c>
      <c r="X128" s="29">
        <f t="shared" ca="1" si="72"/>
        <v>0</v>
      </c>
      <c r="Y128" s="29">
        <f t="shared" ca="1" si="72"/>
        <v>3</v>
      </c>
      <c r="Z128" s="29">
        <f t="shared" ca="1" si="72"/>
        <v>3</v>
      </c>
      <c r="AA128" s="29">
        <f t="shared" ca="1" si="72"/>
        <v>3</v>
      </c>
      <c r="AB128" s="29">
        <f t="shared" ca="1" si="72"/>
        <v>2</v>
      </c>
      <c r="AC128" s="29">
        <f t="shared" ca="1" si="72"/>
        <v>2</v>
      </c>
      <c r="AD128" s="29">
        <f t="shared" ca="1" si="72"/>
        <v>4</v>
      </c>
      <c r="AE128" s="29">
        <f t="shared" ca="1" si="72"/>
        <v>1</v>
      </c>
      <c r="AF128" s="29">
        <f t="shared" ca="1" si="72"/>
        <v>3</v>
      </c>
      <c r="AG128" s="29">
        <f t="shared" ca="1" si="70"/>
        <v>2</v>
      </c>
      <c r="AH128" s="29">
        <f t="shared" ca="1" si="70"/>
        <v>2</v>
      </c>
      <c r="AI128" s="29">
        <f t="shared" ca="1" si="70"/>
        <v>2</v>
      </c>
      <c r="AJ128" s="29">
        <f t="shared" ca="1" si="70"/>
        <v>2</v>
      </c>
      <c r="AK128" s="29">
        <f t="shared" ca="1" si="70"/>
        <v>2</v>
      </c>
      <c r="AL128" s="29">
        <f t="shared" ca="1" si="70"/>
        <v>2</v>
      </c>
      <c r="AM128" s="29">
        <f t="shared" ca="1" si="70"/>
        <v>2</v>
      </c>
      <c r="AN128" s="29">
        <f t="shared" ca="1" si="70"/>
        <v>3</v>
      </c>
      <c r="AO128" s="29">
        <f t="shared" ca="1" si="70"/>
        <v>2</v>
      </c>
      <c r="AP128" s="29">
        <f t="shared" ca="1" si="70"/>
        <v>2</v>
      </c>
      <c r="AQ128" s="29">
        <f t="shared" ca="1" si="70"/>
        <v>0</v>
      </c>
      <c r="AR128" s="29">
        <f t="shared" ca="1" si="70"/>
        <v>3</v>
      </c>
      <c r="AS128" s="29">
        <f t="shared" ca="1" si="70"/>
        <v>5</v>
      </c>
      <c r="AT128" s="29">
        <f t="shared" ca="1" si="70"/>
        <v>3</v>
      </c>
      <c r="AU128" s="29">
        <f t="shared" ca="1" si="70"/>
        <v>1</v>
      </c>
      <c r="AV128" s="29">
        <f t="shared" ca="1" si="74"/>
        <v>4</v>
      </c>
      <c r="AW128" s="29">
        <f t="shared" ca="1" si="74"/>
        <v>3</v>
      </c>
      <c r="AX128" s="29">
        <f t="shared" ca="1" si="74"/>
        <v>3</v>
      </c>
      <c r="AY128" s="29">
        <f t="shared" ca="1" si="74"/>
        <v>4</v>
      </c>
      <c r="AZ128" s="29">
        <f t="shared" ca="1" si="74"/>
        <v>1</v>
      </c>
      <c r="BA128" s="29">
        <f t="shared" ca="1" si="74"/>
        <v>5</v>
      </c>
      <c r="BB128" s="29">
        <f t="shared" ca="1" si="74"/>
        <v>2</v>
      </c>
      <c r="BC128" s="29">
        <f t="shared" ca="1" si="74"/>
        <v>3</v>
      </c>
      <c r="BD128" s="29">
        <f t="shared" ca="1" si="74"/>
        <v>2</v>
      </c>
      <c r="BE128" s="29">
        <f t="shared" ca="1" si="74"/>
        <v>4</v>
      </c>
      <c r="BF128" s="29">
        <f t="shared" ca="1" si="74"/>
        <v>3</v>
      </c>
      <c r="BG128" s="29">
        <f t="shared" ca="1" si="74"/>
        <v>2</v>
      </c>
      <c r="BH128" s="29">
        <f t="shared" ca="1" si="74"/>
        <v>2</v>
      </c>
      <c r="BI128" s="29">
        <f t="shared" ca="1" si="74"/>
        <v>4</v>
      </c>
      <c r="BJ128" s="29">
        <f t="shared" ca="1" si="74"/>
        <v>3</v>
      </c>
      <c r="BK128" s="29">
        <f t="shared" ca="1" si="74"/>
        <v>0</v>
      </c>
      <c r="BL128" s="29">
        <f t="shared" ca="1" si="73"/>
        <v>4</v>
      </c>
      <c r="BM128" s="29">
        <f t="shared" ca="1" si="73"/>
        <v>1</v>
      </c>
      <c r="BN128" s="29">
        <f t="shared" ca="1" si="73"/>
        <v>4</v>
      </c>
      <c r="BO128" s="29">
        <f t="shared" ca="1" si="73"/>
        <v>7</v>
      </c>
      <c r="BP128" s="29">
        <f t="shared" ca="1" si="73"/>
        <v>3</v>
      </c>
      <c r="BQ128" s="29">
        <f t="shared" ca="1" si="73"/>
        <v>2</v>
      </c>
      <c r="BR128" s="29">
        <f t="shared" ca="1" si="73"/>
        <v>2</v>
      </c>
      <c r="BS128" s="29">
        <f t="shared" ca="1" si="73"/>
        <v>6</v>
      </c>
      <c r="BT128" s="29">
        <f t="shared" ca="1" si="73"/>
        <v>4</v>
      </c>
      <c r="BU128" s="29">
        <f t="shared" ca="1" si="73"/>
        <v>1</v>
      </c>
      <c r="BV128" s="29">
        <f t="shared" ca="1" si="73"/>
        <v>1</v>
      </c>
      <c r="BW128" s="29">
        <f t="shared" ca="1" si="73"/>
        <v>3</v>
      </c>
      <c r="BX128" s="29">
        <f t="shared" ca="1" si="73"/>
        <v>1</v>
      </c>
      <c r="BY128" s="29">
        <f t="shared" ca="1" si="73"/>
        <v>4</v>
      </c>
      <c r="BZ128" s="29">
        <f t="shared" ca="1" si="73"/>
        <v>1</v>
      </c>
      <c r="CA128" s="29">
        <f t="shared" ca="1" si="69"/>
        <v>3</v>
      </c>
      <c r="CB128" s="29">
        <f t="shared" ca="1" si="69"/>
        <v>1</v>
      </c>
      <c r="CC128" s="29">
        <f t="shared" ca="1" si="69"/>
        <v>1</v>
      </c>
      <c r="CD128" s="29">
        <f t="shared" ca="1" si="71"/>
        <v>2</v>
      </c>
      <c r="CE128" s="29">
        <f t="shared" ca="1" si="71"/>
        <v>1</v>
      </c>
      <c r="CF128" s="29">
        <f t="shared" ca="1" si="71"/>
        <v>4</v>
      </c>
      <c r="CG128" s="29">
        <f t="shared" ca="1" si="71"/>
        <v>1</v>
      </c>
      <c r="CH128" s="29">
        <f t="shared" ca="1" si="71"/>
        <v>5</v>
      </c>
      <c r="CI128" s="29">
        <f t="shared" ca="1" si="71"/>
        <v>1</v>
      </c>
      <c r="CJ128" s="29">
        <f t="shared" ca="1" si="71"/>
        <v>1</v>
      </c>
      <c r="CK128" s="29">
        <f t="shared" ca="1" si="71"/>
        <v>4</v>
      </c>
      <c r="CL128" s="29">
        <f t="shared" ca="1" si="71"/>
        <v>4</v>
      </c>
      <c r="CM128" s="29">
        <f t="shared" ca="1" si="71"/>
        <v>5</v>
      </c>
      <c r="CN128" s="29">
        <f t="shared" ca="1" si="71"/>
        <v>4</v>
      </c>
      <c r="CO128" s="29">
        <f t="shared" ca="1" si="71"/>
        <v>1</v>
      </c>
      <c r="CP128" s="29">
        <f t="shared" ca="1" si="71"/>
        <v>0</v>
      </c>
      <c r="CQ128" s="29">
        <f t="shared" ca="1" si="71"/>
        <v>1</v>
      </c>
      <c r="CR128" s="29">
        <f t="shared" ca="1" si="71"/>
        <v>3</v>
      </c>
      <c r="CS128" s="29">
        <f t="shared" ca="1" si="71"/>
        <v>4</v>
      </c>
      <c r="CT128" s="29">
        <f t="shared" ca="1" si="71"/>
        <v>1</v>
      </c>
      <c r="CU128" s="29">
        <f t="shared" ca="1" si="71"/>
        <v>3</v>
      </c>
      <c r="CV128" s="29">
        <f t="shared" ca="1" si="71"/>
        <v>4</v>
      </c>
      <c r="CW128" s="29">
        <f t="shared" ca="1" si="71"/>
        <v>5</v>
      </c>
      <c r="CX128" s="29">
        <f t="shared" ca="1" si="71"/>
        <v>2</v>
      </c>
      <c r="CY128" s="29">
        <f t="shared" ca="1" si="71"/>
        <v>4</v>
      </c>
      <c r="CZ128" s="29">
        <f t="shared" ca="1" si="71"/>
        <v>3</v>
      </c>
      <c r="DA128" s="29">
        <f t="shared" ca="1" si="71"/>
        <v>5</v>
      </c>
      <c r="DB128" s="29">
        <f t="shared" ca="1" si="71"/>
        <v>1</v>
      </c>
      <c r="DC128" s="29">
        <f t="shared" ca="1" si="71"/>
        <v>6</v>
      </c>
      <c r="DD128" s="29">
        <f t="shared" ca="1" si="71"/>
        <v>3</v>
      </c>
      <c r="DE128" s="29">
        <f t="shared" ca="1" si="71"/>
        <v>4</v>
      </c>
      <c r="DF128" s="29">
        <f t="shared" ca="1" si="71"/>
        <v>2</v>
      </c>
      <c r="DG128" s="29">
        <f t="shared" ca="1" si="71"/>
        <v>6</v>
      </c>
      <c r="DH128" s="29">
        <f t="shared" ca="1" si="71"/>
        <v>3</v>
      </c>
      <c r="DI128" s="29">
        <f t="shared" ca="1" si="71"/>
        <v>3</v>
      </c>
      <c r="DJ128" s="29">
        <f t="shared" ca="1" si="71"/>
        <v>1</v>
      </c>
      <c r="DK128" s="29">
        <f t="shared" ca="1" si="71"/>
        <v>7</v>
      </c>
      <c r="DL128" s="29">
        <f t="shared" ca="1" si="71"/>
        <v>4</v>
      </c>
    </row>
    <row r="129" spans="1:116" ht="14.4" x14ac:dyDescent="0.3">
      <c r="A129" s="31">
        <v>919</v>
      </c>
      <c r="B129" s="28">
        <v>3.66</v>
      </c>
      <c r="C129" s="30">
        <v>28.54</v>
      </c>
      <c r="D129" s="28">
        <v>2.2000000000000002</v>
      </c>
      <c r="E129" s="34">
        <f t="shared" si="43"/>
        <v>4.4000000000000004E-2</v>
      </c>
      <c r="F129" s="35">
        <f t="shared" si="44"/>
        <v>7.1349999999999998</v>
      </c>
      <c r="G129" s="34">
        <f t="shared" si="45"/>
        <v>55.000000000000007</v>
      </c>
      <c r="H129" s="33">
        <f t="shared" si="46"/>
        <v>13.077868852459018</v>
      </c>
      <c r="I129" s="28">
        <f t="shared" si="49"/>
        <v>290.16000000000003</v>
      </c>
      <c r="J129" s="32">
        <v>1</v>
      </c>
      <c r="K129" s="30">
        <f t="shared" si="47"/>
        <v>7.1349999999999998</v>
      </c>
      <c r="L129" s="30"/>
      <c r="M129" s="30"/>
      <c r="N129" s="30"/>
      <c r="O129" s="30"/>
      <c r="Q129" s="29">
        <f t="shared" ca="1" si="48"/>
        <v>1</v>
      </c>
      <c r="R129" s="29">
        <f t="shared" ca="1" si="72"/>
        <v>3</v>
      </c>
      <c r="S129" s="29">
        <f t="shared" ca="1" si="72"/>
        <v>2</v>
      </c>
      <c r="T129" s="29">
        <f t="shared" ca="1" si="72"/>
        <v>3</v>
      </c>
      <c r="U129" s="29">
        <f t="shared" ca="1" si="72"/>
        <v>5</v>
      </c>
      <c r="V129" s="29">
        <f t="shared" ca="1" si="72"/>
        <v>2</v>
      </c>
      <c r="W129" s="29">
        <f t="shared" ca="1" si="72"/>
        <v>4</v>
      </c>
      <c r="X129" s="29">
        <f t="shared" ca="1" si="72"/>
        <v>2</v>
      </c>
      <c r="Y129" s="29">
        <f t="shared" ca="1" si="72"/>
        <v>4</v>
      </c>
      <c r="Z129" s="29">
        <f t="shared" ca="1" si="72"/>
        <v>2</v>
      </c>
      <c r="AA129" s="29">
        <f t="shared" ca="1" si="72"/>
        <v>2</v>
      </c>
      <c r="AB129" s="29">
        <f t="shared" ca="1" si="72"/>
        <v>3</v>
      </c>
      <c r="AC129" s="29">
        <f t="shared" ca="1" si="72"/>
        <v>1</v>
      </c>
      <c r="AD129" s="29">
        <f t="shared" ca="1" si="72"/>
        <v>1</v>
      </c>
      <c r="AE129" s="29">
        <f t="shared" ca="1" si="72"/>
        <v>3</v>
      </c>
      <c r="AF129" s="29">
        <f t="shared" ca="1" si="72"/>
        <v>0</v>
      </c>
      <c r="AG129" s="29">
        <f t="shared" ca="1" si="70"/>
        <v>3</v>
      </c>
      <c r="AH129" s="29">
        <f t="shared" ca="1" si="70"/>
        <v>3</v>
      </c>
      <c r="AI129" s="29">
        <f t="shared" ca="1" si="70"/>
        <v>3</v>
      </c>
      <c r="AJ129" s="29">
        <f t="shared" ca="1" si="70"/>
        <v>4</v>
      </c>
      <c r="AK129" s="29">
        <f t="shared" ca="1" si="70"/>
        <v>2</v>
      </c>
      <c r="AL129" s="29">
        <f t="shared" ca="1" si="70"/>
        <v>0</v>
      </c>
      <c r="AM129" s="29">
        <f t="shared" ca="1" si="70"/>
        <v>1</v>
      </c>
      <c r="AN129" s="29">
        <f t="shared" ca="1" si="70"/>
        <v>2</v>
      </c>
      <c r="AO129" s="29">
        <f t="shared" ca="1" si="70"/>
        <v>4</v>
      </c>
      <c r="AP129" s="29">
        <f t="shared" ca="1" si="70"/>
        <v>0</v>
      </c>
      <c r="AQ129" s="29">
        <f t="shared" ca="1" si="70"/>
        <v>3</v>
      </c>
      <c r="AR129" s="29">
        <f t="shared" ca="1" si="70"/>
        <v>4</v>
      </c>
      <c r="AS129" s="29">
        <f t="shared" ca="1" si="70"/>
        <v>2</v>
      </c>
      <c r="AT129" s="29">
        <f t="shared" ca="1" si="70"/>
        <v>2</v>
      </c>
      <c r="AU129" s="29">
        <f t="shared" ca="1" si="70"/>
        <v>2</v>
      </c>
      <c r="AV129" s="29">
        <f t="shared" ca="1" si="74"/>
        <v>3</v>
      </c>
      <c r="AW129" s="29">
        <f t="shared" ca="1" si="74"/>
        <v>2</v>
      </c>
      <c r="AX129" s="29">
        <f t="shared" ca="1" si="74"/>
        <v>4</v>
      </c>
      <c r="AY129" s="29">
        <f t="shared" ca="1" si="74"/>
        <v>3</v>
      </c>
      <c r="AZ129" s="29">
        <f t="shared" ca="1" si="74"/>
        <v>1</v>
      </c>
      <c r="BA129" s="29">
        <f t="shared" ca="1" si="74"/>
        <v>2</v>
      </c>
      <c r="BB129" s="29">
        <f t="shared" ca="1" si="74"/>
        <v>2</v>
      </c>
      <c r="BC129" s="29">
        <f t="shared" ca="1" si="74"/>
        <v>3</v>
      </c>
      <c r="BD129" s="29">
        <f t="shared" ca="1" si="74"/>
        <v>3</v>
      </c>
      <c r="BE129" s="29">
        <f t="shared" ca="1" si="74"/>
        <v>1</v>
      </c>
      <c r="BF129" s="29">
        <f t="shared" ca="1" si="74"/>
        <v>3</v>
      </c>
      <c r="BG129" s="29">
        <f t="shared" ca="1" si="74"/>
        <v>2</v>
      </c>
      <c r="BH129" s="29">
        <f t="shared" ca="1" si="74"/>
        <v>2</v>
      </c>
      <c r="BI129" s="29">
        <f t="shared" ca="1" si="74"/>
        <v>0</v>
      </c>
      <c r="BJ129" s="29">
        <f t="shared" ca="1" si="74"/>
        <v>1</v>
      </c>
      <c r="BK129" s="29">
        <f t="shared" ca="1" si="74"/>
        <v>4</v>
      </c>
      <c r="BL129" s="29">
        <f t="shared" ca="1" si="73"/>
        <v>3</v>
      </c>
      <c r="BM129" s="29">
        <f t="shared" ca="1" si="73"/>
        <v>2</v>
      </c>
      <c r="BN129" s="29">
        <f t="shared" ca="1" si="73"/>
        <v>1</v>
      </c>
      <c r="BO129" s="29">
        <f t="shared" ca="1" si="73"/>
        <v>1</v>
      </c>
      <c r="BP129" s="29">
        <f t="shared" ca="1" si="73"/>
        <v>3</v>
      </c>
      <c r="BQ129" s="29">
        <f t="shared" ca="1" si="73"/>
        <v>1</v>
      </c>
      <c r="BR129" s="29">
        <f t="shared" ca="1" si="73"/>
        <v>3</v>
      </c>
      <c r="BS129" s="29">
        <f t="shared" ca="1" si="73"/>
        <v>3</v>
      </c>
      <c r="BT129" s="29">
        <f t="shared" ca="1" si="73"/>
        <v>2</v>
      </c>
      <c r="BU129" s="29">
        <f t="shared" ca="1" si="73"/>
        <v>3</v>
      </c>
      <c r="BV129" s="29">
        <f t="shared" ca="1" si="73"/>
        <v>1</v>
      </c>
      <c r="BW129" s="29">
        <f t="shared" ca="1" si="73"/>
        <v>2</v>
      </c>
      <c r="BX129" s="29">
        <f t="shared" ca="1" si="73"/>
        <v>2</v>
      </c>
      <c r="BY129" s="29">
        <f t="shared" ca="1" si="73"/>
        <v>4</v>
      </c>
      <c r="BZ129" s="29">
        <f t="shared" ca="1" si="73"/>
        <v>2</v>
      </c>
      <c r="CA129" s="29">
        <f t="shared" ca="1" si="69"/>
        <v>2</v>
      </c>
      <c r="CB129" s="29">
        <f t="shared" ca="1" si="69"/>
        <v>2</v>
      </c>
      <c r="CC129" s="29">
        <f t="shared" ca="1" si="69"/>
        <v>3</v>
      </c>
      <c r="CD129" s="29">
        <f t="shared" ca="1" si="71"/>
        <v>1</v>
      </c>
      <c r="CE129" s="29">
        <f t="shared" ca="1" si="71"/>
        <v>1</v>
      </c>
      <c r="CF129" s="29">
        <f t="shared" ca="1" si="71"/>
        <v>4</v>
      </c>
      <c r="CG129" s="29">
        <f t="shared" ca="1" si="71"/>
        <v>2</v>
      </c>
      <c r="CH129" s="29">
        <f t="shared" ca="1" si="71"/>
        <v>2</v>
      </c>
      <c r="CI129" s="29">
        <f t="shared" ca="1" si="71"/>
        <v>3</v>
      </c>
      <c r="CJ129" s="29">
        <f t="shared" ca="1" si="71"/>
        <v>2</v>
      </c>
      <c r="CK129" s="29">
        <f t="shared" ca="1" si="71"/>
        <v>3</v>
      </c>
      <c r="CL129" s="29">
        <f t="shared" ca="1" si="71"/>
        <v>2</v>
      </c>
      <c r="CM129" s="29">
        <f t="shared" ref="CM129:DB147" ca="1" si="75">_xlfn.BINOM.INV(50,$E129,RAND())</f>
        <v>3</v>
      </c>
      <c r="CN129" s="29">
        <f t="shared" ca="1" si="75"/>
        <v>1</v>
      </c>
      <c r="CO129" s="29">
        <f t="shared" ca="1" si="75"/>
        <v>3</v>
      </c>
      <c r="CP129" s="29">
        <f t="shared" ca="1" si="75"/>
        <v>2</v>
      </c>
      <c r="CQ129" s="29">
        <f t="shared" ca="1" si="75"/>
        <v>2</v>
      </c>
      <c r="CR129" s="29">
        <f t="shared" ca="1" si="75"/>
        <v>2</v>
      </c>
      <c r="CS129" s="29">
        <f t="shared" ca="1" si="75"/>
        <v>1</v>
      </c>
      <c r="CT129" s="29">
        <f t="shared" ca="1" si="75"/>
        <v>3</v>
      </c>
      <c r="CU129" s="29">
        <f t="shared" ca="1" si="75"/>
        <v>3</v>
      </c>
      <c r="CV129" s="29">
        <f t="shared" ca="1" si="75"/>
        <v>1</v>
      </c>
      <c r="CW129" s="29">
        <f t="shared" ca="1" si="75"/>
        <v>1</v>
      </c>
      <c r="CX129" s="29">
        <f t="shared" ca="1" si="75"/>
        <v>3</v>
      </c>
      <c r="CY129" s="29">
        <f t="shared" ca="1" si="75"/>
        <v>2</v>
      </c>
      <c r="CZ129" s="29">
        <f t="shared" ca="1" si="75"/>
        <v>3</v>
      </c>
      <c r="DA129" s="29">
        <f t="shared" ca="1" si="75"/>
        <v>0</v>
      </c>
      <c r="DB129" s="29">
        <f t="shared" ca="1" si="75"/>
        <v>1</v>
      </c>
      <c r="DC129" s="29">
        <f t="shared" ref="DC129:DL157" ca="1" si="76">_xlfn.BINOM.INV(50,$E129,RAND())</f>
        <v>3</v>
      </c>
      <c r="DD129" s="29">
        <f t="shared" ca="1" si="76"/>
        <v>1</v>
      </c>
      <c r="DE129" s="29">
        <f t="shared" ca="1" si="76"/>
        <v>2</v>
      </c>
      <c r="DF129" s="29">
        <f t="shared" ca="1" si="76"/>
        <v>3</v>
      </c>
      <c r="DG129" s="29">
        <f t="shared" ca="1" si="76"/>
        <v>0</v>
      </c>
      <c r="DH129" s="29">
        <f t="shared" ca="1" si="76"/>
        <v>3</v>
      </c>
      <c r="DI129" s="29">
        <f t="shared" ca="1" si="76"/>
        <v>1</v>
      </c>
      <c r="DJ129" s="29">
        <f t="shared" ca="1" si="76"/>
        <v>0</v>
      </c>
      <c r="DK129" s="29">
        <f t="shared" ca="1" si="76"/>
        <v>3</v>
      </c>
      <c r="DL129" s="29">
        <f t="shared" ca="1" si="76"/>
        <v>1</v>
      </c>
    </row>
    <row r="130" spans="1:116" ht="14.4" x14ac:dyDescent="0.3">
      <c r="A130" s="31">
        <v>376</v>
      </c>
      <c r="B130" s="28">
        <v>4.49</v>
      </c>
      <c r="C130" s="30">
        <v>42.2</v>
      </c>
      <c r="D130" s="28">
        <v>2.74</v>
      </c>
      <c r="E130" s="34">
        <f t="shared" ref="E130:E193" si="77">D130/50</f>
        <v>5.4800000000000001E-2</v>
      </c>
      <c r="F130" s="35">
        <f t="shared" ref="F130:F193" si="78">0.25*C130</f>
        <v>10.55</v>
      </c>
      <c r="G130" s="34">
        <f t="shared" ref="G130:G193" si="79">25*D130</f>
        <v>68.5</v>
      </c>
      <c r="H130" s="33">
        <f t="shared" ref="H130:H193" si="80">(G130-F130)/B130</f>
        <v>12.906458797327394</v>
      </c>
      <c r="I130" s="28">
        <f t="shared" si="49"/>
        <v>294.65000000000003</v>
      </c>
      <c r="J130" s="32">
        <v>1</v>
      </c>
      <c r="K130" s="30">
        <f t="shared" ref="K130:K193" si="81">J130*F130+(1-J130)*G130</f>
        <v>10.55</v>
      </c>
      <c r="L130" s="30"/>
      <c r="M130" s="30"/>
      <c r="N130" s="30"/>
      <c r="O130" s="30"/>
      <c r="Q130" s="29">
        <f t="shared" ref="Q130:Q193" ca="1" si="82">_xlfn.BINOM.INV(50,$E130,RAND())</f>
        <v>6</v>
      </c>
      <c r="R130" s="29">
        <f t="shared" ca="1" si="72"/>
        <v>3</v>
      </c>
      <c r="S130" s="29">
        <f t="shared" ca="1" si="72"/>
        <v>3</v>
      </c>
      <c r="T130" s="29">
        <f t="shared" ca="1" si="72"/>
        <v>4</v>
      </c>
      <c r="U130" s="29">
        <f t="shared" ca="1" si="72"/>
        <v>0</v>
      </c>
      <c r="V130" s="29">
        <f t="shared" ca="1" si="72"/>
        <v>2</v>
      </c>
      <c r="W130" s="29">
        <f t="shared" ca="1" si="72"/>
        <v>1</v>
      </c>
      <c r="X130" s="29">
        <f t="shared" ca="1" si="72"/>
        <v>6</v>
      </c>
      <c r="Y130" s="29">
        <f t="shared" ca="1" si="72"/>
        <v>2</v>
      </c>
      <c r="Z130" s="29">
        <f t="shared" ca="1" si="72"/>
        <v>3</v>
      </c>
      <c r="AA130" s="29">
        <f t="shared" ca="1" si="72"/>
        <v>4</v>
      </c>
      <c r="AB130" s="29">
        <f t="shared" ca="1" si="72"/>
        <v>4</v>
      </c>
      <c r="AC130" s="29">
        <f t="shared" ca="1" si="72"/>
        <v>4</v>
      </c>
      <c r="AD130" s="29">
        <f t="shared" ca="1" si="72"/>
        <v>2</v>
      </c>
      <c r="AE130" s="29">
        <f t="shared" ca="1" si="72"/>
        <v>3</v>
      </c>
      <c r="AF130" s="29">
        <f t="shared" ca="1" si="72"/>
        <v>0</v>
      </c>
      <c r="AG130" s="29">
        <f t="shared" ca="1" si="70"/>
        <v>5</v>
      </c>
      <c r="AH130" s="29">
        <f t="shared" ca="1" si="70"/>
        <v>2</v>
      </c>
      <c r="AI130" s="29">
        <f t="shared" ca="1" si="70"/>
        <v>4</v>
      </c>
      <c r="AJ130" s="29">
        <f t="shared" ca="1" si="70"/>
        <v>2</v>
      </c>
      <c r="AK130" s="29">
        <f t="shared" ca="1" si="70"/>
        <v>1</v>
      </c>
      <c r="AL130" s="29">
        <f t="shared" ca="1" si="70"/>
        <v>4</v>
      </c>
      <c r="AM130" s="29">
        <f t="shared" ca="1" si="70"/>
        <v>2</v>
      </c>
      <c r="AN130" s="29">
        <f t="shared" ca="1" si="70"/>
        <v>2</v>
      </c>
      <c r="AO130" s="29">
        <f t="shared" ca="1" si="70"/>
        <v>3</v>
      </c>
      <c r="AP130" s="29">
        <f t="shared" ca="1" si="70"/>
        <v>5</v>
      </c>
      <c r="AQ130" s="29">
        <f t="shared" ca="1" si="70"/>
        <v>4</v>
      </c>
      <c r="AR130" s="29">
        <f t="shared" ca="1" si="70"/>
        <v>2</v>
      </c>
      <c r="AS130" s="29">
        <f t="shared" ca="1" si="70"/>
        <v>1</v>
      </c>
      <c r="AT130" s="29">
        <f t="shared" ca="1" si="70"/>
        <v>4</v>
      </c>
      <c r="AU130" s="29">
        <f t="shared" ca="1" si="70"/>
        <v>3</v>
      </c>
      <c r="AV130" s="29">
        <f t="shared" ca="1" si="74"/>
        <v>2</v>
      </c>
      <c r="AW130" s="29">
        <f t="shared" ca="1" si="74"/>
        <v>4</v>
      </c>
      <c r="AX130" s="29">
        <f t="shared" ca="1" si="74"/>
        <v>0</v>
      </c>
      <c r="AY130" s="29">
        <f t="shared" ca="1" si="74"/>
        <v>3</v>
      </c>
      <c r="AZ130" s="29">
        <f t="shared" ca="1" si="74"/>
        <v>3</v>
      </c>
      <c r="BA130" s="29">
        <f t="shared" ca="1" si="74"/>
        <v>1</v>
      </c>
      <c r="BB130" s="29">
        <f t="shared" ca="1" si="74"/>
        <v>3</v>
      </c>
      <c r="BC130" s="29">
        <f t="shared" ca="1" si="74"/>
        <v>3</v>
      </c>
      <c r="BD130" s="29">
        <f t="shared" ca="1" si="74"/>
        <v>1</v>
      </c>
      <c r="BE130" s="29">
        <f t="shared" ca="1" si="74"/>
        <v>0</v>
      </c>
      <c r="BF130" s="29">
        <f t="shared" ca="1" si="74"/>
        <v>0</v>
      </c>
      <c r="BG130" s="29">
        <f t="shared" ca="1" si="74"/>
        <v>3</v>
      </c>
      <c r="BH130" s="29">
        <f t="shared" ca="1" si="74"/>
        <v>2</v>
      </c>
      <c r="BI130" s="29">
        <f t="shared" ca="1" si="74"/>
        <v>0</v>
      </c>
      <c r="BJ130" s="29">
        <f t="shared" ca="1" si="74"/>
        <v>1</v>
      </c>
      <c r="BK130" s="29">
        <f t="shared" ca="1" si="74"/>
        <v>0</v>
      </c>
      <c r="BL130" s="29">
        <f t="shared" ca="1" si="73"/>
        <v>2</v>
      </c>
      <c r="BM130" s="29">
        <f t="shared" ca="1" si="73"/>
        <v>2</v>
      </c>
      <c r="BN130" s="29">
        <f t="shared" ca="1" si="73"/>
        <v>5</v>
      </c>
      <c r="BO130" s="29">
        <f t="shared" ca="1" si="73"/>
        <v>3</v>
      </c>
      <c r="BP130" s="29">
        <f t="shared" ca="1" si="73"/>
        <v>1</v>
      </c>
      <c r="BQ130" s="29">
        <f t="shared" ca="1" si="73"/>
        <v>5</v>
      </c>
      <c r="BR130" s="29">
        <f t="shared" ca="1" si="73"/>
        <v>4</v>
      </c>
      <c r="BS130" s="29">
        <f t="shared" ca="1" si="73"/>
        <v>1</v>
      </c>
      <c r="BT130" s="29">
        <f t="shared" ca="1" si="73"/>
        <v>3</v>
      </c>
      <c r="BU130" s="29">
        <f t="shared" ca="1" si="73"/>
        <v>2</v>
      </c>
      <c r="BV130" s="29">
        <f t="shared" ca="1" si="73"/>
        <v>2</v>
      </c>
      <c r="BW130" s="29">
        <f t="shared" ca="1" si="73"/>
        <v>1</v>
      </c>
      <c r="BX130" s="29">
        <f t="shared" ca="1" si="73"/>
        <v>4</v>
      </c>
      <c r="BY130" s="29">
        <f t="shared" ca="1" si="73"/>
        <v>2</v>
      </c>
      <c r="BZ130" s="29">
        <f t="shared" ca="1" si="73"/>
        <v>4</v>
      </c>
      <c r="CA130" s="29">
        <f t="shared" ca="1" si="69"/>
        <v>3</v>
      </c>
      <c r="CB130" s="29">
        <f t="shared" ca="1" si="69"/>
        <v>1</v>
      </c>
      <c r="CC130" s="29">
        <f t="shared" ca="1" si="69"/>
        <v>5</v>
      </c>
      <c r="CD130" s="29">
        <f t="shared" ca="1" si="69"/>
        <v>3</v>
      </c>
      <c r="CE130" s="29">
        <f t="shared" ca="1" si="69"/>
        <v>4</v>
      </c>
      <c r="CF130" s="29">
        <f t="shared" ca="1" si="69"/>
        <v>2</v>
      </c>
      <c r="CG130" s="29">
        <f t="shared" ca="1" si="69"/>
        <v>2</v>
      </c>
      <c r="CH130" s="29">
        <f t="shared" ca="1" si="69"/>
        <v>2</v>
      </c>
      <c r="CI130" s="29">
        <f t="shared" ca="1" si="69"/>
        <v>3</v>
      </c>
      <c r="CJ130" s="29">
        <f t="shared" ca="1" si="69"/>
        <v>3</v>
      </c>
      <c r="CK130" s="29">
        <f t="shared" ca="1" si="69"/>
        <v>3</v>
      </c>
      <c r="CL130" s="29">
        <f t="shared" ca="1" si="69"/>
        <v>2</v>
      </c>
      <c r="CM130" s="29">
        <f t="shared" ca="1" si="69"/>
        <v>2</v>
      </c>
      <c r="CN130" s="29">
        <f t="shared" ca="1" si="69"/>
        <v>4</v>
      </c>
      <c r="CO130" s="29">
        <f t="shared" ca="1" si="69"/>
        <v>1</v>
      </c>
      <c r="CP130" s="29">
        <f t="shared" ca="1" si="69"/>
        <v>6</v>
      </c>
      <c r="CQ130" s="29">
        <f t="shared" ca="1" si="75"/>
        <v>2</v>
      </c>
      <c r="CR130" s="29">
        <f t="shared" ca="1" si="75"/>
        <v>0</v>
      </c>
      <c r="CS130" s="29">
        <f t="shared" ca="1" si="75"/>
        <v>1</v>
      </c>
      <c r="CT130" s="29">
        <f t="shared" ca="1" si="75"/>
        <v>2</v>
      </c>
      <c r="CU130" s="29">
        <f t="shared" ca="1" si="75"/>
        <v>2</v>
      </c>
      <c r="CV130" s="29">
        <f t="shared" ca="1" si="75"/>
        <v>2</v>
      </c>
      <c r="CW130" s="29">
        <f t="shared" ca="1" si="75"/>
        <v>2</v>
      </c>
      <c r="CX130" s="29">
        <f t="shared" ca="1" si="75"/>
        <v>3</v>
      </c>
      <c r="CY130" s="29">
        <f t="shared" ca="1" si="75"/>
        <v>2</v>
      </c>
      <c r="CZ130" s="29">
        <f t="shared" ca="1" si="75"/>
        <v>2</v>
      </c>
      <c r="DA130" s="29">
        <f t="shared" ca="1" si="75"/>
        <v>4</v>
      </c>
      <c r="DB130" s="29">
        <f t="shared" ca="1" si="75"/>
        <v>0</v>
      </c>
      <c r="DC130" s="29">
        <f t="shared" ca="1" si="76"/>
        <v>2</v>
      </c>
      <c r="DD130" s="29">
        <f t="shared" ca="1" si="76"/>
        <v>1</v>
      </c>
      <c r="DE130" s="29">
        <f t="shared" ca="1" si="76"/>
        <v>2</v>
      </c>
      <c r="DF130" s="29">
        <f t="shared" ca="1" si="76"/>
        <v>4</v>
      </c>
      <c r="DG130" s="29">
        <f t="shared" ca="1" si="76"/>
        <v>3</v>
      </c>
      <c r="DH130" s="29">
        <f t="shared" ca="1" si="76"/>
        <v>2</v>
      </c>
      <c r="DI130" s="29">
        <f t="shared" ca="1" si="76"/>
        <v>3</v>
      </c>
      <c r="DJ130" s="29">
        <f t="shared" ca="1" si="76"/>
        <v>2</v>
      </c>
      <c r="DK130" s="29">
        <f t="shared" ca="1" si="76"/>
        <v>3</v>
      </c>
      <c r="DL130" s="29">
        <f t="shared" ca="1" si="76"/>
        <v>2</v>
      </c>
    </row>
    <row r="131" spans="1:116" ht="14.4" x14ac:dyDescent="0.3">
      <c r="A131" s="31">
        <v>328</v>
      </c>
      <c r="B131" s="28">
        <v>4.7300000000000004</v>
      </c>
      <c r="C131" s="30">
        <v>14.43</v>
      </c>
      <c r="D131" s="28">
        <v>2.58</v>
      </c>
      <c r="E131" s="34">
        <f t="shared" si="77"/>
        <v>5.16E-2</v>
      </c>
      <c r="F131" s="35">
        <f t="shared" si="78"/>
        <v>3.6074999999999999</v>
      </c>
      <c r="G131" s="34">
        <f t="shared" si="79"/>
        <v>64.5</v>
      </c>
      <c r="H131" s="33">
        <f t="shared" si="80"/>
        <v>12.87367864693446</v>
      </c>
      <c r="I131" s="28">
        <f t="shared" si="49"/>
        <v>299.38000000000005</v>
      </c>
      <c r="J131" s="32">
        <v>1</v>
      </c>
      <c r="K131" s="30">
        <f t="shared" si="81"/>
        <v>3.6074999999999999</v>
      </c>
      <c r="L131" s="30"/>
      <c r="M131" s="30"/>
      <c r="N131" s="30"/>
      <c r="O131" s="30"/>
      <c r="Q131" s="29">
        <f t="shared" ca="1" si="82"/>
        <v>3</v>
      </c>
      <c r="R131" s="29">
        <f t="shared" ca="1" si="72"/>
        <v>5</v>
      </c>
      <c r="S131" s="29">
        <f t="shared" ca="1" si="72"/>
        <v>2</v>
      </c>
      <c r="T131" s="29">
        <f t="shared" ca="1" si="72"/>
        <v>3</v>
      </c>
      <c r="U131" s="29">
        <f t="shared" ca="1" si="72"/>
        <v>1</v>
      </c>
      <c r="V131" s="29">
        <f t="shared" ca="1" si="72"/>
        <v>0</v>
      </c>
      <c r="W131" s="29">
        <f t="shared" ca="1" si="72"/>
        <v>1</v>
      </c>
      <c r="X131" s="29">
        <f t="shared" ca="1" si="72"/>
        <v>3</v>
      </c>
      <c r="Y131" s="29">
        <f t="shared" ca="1" si="72"/>
        <v>3</v>
      </c>
      <c r="Z131" s="29">
        <f t="shared" ca="1" si="72"/>
        <v>4</v>
      </c>
      <c r="AA131" s="29">
        <f t="shared" ca="1" si="72"/>
        <v>3</v>
      </c>
      <c r="AB131" s="29">
        <f t="shared" ca="1" si="72"/>
        <v>0</v>
      </c>
      <c r="AC131" s="29">
        <f t="shared" ca="1" si="72"/>
        <v>4</v>
      </c>
      <c r="AD131" s="29">
        <f t="shared" ca="1" si="72"/>
        <v>3</v>
      </c>
      <c r="AE131" s="29">
        <f t="shared" ca="1" si="72"/>
        <v>1</v>
      </c>
      <c r="AF131" s="29">
        <f t="shared" ca="1" si="72"/>
        <v>1</v>
      </c>
      <c r="AG131" s="29">
        <f t="shared" ca="1" si="70"/>
        <v>4</v>
      </c>
      <c r="AH131" s="29">
        <f t="shared" ca="1" si="70"/>
        <v>2</v>
      </c>
      <c r="AI131" s="29">
        <f t="shared" ca="1" si="70"/>
        <v>2</v>
      </c>
      <c r="AJ131" s="29">
        <f t="shared" ca="1" si="70"/>
        <v>4</v>
      </c>
      <c r="AK131" s="29">
        <f t="shared" ca="1" si="70"/>
        <v>3</v>
      </c>
      <c r="AL131" s="29">
        <f t="shared" ca="1" si="70"/>
        <v>3</v>
      </c>
      <c r="AM131" s="29">
        <f t="shared" ca="1" si="70"/>
        <v>3</v>
      </c>
      <c r="AN131" s="29">
        <f t="shared" ca="1" si="70"/>
        <v>2</v>
      </c>
      <c r="AO131" s="29">
        <f t="shared" ca="1" si="70"/>
        <v>1</v>
      </c>
      <c r="AP131" s="29">
        <f t="shared" ca="1" si="70"/>
        <v>1</v>
      </c>
      <c r="AQ131" s="29">
        <f t="shared" ca="1" si="70"/>
        <v>2</v>
      </c>
      <c r="AR131" s="29">
        <f t="shared" ca="1" si="70"/>
        <v>2</v>
      </c>
      <c r="AS131" s="29">
        <f t="shared" ca="1" si="70"/>
        <v>4</v>
      </c>
      <c r="AT131" s="29">
        <f t="shared" ca="1" si="70"/>
        <v>2</v>
      </c>
      <c r="AU131" s="29">
        <f t="shared" ca="1" si="70"/>
        <v>4</v>
      </c>
      <c r="AV131" s="29">
        <f t="shared" ca="1" si="74"/>
        <v>2</v>
      </c>
      <c r="AW131" s="29">
        <f t="shared" ca="1" si="74"/>
        <v>2</v>
      </c>
      <c r="AX131" s="29">
        <f t="shared" ca="1" si="74"/>
        <v>0</v>
      </c>
      <c r="AY131" s="29">
        <f t="shared" ca="1" si="74"/>
        <v>0</v>
      </c>
      <c r="AZ131" s="29">
        <f t="shared" ca="1" si="74"/>
        <v>2</v>
      </c>
      <c r="BA131" s="29">
        <f t="shared" ca="1" si="74"/>
        <v>3</v>
      </c>
      <c r="BB131" s="29">
        <f t="shared" ca="1" si="74"/>
        <v>2</v>
      </c>
      <c r="BC131" s="29">
        <f t="shared" ca="1" si="74"/>
        <v>4</v>
      </c>
      <c r="BD131" s="29">
        <f t="shared" ca="1" si="74"/>
        <v>2</v>
      </c>
      <c r="BE131" s="29">
        <f t="shared" ca="1" si="74"/>
        <v>4</v>
      </c>
      <c r="BF131" s="29">
        <f t="shared" ca="1" si="74"/>
        <v>1</v>
      </c>
      <c r="BG131" s="29">
        <f t="shared" ca="1" si="74"/>
        <v>2</v>
      </c>
      <c r="BH131" s="29">
        <f t="shared" ca="1" si="74"/>
        <v>3</v>
      </c>
      <c r="BI131" s="29">
        <f t="shared" ca="1" si="74"/>
        <v>4</v>
      </c>
      <c r="BJ131" s="29">
        <f t="shared" ca="1" si="74"/>
        <v>1</v>
      </c>
      <c r="BK131" s="29">
        <f t="shared" ca="1" si="74"/>
        <v>4</v>
      </c>
      <c r="BL131" s="29">
        <f t="shared" ca="1" si="73"/>
        <v>3</v>
      </c>
      <c r="BM131" s="29">
        <f t="shared" ca="1" si="73"/>
        <v>5</v>
      </c>
      <c r="BN131" s="29">
        <f t="shared" ca="1" si="73"/>
        <v>1</v>
      </c>
      <c r="BO131" s="29">
        <f t="shared" ca="1" si="73"/>
        <v>2</v>
      </c>
      <c r="BP131" s="29">
        <f t="shared" ca="1" si="73"/>
        <v>3</v>
      </c>
      <c r="BQ131" s="29">
        <f t="shared" ca="1" si="73"/>
        <v>5</v>
      </c>
      <c r="BR131" s="29">
        <f t="shared" ca="1" si="73"/>
        <v>3</v>
      </c>
      <c r="BS131" s="29">
        <f t="shared" ca="1" si="73"/>
        <v>3</v>
      </c>
      <c r="BT131" s="29">
        <f t="shared" ca="1" si="73"/>
        <v>1</v>
      </c>
      <c r="BU131" s="29">
        <f t="shared" ca="1" si="73"/>
        <v>2</v>
      </c>
      <c r="BV131" s="29">
        <f t="shared" ca="1" si="73"/>
        <v>3</v>
      </c>
      <c r="BW131" s="29">
        <f t="shared" ca="1" si="73"/>
        <v>5</v>
      </c>
      <c r="BX131" s="29">
        <f t="shared" ca="1" si="73"/>
        <v>2</v>
      </c>
      <c r="BY131" s="29">
        <f t="shared" ca="1" si="73"/>
        <v>3</v>
      </c>
      <c r="BZ131" s="29">
        <f t="shared" ca="1" si="73"/>
        <v>1</v>
      </c>
      <c r="CA131" s="29">
        <f t="shared" ca="1" si="69"/>
        <v>4</v>
      </c>
      <c r="CB131" s="29">
        <f t="shared" ca="1" si="69"/>
        <v>3</v>
      </c>
      <c r="CC131" s="29">
        <f t="shared" ca="1" si="69"/>
        <v>2</v>
      </c>
      <c r="CD131" s="29">
        <f t="shared" ca="1" si="69"/>
        <v>1</v>
      </c>
      <c r="CE131" s="29">
        <f t="shared" ca="1" si="69"/>
        <v>3</v>
      </c>
      <c r="CF131" s="29">
        <f t="shared" ca="1" si="69"/>
        <v>3</v>
      </c>
      <c r="CG131" s="29">
        <f t="shared" ca="1" si="69"/>
        <v>4</v>
      </c>
      <c r="CH131" s="29">
        <f t="shared" ca="1" si="69"/>
        <v>2</v>
      </c>
      <c r="CI131" s="29">
        <f t="shared" ca="1" si="69"/>
        <v>4</v>
      </c>
      <c r="CJ131" s="29">
        <f t="shared" ca="1" si="69"/>
        <v>1</v>
      </c>
      <c r="CK131" s="29">
        <f t="shared" ca="1" si="69"/>
        <v>2</v>
      </c>
      <c r="CL131" s="29">
        <f t="shared" ca="1" si="69"/>
        <v>3</v>
      </c>
      <c r="CM131" s="29">
        <f t="shared" ca="1" si="69"/>
        <v>0</v>
      </c>
      <c r="CN131" s="29">
        <f t="shared" ca="1" si="69"/>
        <v>2</v>
      </c>
      <c r="CO131" s="29">
        <f t="shared" ca="1" si="69"/>
        <v>0</v>
      </c>
      <c r="CP131" s="29">
        <f t="shared" ca="1" si="69"/>
        <v>5</v>
      </c>
      <c r="CQ131" s="29">
        <f t="shared" ca="1" si="75"/>
        <v>3</v>
      </c>
      <c r="CR131" s="29">
        <f t="shared" ca="1" si="75"/>
        <v>5</v>
      </c>
      <c r="CS131" s="29">
        <f t="shared" ca="1" si="75"/>
        <v>1</v>
      </c>
      <c r="CT131" s="29">
        <f t="shared" ca="1" si="75"/>
        <v>0</v>
      </c>
      <c r="CU131" s="29">
        <f t="shared" ca="1" si="75"/>
        <v>3</v>
      </c>
      <c r="CV131" s="29">
        <f t="shared" ca="1" si="75"/>
        <v>1</v>
      </c>
      <c r="CW131" s="29">
        <f t="shared" ca="1" si="75"/>
        <v>2</v>
      </c>
      <c r="CX131" s="29">
        <f t="shared" ca="1" si="75"/>
        <v>2</v>
      </c>
      <c r="CY131" s="29">
        <f t="shared" ca="1" si="75"/>
        <v>2</v>
      </c>
      <c r="CZ131" s="29">
        <f t="shared" ca="1" si="75"/>
        <v>1</v>
      </c>
      <c r="DA131" s="29">
        <f t="shared" ca="1" si="75"/>
        <v>1</v>
      </c>
      <c r="DB131" s="29">
        <f t="shared" ca="1" si="75"/>
        <v>2</v>
      </c>
      <c r="DC131" s="29">
        <f t="shared" ca="1" si="76"/>
        <v>0</v>
      </c>
      <c r="DD131" s="29">
        <f t="shared" ca="1" si="76"/>
        <v>5</v>
      </c>
      <c r="DE131" s="29">
        <f t="shared" ca="1" si="76"/>
        <v>0</v>
      </c>
      <c r="DF131" s="29">
        <f t="shared" ca="1" si="76"/>
        <v>4</v>
      </c>
      <c r="DG131" s="29">
        <f t="shared" ca="1" si="76"/>
        <v>1</v>
      </c>
      <c r="DH131" s="29">
        <f t="shared" ca="1" si="76"/>
        <v>2</v>
      </c>
      <c r="DI131" s="29">
        <f t="shared" ca="1" si="76"/>
        <v>4</v>
      </c>
      <c r="DJ131" s="29">
        <f t="shared" ca="1" si="76"/>
        <v>3</v>
      </c>
      <c r="DK131" s="29">
        <f t="shared" ca="1" si="76"/>
        <v>2</v>
      </c>
      <c r="DL131" s="29">
        <f t="shared" ca="1" si="76"/>
        <v>1</v>
      </c>
    </row>
    <row r="132" spans="1:116" ht="14.4" x14ac:dyDescent="0.3">
      <c r="A132" s="31">
        <v>211</v>
      </c>
      <c r="B132" s="28">
        <v>1.71</v>
      </c>
      <c r="C132" s="30">
        <v>34.07</v>
      </c>
      <c r="D132" s="28">
        <v>1.22</v>
      </c>
      <c r="E132" s="34">
        <f t="shared" si="77"/>
        <v>2.4399999999999998E-2</v>
      </c>
      <c r="F132" s="35">
        <f t="shared" si="78"/>
        <v>8.5175000000000001</v>
      </c>
      <c r="G132" s="34">
        <f t="shared" si="79"/>
        <v>30.5</v>
      </c>
      <c r="H132" s="33">
        <f t="shared" si="80"/>
        <v>12.855263157894738</v>
      </c>
      <c r="I132" s="28">
        <f t="shared" ref="I132:I195" si="83">B132+I131</f>
        <v>301.09000000000003</v>
      </c>
      <c r="J132" s="32">
        <v>1</v>
      </c>
      <c r="K132" s="30">
        <f t="shared" si="81"/>
        <v>8.5175000000000001</v>
      </c>
      <c r="L132" s="30"/>
      <c r="M132" s="30"/>
      <c r="N132" s="30"/>
      <c r="O132" s="30"/>
      <c r="Q132" s="29">
        <f t="shared" ca="1" si="82"/>
        <v>5</v>
      </c>
      <c r="R132" s="29">
        <f t="shared" ca="1" si="72"/>
        <v>3</v>
      </c>
      <c r="S132" s="29">
        <f t="shared" ca="1" si="72"/>
        <v>1</v>
      </c>
      <c r="T132" s="29">
        <f t="shared" ca="1" si="72"/>
        <v>5</v>
      </c>
      <c r="U132" s="29">
        <f t="shared" ca="1" si="72"/>
        <v>1</v>
      </c>
      <c r="V132" s="29">
        <f t="shared" ca="1" si="72"/>
        <v>2</v>
      </c>
      <c r="W132" s="29">
        <f t="shared" ca="1" si="72"/>
        <v>1</v>
      </c>
      <c r="X132" s="29">
        <f t="shared" ca="1" si="72"/>
        <v>3</v>
      </c>
      <c r="Y132" s="29">
        <f t="shared" ca="1" si="72"/>
        <v>1</v>
      </c>
      <c r="Z132" s="29">
        <f t="shared" ca="1" si="72"/>
        <v>0</v>
      </c>
      <c r="AA132" s="29">
        <f t="shared" ca="1" si="72"/>
        <v>0</v>
      </c>
      <c r="AB132" s="29">
        <f t="shared" ca="1" si="72"/>
        <v>1</v>
      </c>
      <c r="AC132" s="29">
        <f t="shared" ca="1" si="72"/>
        <v>0</v>
      </c>
      <c r="AD132" s="29">
        <f t="shared" ca="1" si="72"/>
        <v>2</v>
      </c>
      <c r="AE132" s="29">
        <f t="shared" ca="1" si="72"/>
        <v>2</v>
      </c>
      <c r="AF132" s="29">
        <f t="shared" ca="1" si="72"/>
        <v>3</v>
      </c>
      <c r="AG132" s="29">
        <f t="shared" ca="1" si="70"/>
        <v>2</v>
      </c>
      <c r="AH132" s="29">
        <f t="shared" ca="1" si="70"/>
        <v>0</v>
      </c>
      <c r="AI132" s="29">
        <f t="shared" ca="1" si="70"/>
        <v>0</v>
      </c>
      <c r="AJ132" s="29">
        <f t="shared" ca="1" si="70"/>
        <v>1</v>
      </c>
      <c r="AK132" s="29">
        <f t="shared" ca="1" si="70"/>
        <v>1</v>
      </c>
      <c r="AL132" s="29">
        <f t="shared" ca="1" si="70"/>
        <v>2</v>
      </c>
      <c r="AM132" s="29">
        <f t="shared" ca="1" si="70"/>
        <v>4</v>
      </c>
      <c r="AN132" s="29">
        <f t="shared" ca="1" si="70"/>
        <v>1</v>
      </c>
      <c r="AO132" s="29">
        <f t="shared" ca="1" si="70"/>
        <v>3</v>
      </c>
      <c r="AP132" s="29">
        <f t="shared" ca="1" si="70"/>
        <v>1</v>
      </c>
      <c r="AQ132" s="29">
        <f t="shared" ca="1" si="70"/>
        <v>0</v>
      </c>
      <c r="AR132" s="29">
        <f t="shared" ca="1" si="70"/>
        <v>1</v>
      </c>
      <c r="AS132" s="29">
        <f t="shared" ca="1" si="70"/>
        <v>0</v>
      </c>
      <c r="AT132" s="29">
        <f t="shared" ca="1" si="70"/>
        <v>1</v>
      </c>
      <c r="AU132" s="29">
        <f t="shared" ca="1" si="70"/>
        <v>4</v>
      </c>
      <c r="AV132" s="29">
        <f t="shared" ca="1" si="74"/>
        <v>2</v>
      </c>
      <c r="AW132" s="29">
        <f t="shared" ca="1" si="74"/>
        <v>2</v>
      </c>
      <c r="AX132" s="29">
        <f t="shared" ca="1" si="74"/>
        <v>2</v>
      </c>
      <c r="AY132" s="29">
        <f t="shared" ca="1" si="74"/>
        <v>2</v>
      </c>
      <c r="AZ132" s="29">
        <f t="shared" ca="1" si="74"/>
        <v>3</v>
      </c>
      <c r="BA132" s="29">
        <f t="shared" ca="1" si="74"/>
        <v>0</v>
      </c>
      <c r="BB132" s="29">
        <f t="shared" ca="1" si="74"/>
        <v>0</v>
      </c>
      <c r="BC132" s="29">
        <f t="shared" ca="1" si="74"/>
        <v>2</v>
      </c>
      <c r="BD132" s="29">
        <f t="shared" ca="1" si="74"/>
        <v>0</v>
      </c>
      <c r="BE132" s="29">
        <f t="shared" ca="1" si="74"/>
        <v>0</v>
      </c>
      <c r="BF132" s="29">
        <f t="shared" ca="1" si="74"/>
        <v>4</v>
      </c>
      <c r="BG132" s="29">
        <f t="shared" ca="1" si="74"/>
        <v>2</v>
      </c>
      <c r="BH132" s="29">
        <f t="shared" ca="1" si="74"/>
        <v>2</v>
      </c>
      <c r="BI132" s="29">
        <f t="shared" ca="1" si="74"/>
        <v>2</v>
      </c>
      <c r="BJ132" s="29">
        <f t="shared" ca="1" si="74"/>
        <v>1</v>
      </c>
      <c r="BK132" s="29">
        <f t="shared" ca="1" si="74"/>
        <v>1</v>
      </c>
      <c r="BL132" s="29">
        <f t="shared" ca="1" si="73"/>
        <v>1</v>
      </c>
      <c r="BM132" s="29">
        <f t="shared" ca="1" si="73"/>
        <v>2</v>
      </c>
      <c r="BN132" s="29">
        <f t="shared" ca="1" si="73"/>
        <v>0</v>
      </c>
      <c r="BO132" s="29">
        <f t="shared" ca="1" si="73"/>
        <v>2</v>
      </c>
      <c r="BP132" s="29">
        <f t="shared" ca="1" si="73"/>
        <v>0</v>
      </c>
      <c r="BQ132" s="29">
        <f t="shared" ca="1" si="73"/>
        <v>0</v>
      </c>
      <c r="BR132" s="29">
        <f t="shared" ca="1" si="73"/>
        <v>2</v>
      </c>
      <c r="BS132" s="29">
        <f t="shared" ca="1" si="73"/>
        <v>1</v>
      </c>
      <c r="BT132" s="29">
        <f t="shared" ca="1" si="73"/>
        <v>1</v>
      </c>
      <c r="BU132" s="29">
        <f t="shared" ca="1" si="73"/>
        <v>1</v>
      </c>
      <c r="BV132" s="29">
        <f t="shared" ca="1" si="73"/>
        <v>2</v>
      </c>
      <c r="BW132" s="29">
        <f t="shared" ca="1" si="73"/>
        <v>0</v>
      </c>
      <c r="BX132" s="29">
        <f t="shared" ca="1" si="73"/>
        <v>0</v>
      </c>
      <c r="BY132" s="29">
        <f t="shared" ca="1" si="73"/>
        <v>2</v>
      </c>
      <c r="BZ132" s="29">
        <f t="shared" ca="1" si="73"/>
        <v>3</v>
      </c>
      <c r="CA132" s="29">
        <f t="shared" ca="1" si="69"/>
        <v>1</v>
      </c>
      <c r="CB132" s="29">
        <f t="shared" ca="1" si="69"/>
        <v>2</v>
      </c>
      <c r="CC132" s="29">
        <f t="shared" ca="1" si="69"/>
        <v>2</v>
      </c>
      <c r="CD132" s="29">
        <f t="shared" ca="1" si="69"/>
        <v>2</v>
      </c>
      <c r="CE132" s="29">
        <f t="shared" ca="1" si="69"/>
        <v>1</v>
      </c>
      <c r="CF132" s="29">
        <f t="shared" ca="1" si="69"/>
        <v>2</v>
      </c>
      <c r="CG132" s="29">
        <f t="shared" ca="1" si="69"/>
        <v>0</v>
      </c>
      <c r="CH132" s="29">
        <f t="shared" ref="CH132:CW147" ca="1" si="84">_xlfn.BINOM.INV(50,$E132,RAND())</f>
        <v>1</v>
      </c>
      <c r="CI132" s="29">
        <f t="shared" ca="1" si="84"/>
        <v>2</v>
      </c>
      <c r="CJ132" s="29">
        <f t="shared" ca="1" si="84"/>
        <v>1</v>
      </c>
      <c r="CK132" s="29">
        <f t="shared" ca="1" si="84"/>
        <v>2</v>
      </c>
      <c r="CL132" s="29">
        <f t="shared" ca="1" si="84"/>
        <v>2</v>
      </c>
      <c r="CM132" s="29">
        <f t="shared" ca="1" si="84"/>
        <v>1</v>
      </c>
      <c r="CN132" s="29">
        <f t="shared" ca="1" si="84"/>
        <v>2</v>
      </c>
      <c r="CO132" s="29">
        <f t="shared" ca="1" si="84"/>
        <v>2</v>
      </c>
      <c r="CP132" s="29">
        <f t="shared" ca="1" si="84"/>
        <v>1</v>
      </c>
      <c r="CQ132" s="29">
        <f t="shared" ca="1" si="84"/>
        <v>0</v>
      </c>
      <c r="CR132" s="29">
        <f t="shared" ca="1" si="84"/>
        <v>1</v>
      </c>
      <c r="CS132" s="29">
        <f t="shared" ca="1" si="84"/>
        <v>2</v>
      </c>
      <c r="CT132" s="29">
        <f t="shared" ca="1" si="84"/>
        <v>2</v>
      </c>
      <c r="CU132" s="29">
        <f t="shared" ca="1" si="84"/>
        <v>4</v>
      </c>
      <c r="CV132" s="29">
        <f t="shared" ca="1" si="84"/>
        <v>1</v>
      </c>
      <c r="CW132" s="29">
        <f t="shared" ca="1" si="84"/>
        <v>1</v>
      </c>
      <c r="CX132" s="29">
        <f t="shared" ca="1" si="75"/>
        <v>0</v>
      </c>
      <c r="CY132" s="29">
        <f t="shared" ca="1" si="75"/>
        <v>4</v>
      </c>
      <c r="CZ132" s="29">
        <f t="shared" ca="1" si="75"/>
        <v>1</v>
      </c>
      <c r="DA132" s="29">
        <f t="shared" ca="1" si="75"/>
        <v>1</v>
      </c>
      <c r="DB132" s="29">
        <f t="shared" ca="1" si="75"/>
        <v>2</v>
      </c>
      <c r="DC132" s="29">
        <f t="shared" ca="1" si="76"/>
        <v>0</v>
      </c>
      <c r="DD132" s="29">
        <f t="shared" ca="1" si="76"/>
        <v>1</v>
      </c>
      <c r="DE132" s="29">
        <f t="shared" ca="1" si="76"/>
        <v>2</v>
      </c>
      <c r="DF132" s="29">
        <f t="shared" ca="1" si="76"/>
        <v>1</v>
      </c>
      <c r="DG132" s="29">
        <f t="shared" ca="1" si="76"/>
        <v>1</v>
      </c>
      <c r="DH132" s="29">
        <f t="shared" ca="1" si="76"/>
        <v>2</v>
      </c>
      <c r="DI132" s="29">
        <f t="shared" ca="1" si="76"/>
        <v>0</v>
      </c>
      <c r="DJ132" s="29">
        <f t="shared" ca="1" si="76"/>
        <v>0</v>
      </c>
      <c r="DK132" s="29">
        <f t="shared" ca="1" si="76"/>
        <v>0</v>
      </c>
      <c r="DL132" s="29">
        <f t="shared" ca="1" si="76"/>
        <v>4</v>
      </c>
    </row>
    <row r="133" spans="1:116" ht="14.4" x14ac:dyDescent="0.3">
      <c r="A133" s="31">
        <v>1019</v>
      </c>
      <c r="B133" s="28">
        <v>4.3899999999999997</v>
      </c>
      <c r="C133" s="30">
        <v>7.48</v>
      </c>
      <c r="D133" s="28">
        <v>2.33</v>
      </c>
      <c r="E133" s="34">
        <f t="shared" si="77"/>
        <v>4.6600000000000003E-2</v>
      </c>
      <c r="F133" s="35">
        <f t="shared" si="78"/>
        <v>1.87</v>
      </c>
      <c r="G133" s="34">
        <f t="shared" si="79"/>
        <v>58.25</v>
      </c>
      <c r="H133" s="33">
        <f t="shared" si="80"/>
        <v>12.842824601366743</v>
      </c>
      <c r="I133" s="28">
        <f t="shared" si="83"/>
        <v>305.48</v>
      </c>
      <c r="J133" s="32">
        <v>1</v>
      </c>
      <c r="K133" s="30">
        <f t="shared" si="81"/>
        <v>1.87</v>
      </c>
      <c r="L133" s="30"/>
      <c r="M133" s="30"/>
      <c r="N133" s="30"/>
      <c r="O133" s="30"/>
      <c r="Q133" s="29">
        <f t="shared" ca="1" si="82"/>
        <v>1</v>
      </c>
      <c r="R133" s="29">
        <f t="shared" ca="1" si="72"/>
        <v>3</v>
      </c>
      <c r="S133" s="29">
        <f t="shared" ca="1" si="72"/>
        <v>3</v>
      </c>
      <c r="T133" s="29">
        <f t="shared" ca="1" si="72"/>
        <v>4</v>
      </c>
      <c r="U133" s="29">
        <f t="shared" ca="1" si="72"/>
        <v>7</v>
      </c>
      <c r="V133" s="29">
        <f t="shared" ca="1" si="72"/>
        <v>2</v>
      </c>
      <c r="W133" s="29">
        <f t="shared" ca="1" si="72"/>
        <v>3</v>
      </c>
      <c r="X133" s="29">
        <f t="shared" ca="1" si="72"/>
        <v>1</v>
      </c>
      <c r="Y133" s="29">
        <f t="shared" ca="1" si="72"/>
        <v>1</v>
      </c>
      <c r="Z133" s="29">
        <f t="shared" ca="1" si="72"/>
        <v>1</v>
      </c>
      <c r="AA133" s="29">
        <f t="shared" ca="1" si="72"/>
        <v>2</v>
      </c>
      <c r="AB133" s="29">
        <f t="shared" ca="1" si="72"/>
        <v>0</v>
      </c>
      <c r="AC133" s="29">
        <f t="shared" ca="1" si="72"/>
        <v>1</v>
      </c>
      <c r="AD133" s="29">
        <f t="shared" ca="1" si="72"/>
        <v>3</v>
      </c>
      <c r="AE133" s="29">
        <f t="shared" ca="1" si="72"/>
        <v>3</v>
      </c>
      <c r="AF133" s="29">
        <f t="shared" ca="1" si="72"/>
        <v>4</v>
      </c>
      <c r="AG133" s="29">
        <f t="shared" ca="1" si="70"/>
        <v>2</v>
      </c>
      <c r="AH133" s="29">
        <f t="shared" ca="1" si="70"/>
        <v>1</v>
      </c>
      <c r="AI133" s="29">
        <f t="shared" ca="1" si="70"/>
        <v>1</v>
      </c>
      <c r="AJ133" s="29">
        <f t="shared" ca="1" si="70"/>
        <v>4</v>
      </c>
      <c r="AK133" s="29">
        <f t="shared" ca="1" si="70"/>
        <v>1</v>
      </c>
      <c r="AL133" s="29">
        <f t="shared" ca="1" si="70"/>
        <v>4</v>
      </c>
      <c r="AM133" s="29">
        <f t="shared" ca="1" si="70"/>
        <v>4</v>
      </c>
      <c r="AN133" s="29">
        <f t="shared" ca="1" si="70"/>
        <v>1</v>
      </c>
      <c r="AO133" s="29">
        <f t="shared" ca="1" si="70"/>
        <v>7</v>
      </c>
      <c r="AP133" s="29">
        <f t="shared" ca="1" si="70"/>
        <v>4</v>
      </c>
      <c r="AQ133" s="29">
        <f t="shared" ca="1" si="70"/>
        <v>1</v>
      </c>
      <c r="AR133" s="29">
        <f t="shared" ca="1" si="70"/>
        <v>0</v>
      </c>
      <c r="AS133" s="29">
        <f t="shared" ca="1" si="70"/>
        <v>1</v>
      </c>
      <c r="AT133" s="29">
        <f t="shared" ca="1" si="70"/>
        <v>1</v>
      </c>
      <c r="AU133" s="29">
        <f t="shared" ca="1" si="70"/>
        <v>3</v>
      </c>
      <c r="AV133" s="29">
        <f t="shared" ca="1" si="74"/>
        <v>2</v>
      </c>
      <c r="AW133" s="29">
        <f t="shared" ca="1" si="74"/>
        <v>2</v>
      </c>
      <c r="AX133" s="29">
        <f t="shared" ca="1" si="74"/>
        <v>1</v>
      </c>
      <c r="AY133" s="29">
        <f t="shared" ca="1" si="74"/>
        <v>5</v>
      </c>
      <c r="AZ133" s="29">
        <f t="shared" ca="1" si="74"/>
        <v>1</v>
      </c>
      <c r="BA133" s="29">
        <f t="shared" ca="1" si="74"/>
        <v>3</v>
      </c>
      <c r="BB133" s="29">
        <f t="shared" ca="1" si="74"/>
        <v>1</v>
      </c>
      <c r="BC133" s="29">
        <f t="shared" ca="1" si="74"/>
        <v>3</v>
      </c>
      <c r="BD133" s="29">
        <f t="shared" ca="1" si="74"/>
        <v>0</v>
      </c>
      <c r="BE133" s="29">
        <f t="shared" ca="1" si="74"/>
        <v>0</v>
      </c>
      <c r="BF133" s="29">
        <f t="shared" ca="1" si="74"/>
        <v>2</v>
      </c>
      <c r="BG133" s="29">
        <f t="shared" ca="1" si="74"/>
        <v>1</v>
      </c>
      <c r="BH133" s="29">
        <f t="shared" ca="1" si="74"/>
        <v>3</v>
      </c>
      <c r="BI133" s="29">
        <f t="shared" ca="1" si="74"/>
        <v>1</v>
      </c>
      <c r="BJ133" s="29">
        <f t="shared" ca="1" si="74"/>
        <v>1</v>
      </c>
      <c r="BK133" s="29">
        <f t="shared" ca="1" si="74"/>
        <v>4</v>
      </c>
      <c r="BL133" s="29">
        <f t="shared" ca="1" si="73"/>
        <v>4</v>
      </c>
      <c r="BM133" s="29">
        <f t="shared" ca="1" si="73"/>
        <v>4</v>
      </c>
      <c r="BN133" s="29">
        <f t="shared" ca="1" si="73"/>
        <v>4</v>
      </c>
      <c r="BO133" s="29">
        <f t="shared" ca="1" si="73"/>
        <v>1</v>
      </c>
      <c r="BP133" s="29">
        <f t="shared" ca="1" si="73"/>
        <v>1</v>
      </c>
      <c r="BQ133" s="29">
        <f t="shared" ca="1" si="73"/>
        <v>0</v>
      </c>
      <c r="BR133" s="29">
        <f t="shared" ca="1" si="73"/>
        <v>1</v>
      </c>
      <c r="BS133" s="29">
        <f t="shared" ca="1" si="73"/>
        <v>1</v>
      </c>
      <c r="BT133" s="29">
        <f t="shared" ca="1" si="73"/>
        <v>0</v>
      </c>
      <c r="BU133" s="29">
        <f t="shared" ca="1" si="73"/>
        <v>4</v>
      </c>
      <c r="BV133" s="29">
        <f t="shared" ca="1" si="73"/>
        <v>4</v>
      </c>
      <c r="BW133" s="29">
        <f t="shared" ca="1" si="73"/>
        <v>4</v>
      </c>
      <c r="BX133" s="29">
        <f t="shared" ca="1" si="73"/>
        <v>2</v>
      </c>
      <c r="BY133" s="29">
        <f t="shared" ca="1" si="73"/>
        <v>3</v>
      </c>
      <c r="BZ133" s="29">
        <f t="shared" ca="1" si="73"/>
        <v>2</v>
      </c>
      <c r="CA133" s="29">
        <f t="shared" ref="CA133:CP148" ca="1" si="85">_xlfn.BINOM.INV(50,$E133,RAND())</f>
        <v>3</v>
      </c>
      <c r="CB133" s="29">
        <f t="shared" ca="1" si="85"/>
        <v>2</v>
      </c>
      <c r="CC133" s="29">
        <f t="shared" ca="1" si="85"/>
        <v>1</v>
      </c>
      <c r="CD133" s="29">
        <f t="shared" ca="1" si="85"/>
        <v>3</v>
      </c>
      <c r="CE133" s="29">
        <f t="shared" ca="1" si="85"/>
        <v>2</v>
      </c>
      <c r="CF133" s="29">
        <f t="shared" ca="1" si="85"/>
        <v>5</v>
      </c>
      <c r="CG133" s="29">
        <f t="shared" ca="1" si="85"/>
        <v>1</v>
      </c>
      <c r="CH133" s="29">
        <f t="shared" ca="1" si="85"/>
        <v>4</v>
      </c>
      <c r="CI133" s="29">
        <f t="shared" ca="1" si="85"/>
        <v>4</v>
      </c>
      <c r="CJ133" s="29">
        <f t="shared" ca="1" si="85"/>
        <v>0</v>
      </c>
      <c r="CK133" s="29">
        <f t="shared" ca="1" si="85"/>
        <v>3</v>
      </c>
      <c r="CL133" s="29">
        <f t="shared" ca="1" si="85"/>
        <v>2</v>
      </c>
      <c r="CM133" s="29">
        <f t="shared" ca="1" si="85"/>
        <v>1</v>
      </c>
      <c r="CN133" s="29">
        <f t="shared" ca="1" si="85"/>
        <v>0</v>
      </c>
      <c r="CO133" s="29">
        <f t="shared" ca="1" si="85"/>
        <v>1</v>
      </c>
      <c r="CP133" s="29">
        <f t="shared" ca="1" si="85"/>
        <v>1</v>
      </c>
      <c r="CQ133" s="29">
        <f t="shared" ca="1" si="84"/>
        <v>1</v>
      </c>
      <c r="CR133" s="29">
        <f t="shared" ca="1" si="84"/>
        <v>1</v>
      </c>
      <c r="CS133" s="29">
        <f t="shared" ca="1" si="84"/>
        <v>2</v>
      </c>
      <c r="CT133" s="29">
        <f t="shared" ca="1" si="84"/>
        <v>5</v>
      </c>
      <c r="CU133" s="29">
        <f t="shared" ca="1" si="84"/>
        <v>0</v>
      </c>
      <c r="CV133" s="29">
        <f t="shared" ca="1" si="84"/>
        <v>2</v>
      </c>
      <c r="CW133" s="29">
        <f t="shared" ca="1" si="84"/>
        <v>2</v>
      </c>
      <c r="CX133" s="29">
        <f t="shared" ca="1" si="75"/>
        <v>5</v>
      </c>
      <c r="CY133" s="29">
        <f t="shared" ca="1" si="75"/>
        <v>2</v>
      </c>
      <c r="CZ133" s="29">
        <f t="shared" ca="1" si="75"/>
        <v>0</v>
      </c>
      <c r="DA133" s="29">
        <f t="shared" ca="1" si="75"/>
        <v>1</v>
      </c>
      <c r="DB133" s="29">
        <f t="shared" ca="1" si="75"/>
        <v>3</v>
      </c>
      <c r="DC133" s="29">
        <f t="shared" ca="1" si="76"/>
        <v>5</v>
      </c>
      <c r="DD133" s="29">
        <f t="shared" ca="1" si="76"/>
        <v>4</v>
      </c>
      <c r="DE133" s="29">
        <f t="shared" ca="1" si="76"/>
        <v>0</v>
      </c>
      <c r="DF133" s="29">
        <f t="shared" ca="1" si="76"/>
        <v>2</v>
      </c>
      <c r="DG133" s="29">
        <f t="shared" ca="1" si="76"/>
        <v>1</v>
      </c>
      <c r="DH133" s="29">
        <f t="shared" ca="1" si="76"/>
        <v>4</v>
      </c>
      <c r="DI133" s="29">
        <f t="shared" ca="1" si="76"/>
        <v>2</v>
      </c>
      <c r="DJ133" s="29">
        <f t="shared" ca="1" si="76"/>
        <v>3</v>
      </c>
      <c r="DK133" s="29">
        <f t="shared" ca="1" si="76"/>
        <v>1</v>
      </c>
      <c r="DL133" s="29">
        <f t="shared" ca="1" si="76"/>
        <v>3</v>
      </c>
    </row>
    <row r="134" spans="1:116" ht="14.4" x14ac:dyDescent="0.3">
      <c r="A134" s="31">
        <v>902</v>
      </c>
      <c r="B134" s="28">
        <v>0.78</v>
      </c>
      <c r="C134" s="30">
        <v>75.16</v>
      </c>
      <c r="D134" s="28">
        <v>1.1499999999999999</v>
      </c>
      <c r="E134" s="34">
        <f t="shared" si="77"/>
        <v>2.3E-2</v>
      </c>
      <c r="F134" s="35">
        <f t="shared" si="78"/>
        <v>18.79</v>
      </c>
      <c r="G134" s="34">
        <f t="shared" si="79"/>
        <v>28.749999999999996</v>
      </c>
      <c r="H134" s="33">
        <f t="shared" si="80"/>
        <v>12.769230769230765</v>
      </c>
      <c r="I134" s="28">
        <f t="shared" si="83"/>
        <v>306.26</v>
      </c>
      <c r="J134" s="32">
        <v>1</v>
      </c>
      <c r="K134" s="30">
        <f t="shared" si="81"/>
        <v>18.79</v>
      </c>
      <c r="L134" s="30"/>
      <c r="M134" s="30"/>
      <c r="N134" s="30"/>
      <c r="O134" s="30"/>
      <c r="Q134" s="29">
        <f t="shared" ca="1" si="82"/>
        <v>1</v>
      </c>
      <c r="R134" s="29">
        <f t="shared" ca="1" si="72"/>
        <v>0</v>
      </c>
      <c r="S134" s="29">
        <f t="shared" ca="1" si="72"/>
        <v>2</v>
      </c>
      <c r="T134" s="29">
        <f t="shared" ca="1" si="72"/>
        <v>1</v>
      </c>
      <c r="U134" s="29">
        <f t="shared" ca="1" si="72"/>
        <v>1</v>
      </c>
      <c r="V134" s="29">
        <f t="shared" ca="1" si="72"/>
        <v>2</v>
      </c>
      <c r="W134" s="29">
        <f t="shared" ca="1" si="72"/>
        <v>0</v>
      </c>
      <c r="X134" s="29">
        <f t="shared" ca="1" si="72"/>
        <v>1</v>
      </c>
      <c r="Y134" s="29">
        <f t="shared" ca="1" si="72"/>
        <v>0</v>
      </c>
      <c r="Z134" s="29">
        <f t="shared" ca="1" si="72"/>
        <v>1</v>
      </c>
      <c r="AA134" s="29">
        <f t="shared" ca="1" si="72"/>
        <v>0</v>
      </c>
      <c r="AB134" s="29">
        <f t="shared" ca="1" si="72"/>
        <v>2</v>
      </c>
      <c r="AC134" s="29">
        <f t="shared" ca="1" si="72"/>
        <v>1</v>
      </c>
      <c r="AD134" s="29">
        <f t="shared" ca="1" si="72"/>
        <v>1</v>
      </c>
      <c r="AE134" s="29">
        <f t="shared" ca="1" si="72"/>
        <v>0</v>
      </c>
      <c r="AF134" s="29">
        <f t="shared" ca="1" si="72"/>
        <v>0</v>
      </c>
      <c r="AG134" s="29">
        <f t="shared" ca="1" si="70"/>
        <v>1</v>
      </c>
      <c r="AH134" s="29">
        <f t="shared" ca="1" si="70"/>
        <v>0</v>
      </c>
      <c r="AI134" s="29">
        <f t="shared" ca="1" si="70"/>
        <v>3</v>
      </c>
      <c r="AJ134" s="29">
        <f t="shared" ca="1" si="70"/>
        <v>1</v>
      </c>
      <c r="AK134" s="29">
        <f t="shared" ca="1" si="70"/>
        <v>1</v>
      </c>
      <c r="AL134" s="29">
        <f t="shared" ca="1" si="70"/>
        <v>2</v>
      </c>
      <c r="AM134" s="29">
        <f t="shared" ca="1" si="70"/>
        <v>0</v>
      </c>
      <c r="AN134" s="29">
        <f t="shared" ca="1" si="70"/>
        <v>1</v>
      </c>
      <c r="AO134" s="29">
        <f t="shared" ca="1" si="70"/>
        <v>1</v>
      </c>
      <c r="AP134" s="29">
        <f t="shared" ca="1" si="70"/>
        <v>0</v>
      </c>
      <c r="AQ134" s="29">
        <f t="shared" ca="1" si="70"/>
        <v>0</v>
      </c>
      <c r="AR134" s="29">
        <f t="shared" ca="1" si="70"/>
        <v>1</v>
      </c>
      <c r="AS134" s="29">
        <f t="shared" ca="1" si="70"/>
        <v>3</v>
      </c>
      <c r="AT134" s="29">
        <f t="shared" ca="1" si="70"/>
        <v>0</v>
      </c>
      <c r="AU134" s="29">
        <f t="shared" ca="1" si="70"/>
        <v>1</v>
      </c>
      <c r="AV134" s="29">
        <f t="shared" ca="1" si="74"/>
        <v>0</v>
      </c>
      <c r="AW134" s="29">
        <f t="shared" ca="1" si="74"/>
        <v>1</v>
      </c>
      <c r="AX134" s="29">
        <f t="shared" ca="1" si="74"/>
        <v>0</v>
      </c>
      <c r="AY134" s="29">
        <f t="shared" ca="1" si="74"/>
        <v>1</v>
      </c>
      <c r="AZ134" s="29">
        <f t="shared" ca="1" si="74"/>
        <v>1</v>
      </c>
      <c r="BA134" s="29">
        <f t="shared" ca="1" si="74"/>
        <v>2</v>
      </c>
      <c r="BB134" s="29">
        <f t="shared" ca="1" si="74"/>
        <v>2</v>
      </c>
      <c r="BC134" s="29">
        <f t="shared" ca="1" si="74"/>
        <v>1</v>
      </c>
      <c r="BD134" s="29">
        <f t="shared" ca="1" si="74"/>
        <v>0</v>
      </c>
      <c r="BE134" s="29">
        <f t="shared" ca="1" si="74"/>
        <v>0</v>
      </c>
      <c r="BF134" s="29">
        <f t="shared" ca="1" si="74"/>
        <v>3</v>
      </c>
      <c r="BG134" s="29">
        <f t="shared" ca="1" si="74"/>
        <v>0</v>
      </c>
      <c r="BH134" s="29">
        <f t="shared" ca="1" si="74"/>
        <v>0</v>
      </c>
      <c r="BI134" s="29">
        <f t="shared" ca="1" si="74"/>
        <v>3</v>
      </c>
      <c r="BJ134" s="29">
        <f t="shared" ca="1" si="74"/>
        <v>1</v>
      </c>
      <c r="BK134" s="29">
        <f t="shared" ca="1" si="74"/>
        <v>1</v>
      </c>
      <c r="BL134" s="29">
        <f t="shared" ca="1" si="73"/>
        <v>2</v>
      </c>
      <c r="BM134" s="29">
        <f t="shared" ca="1" si="73"/>
        <v>0</v>
      </c>
      <c r="BN134" s="29">
        <f t="shared" ca="1" si="73"/>
        <v>0</v>
      </c>
      <c r="BO134" s="29">
        <f t="shared" ca="1" si="73"/>
        <v>1</v>
      </c>
      <c r="BP134" s="29">
        <f t="shared" ca="1" si="73"/>
        <v>0</v>
      </c>
      <c r="BQ134" s="29">
        <f t="shared" ca="1" si="73"/>
        <v>0</v>
      </c>
      <c r="BR134" s="29">
        <f t="shared" ca="1" si="73"/>
        <v>1</v>
      </c>
      <c r="BS134" s="29">
        <f t="shared" ca="1" si="73"/>
        <v>3</v>
      </c>
      <c r="BT134" s="29">
        <f t="shared" ca="1" si="73"/>
        <v>1</v>
      </c>
      <c r="BU134" s="29">
        <f t="shared" ca="1" si="73"/>
        <v>0</v>
      </c>
      <c r="BV134" s="29">
        <f t="shared" ca="1" si="73"/>
        <v>0</v>
      </c>
      <c r="BW134" s="29">
        <f t="shared" ca="1" si="73"/>
        <v>2</v>
      </c>
      <c r="BX134" s="29">
        <f t="shared" ca="1" si="73"/>
        <v>0</v>
      </c>
      <c r="BY134" s="29">
        <f t="shared" ca="1" si="73"/>
        <v>1</v>
      </c>
      <c r="BZ134" s="29">
        <f t="shared" ca="1" si="73"/>
        <v>1</v>
      </c>
      <c r="CA134" s="29">
        <f t="shared" ca="1" si="85"/>
        <v>0</v>
      </c>
      <c r="CB134" s="29">
        <f t="shared" ca="1" si="85"/>
        <v>0</v>
      </c>
      <c r="CC134" s="29">
        <f t="shared" ca="1" si="85"/>
        <v>0</v>
      </c>
      <c r="CD134" s="29">
        <f t="shared" ca="1" si="85"/>
        <v>0</v>
      </c>
      <c r="CE134" s="29">
        <f t="shared" ca="1" si="85"/>
        <v>0</v>
      </c>
      <c r="CF134" s="29">
        <f t="shared" ca="1" si="85"/>
        <v>0</v>
      </c>
      <c r="CG134" s="29">
        <f t="shared" ca="1" si="85"/>
        <v>1</v>
      </c>
      <c r="CH134" s="29">
        <f t="shared" ca="1" si="85"/>
        <v>0</v>
      </c>
      <c r="CI134" s="29">
        <f t="shared" ca="1" si="85"/>
        <v>0</v>
      </c>
      <c r="CJ134" s="29">
        <f t="shared" ca="1" si="85"/>
        <v>0</v>
      </c>
      <c r="CK134" s="29">
        <f t="shared" ca="1" si="85"/>
        <v>2</v>
      </c>
      <c r="CL134" s="29">
        <f t="shared" ca="1" si="85"/>
        <v>0</v>
      </c>
      <c r="CM134" s="29">
        <f t="shared" ca="1" si="85"/>
        <v>1</v>
      </c>
      <c r="CN134" s="29">
        <f t="shared" ca="1" si="85"/>
        <v>3</v>
      </c>
      <c r="CO134" s="29">
        <f t="shared" ca="1" si="85"/>
        <v>0</v>
      </c>
      <c r="CP134" s="29">
        <f t="shared" ca="1" si="85"/>
        <v>2</v>
      </c>
      <c r="CQ134" s="29">
        <f t="shared" ca="1" si="84"/>
        <v>1</v>
      </c>
      <c r="CR134" s="29">
        <f t="shared" ca="1" si="84"/>
        <v>1</v>
      </c>
      <c r="CS134" s="29">
        <f t="shared" ca="1" si="84"/>
        <v>0</v>
      </c>
      <c r="CT134" s="29">
        <f t="shared" ca="1" si="84"/>
        <v>2</v>
      </c>
      <c r="CU134" s="29">
        <f t="shared" ca="1" si="84"/>
        <v>1</v>
      </c>
      <c r="CV134" s="29">
        <f t="shared" ca="1" si="84"/>
        <v>0</v>
      </c>
      <c r="CW134" s="29">
        <f t="shared" ca="1" si="84"/>
        <v>1</v>
      </c>
      <c r="CX134" s="29">
        <f t="shared" ca="1" si="75"/>
        <v>1</v>
      </c>
      <c r="CY134" s="29">
        <f t="shared" ca="1" si="75"/>
        <v>2</v>
      </c>
      <c r="CZ134" s="29">
        <f t="shared" ca="1" si="75"/>
        <v>0</v>
      </c>
      <c r="DA134" s="29">
        <f t="shared" ca="1" si="75"/>
        <v>2</v>
      </c>
      <c r="DB134" s="29">
        <f t="shared" ca="1" si="75"/>
        <v>1</v>
      </c>
      <c r="DC134" s="29">
        <f t="shared" ca="1" si="76"/>
        <v>3</v>
      </c>
      <c r="DD134" s="29">
        <f t="shared" ca="1" si="76"/>
        <v>2</v>
      </c>
      <c r="DE134" s="29">
        <f t="shared" ca="1" si="76"/>
        <v>1</v>
      </c>
      <c r="DF134" s="29">
        <f t="shared" ca="1" si="76"/>
        <v>0</v>
      </c>
      <c r="DG134" s="29">
        <f t="shared" ca="1" si="76"/>
        <v>0</v>
      </c>
      <c r="DH134" s="29">
        <f t="shared" ca="1" si="76"/>
        <v>2</v>
      </c>
      <c r="DI134" s="29">
        <f t="shared" ca="1" si="76"/>
        <v>2</v>
      </c>
      <c r="DJ134" s="29">
        <f t="shared" ca="1" si="76"/>
        <v>1</v>
      </c>
      <c r="DK134" s="29">
        <f t="shared" ca="1" si="76"/>
        <v>1</v>
      </c>
      <c r="DL134" s="29">
        <f t="shared" ca="1" si="76"/>
        <v>0</v>
      </c>
    </row>
    <row r="135" spans="1:116" ht="14.4" x14ac:dyDescent="0.3">
      <c r="A135" s="31">
        <v>586</v>
      </c>
      <c r="B135" s="28">
        <v>5.42</v>
      </c>
      <c r="C135" s="30">
        <v>18.32</v>
      </c>
      <c r="D135" s="28">
        <v>2.94</v>
      </c>
      <c r="E135" s="34">
        <f t="shared" si="77"/>
        <v>5.8799999999999998E-2</v>
      </c>
      <c r="F135" s="35">
        <f t="shared" si="78"/>
        <v>4.58</v>
      </c>
      <c r="G135" s="34">
        <f t="shared" si="79"/>
        <v>73.5</v>
      </c>
      <c r="H135" s="33">
        <f t="shared" si="80"/>
        <v>12.715867158671587</v>
      </c>
      <c r="I135" s="28">
        <f t="shared" si="83"/>
        <v>311.68</v>
      </c>
      <c r="J135" s="32">
        <v>1</v>
      </c>
      <c r="K135" s="30">
        <f t="shared" si="81"/>
        <v>4.58</v>
      </c>
      <c r="L135" s="30"/>
      <c r="M135" s="30"/>
      <c r="N135" s="30"/>
      <c r="O135" s="30"/>
      <c r="Q135" s="29">
        <f t="shared" ca="1" si="82"/>
        <v>2</v>
      </c>
      <c r="R135" s="29">
        <f t="shared" ca="1" si="72"/>
        <v>6</v>
      </c>
      <c r="S135" s="29">
        <f t="shared" ca="1" si="72"/>
        <v>5</v>
      </c>
      <c r="T135" s="29">
        <f t="shared" ca="1" si="72"/>
        <v>0</v>
      </c>
      <c r="U135" s="29">
        <f t="shared" ca="1" si="72"/>
        <v>4</v>
      </c>
      <c r="V135" s="29">
        <f t="shared" ca="1" si="72"/>
        <v>2</v>
      </c>
      <c r="W135" s="29">
        <f t="shared" ca="1" si="72"/>
        <v>5</v>
      </c>
      <c r="X135" s="29">
        <f t="shared" ca="1" si="72"/>
        <v>2</v>
      </c>
      <c r="Y135" s="29">
        <f t="shared" ca="1" si="72"/>
        <v>2</v>
      </c>
      <c r="Z135" s="29">
        <f t="shared" ca="1" si="72"/>
        <v>1</v>
      </c>
      <c r="AA135" s="29">
        <f t="shared" ca="1" si="72"/>
        <v>3</v>
      </c>
      <c r="AB135" s="29">
        <f t="shared" ca="1" si="72"/>
        <v>2</v>
      </c>
      <c r="AC135" s="29">
        <f t="shared" ca="1" si="72"/>
        <v>6</v>
      </c>
      <c r="AD135" s="29">
        <f t="shared" ca="1" si="72"/>
        <v>3</v>
      </c>
      <c r="AE135" s="29">
        <f t="shared" ca="1" si="72"/>
        <v>2</v>
      </c>
      <c r="AF135" s="29">
        <f t="shared" ca="1" si="72"/>
        <v>3</v>
      </c>
      <c r="AG135" s="29">
        <f t="shared" ca="1" si="70"/>
        <v>2</v>
      </c>
      <c r="AH135" s="29">
        <f t="shared" ca="1" si="70"/>
        <v>4</v>
      </c>
      <c r="AI135" s="29">
        <f t="shared" ca="1" si="70"/>
        <v>4</v>
      </c>
      <c r="AJ135" s="29">
        <f t="shared" ca="1" si="70"/>
        <v>3</v>
      </c>
      <c r="AK135" s="29">
        <f t="shared" ca="1" si="70"/>
        <v>1</v>
      </c>
      <c r="AL135" s="29">
        <f t="shared" ca="1" si="70"/>
        <v>4</v>
      </c>
      <c r="AM135" s="29">
        <f t="shared" ca="1" si="70"/>
        <v>4</v>
      </c>
      <c r="AN135" s="29">
        <f t="shared" ca="1" si="70"/>
        <v>2</v>
      </c>
      <c r="AO135" s="29">
        <f t="shared" ca="1" si="70"/>
        <v>4</v>
      </c>
      <c r="AP135" s="29">
        <f t="shared" ca="1" si="70"/>
        <v>0</v>
      </c>
      <c r="AQ135" s="29">
        <f t="shared" ca="1" si="70"/>
        <v>3</v>
      </c>
      <c r="AR135" s="29">
        <f t="shared" ca="1" si="70"/>
        <v>3</v>
      </c>
      <c r="AS135" s="29">
        <f t="shared" ca="1" si="70"/>
        <v>2</v>
      </c>
      <c r="AT135" s="29">
        <f t="shared" ca="1" si="70"/>
        <v>5</v>
      </c>
      <c r="AU135" s="29">
        <f t="shared" ca="1" si="70"/>
        <v>5</v>
      </c>
      <c r="AV135" s="29">
        <f t="shared" ca="1" si="74"/>
        <v>2</v>
      </c>
      <c r="AW135" s="29">
        <f t="shared" ca="1" si="74"/>
        <v>4</v>
      </c>
      <c r="AX135" s="29">
        <f t="shared" ca="1" si="74"/>
        <v>4</v>
      </c>
      <c r="AY135" s="29">
        <f t="shared" ca="1" si="74"/>
        <v>4</v>
      </c>
      <c r="AZ135" s="29">
        <f t="shared" ca="1" si="74"/>
        <v>1</v>
      </c>
      <c r="BA135" s="29">
        <f t="shared" ca="1" si="74"/>
        <v>3</v>
      </c>
      <c r="BB135" s="29">
        <f t="shared" ca="1" si="74"/>
        <v>3</v>
      </c>
      <c r="BC135" s="29">
        <f t="shared" ca="1" si="74"/>
        <v>1</v>
      </c>
      <c r="BD135" s="29">
        <f t="shared" ca="1" si="74"/>
        <v>3</v>
      </c>
      <c r="BE135" s="29">
        <f t="shared" ca="1" si="74"/>
        <v>4</v>
      </c>
      <c r="BF135" s="29">
        <f t="shared" ca="1" si="74"/>
        <v>4</v>
      </c>
      <c r="BG135" s="29">
        <f t="shared" ca="1" si="74"/>
        <v>3</v>
      </c>
      <c r="BH135" s="29">
        <f t="shared" ca="1" si="74"/>
        <v>1</v>
      </c>
      <c r="BI135" s="29">
        <f t="shared" ca="1" si="74"/>
        <v>2</v>
      </c>
      <c r="BJ135" s="29">
        <f t="shared" ca="1" si="74"/>
        <v>1</v>
      </c>
      <c r="BK135" s="29">
        <f t="shared" ca="1" si="74"/>
        <v>1</v>
      </c>
      <c r="BL135" s="29">
        <f t="shared" ca="1" si="73"/>
        <v>1</v>
      </c>
      <c r="BM135" s="29">
        <f t="shared" ca="1" si="73"/>
        <v>3</v>
      </c>
      <c r="BN135" s="29">
        <f t="shared" ca="1" si="73"/>
        <v>3</v>
      </c>
      <c r="BO135" s="29">
        <f t="shared" ca="1" si="73"/>
        <v>3</v>
      </c>
      <c r="BP135" s="29">
        <f t="shared" ca="1" si="73"/>
        <v>2</v>
      </c>
      <c r="BQ135" s="29">
        <f t="shared" ca="1" si="73"/>
        <v>4</v>
      </c>
      <c r="BR135" s="29">
        <f t="shared" ca="1" si="73"/>
        <v>4</v>
      </c>
      <c r="BS135" s="29">
        <f t="shared" ca="1" si="73"/>
        <v>4</v>
      </c>
      <c r="BT135" s="29">
        <f t="shared" ca="1" si="73"/>
        <v>5</v>
      </c>
      <c r="BU135" s="29">
        <f t="shared" ca="1" si="73"/>
        <v>5</v>
      </c>
      <c r="BV135" s="29">
        <f t="shared" ca="1" si="73"/>
        <v>2</v>
      </c>
      <c r="BW135" s="29">
        <f t="shared" ca="1" si="73"/>
        <v>7</v>
      </c>
      <c r="BX135" s="29">
        <f t="shared" ca="1" si="73"/>
        <v>3</v>
      </c>
      <c r="BY135" s="29">
        <f t="shared" ca="1" si="73"/>
        <v>1</v>
      </c>
      <c r="BZ135" s="29">
        <f t="shared" ca="1" si="73"/>
        <v>7</v>
      </c>
      <c r="CA135" s="29">
        <f t="shared" ca="1" si="85"/>
        <v>3</v>
      </c>
      <c r="CB135" s="29">
        <f t="shared" ca="1" si="85"/>
        <v>0</v>
      </c>
      <c r="CC135" s="29">
        <f t="shared" ca="1" si="85"/>
        <v>2</v>
      </c>
      <c r="CD135" s="29">
        <f t="shared" ca="1" si="85"/>
        <v>3</v>
      </c>
      <c r="CE135" s="29">
        <f t="shared" ca="1" si="85"/>
        <v>2</v>
      </c>
      <c r="CF135" s="29">
        <f t="shared" ca="1" si="85"/>
        <v>3</v>
      </c>
      <c r="CG135" s="29">
        <f t="shared" ca="1" si="85"/>
        <v>2</v>
      </c>
      <c r="CH135" s="29">
        <f t="shared" ca="1" si="85"/>
        <v>3</v>
      </c>
      <c r="CI135" s="29">
        <f t="shared" ca="1" si="85"/>
        <v>2</v>
      </c>
      <c r="CJ135" s="29">
        <f t="shared" ca="1" si="85"/>
        <v>4</v>
      </c>
      <c r="CK135" s="29">
        <f t="shared" ca="1" si="85"/>
        <v>4</v>
      </c>
      <c r="CL135" s="29">
        <f t="shared" ca="1" si="85"/>
        <v>4</v>
      </c>
      <c r="CM135" s="29">
        <f t="shared" ca="1" si="85"/>
        <v>5</v>
      </c>
      <c r="CN135" s="29">
        <f t="shared" ca="1" si="85"/>
        <v>4</v>
      </c>
      <c r="CO135" s="29">
        <f t="shared" ca="1" si="85"/>
        <v>2</v>
      </c>
      <c r="CP135" s="29">
        <f t="shared" ca="1" si="85"/>
        <v>3</v>
      </c>
      <c r="CQ135" s="29">
        <f t="shared" ca="1" si="84"/>
        <v>2</v>
      </c>
      <c r="CR135" s="29">
        <f t="shared" ca="1" si="84"/>
        <v>5</v>
      </c>
      <c r="CS135" s="29">
        <f t="shared" ca="1" si="84"/>
        <v>4</v>
      </c>
      <c r="CT135" s="29">
        <f t="shared" ca="1" si="84"/>
        <v>2</v>
      </c>
      <c r="CU135" s="29">
        <f t="shared" ca="1" si="84"/>
        <v>3</v>
      </c>
      <c r="CV135" s="29">
        <f t="shared" ca="1" si="84"/>
        <v>2</v>
      </c>
      <c r="CW135" s="29">
        <f t="shared" ca="1" si="84"/>
        <v>2</v>
      </c>
      <c r="CX135" s="29">
        <f t="shared" ca="1" si="75"/>
        <v>1</v>
      </c>
      <c r="CY135" s="29">
        <f t="shared" ca="1" si="75"/>
        <v>2</v>
      </c>
      <c r="CZ135" s="29">
        <f t="shared" ca="1" si="75"/>
        <v>1</v>
      </c>
      <c r="DA135" s="29">
        <f t="shared" ca="1" si="75"/>
        <v>3</v>
      </c>
      <c r="DB135" s="29">
        <f t="shared" ca="1" si="75"/>
        <v>1</v>
      </c>
      <c r="DC135" s="29">
        <f t="shared" ca="1" si="76"/>
        <v>2</v>
      </c>
      <c r="DD135" s="29">
        <f t="shared" ca="1" si="76"/>
        <v>3</v>
      </c>
      <c r="DE135" s="29">
        <f t="shared" ca="1" si="76"/>
        <v>5</v>
      </c>
      <c r="DF135" s="29">
        <f t="shared" ca="1" si="76"/>
        <v>5</v>
      </c>
      <c r="DG135" s="29">
        <f t="shared" ca="1" si="76"/>
        <v>8</v>
      </c>
      <c r="DH135" s="29">
        <f t="shared" ca="1" si="76"/>
        <v>6</v>
      </c>
      <c r="DI135" s="29">
        <f t="shared" ca="1" si="76"/>
        <v>1</v>
      </c>
      <c r="DJ135" s="29">
        <f t="shared" ca="1" si="76"/>
        <v>4</v>
      </c>
      <c r="DK135" s="29">
        <f t="shared" ca="1" si="76"/>
        <v>2</v>
      </c>
      <c r="DL135" s="29">
        <f t="shared" ca="1" si="76"/>
        <v>4</v>
      </c>
    </row>
    <row r="136" spans="1:116" ht="14.4" x14ac:dyDescent="0.3">
      <c r="A136" s="31">
        <v>290</v>
      </c>
      <c r="B136" s="28">
        <v>5.54</v>
      </c>
      <c r="C136" s="30">
        <v>40.67</v>
      </c>
      <c r="D136" s="28">
        <v>3.22</v>
      </c>
      <c r="E136" s="34">
        <f t="shared" si="77"/>
        <v>6.4399999999999999E-2</v>
      </c>
      <c r="F136" s="35">
        <f t="shared" si="78"/>
        <v>10.1675</v>
      </c>
      <c r="G136" s="34">
        <f t="shared" si="79"/>
        <v>80.5</v>
      </c>
      <c r="H136" s="33">
        <f t="shared" si="80"/>
        <v>12.695397111913357</v>
      </c>
      <c r="I136" s="28">
        <f t="shared" si="83"/>
        <v>317.22000000000003</v>
      </c>
      <c r="J136" s="32">
        <v>1</v>
      </c>
      <c r="K136" s="30">
        <f t="shared" si="81"/>
        <v>10.1675</v>
      </c>
      <c r="L136" s="30"/>
      <c r="M136" s="30"/>
      <c r="N136" s="30"/>
      <c r="O136" s="30"/>
      <c r="Q136" s="29">
        <f t="shared" ca="1" si="82"/>
        <v>6</v>
      </c>
      <c r="R136" s="29">
        <f t="shared" ca="1" si="72"/>
        <v>4</v>
      </c>
      <c r="S136" s="29">
        <f t="shared" ca="1" si="72"/>
        <v>5</v>
      </c>
      <c r="T136" s="29">
        <f t="shared" ca="1" si="72"/>
        <v>3</v>
      </c>
      <c r="U136" s="29">
        <f t="shared" ca="1" si="72"/>
        <v>4</v>
      </c>
      <c r="V136" s="29">
        <f t="shared" ca="1" si="72"/>
        <v>2</v>
      </c>
      <c r="W136" s="29">
        <f t="shared" ca="1" si="72"/>
        <v>6</v>
      </c>
      <c r="X136" s="29">
        <f t="shared" ca="1" si="72"/>
        <v>3</v>
      </c>
      <c r="Y136" s="29">
        <f t="shared" ca="1" si="72"/>
        <v>2</v>
      </c>
      <c r="Z136" s="29">
        <f t="shared" ca="1" si="72"/>
        <v>3</v>
      </c>
      <c r="AA136" s="29">
        <f t="shared" ca="1" si="72"/>
        <v>5</v>
      </c>
      <c r="AB136" s="29">
        <f t="shared" ca="1" si="72"/>
        <v>4</v>
      </c>
      <c r="AC136" s="29">
        <f t="shared" ca="1" si="72"/>
        <v>3</v>
      </c>
      <c r="AD136" s="29">
        <f t="shared" ca="1" si="72"/>
        <v>4</v>
      </c>
      <c r="AE136" s="29">
        <f t="shared" ca="1" si="72"/>
        <v>2</v>
      </c>
      <c r="AF136" s="29">
        <f t="shared" ca="1" si="72"/>
        <v>3</v>
      </c>
      <c r="AG136" s="29">
        <f t="shared" ca="1" si="70"/>
        <v>6</v>
      </c>
      <c r="AH136" s="29">
        <f t="shared" ca="1" si="70"/>
        <v>5</v>
      </c>
      <c r="AI136" s="29">
        <f t="shared" ca="1" si="70"/>
        <v>1</v>
      </c>
      <c r="AJ136" s="29">
        <f t="shared" ca="1" si="70"/>
        <v>2</v>
      </c>
      <c r="AK136" s="29">
        <f t="shared" ca="1" si="70"/>
        <v>3</v>
      </c>
      <c r="AL136" s="29">
        <f t="shared" ca="1" si="70"/>
        <v>3</v>
      </c>
      <c r="AM136" s="29">
        <f t="shared" ca="1" si="70"/>
        <v>4</v>
      </c>
      <c r="AN136" s="29">
        <f t="shared" ca="1" si="70"/>
        <v>1</v>
      </c>
      <c r="AO136" s="29">
        <f t="shared" ca="1" si="70"/>
        <v>4</v>
      </c>
      <c r="AP136" s="29">
        <f t="shared" ca="1" si="70"/>
        <v>1</v>
      </c>
      <c r="AQ136" s="29">
        <f t="shared" ca="1" si="70"/>
        <v>4</v>
      </c>
      <c r="AR136" s="29">
        <f t="shared" ca="1" si="70"/>
        <v>3</v>
      </c>
      <c r="AS136" s="29">
        <f t="shared" ca="1" si="70"/>
        <v>3</v>
      </c>
      <c r="AT136" s="29">
        <f t="shared" ca="1" si="70"/>
        <v>4</v>
      </c>
      <c r="AU136" s="29">
        <f t="shared" ca="1" si="70"/>
        <v>3</v>
      </c>
      <c r="AV136" s="29">
        <f t="shared" ca="1" si="74"/>
        <v>1</v>
      </c>
      <c r="AW136" s="29">
        <f t="shared" ca="1" si="74"/>
        <v>3</v>
      </c>
      <c r="AX136" s="29">
        <f t="shared" ca="1" si="74"/>
        <v>1</v>
      </c>
      <c r="AY136" s="29">
        <f t="shared" ca="1" si="74"/>
        <v>5</v>
      </c>
      <c r="AZ136" s="29">
        <f t="shared" ca="1" si="74"/>
        <v>5</v>
      </c>
      <c r="BA136" s="29">
        <f t="shared" ca="1" si="74"/>
        <v>4</v>
      </c>
      <c r="BB136" s="29">
        <f t="shared" ca="1" si="74"/>
        <v>4</v>
      </c>
      <c r="BC136" s="29">
        <f t="shared" ca="1" si="74"/>
        <v>4</v>
      </c>
      <c r="BD136" s="29">
        <f t="shared" ca="1" si="74"/>
        <v>2</v>
      </c>
      <c r="BE136" s="29">
        <f t="shared" ca="1" si="74"/>
        <v>2</v>
      </c>
      <c r="BF136" s="29">
        <f t="shared" ca="1" si="74"/>
        <v>2</v>
      </c>
      <c r="BG136" s="29">
        <f t="shared" ca="1" si="74"/>
        <v>1</v>
      </c>
      <c r="BH136" s="29">
        <f t="shared" ca="1" si="74"/>
        <v>4</v>
      </c>
      <c r="BI136" s="29">
        <f t="shared" ca="1" si="74"/>
        <v>3</v>
      </c>
      <c r="BJ136" s="29">
        <f t="shared" ca="1" si="74"/>
        <v>2</v>
      </c>
      <c r="BK136" s="29">
        <f t="shared" ca="1" si="74"/>
        <v>4</v>
      </c>
      <c r="BL136" s="29">
        <f t="shared" ca="1" si="73"/>
        <v>5</v>
      </c>
      <c r="BM136" s="29">
        <f t="shared" ca="1" si="73"/>
        <v>2</v>
      </c>
      <c r="BN136" s="29">
        <f t="shared" ca="1" si="73"/>
        <v>6</v>
      </c>
      <c r="BO136" s="29">
        <f t="shared" ca="1" si="73"/>
        <v>3</v>
      </c>
      <c r="BP136" s="29">
        <f t="shared" ca="1" si="73"/>
        <v>2</v>
      </c>
      <c r="BQ136" s="29">
        <f t="shared" ca="1" si="73"/>
        <v>2</v>
      </c>
      <c r="BR136" s="29">
        <f t="shared" ca="1" si="73"/>
        <v>1</v>
      </c>
      <c r="BS136" s="29">
        <f t="shared" ca="1" si="73"/>
        <v>5</v>
      </c>
      <c r="BT136" s="29">
        <f t="shared" ca="1" si="73"/>
        <v>3</v>
      </c>
      <c r="BU136" s="29">
        <f t="shared" ca="1" si="73"/>
        <v>2</v>
      </c>
      <c r="BV136" s="29">
        <f t="shared" ca="1" si="73"/>
        <v>5</v>
      </c>
      <c r="BW136" s="29">
        <f t="shared" ca="1" si="73"/>
        <v>4</v>
      </c>
      <c r="BX136" s="29">
        <f t="shared" ca="1" si="73"/>
        <v>4</v>
      </c>
      <c r="BY136" s="29">
        <f t="shared" ca="1" si="73"/>
        <v>1</v>
      </c>
      <c r="BZ136" s="29">
        <f t="shared" ca="1" si="73"/>
        <v>6</v>
      </c>
      <c r="CA136" s="29">
        <f t="shared" ca="1" si="85"/>
        <v>2</v>
      </c>
      <c r="CB136" s="29">
        <f t="shared" ca="1" si="85"/>
        <v>3</v>
      </c>
      <c r="CC136" s="29">
        <f t="shared" ca="1" si="85"/>
        <v>0</v>
      </c>
      <c r="CD136" s="29">
        <f t="shared" ca="1" si="85"/>
        <v>4</v>
      </c>
      <c r="CE136" s="29">
        <f t="shared" ca="1" si="85"/>
        <v>6</v>
      </c>
      <c r="CF136" s="29">
        <f t="shared" ca="1" si="85"/>
        <v>2</v>
      </c>
      <c r="CG136" s="29">
        <f t="shared" ca="1" si="85"/>
        <v>3</v>
      </c>
      <c r="CH136" s="29">
        <f t="shared" ca="1" si="85"/>
        <v>2</v>
      </c>
      <c r="CI136" s="29">
        <f t="shared" ca="1" si="85"/>
        <v>4</v>
      </c>
      <c r="CJ136" s="29">
        <f t="shared" ca="1" si="85"/>
        <v>1</v>
      </c>
      <c r="CK136" s="29">
        <f t="shared" ca="1" si="85"/>
        <v>1</v>
      </c>
      <c r="CL136" s="29">
        <f t="shared" ca="1" si="85"/>
        <v>5</v>
      </c>
      <c r="CM136" s="29">
        <f t="shared" ca="1" si="85"/>
        <v>3</v>
      </c>
      <c r="CN136" s="29">
        <f t="shared" ca="1" si="85"/>
        <v>7</v>
      </c>
      <c r="CO136" s="29">
        <f t="shared" ca="1" si="85"/>
        <v>2</v>
      </c>
      <c r="CP136" s="29">
        <f t="shared" ca="1" si="85"/>
        <v>2</v>
      </c>
      <c r="CQ136" s="29">
        <f t="shared" ca="1" si="84"/>
        <v>5</v>
      </c>
      <c r="CR136" s="29">
        <f t="shared" ca="1" si="84"/>
        <v>3</v>
      </c>
      <c r="CS136" s="29">
        <f t="shared" ca="1" si="84"/>
        <v>5</v>
      </c>
      <c r="CT136" s="29">
        <f t="shared" ca="1" si="84"/>
        <v>1</v>
      </c>
      <c r="CU136" s="29">
        <f t="shared" ca="1" si="84"/>
        <v>3</v>
      </c>
      <c r="CV136" s="29">
        <f t="shared" ca="1" si="84"/>
        <v>3</v>
      </c>
      <c r="CW136" s="29">
        <f t="shared" ca="1" si="84"/>
        <v>2</v>
      </c>
      <c r="CX136" s="29">
        <f t="shared" ca="1" si="75"/>
        <v>5</v>
      </c>
      <c r="CY136" s="29">
        <f t="shared" ca="1" si="75"/>
        <v>2</v>
      </c>
      <c r="CZ136" s="29">
        <f t="shared" ca="1" si="75"/>
        <v>4</v>
      </c>
      <c r="DA136" s="29">
        <f t="shared" ca="1" si="75"/>
        <v>4</v>
      </c>
      <c r="DB136" s="29">
        <f t="shared" ca="1" si="75"/>
        <v>4</v>
      </c>
      <c r="DC136" s="29">
        <f t="shared" ca="1" si="76"/>
        <v>2</v>
      </c>
      <c r="DD136" s="29">
        <f t="shared" ca="1" si="76"/>
        <v>5</v>
      </c>
      <c r="DE136" s="29">
        <f t="shared" ca="1" si="76"/>
        <v>1</v>
      </c>
      <c r="DF136" s="29">
        <f t="shared" ca="1" si="76"/>
        <v>4</v>
      </c>
      <c r="DG136" s="29">
        <f t="shared" ca="1" si="76"/>
        <v>1</v>
      </c>
      <c r="DH136" s="29">
        <f t="shared" ca="1" si="76"/>
        <v>2</v>
      </c>
      <c r="DI136" s="29">
        <f t="shared" ca="1" si="76"/>
        <v>3</v>
      </c>
      <c r="DJ136" s="29">
        <f t="shared" ca="1" si="76"/>
        <v>4</v>
      </c>
      <c r="DK136" s="29">
        <f t="shared" ca="1" si="76"/>
        <v>1</v>
      </c>
      <c r="DL136" s="29">
        <f t="shared" ca="1" si="76"/>
        <v>1</v>
      </c>
    </row>
    <row r="137" spans="1:116" ht="14.4" x14ac:dyDescent="0.3">
      <c r="A137" s="31">
        <v>673</v>
      </c>
      <c r="B137" s="28">
        <v>4.79</v>
      </c>
      <c r="C137" s="30">
        <v>40.880000000000003</v>
      </c>
      <c r="D137" s="28">
        <v>2.84</v>
      </c>
      <c r="E137" s="34">
        <f t="shared" si="77"/>
        <v>5.6799999999999996E-2</v>
      </c>
      <c r="F137" s="35">
        <f t="shared" si="78"/>
        <v>10.220000000000001</v>
      </c>
      <c r="G137" s="34">
        <f t="shared" si="79"/>
        <v>71</v>
      </c>
      <c r="H137" s="33">
        <f t="shared" si="80"/>
        <v>12.688935281837161</v>
      </c>
      <c r="I137" s="28">
        <f t="shared" si="83"/>
        <v>322.01000000000005</v>
      </c>
      <c r="J137" s="32">
        <v>1</v>
      </c>
      <c r="K137" s="30">
        <f t="shared" si="81"/>
        <v>10.220000000000001</v>
      </c>
      <c r="L137" s="30"/>
      <c r="M137" s="30"/>
      <c r="N137" s="30"/>
      <c r="O137" s="30"/>
      <c r="Q137" s="29">
        <f t="shared" ca="1" si="82"/>
        <v>2</v>
      </c>
      <c r="R137" s="29">
        <f t="shared" ca="1" si="72"/>
        <v>4</v>
      </c>
      <c r="S137" s="29">
        <f t="shared" ca="1" si="72"/>
        <v>2</v>
      </c>
      <c r="T137" s="29">
        <f t="shared" ca="1" si="72"/>
        <v>0</v>
      </c>
      <c r="U137" s="29">
        <f t="shared" ca="1" si="72"/>
        <v>3</v>
      </c>
      <c r="V137" s="29">
        <f t="shared" ca="1" si="72"/>
        <v>2</v>
      </c>
      <c r="W137" s="29">
        <f t="shared" ca="1" si="72"/>
        <v>2</v>
      </c>
      <c r="X137" s="29">
        <f t="shared" ca="1" si="72"/>
        <v>2</v>
      </c>
      <c r="Y137" s="29">
        <f t="shared" ca="1" si="72"/>
        <v>6</v>
      </c>
      <c r="Z137" s="29">
        <f t="shared" ca="1" si="72"/>
        <v>2</v>
      </c>
      <c r="AA137" s="29">
        <f t="shared" ca="1" si="72"/>
        <v>3</v>
      </c>
      <c r="AB137" s="29">
        <f t="shared" ca="1" si="72"/>
        <v>3</v>
      </c>
      <c r="AC137" s="29">
        <f t="shared" ca="1" si="72"/>
        <v>1</v>
      </c>
      <c r="AD137" s="29">
        <f t="shared" ca="1" si="72"/>
        <v>4</v>
      </c>
      <c r="AE137" s="29">
        <f t="shared" ca="1" si="72"/>
        <v>1</v>
      </c>
      <c r="AF137" s="29">
        <f t="shared" ref="AF137:AU152" ca="1" si="86">_xlfn.BINOM.INV(50,$E137,RAND())</f>
        <v>0</v>
      </c>
      <c r="AG137" s="29">
        <f t="shared" ca="1" si="86"/>
        <v>6</v>
      </c>
      <c r="AH137" s="29">
        <f t="shared" ca="1" si="86"/>
        <v>3</v>
      </c>
      <c r="AI137" s="29">
        <f t="shared" ca="1" si="86"/>
        <v>4</v>
      </c>
      <c r="AJ137" s="29">
        <f t="shared" ca="1" si="86"/>
        <v>6</v>
      </c>
      <c r="AK137" s="29">
        <f t="shared" ca="1" si="86"/>
        <v>3</v>
      </c>
      <c r="AL137" s="29">
        <f t="shared" ca="1" si="86"/>
        <v>6</v>
      </c>
      <c r="AM137" s="29">
        <f t="shared" ca="1" si="86"/>
        <v>3</v>
      </c>
      <c r="AN137" s="29">
        <f t="shared" ca="1" si="86"/>
        <v>2</v>
      </c>
      <c r="AO137" s="29">
        <f t="shared" ca="1" si="86"/>
        <v>0</v>
      </c>
      <c r="AP137" s="29">
        <f t="shared" ca="1" si="86"/>
        <v>4</v>
      </c>
      <c r="AQ137" s="29">
        <f t="shared" ca="1" si="86"/>
        <v>5</v>
      </c>
      <c r="AR137" s="29">
        <f t="shared" ca="1" si="86"/>
        <v>1</v>
      </c>
      <c r="AS137" s="29">
        <f t="shared" ca="1" si="86"/>
        <v>2</v>
      </c>
      <c r="AT137" s="29">
        <f t="shared" ca="1" si="86"/>
        <v>6</v>
      </c>
      <c r="AU137" s="29">
        <f t="shared" ca="1" si="86"/>
        <v>2</v>
      </c>
      <c r="AV137" s="29">
        <f t="shared" ca="1" si="74"/>
        <v>1</v>
      </c>
      <c r="AW137" s="29">
        <f t="shared" ca="1" si="74"/>
        <v>1</v>
      </c>
      <c r="AX137" s="29">
        <f t="shared" ca="1" si="74"/>
        <v>4</v>
      </c>
      <c r="AY137" s="29">
        <f t="shared" ca="1" si="74"/>
        <v>6</v>
      </c>
      <c r="AZ137" s="29">
        <f t="shared" ca="1" si="74"/>
        <v>0</v>
      </c>
      <c r="BA137" s="29">
        <f t="shared" ca="1" si="74"/>
        <v>5</v>
      </c>
      <c r="BB137" s="29">
        <f t="shared" ca="1" si="74"/>
        <v>4</v>
      </c>
      <c r="BC137" s="29">
        <f t="shared" ca="1" si="74"/>
        <v>4</v>
      </c>
      <c r="BD137" s="29">
        <f t="shared" ca="1" si="74"/>
        <v>5</v>
      </c>
      <c r="BE137" s="29">
        <f t="shared" ca="1" si="74"/>
        <v>4</v>
      </c>
      <c r="BF137" s="29">
        <f t="shared" ca="1" si="74"/>
        <v>5</v>
      </c>
      <c r="BG137" s="29">
        <f t="shared" ca="1" si="74"/>
        <v>5</v>
      </c>
      <c r="BH137" s="29">
        <f t="shared" ca="1" si="74"/>
        <v>7</v>
      </c>
      <c r="BI137" s="29">
        <f t="shared" ca="1" si="74"/>
        <v>4</v>
      </c>
      <c r="BJ137" s="29">
        <f t="shared" ca="1" si="74"/>
        <v>3</v>
      </c>
      <c r="BK137" s="29">
        <f t="shared" ca="1" si="74"/>
        <v>5</v>
      </c>
      <c r="BL137" s="29">
        <f t="shared" ca="1" si="73"/>
        <v>4</v>
      </c>
      <c r="BM137" s="29">
        <f t="shared" ca="1" si="73"/>
        <v>4</v>
      </c>
      <c r="BN137" s="29">
        <f t="shared" ca="1" si="73"/>
        <v>2</v>
      </c>
      <c r="BO137" s="29">
        <f t="shared" ca="1" si="73"/>
        <v>2</v>
      </c>
      <c r="BP137" s="29">
        <f t="shared" ca="1" si="73"/>
        <v>2</v>
      </c>
      <c r="BQ137" s="29">
        <f t="shared" ca="1" si="73"/>
        <v>4</v>
      </c>
      <c r="BR137" s="29">
        <f t="shared" ca="1" si="73"/>
        <v>3</v>
      </c>
      <c r="BS137" s="29">
        <f t="shared" ca="1" si="73"/>
        <v>2</v>
      </c>
      <c r="BT137" s="29">
        <f t="shared" ca="1" si="73"/>
        <v>4</v>
      </c>
      <c r="BU137" s="29">
        <f t="shared" ca="1" si="73"/>
        <v>2</v>
      </c>
      <c r="BV137" s="29">
        <f t="shared" ca="1" si="73"/>
        <v>2</v>
      </c>
      <c r="BW137" s="29">
        <f t="shared" ca="1" si="73"/>
        <v>1</v>
      </c>
      <c r="BX137" s="29">
        <f t="shared" ca="1" si="73"/>
        <v>3</v>
      </c>
      <c r="BY137" s="29">
        <f t="shared" ca="1" si="73"/>
        <v>1</v>
      </c>
      <c r="BZ137" s="29">
        <f t="shared" ca="1" si="73"/>
        <v>0</v>
      </c>
      <c r="CA137" s="29">
        <f t="shared" ca="1" si="85"/>
        <v>6</v>
      </c>
      <c r="CB137" s="29">
        <f t="shared" ca="1" si="85"/>
        <v>2</v>
      </c>
      <c r="CC137" s="29">
        <f t="shared" ca="1" si="85"/>
        <v>3</v>
      </c>
      <c r="CD137" s="29">
        <f t="shared" ca="1" si="85"/>
        <v>4</v>
      </c>
      <c r="CE137" s="29">
        <f t="shared" ca="1" si="85"/>
        <v>1</v>
      </c>
      <c r="CF137" s="29">
        <f t="shared" ca="1" si="85"/>
        <v>2</v>
      </c>
      <c r="CG137" s="29">
        <f t="shared" ca="1" si="85"/>
        <v>5</v>
      </c>
      <c r="CH137" s="29">
        <f t="shared" ca="1" si="85"/>
        <v>3</v>
      </c>
      <c r="CI137" s="29">
        <f t="shared" ca="1" si="85"/>
        <v>1</v>
      </c>
      <c r="CJ137" s="29">
        <f t="shared" ca="1" si="85"/>
        <v>3</v>
      </c>
      <c r="CK137" s="29">
        <f t="shared" ca="1" si="85"/>
        <v>1</v>
      </c>
      <c r="CL137" s="29">
        <f t="shared" ca="1" si="85"/>
        <v>2</v>
      </c>
      <c r="CM137" s="29">
        <f t="shared" ca="1" si="85"/>
        <v>2</v>
      </c>
      <c r="CN137" s="29">
        <f t="shared" ca="1" si="85"/>
        <v>3</v>
      </c>
      <c r="CO137" s="29">
        <f t="shared" ca="1" si="85"/>
        <v>1</v>
      </c>
      <c r="CP137" s="29">
        <f t="shared" ca="1" si="85"/>
        <v>3</v>
      </c>
      <c r="CQ137" s="29">
        <f t="shared" ca="1" si="84"/>
        <v>3</v>
      </c>
      <c r="CR137" s="29">
        <f t="shared" ca="1" si="84"/>
        <v>3</v>
      </c>
      <c r="CS137" s="29">
        <f t="shared" ca="1" si="84"/>
        <v>1</v>
      </c>
      <c r="CT137" s="29">
        <f t="shared" ca="1" si="84"/>
        <v>2</v>
      </c>
      <c r="CU137" s="29">
        <f t="shared" ca="1" si="84"/>
        <v>3</v>
      </c>
      <c r="CV137" s="29">
        <f t="shared" ca="1" si="84"/>
        <v>5</v>
      </c>
      <c r="CW137" s="29">
        <f t="shared" ca="1" si="84"/>
        <v>5</v>
      </c>
      <c r="CX137" s="29">
        <f t="shared" ca="1" si="75"/>
        <v>5</v>
      </c>
      <c r="CY137" s="29">
        <f t="shared" ca="1" si="75"/>
        <v>4</v>
      </c>
      <c r="CZ137" s="29">
        <f t="shared" ca="1" si="75"/>
        <v>3</v>
      </c>
      <c r="DA137" s="29">
        <f t="shared" ca="1" si="75"/>
        <v>3</v>
      </c>
      <c r="DB137" s="29">
        <f t="shared" ca="1" si="75"/>
        <v>3</v>
      </c>
      <c r="DC137" s="29">
        <f t="shared" ca="1" si="76"/>
        <v>3</v>
      </c>
      <c r="DD137" s="29">
        <f t="shared" ca="1" si="76"/>
        <v>0</v>
      </c>
      <c r="DE137" s="29">
        <f t="shared" ca="1" si="76"/>
        <v>4</v>
      </c>
      <c r="DF137" s="29">
        <f t="shared" ca="1" si="76"/>
        <v>5</v>
      </c>
      <c r="DG137" s="29">
        <f t="shared" ca="1" si="76"/>
        <v>4</v>
      </c>
      <c r="DH137" s="29">
        <f t="shared" ca="1" si="76"/>
        <v>0</v>
      </c>
      <c r="DI137" s="29">
        <f t="shared" ca="1" si="76"/>
        <v>0</v>
      </c>
      <c r="DJ137" s="29">
        <f t="shared" ca="1" si="76"/>
        <v>3</v>
      </c>
      <c r="DK137" s="29">
        <f t="shared" ca="1" si="76"/>
        <v>0</v>
      </c>
      <c r="DL137" s="29">
        <f t="shared" ca="1" si="76"/>
        <v>2</v>
      </c>
    </row>
    <row r="138" spans="1:116" ht="14.4" x14ac:dyDescent="0.3">
      <c r="A138" s="31">
        <v>512</v>
      </c>
      <c r="B138" s="28">
        <v>2.8</v>
      </c>
      <c r="C138" s="30">
        <v>85.75</v>
      </c>
      <c r="D138" s="28">
        <v>2.27</v>
      </c>
      <c r="E138" s="34">
        <f t="shared" si="77"/>
        <v>4.5400000000000003E-2</v>
      </c>
      <c r="F138" s="35">
        <f t="shared" si="78"/>
        <v>21.4375</v>
      </c>
      <c r="G138" s="34">
        <f t="shared" si="79"/>
        <v>56.75</v>
      </c>
      <c r="H138" s="33">
        <f t="shared" si="80"/>
        <v>12.611607142857144</v>
      </c>
      <c r="I138" s="28">
        <f t="shared" si="83"/>
        <v>324.81000000000006</v>
      </c>
      <c r="J138" s="32">
        <v>1</v>
      </c>
      <c r="K138" s="30">
        <f t="shared" si="81"/>
        <v>21.4375</v>
      </c>
      <c r="L138" s="30"/>
      <c r="M138" s="30"/>
      <c r="N138" s="30"/>
      <c r="O138" s="30"/>
      <c r="Q138" s="29">
        <f t="shared" ca="1" si="82"/>
        <v>3</v>
      </c>
      <c r="R138" s="29">
        <f t="shared" ref="R138:AF153" ca="1" si="87">_xlfn.BINOM.INV(50,$E138,RAND())</f>
        <v>2</v>
      </c>
      <c r="S138" s="29">
        <f t="shared" ca="1" si="87"/>
        <v>0</v>
      </c>
      <c r="T138" s="29">
        <f t="shared" ca="1" si="87"/>
        <v>1</v>
      </c>
      <c r="U138" s="29">
        <f t="shared" ca="1" si="87"/>
        <v>3</v>
      </c>
      <c r="V138" s="29">
        <f t="shared" ca="1" si="87"/>
        <v>3</v>
      </c>
      <c r="W138" s="29">
        <f t="shared" ca="1" si="87"/>
        <v>2</v>
      </c>
      <c r="X138" s="29">
        <f t="shared" ca="1" si="87"/>
        <v>4</v>
      </c>
      <c r="Y138" s="29">
        <f t="shared" ca="1" si="87"/>
        <v>4</v>
      </c>
      <c r="Z138" s="29">
        <f t="shared" ca="1" si="87"/>
        <v>5</v>
      </c>
      <c r="AA138" s="29">
        <f t="shared" ca="1" si="87"/>
        <v>0</v>
      </c>
      <c r="AB138" s="29">
        <f t="shared" ca="1" si="87"/>
        <v>2</v>
      </c>
      <c r="AC138" s="29">
        <f t="shared" ca="1" si="87"/>
        <v>3</v>
      </c>
      <c r="AD138" s="29">
        <f t="shared" ca="1" si="87"/>
        <v>2</v>
      </c>
      <c r="AE138" s="29">
        <f t="shared" ca="1" si="87"/>
        <v>0</v>
      </c>
      <c r="AF138" s="29">
        <f t="shared" ca="1" si="87"/>
        <v>2</v>
      </c>
      <c r="AG138" s="29">
        <f t="shared" ca="1" si="86"/>
        <v>1</v>
      </c>
      <c r="AH138" s="29">
        <f t="shared" ca="1" si="86"/>
        <v>0</v>
      </c>
      <c r="AI138" s="29">
        <f t="shared" ca="1" si="86"/>
        <v>3</v>
      </c>
      <c r="AJ138" s="29">
        <f t="shared" ca="1" si="86"/>
        <v>1</v>
      </c>
      <c r="AK138" s="29">
        <f t="shared" ca="1" si="86"/>
        <v>3</v>
      </c>
      <c r="AL138" s="29">
        <f t="shared" ca="1" si="86"/>
        <v>1</v>
      </c>
      <c r="AM138" s="29">
        <f t="shared" ca="1" si="86"/>
        <v>2</v>
      </c>
      <c r="AN138" s="29">
        <f t="shared" ca="1" si="86"/>
        <v>0</v>
      </c>
      <c r="AO138" s="29">
        <f t="shared" ca="1" si="86"/>
        <v>1</v>
      </c>
      <c r="AP138" s="29">
        <f t="shared" ca="1" si="86"/>
        <v>3</v>
      </c>
      <c r="AQ138" s="29">
        <f t="shared" ca="1" si="86"/>
        <v>1</v>
      </c>
      <c r="AR138" s="29">
        <f t="shared" ca="1" si="86"/>
        <v>1</v>
      </c>
      <c r="AS138" s="29">
        <f t="shared" ca="1" si="86"/>
        <v>4</v>
      </c>
      <c r="AT138" s="29">
        <f t="shared" ca="1" si="86"/>
        <v>2</v>
      </c>
      <c r="AU138" s="29">
        <f t="shared" ca="1" si="86"/>
        <v>3</v>
      </c>
      <c r="AV138" s="29">
        <f t="shared" ca="1" si="74"/>
        <v>0</v>
      </c>
      <c r="AW138" s="29">
        <f t="shared" ca="1" si="74"/>
        <v>2</v>
      </c>
      <c r="AX138" s="29">
        <f t="shared" ca="1" si="74"/>
        <v>5</v>
      </c>
      <c r="AY138" s="29">
        <f t="shared" ca="1" si="74"/>
        <v>3</v>
      </c>
      <c r="AZ138" s="29">
        <f t="shared" ca="1" si="74"/>
        <v>0</v>
      </c>
      <c r="BA138" s="29">
        <f t="shared" ca="1" si="74"/>
        <v>1</v>
      </c>
      <c r="BB138" s="29">
        <f t="shared" ca="1" si="74"/>
        <v>1</v>
      </c>
      <c r="BC138" s="29">
        <f t="shared" ca="1" si="74"/>
        <v>4</v>
      </c>
      <c r="BD138" s="29">
        <f t="shared" ca="1" si="74"/>
        <v>3</v>
      </c>
      <c r="BE138" s="29">
        <f t="shared" ca="1" si="74"/>
        <v>2</v>
      </c>
      <c r="BF138" s="29">
        <f t="shared" ca="1" si="74"/>
        <v>6</v>
      </c>
      <c r="BG138" s="29">
        <f t="shared" ca="1" si="74"/>
        <v>2</v>
      </c>
      <c r="BH138" s="29">
        <f t="shared" ca="1" si="74"/>
        <v>4</v>
      </c>
      <c r="BI138" s="29">
        <f t="shared" ca="1" si="74"/>
        <v>1</v>
      </c>
      <c r="BJ138" s="29">
        <f t="shared" ca="1" si="74"/>
        <v>1</v>
      </c>
      <c r="BK138" s="29">
        <f t="shared" ca="1" si="74"/>
        <v>5</v>
      </c>
      <c r="BL138" s="29">
        <f t="shared" ca="1" si="73"/>
        <v>1</v>
      </c>
      <c r="BM138" s="29">
        <f t="shared" ca="1" si="73"/>
        <v>3</v>
      </c>
      <c r="BN138" s="29">
        <f t="shared" ca="1" si="73"/>
        <v>6</v>
      </c>
      <c r="BO138" s="29">
        <f t="shared" ca="1" si="73"/>
        <v>4</v>
      </c>
      <c r="BP138" s="29">
        <f t="shared" ca="1" si="73"/>
        <v>3</v>
      </c>
      <c r="BQ138" s="29">
        <f t="shared" ca="1" si="73"/>
        <v>2</v>
      </c>
      <c r="BR138" s="29">
        <f t="shared" ca="1" si="73"/>
        <v>1</v>
      </c>
      <c r="BS138" s="29">
        <f t="shared" ca="1" si="73"/>
        <v>1</v>
      </c>
      <c r="BT138" s="29">
        <f t="shared" ca="1" si="73"/>
        <v>1</v>
      </c>
      <c r="BU138" s="29">
        <f t="shared" ca="1" si="73"/>
        <v>1</v>
      </c>
      <c r="BV138" s="29">
        <f t="shared" ca="1" si="73"/>
        <v>4</v>
      </c>
      <c r="BW138" s="29">
        <f t="shared" ca="1" si="73"/>
        <v>5</v>
      </c>
      <c r="BX138" s="29">
        <f t="shared" ca="1" si="73"/>
        <v>3</v>
      </c>
      <c r="BY138" s="29">
        <f t="shared" ca="1" si="73"/>
        <v>2</v>
      </c>
      <c r="BZ138" s="29">
        <f t="shared" ca="1" si="73"/>
        <v>0</v>
      </c>
      <c r="CA138" s="29">
        <f t="shared" ca="1" si="85"/>
        <v>2</v>
      </c>
      <c r="CB138" s="29">
        <f t="shared" ca="1" si="85"/>
        <v>3</v>
      </c>
      <c r="CC138" s="29">
        <f t="shared" ca="1" si="85"/>
        <v>0</v>
      </c>
      <c r="CD138" s="29">
        <f t="shared" ca="1" si="85"/>
        <v>3</v>
      </c>
      <c r="CE138" s="29">
        <f t="shared" ca="1" si="85"/>
        <v>5</v>
      </c>
      <c r="CF138" s="29">
        <f t="shared" ca="1" si="85"/>
        <v>4</v>
      </c>
      <c r="CG138" s="29">
        <f t="shared" ca="1" si="85"/>
        <v>1</v>
      </c>
      <c r="CH138" s="29">
        <f t="shared" ca="1" si="85"/>
        <v>1</v>
      </c>
      <c r="CI138" s="29">
        <f t="shared" ca="1" si="85"/>
        <v>4</v>
      </c>
      <c r="CJ138" s="29">
        <f t="shared" ca="1" si="85"/>
        <v>2</v>
      </c>
      <c r="CK138" s="29">
        <f t="shared" ca="1" si="85"/>
        <v>1</v>
      </c>
      <c r="CL138" s="29">
        <f t="shared" ca="1" si="85"/>
        <v>2</v>
      </c>
      <c r="CM138" s="29">
        <f t="shared" ca="1" si="85"/>
        <v>3</v>
      </c>
      <c r="CN138" s="29">
        <f t="shared" ca="1" si="85"/>
        <v>3</v>
      </c>
      <c r="CO138" s="29">
        <f t="shared" ca="1" si="85"/>
        <v>2</v>
      </c>
      <c r="CP138" s="29">
        <f t="shared" ca="1" si="85"/>
        <v>0</v>
      </c>
      <c r="CQ138" s="29">
        <f t="shared" ca="1" si="84"/>
        <v>5</v>
      </c>
      <c r="CR138" s="29">
        <f t="shared" ca="1" si="84"/>
        <v>2</v>
      </c>
      <c r="CS138" s="29">
        <f t="shared" ca="1" si="84"/>
        <v>2</v>
      </c>
      <c r="CT138" s="29">
        <f t="shared" ca="1" si="84"/>
        <v>2</v>
      </c>
      <c r="CU138" s="29">
        <f t="shared" ca="1" si="84"/>
        <v>2</v>
      </c>
      <c r="CV138" s="29">
        <f t="shared" ca="1" si="84"/>
        <v>4</v>
      </c>
      <c r="CW138" s="29">
        <f t="shared" ca="1" si="84"/>
        <v>3</v>
      </c>
      <c r="CX138" s="29">
        <f t="shared" ca="1" si="75"/>
        <v>1</v>
      </c>
      <c r="CY138" s="29">
        <f t="shared" ca="1" si="75"/>
        <v>1</v>
      </c>
      <c r="CZ138" s="29">
        <f t="shared" ca="1" si="75"/>
        <v>1</v>
      </c>
      <c r="DA138" s="29">
        <f t="shared" ca="1" si="75"/>
        <v>2</v>
      </c>
      <c r="DB138" s="29">
        <f t="shared" ca="1" si="75"/>
        <v>0</v>
      </c>
      <c r="DC138" s="29">
        <f t="shared" ca="1" si="76"/>
        <v>1</v>
      </c>
      <c r="DD138" s="29">
        <f t="shared" ca="1" si="76"/>
        <v>3</v>
      </c>
      <c r="DE138" s="29">
        <f t="shared" ca="1" si="76"/>
        <v>1</v>
      </c>
      <c r="DF138" s="29">
        <f t="shared" ca="1" si="76"/>
        <v>3</v>
      </c>
      <c r="DG138" s="29">
        <f t="shared" ca="1" si="76"/>
        <v>1</v>
      </c>
      <c r="DH138" s="29">
        <f t="shared" ca="1" si="76"/>
        <v>4</v>
      </c>
      <c r="DI138" s="29">
        <f t="shared" ca="1" si="76"/>
        <v>3</v>
      </c>
      <c r="DJ138" s="29">
        <f t="shared" ca="1" si="76"/>
        <v>1</v>
      </c>
      <c r="DK138" s="29">
        <f t="shared" ca="1" si="76"/>
        <v>3</v>
      </c>
      <c r="DL138" s="29">
        <f t="shared" ca="1" si="76"/>
        <v>1</v>
      </c>
    </row>
    <row r="139" spans="1:116" ht="14.4" x14ac:dyDescent="0.3">
      <c r="A139" s="31">
        <v>401</v>
      </c>
      <c r="B139" s="28">
        <v>0.82</v>
      </c>
      <c r="C139" s="30">
        <v>5.89</v>
      </c>
      <c r="D139" s="28">
        <v>0.47</v>
      </c>
      <c r="E139" s="34">
        <f t="shared" si="77"/>
        <v>9.3999999999999986E-3</v>
      </c>
      <c r="F139" s="35">
        <f t="shared" si="78"/>
        <v>1.4724999999999999</v>
      </c>
      <c r="G139" s="34">
        <f t="shared" si="79"/>
        <v>11.75</v>
      </c>
      <c r="H139" s="33">
        <f t="shared" si="80"/>
        <v>12.533536585365853</v>
      </c>
      <c r="I139" s="28">
        <f t="shared" si="83"/>
        <v>325.63000000000005</v>
      </c>
      <c r="J139" s="32">
        <v>1</v>
      </c>
      <c r="K139" s="30">
        <f t="shared" si="81"/>
        <v>1.4724999999999999</v>
      </c>
      <c r="L139" s="30"/>
      <c r="M139" s="30"/>
      <c r="N139" s="30"/>
      <c r="O139" s="30"/>
      <c r="Q139" s="29">
        <f t="shared" ca="1" si="82"/>
        <v>1</v>
      </c>
      <c r="R139" s="29">
        <f t="shared" ca="1" si="87"/>
        <v>0</v>
      </c>
      <c r="S139" s="29">
        <f t="shared" ca="1" si="87"/>
        <v>2</v>
      </c>
      <c r="T139" s="29">
        <f t="shared" ca="1" si="87"/>
        <v>0</v>
      </c>
      <c r="U139" s="29">
        <f t="shared" ca="1" si="87"/>
        <v>0</v>
      </c>
      <c r="V139" s="29">
        <f t="shared" ca="1" si="87"/>
        <v>0</v>
      </c>
      <c r="W139" s="29">
        <f t="shared" ca="1" si="87"/>
        <v>2</v>
      </c>
      <c r="X139" s="29">
        <f t="shared" ca="1" si="87"/>
        <v>1</v>
      </c>
      <c r="Y139" s="29">
        <f t="shared" ca="1" si="87"/>
        <v>0</v>
      </c>
      <c r="Z139" s="29">
        <f t="shared" ca="1" si="87"/>
        <v>1</v>
      </c>
      <c r="AA139" s="29">
        <f t="shared" ca="1" si="87"/>
        <v>0</v>
      </c>
      <c r="AB139" s="29">
        <f t="shared" ca="1" si="87"/>
        <v>0</v>
      </c>
      <c r="AC139" s="29">
        <f t="shared" ca="1" si="87"/>
        <v>0</v>
      </c>
      <c r="AD139" s="29">
        <f t="shared" ca="1" si="87"/>
        <v>0</v>
      </c>
      <c r="AE139" s="29">
        <f t="shared" ca="1" si="87"/>
        <v>1</v>
      </c>
      <c r="AF139" s="29">
        <f t="shared" ca="1" si="87"/>
        <v>0</v>
      </c>
      <c r="AG139" s="29">
        <f t="shared" ca="1" si="86"/>
        <v>0</v>
      </c>
      <c r="AH139" s="29">
        <f t="shared" ca="1" si="86"/>
        <v>0</v>
      </c>
      <c r="AI139" s="29">
        <f t="shared" ca="1" si="86"/>
        <v>0</v>
      </c>
      <c r="AJ139" s="29">
        <f t="shared" ca="1" si="86"/>
        <v>0</v>
      </c>
      <c r="AK139" s="29">
        <f t="shared" ca="1" si="86"/>
        <v>1</v>
      </c>
      <c r="AL139" s="29">
        <f t="shared" ca="1" si="86"/>
        <v>0</v>
      </c>
      <c r="AM139" s="29">
        <f t="shared" ca="1" si="86"/>
        <v>0</v>
      </c>
      <c r="AN139" s="29">
        <f t="shared" ca="1" si="86"/>
        <v>1</v>
      </c>
      <c r="AO139" s="29">
        <f t="shared" ca="1" si="86"/>
        <v>0</v>
      </c>
      <c r="AP139" s="29">
        <f t="shared" ca="1" si="86"/>
        <v>0</v>
      </c>
      <c r="AQ139" s="29">
        <f t="shared" ca="1" si="86"/>
        <v>0</v>
      </c>
      <c r="AR139" s="29">
        <f t="shared" ca="1" si="86"/>
        <v>0</v>
      </c>
      <c r="AS139" s="29">
        <f t="shared" ca="1" si="86"/>
        <v>0</v>
      </c>
      <c r="AT139" s="29">
        <f t="shared" ca="1" si="86"/>
        <v>0</v>
      </c>
      <c r="AU139" s="29">
        <f t="shared" ca="1" si="86"/>
        <v>1</v>
      </c>
      <c r="AV139" s="29">
        <f t="shared" ca="1" si="74"/>
        <v>0</v>
      </c>
      <c r="AW139" s="29">
        <f t="shared" ca="1" si="74"/>
        <v>0</v>
      </c>
      <c r="AX139" s="29">
        <f t="shared" ca="1" si="74"/>
        <v>1</v>
      </c>
      <c r="AY139" s="29">
        <f t="shared" ca="1" si="74"/>
        <v>1</v>
      </c>
      <c r="AZ139" s="29">
        <f t="shared" ca="1" si="74"/>
        <v>1</v>
      </c>
      <c r="BA139" s="29">
        <f t="shared" ca="1" si="74"/>
        <v>0</v>
      </c>
      <c r="BB139" s="29">
        <f t="shared" ca="1" si="74"/>
        <v>1</v>
      </c>
      <c r="BC139" s="29">
        <f t="shared" ca="1" si="74"/>
        <v>0</v>
      </c>
      <c r="BD139" s="29">
        <f t="shared" ca="1" si="74"/>
        <v>0</v>
      </c>
      <c r="BE139" s="29">
        <f t="shared" ca="1" si="74"/>
        <v>1</v>
      </c>
      <c r="BF139" s="29">
        <f t="shared" ca="1" si="74"/>
        <v>0</v>
      </c>
      <c r="BG139" s="29">
        <f t="shared" ca="1" si="74"/>
        <v>0</v>
      </c>
      <c r="BH139" s="29">
        <f t="shared" ca="1" si="74"/>
        <v>0</v>
      </c>
      <c r="BI139" s="29">
        <f t="shared" ca="1" si="74"/>
        <v>1</v>
      </c>
      <c r="BJ139" s="29">
        <f t="shared" ca="1" si="74"/>
        <v>0</v>
      </c>
      <c r="BK139" s="29">
        <f t="shared" ca="1" si="74"/>
        <v>1</v>
      </c>
      <c r="BL139" s="29">
        <f t="shared" ca="1" si="73"/>
        <v>1</v>
      </c>
      <c r="BM139" s="29">
        <f t="shared" ca="1" si="73"/>
        <v>0</v>
      </c>
      <c r="BN139" s="29">
        <f t="shared" ca="1" si="73"/>
        <v>0</v>
      </c>
      <c r="BO139" s="29">
        <f t="shared" ca="1" si="73"/>
        <v>0</v>
      </c>
      <c r="BP139" s="29">
        <f t="shared" ca="1" si="73"/>
        <v>1</v>
      </c>
      <c r="BQ139" s="29">
        <f t="shared" ca="1" si="73"/>
        <v>0</v>
      </c>
      <c r="BR139" s="29">
        <f t="shared" ca="1" si="73"/>
        <v>2</v>
      </c>
      <c r="BS139" s="29">
        <f t="shared" ca="1" si="73"/>
        <v>0</v>
      </c>
      <c r="BT139" s="29">
        <f t="shared" ca="1" si="73"/>
        <v>0</v>
      </c>
      <c r="BU139" s="29">
        <f t="shared" ca="1" si="73"/>
        <v>1</v>
      </c>
      <c r="BV139" s="29">
        <f t="shared" ca="1" si="73"/>
        <v>0</v>
      </c>
      <c r="BW139" s="29">
        <f t="shared" ca="1" si="73"/>
        <v>0</v>
      </c>
      <c r="BX139" s="29">
        <f t="shared" ca="1" si="73"/>
        <v>0</v>
      </c>
      <c r="BY139" s="29">
        <f t="shared" ca="1" si="73"/>
        <v>1</v>
      </c>
      <c r="BZ139" s="29">
        <f t="shared" ca="1" si="73"/>
        <v>0</v>
      </c>
      <c r="CA139" s="29">
        <f t="shared" ca="1" si="85"/>
        <v>0</v>
      </c>
      <c r="CB139" s="29">
        <f t="shared" ca="1" si="85"/>
        <v>1</v>
      </c>
      <c r="CC139" s="29">
        <f t="shared" ca="1" si="85"/>
        <v>0</v>
      </c>
      <c r="CD139" s="29">
        <f t="shared" ca="1" si="85"/>
        <v>0</v>
      </c>
      <c r="CE139" s="29">
        <f t="shared" ca="1" si="85"/>
        <v>2</v>
      </c>
      <c r="CF139" s="29">
        <f t="shared" ca="1" si="85"/>
        <v>0</v>
      </c>
      <c r="CG139" s="29">
        <f t="shared" ca="1" si="85"/>
        <v>0</v>
      </c>
      <c r="CH139" s="29">
        <f t="shared" ca="1" si="85"/>
        <v>1</v>
      </c>
      <c r="CI139" s="29">
        <f t="shared" ca="1" si="85"/>
        <v>0</v>
      </c>
      <c r="CJ139" s="29">
        <f t="shared" ca="1" si="85"/>
        <v>0</v>
      </c>
      <c r="CK139" s="29">
        <f t="shared" ca="1" si="85"/>
        <v>0</v>
      </c>
      <c r="CL139" s="29">
        <f t="shared" ca="1" si="85"/>
        <v>1</v>
      </c>
      <c r="CM139" s="29">
        <f t="shared" ca="1" si="85"/>
        <v>2</v>
      </c>
      <c r="CN139" s="29">
        <f t="shared" ca="1" si="85"/>
        <v>0</v>
      </c>
      <c r="CO139" s="29">
        <f t="shared" ca="1" si="85"/>
        <v>1</v>
      </c>
      <c r="CP139" s="29">
        <f t="shared" ca="1" si="85"/>
        <v>0</v>
      </c>
      <c r="CQ139" s="29">
        <f t="shared" ca="1" si="84"/>
        <v>2</v>
      </c>
      <c r="CR139" s="29">
        <f t="shared" ca="1" si="84"/>
        <v>2</v>
      </c>
      <c r="CS139" s="29">
        <f t="shared" ca="1" si="84"/>
        <v>0</v>
      </c>
      <c r="CT139" s="29">
        <f t="shared" ca="1" si="84"/>
        <v>0</v>
      </c>
      <c r="CU139" s="29">
        <f t="shared" ca="1" si="84"/>
        <v>0</v>
      </c>
      <c r="CV139" s="29">
        <f t="shared" ca="1" si="84"/>
        <v>1</v>
      </c>
      <c r="CW139" s="29">
        <f t="shared" ca="1" si="84"/>
        <v>2</v>
      </c>
      <c r="CX139" s="29">
        <f t="shared" ca="1" si="75"/>
        <v>2</v>
      </c>
      <c r="CY139" s="29">
        <f t="shared" ca="1" si="75"/>
        <v>0</v>
      </c>
      <c r="CZ139" s="29">
        <f t="shared" ca="1" si="75"/>
        <v>1</v>
      </c>
      <c r="DA139" s="29">
        <f t="shared" ca="1" si="75"/>
        <v>1</v>
      </c>
      <c r="DB139" s="29">
        <f t="shared" ca="1" si="75"/>
        <v>1</v>
      </c>
      <c r="DC139" s="29">
        <f t="shared" ca="1" si="76"/>
        <v>1</v>
      </c>
      <c r="DD139" s="29">
        <f t="shared" ca="1" si="76"/>
        <v>1</v>
      </c>
      <c r="DE139" s="29">
        <f t="shared" ca="1" si="76"/>
        <v>0</v>
      </c>
      <c r="DF139" s="29">
        <f t="shared" ca="1" si="76"/>
        <v>0</v>
      </c>
      <c r="DG139" s="29">
        <f t="shared" ca="1" si="76"/>
        <v>0</v>
      </c>
      <c r="DH139" s="29">
        <f t="shared" ca="1" si="76"/>
        <v>1</v>
      </c>
      <c r="DI139" s="29">
        <f t="shared" ca="1" si="76"/>
        <v>0</v>
      </c>
      <c r="DJ139" s="29">
        <f t="shared" ca="1" si="76"/>
        <v>0</v>
      </c>
      <c r="DK139" s="29">
        <f t="shared" ca="1" si="76"/>
        <v>1</v>
      </c>
      <c r="DL139" s="29">
        <f t="shared" ca="1" si="76"/>
        <v>0</v>
      </c>
    </row>
    <row r="140" spans="1:116" ht="14.4" x14ac:dyDescent="0.3">
      <c r="A140" s="31">
        <v>109</v>
      </c>
      <c r="B140" s="28">
        <v>2.7</v>
      </c>
      <c r="C140" s="30">
        <v>76.930000000000007</v>
      </c>
      <c r="D140" s="28">
        <v>2.12</v>
      </c>
      <c r="E140" s="34">
        <f t="shared" si="77"/>
        <v>4.24E-2</v>
      </c>
      <c r="F140" s="35">
        <f t="shared" si="78"/>
        <v>19.232500000000002</v>
      </c>
      <c r="G140" s="34">
        <f t="shared" si="79"/>
        <v>53</v>
      </c>
      <c r="H140" s="33">
        <f t="shared" si="80"/>
        <v>12.50648148148148</v>
      </c>
      <c r="I140" s="28">
        <f t="shared" si="83"/>
        <v>328.33000000000004</v>
      </c>
      <c r="J140" s="32">
        <v>1</v>
      </c>
      <c r="K140" s="30">
        <f t="shared" si="81"/>
        <v>19.232500000000002</v>
      </c>
      <c r="L140" s="30"/>
      <c r="M140" s="30"/>
      <c r="N140" s="30"/>
      <c r="O140" s="30"/>
      <c r="Q140" s="29">
        <f t="shared" ca="1" si="82"/>
        <v>2</v>
      </c>
      <c r="R140" s="29">
        <f t="shared" ca="1" si="87"/>
        <v>2</v>
      </c>
      <c r="S140" s="29">
        <f t="shared" ca="1" si="87"/>
        <v>4</v>
      </c>
      <c r="T140" s="29">
        <f t="shared" ca="1" si="87"/>
        <v>5</v>
      </c>
      <c r="U140" s="29">
        <f t="shared" ca="1" si="87"/>
        <v>4</v>
      </c>
      <c r="V140" s="29">
        <f t="shared" ca="1" si="87"/>
        <v>1</v>
      </c>
      <c r="W140" s="29">
        <f t="shared" ca="1" si="87"/>
        <v>1</v>
      </c>
      <c r="X140" s="29">
        <f t="shared" ca="1" si="87"/>
        <v>2</v>
      </c>
      <c r="Y140" s="29">
        <f t="shared" ca="1" si="87"/>
        <v>3</v>
      </c>
      <c r="Z140" s="29">
        <f t="shared" ca="1" si="87"/>
        <v>4</v>
      </c>
      <c r="AA140" s="29">
        <f t="shared" ca="1" si="87"/>
        <v>1</v>
      </c>
      <c r="AB140" s="29">
        <f t="shared" ca="1" si="87"/>
        <v>3</v>
      </c>
      <c r="AC140" s="29">
        <f t="shared" ca="1" si="87"/>
        <v>1</v>
      </c>
      <c r="AD140" s="29">
        <f t="shared" ca="1" si="87"/>
        <v>2</v>
      </c>
      <c r="AE140" s="29">
        <f t="shared" ca="1" si="87"/>
        <v>4</v>
      </c>
      <c r="AF140" s="29">
        <f t="shared" ca="1" si="87"/>
        <v>3</v>
      </c>
      <c r="AG140" s="29">
        <f t="shared" ca="1" si="86"/>
        <v>3</v>
      </c>
      <c r="AH140" s="29">
        <f t="shared" ca="1" si="86"/>
        <v>3</v>
      </c>
      <c r="AI140" s="29">
        <f t="shared" ca="1" si="86"/>
        <v>2</v>
      </c>
      <c r="AJ140" s="29">
        <f t="shared" ca="1" si="86"/>
        <v>2</v>
      </c>
      <c r="AK140" s="29">
        <f t="shared" ca="1" si="86"/>
        <v>2</v>
      </c>
      <c r="AL140" s="29">
        <f t="shared" ca="1" si="86"/>
        <v>4</v>
      </c>
      <c r="AM140" s="29">
        <f t="shared" ca="1" si="86"/>
        <v>3</v>
      </c>
      <c r="AN140" s="29">
        <f t="shared" ca="1" si="86"/>
        <v>2</v>
      </c>
      <c r="AO140" s="29">
        <f t="shared" ca="1" si="86"/>
        <v>2</v>
      </c>
      <c r="AP140" s="29">
        <f t="shared" ca="1" si="86"/>
        <v>2</v>
      </c>
      <c r="AQ140" s="29">
        <f t="shared" ca="1" si="86"/>
        <v>0</v>
      </c>
      <c r="AR140" s="29">
        <f t="shared" ca="1" si="86"/>
        <v>3</v>
      </c>
      <c r="AS140" s="29">
        <f t="shared" ca="1" si="86"/>
        <v>1</v>
      </c>
      <c r="AT140" s="29">
        <f t="shared" ca="1" si="86"/>
        <v>2</v>
      </c>
      <c r="AU140" s="29">
        <f t="shared" ca="1" si="86"/>
        <v>1</v>
      </c>
      <c r="AV140" s="29">
        <f t="shared" ca="1" si="74"/>
        <v>2</v>
      </c>
      <c r="AW140" s="29">
        <f t="shared" ca="1" si="74"/>
        <v>2</v>
      </c>
      <c r="AX140" s="29">
        <f t="shared" ca="1" si="74"/>
        <v>1</v>
      </c>
      <c r="AY140" s="29">
        <f t="shared" ca="1" si="74"/>
        <v>1</v>
      </c>
      <c r="AZ140" s="29">
        <f t="shared" ca="1" si="74"/>
        <v>2</v>
      </c>
      <c r="BA140" s="29">
        <f t="shared" ca="1" si="74"/>
        <v>1</v>
      </c>
      <c r="BB140" s="29">
        <f t="shared" ca="1" si="74"/>
        <v>5</v>
      </c>
      <c r="BC140" s="29">
        <f t="shared" ca="1" si="74"/>
        <v>3</v>
      </c>
      <c r="BD140" s="29">
        <f t="shared" ca="1" si="74"/>
        <v>2</v>
      </c>
      <c r="BE140" s="29">
        <f t="shared" ca="1" si="74"/>
        <v>1</v>
      </c>
      <c r="BF140" s="29">
        <f t="shared" ca="1" si="74"/>
        <v>2</v>
      </c>
      <c r="BG140" s="29">
        <f t="shared" ca="1" si="74"/>
        <v>2</v>
      </c>
      <c r="BH140" s="29">
        <f t="shared" ca="1" si="74"/>
        <v>0</v>
      </c>
      <c r="BI140" s="29">
        <f t="shared" ca="1" si="74"/>
        <v>3</v>
      </c>
      <c r="BJ140" s="29">
        <f t="shared" ca="1" si="74"/>
        <v>3</v>
      </c>
      <c r="BK140" s="29">
        <f t="shared" ref="BK140:BZ155" ca="1" si="88">_xlfn.BINOM.INV(50,$E140,RAND())</f>
        <v>0</v>
      </c>
      <c r="BL140" s="29">
        <f t="shared" ca="1" si="88"/>
        <v>3</v>
      </c>
      <c r="BM140" s="29">
        <f t="shared" ca="1" si="88"/>
        <v>0</v>
      </c>
      <c r="BN140" s="29">
        <f t="shared" ca="1" si="88"/>
        <v>3</v>
      </c>
      <c r="BO140" s="29">
        <f t="shared" ca="1" si="88"/>
        <v>4</v>
      </c>
      <c r="BP140" s="29">
        <f t="shared" ca="1" si="88"/>
        <v>0</v>
      </c>
      <c r="BQ140" s="29">
        <f t="shared" ca="1" si="88"/>
        <v>2</v>
      </c>
      <c r="BR140" s="29">
        <f t="shared" ca="1" si="88"/>
        <v>1</v>
      </c>
      <c r="BS140" s="29">
        <f t="shared" ca="1" si="88"/>
        <v>2</v>
      </c>
      <c r="BT140" s="29">
        <f t="shared" ca="1" si="88"/>
        <v>0</v>
      </c>
      <c r="BU140" s="29">
        <f t="shared" ca="1" si="88"/>
        <v>5</v>
      </c>
      <c r="BV140" s="29">
        <f t="shared" ca="1" si="88"/>
        <v>1</v>
      </c>
      <c r="BW140" s="29">
        <f t="shared" ca="1" si="88"/>
        <v>0</v>
      </c>
      <c r="BX140" s="29">
        <f t="shared" ca="1" si="88"/>
        <v>2</v>
      </c>
      <c r="BY140" s="29">
        <f t="shared" ca="1" si="88"/>
        <v>3</v>
      </c>
      <c r="BZ140" s="29">
        <f t="shared" ca="1" si="88"/>
        <v>4</v>
      </c>
      <c r="CA140" s="29">
        <f t="shared" ca="1" si="85"/>
        <v>1</v>
      </c>
      <c r="CB140" s="29">
        <f t="shared" ca="1" si="85"/>
        <v>2</v>
      </c>
      <c r="CC140" s="29">
        <f t="shared" ca="1" si="85"/>
        <v>1</v>
      </c>
      <c r="CD140" s="29">
        <f t="shared" ca="1" si="85"/>
        <v>1</v>
      </c>
      <c r="CE140" s="29">
        <f t="shared" ca="1" si="85"/>
        <v>1</v>
      </c>
      <c r="CF140" s="29">
        <f t="shared" ca="1" si="85"/>
        <v>3</v>
      </c>
      <c r="CG140" s="29">
        <f t="shared" ca="1" si="85"/>
        <v>3</v>
      </c>
      <c r="CH140" s="29">
        <f t="shared" ca="1" si="85"/>
        <v>2</v>
      </c>
      <c r="CI140" s="29">
        <f t="shared" ca="1" si="85"/>
        <v>1</v>
      </c>
      <c r="CJ140" s="29">
        <f t="shared" ca="1" si="85"/>
        <v>4</v>
      </c>
      <c r="CK140" s="29">
        <f t="shared" ca="1" si="85"/>
        <v>4</v>
      </c>
      <c r="CL140" s="29">
        <f t="shared" ca="1" si="85"/>
        <v>0</v>
      </c>
      <c r="CM140" s="29">
        <f t="shared" ca="1" si="85"/>
        <v>1</v>
      </c>
      <c r="CN140" s="29">
        <f t="shared" ca="1" si="85"/>
        <v>3</v>
      </c>
      <c r="CO140" s="29">
        <f t="shared" ca="1" si="85"/>
        <v>4</v>
      </c>
      <c r="CP140" s="29">
        <f t="shared" ca="1" si="85"/>
        <v>3</v>
      </c>
      <c r="CQ140" s="29">
        <f t="shared" ca="1" si="84"/>
        <v>3</v>
      </c>
      <c r="CR140" s="29">
        <f t="shared" ca="1" si="84"/>
        <v>3</v>
      </c>
      <c r="CS140" s="29">
        <f t="shared" ca="1" si="84"/>
        <v>1</v>
      </c>
      <c r="CT140" s="29">
        <f t="shared" ca="1" si="84"/>
        <v>4</v>
      </c>
      <c r="CU140" s="29">
        <f t="shared" ca="1" si="84"/>
        <v>2</v>
      </c>
      <c r="CV140" s="29">
        <f t="shared" ca="1" si="84"/>
        <v>2</v>
      </c>
      <c r="CW140" s="29">
        <f t="shared" ca="1" si="84"/>
        <v>0</v>
      </c>
      <c r="CX140" s="29">
        <f t="shared" ca="1" si="75"/>
        <v>3</v>
      </c>
      <c r="CY140" s="29">
        <f t="shared" ca="1" si="75"/>
        <v>0</v>
      </c>
      <c r="CZ140" s="29">
        <f t="shared" ca="1" si="75"/>
        <v>2</v>
      </c>
      <c r="DA140" s="29">
        <f t="shared" ca="1" si="75"/>
        <v>3</v>
      </c>
      <c r="DB140" s="29">
        <f t="shared" ca="1" si="75"/>
        <v>2</v>
      </c>
      <c r="DC140" s="29">
        <f t="shared" ca="1" si="76"/>
        <v>4</v>
      </c>
      <c r="DD140" s="29">
        <f t="shared" ca="1" si="76"/>
        <v>2</v>
      </c>
      <c r="DE140" s="29">
        <f t="shared" ca="1" si="76"/>
        <v>1</v>
      </c>
      <c r="DF140" s="29">
        <f t="shared" ca="1" si="76"/>
        <v>3</v>
      </c>
      <c r="DG140" s="29">
        <f t="shared" ca="1" si="76"/>
        <v>1</v>
      </c>
      <c r="DH140" s="29">
        <f t="shared" ca="1" si="76"/>
        <v>1</v>
      </c>
      <c r="DI140" s="29">
        <f t="shared" ca="1" si="76"/>
        <v>0</v>
      </c>
      <c r="DJ140" s="29">
        <f t="shared" ca="1" si="76"/>
        <v>3</v>
      </c>
      <c r="DK140" s="29">
        <f t="shared" ca="1" si="76"/>
        <v>4</v>
      </c>
      <c r="DL140" s="29">
        <f t="shared" ca="1" si="76"/>
        <v>2</v>
      </c>
    </row>
    <row r="141" spans="1:116" ht="14.4" x14ac:dyDescent="0.3">
      <c r="A141" s="31">
        <v>634</v>
      </c>
      <c r="B141" s="28">
        <v>2.29</v>
      </c>
      <c r="C141" s="30">
        <v>59.61</v>
      </c>
      <c r="D141" s="28">
        <v>1.74</v>
      </c>
      <c r="E141" s="34">
        <f t="shared" si="77"/>
        <v>3.4799999999999998E-2</v>
      </c>
      <c r="F141" s="35">
        <f t="shared" si="78"/>
        <v>14.9025</v>
      </c>
      <c r="G141" s="34">
        <f t="shared" si="79"/>
        <v>43.5</v>
      </c>
      <c r="H141" s="33">
        <f t="shared" si="80"/>
        <v>12.487991266375547</v>
      </c>
      <c r="I141" s="28">
        <f t="shared" si="83"/>
        <v>330.62000000000006</v>
      </c>
      <c r="J141" s="32">
        <v>1</v>
      </c>
      <c r="K141" s="30">
        <f t="shared" si="81"/>
        <v>14.9025</v>
      </c>
      <c r="L141" s="30"/>
      <c r="M141" s="30"/>
      <c r="N141" s="30"/>
      <c r="O141" s="30"/>
      <c r="Q141" s="29">
        <f t="shared" ca="1" si="82"/>
        <v>1</v>
      </c>
      <c r="R141" s="29">
        <f t="shared" ca="1" si="87"/>
        <v>3</v>
      </c>
      <c r="S141" s="29">
        <f t="shared" ca="1" si="87"/>
        <v>2</v>
      </c>
      <c r="T141" s="29">
        <f t="shared" ca="1" si="87"/>
        <v>2</v>
      </c>
      <c r="U141" s="29">
        <f t="shared" ca="1" si="87"/>
        <v>1</v>
      </c>
      <c r="V141" s="29">
        <f t="shared" ca="1" si="87"/>
        <v>1</v>
      </c>
      <c r="W141" s="29">
        <f t="shared" ca="1" si="87"/>
        <v>1</v>
      </c>
      <c r="X141" s="29">
        <f t="shared" ca="1" si="87"/>
        <v>1</v>
      </c>
      <c r="Y141" s="29">
        <f t="shared" ca="1" si="87"/>
        <v>2</v>
      </c>
      <c r="Z141" s="29">
        <f t="shared" ca="1" si="87"/>
        <v>5</v>
      </c>
      <c r="AA141" s="29">
        <f t="shared" ca="1" si="87"/>
        <v>1</v>
      </c>
      <c r="AB141" s="29">
        <f t="shared" ca="1" si="87"/>
        <v>2</v>
      </c>
      <c r="AC141" s="29">
        <f t="shared" ca="1" si="87"/>
        <v>2</v>
      </c>
      <c r="AD141" s="29">
        <f t="shared" ca="1" si="87"/>
        <v>0</v>
      </c>
      <c r="AE141" s="29">
        <f t="shared" ca="1" si="87"/>
        <v>1</v>
      </c>
      <c r="AF141" s="29">
        <f t="shared" ca="1" si="87"/>
        <v>1</v>
      </c>
      <c r="AG141" s="29">
        <f t="shared" ca="1" si="86"/>
        <v>1</v>
      </c>
      <c r="AH141" s="29">
        <f t="shared" ca="1" si="86"/>
        <v>2</v>
      </c>
      <c r="AI141" s="29">
        <f t="shared" ca="1" si="86"/>
        <v>1</v>
      </c>
      <c r="AJ141" s="29">
        <f t="shared" ca="1" si="86"/>
        <v>2</v>
      </c>
      <c r="AK141" s="29">
        <f t="shared" ca="1" si="86"/>
        <v>6</v>
      </c>
      <c r="AL141" s="29">
        <f t="shared" ca="1" si="86"/>
        <v>2</v>
      </c>
      <c r="AM141" s="29">
        <f t="shared" ca="1" si="86"/>
        <v>2</v>
      </c>
      <c r="AN141" s="29">
        <f t="shared" ca="1" si="86"/>
        <v>2</v>
      </c>
      <c r="AO141" s="29">
        <f t="shared" ca="1" si="86"/>
        <v>2</v>
      </c>
      <c r="AP141" s="29">
        <f t="shared" ca="1" si="86"/>
        <v>2</v>
      </c>
      <c r="AQ141" s="29">
        <f t="shared" ca="1" si="86"/>
        <v>2</v>
      </c>
      <c r="AR141" s="29">
        <f t="shared" ca="1" si="86"/>
        <v>3</v>
      </c>
      <c r="AS141" s="29">
        <f t="shared" ca="1" si="86"/>
        <v>1</v>
      </c>
      <c r="AT141" s="29">
        <f t="shared" ca="1" si="86"/>
        <v>2</v>
      </c>
      <c r="AU141" s="29">
        <f t="shared" ca="1" si="86"/>
        <v>1</v>
      </c>
      <c r="AV141" s="29">
        <f t="shared" ref="AV141:BK156" ca="1" si="89">_xlfn.BINOM.INV(50,$E141,RAND())</f>
        <v>3</v>
      </c>
      <c r="AW141" s="29">
        <f t="shared" ca="1" si="89"/>
        <v>3</v>
      </c>
      <c r="AX141" s="29">
        <f t="shared" ca="1" si="89"/>
        <v>2</v>
      </c>
      <c r="AY141" s="29">
        <f t="shared" ca="1" si="89"/>
        <v>2</v>
      </c>
      <c r="AZ141" s="29">
        <f t="shared" ca="1" si="89"/>
        <v>0</v>
      </c>
      <c r="BA141" s="29">
        <f t="shared" ca="1" si="89"/>
        <v>0</v>
      </c>
      <c r="BB141" s="29">
        <f t="shared" ca="1" si="89"/>
        <v>1</v>
      </c>
      <c r="BC141" s="29">
        <f t="shared" ca="1" si="89"/>
        <v>1</v>
      </c>
      <c r="BD141" s="29">
        <f t="shared" ca="1" si="89"/>
        <v>1</v>
      </c>
      <c r="BE141" s="29">
        <f t="shared" ca="1" si="89"/>
        <v>1</v>
      </c>
      <c r="BF141" s="29">
        <f t="shared" ca="1" si="89"/>
        <v>4</v>
      </c>
      <c r="BG141" s="29">
        <f t="shared" ca="1" si="89"/>
        <v>3</v>
      </c>
      <c r="BH141" s="29">
        <f t="shared" ca="1" si="89"/>
        <v>3</v>
      </c>
      <c r="BI141" s="29">
        <f t="shared" ca="1" si="89"/>
        <v>0</v>
      </c>
      <c r="BJ141" s="29">
        <f t="shared" ca="1" si="89"/>
        <v>2</v>
      </c>
      <c r="BK141" s="29">
        <f t="shared" ca="1" si="89"/>
        <v>1</v>
      </c>
      <c r="BL141" s="29">
        <f t="shared" ca="1" si="88"/>
        <v>2</v>
      </c>
      <c r="BM141" s="29">
        <f t="shared" ca="1" si="88"/>
        <v>1</v>
      </c>
      <c r="BN141" s="29">
        <f t="shared" ca="1" si="88"/>
        <v>1</v>
      </c>
      <c r="BO141" s="29">
        <f t="shared" ca="1" si="88"/>
        <v>3</v>
      </c>
      <c r="BP141" s="29">
        <f t="shared" ca="1" si="88"/>
        <v>2</v>
      </c>
      <c r="BQ141" s="29">
        <f t="shared" ca="1" si="88"/>
        <v>1</v>
      </c>
      <c r="BR141" s="29">
        <f t="shared" ca="1" si="88"/>
        <v>5</v>
      </c>
      <c r="BS141" s="29">
        <f t="shared" ca="1" si="88"/>
        <v>2</v>
      </c>
      <c r="BT141" s="29">
        <f t="shared" ca="1" si="88"/>
        <v>4</v>
      </c>
      <c r="BU141" s="29">
        <f t="shared" ca="1" si="88"/>
        <v>0</v>
      </c>
      <c r="BV141" s="29">
        <f t="shared" ca="1" si="88"/>
        <v>0</v>
      </c>
      <c r="BW141" s="29">
        <f t="shared" ca="1" si="88"/>
        <v>4</v>
      </c>
      <c r="BX141" s="29">
        <f t="shared" ca="1" si="88"/>
        <v>2</v>
      </c>
      <c r="BY141" s="29">
        <f t="shared" ca="1" si="88"/>
        <v>1</v>
      </c>
      <c r="BZ141" s="29">
        <f t="shared" ca="1" si="88"/>
        <v>2</v>
      </c>
      <c r="CA141" s="29">
        <f t="shared" ca="1" si="85"/>
        <v>1</v>
      </c>
      <c r="CB141" s="29">
        <f t="shared" ca="1" si="85"/>
        <v>1</v>
      </c>
      <c r="CC141" s="29">
        <f t="shared" ca="1" si="85"/>
        <v>1</v>
      </c>
      <c r="CD141" s="29">
        <f t="shared" ca="1" si="85"/>
        <v>1</v>
      </c>
      <c r="CE141" s="29">
        <f t="shared" ca="1" si="85"/>
        <v>1</v>
      </c>
      <c r="CF141" s="29">
        <f t="shared" ca="1" si="85"/>
        <v>1</v>
      </c>
      <c r="CG141" s="29">
        <f t="shared" ca="1" si="85"/>
        <v>1</v>
      </c>
      <c r="CH141" s="29">
        <f t="shared" ca="1" si="85"/>
        <v>5</v>
      </c>
      <c r="CI141" s="29">
        <f t="shared" ca="1" si="85"/>
        <v>4</v>
      </c>
      <c r="CJ141" s="29">
        <f t="shared" ca="1" si="85"/>
        <v>3</v>
      </c>
      <c r="CK141" s="29">
        <f t="shared" ca="1" si="85"/>
        <v>3</v>
      </c>
      <c r="CL141" s="29">
        <f t="shared" ca="1" si="85"/>
        <v>1</v>
      </c>
      <c r="CM141" s="29">
        <f t="shared" ca="1" si="85"/>
        <v>2</v>
      </c>
      <c r="CN141" s="29">
        <f t="shared" ca="1" si="85"/>
        <v>2</v>
      </c>
      <c r="CO141" s="29">
        <f t="shared" ca="1" si="85"/>
        <v>0</v>
      </c>
      <c r="CP141" s="29">
        <f t="shared" ca="1" si="85"/>
        <v>1</v>
      </c>
      <c r="CQ141" s="29">
        <f t="shared" ca="1" si="84"/>
        <v>0</v>
      </c>
      <c r="CR141" s="29">
        <f t="shared" ca="1" si="84"/>
        <v>2</v>
      </c>
      <c r="CS141" s="29">
        <f t="shared" ca="1" si="84"/>
        <v>1</v>
      </c>
      <c r="CT141" s="29">
        <f t="shared" ca="1" si="84"/>
        <v>0</v>
      </c>
      <c r="CU141" s="29">
        <f t="shared" ca="1" si="84"/>
        <v>0</v>
      </c>
      <c r="CV141" s="29">
        <f t="shared" ca="1" si="84"/>
        <v>1</v>
      </c>
      <c r="CW141" s="29">
        <f t="shared" ca="1" si="84"/>
        <v>1</v>
      </c>
      <c r="CX141" s="29">
        <f t="shared" ca="1" si="75"/>
        <v>3</v>
      </c>
      <c r="CY141" s="29">
        <f t="shared" ca="1" si="75"/>
        <v>1</v>
      </c>
      <c r="CZ141" s="29">
        <f t="shared" ca="1" si="75"/>
        <v>1</v>
      </c>
      <c r="DA141" s="29">
        <f t="shared" ca="1" si="75"/>
        <v>3</v>
      </c>
      <c r="DB141" s="29">
        <f t="shared" ca="1" si="75"/>
        <v>3</v>
      </c>
      <c r="DC141" s="29">
        <f t="shared" ca="1" si="76"/>
        <v>2</v>
      </c>
      <c r="DD141" s="29">
        <f t="shared" ca="1" si="76"/>
        <v>4</v>
      </c>
      <c r="DE141" s="29">
        <f t="shared" ca="1" si="76"/>
        <v>0</v>
      </c>
      <c r="DF141" s="29">
        <f t="shared" ca="1" si="76"/>
        <v>3</v>
      </c>
      <c r="DG141" s="29">
        <f t="shared" ca="1" si="76"/>
        <v>1</v>
      </c>
      <c r="DH141" s="29">
        <f t="shared" ca="1" si="76"/>
        <v>1</v>
      </c>
      <c r="DI141" s="29">
        <f t="shared" ca="1" si="76"/>
        <v>3</v>
      </c>
      <c r="DJ141" s="29">
        <f t="shared" ca="1" si="76"/>
        <v>1</v>
      </c>
      <c r="DK141" s="29">
        <f t="shared" ca="1" si="76"/>
        <v>3</v>
      </c>
      <c r="DL141" s="29">
        <f t="shared" ca="1" si="76"/>
        <v>0</v>
      </c>
    </row>
    <row r="142" spans="1:116" ht="14.4" x14ac:dyDescent="0.3">
      <c r="A142" s="31">
        <v>569</v>
      </c>
      <c r="B142" s="28">
        <v>5.41</v>
      </c>
      <c r="C142" s="30">
        <v>37.33</v>
      </c>
      <c r="D142" s="28">
        <v>3.07</v>
      </c>
      <c r="E142" s="34">
        <f t="shared" si="77"/>
        <v>6.1399999999999996E-2</v>
      </c>
      <c r="F142" s="35">
        <f t="shared" si="78"/>
        <v>9.3324999999999996</v>
      </c>
      <c r="G142" s="34">
        <f t="shared" si="79"/>
        <v>76.75</v>
      </c>
      <c r="H142" s="33">
        <f t="shared" si="80"/>
        <v>12.461645101663587</v>
      </c>
      <c r="I142" s="28">
        <f t="shared" si="83"/>
        <v>336.03000000000009</v>
      </c>
      <c r="J142" s="32">
        <v>1</v>
      </c>
      <c r="K142" s="30">
        <f t="shared" si="81"/>
        <v>9.3324999999999996</v>
      </c>
      <c r="L142" s="30"/>
      <c r="M142" s="30"/>
      <c r="N142" s="30"/>
      <c r="O142" s="30"/>
      <c r="Q142" s="29">
        <f t="shared" ca="1" si="82"/>
        <v>3</v>
      </c>
      <c r="R142" s="29">
        <f t="shared" ca="1" si="87"/>
        <v>3</v>
      </c>
      <c r="S142" s="29">
        <f t="shared" ca="1" si="87"/>
        <v>3</v>
      </c>
      <c r="T142" s="29">
        <f t="shared" ca="1" si="87"/>
        <v>1</v>
      </c>
      <c r="U142" s="29">
        <f t="shared" ca="1" si="87"/>
        <v>7</v>
      </c>
      <c r="V142" s="29">
        <f t="shared" ca="1" si="87"/>
        <v>4</v>
      </c>
      <c r="W142" s="29">
        <f t="shared" ca="1" si="87"/>
        <v>2</v>
      </c>
      <c r="X142" s="29">
        <f t="shared" ca="1" si="87"/>
        <v>3</v>
      </c>
      <c r="Y142" s="29">
        <f t="shared" ca="1" si="87"/>
        <v>8</v>
      </c>
      <c r="Z142" s="29">
        <f t="shared" ca="1" si="87"/>
        <v>0</v>
      </c>
      <c r="AA142" s="29">
        <f t="shared" ca="1" si="87"/>
        <v>3</v>
      </c>
      <c r="AB142" s="29">
        <f t="shared" ca="1" si="87"/>
        <v>4</v>
      </c>
      <c r="AC142" s="29">
        <f t="shared" ca="1" si="87"/>
        <v>3</v>
      </c>
      <c r="AD142" s="29">
        <f t="shared" ca="1" si="87"/>
        <v>2</v>
      </c>
      <c r="AE142" s="29">
        <f t="shared" ca="1" si="87"/>
        <v>1</v>
      </c>
      <c r="AF142" s="29">
        <f t="shared" ca="1" si="87"/>
        <v>3</v>
      </c>
      <c r="AG142" s="29">
        <f t="shared" ca="1" si="86"/>
        <v>3</v>
      </c>
      <c r="AH142" s="29">
        <f t="shared" ca="1" si="86"/>
        <v>1</v>
      </c>
      <c r="AI142" s="29">
        <f t="shared" ca="1" si="86"/>
        <v>2</v>
      </c>
      <c r="AJ142" s="29">
        <f t="shared" ca="1" si="86"/>
        <v>3</v>
      </c>
      <c r="AK142" s="29">
        <f t="shared" ca="1" si="86"/>
        <v>8</v>
      </c>
      <c r="AL142" s="29">
        <f t="shared" ca="1" si="86"/>
        <v>1</v>
      </c>
      <c r="AM142" s="29">
        <f t="shared" ca="1" si="86"/>
        <v>5</v>
      </c>
      <c r="AN142" s="29">
        <f t="shared" ca="1" si="86"/>
        <v>1</v>
      </c>
      <c r="AO142" s="29">
        <f t="shared" ca="1" si="86"/>
        <v>5</v>
      </c>
      <c r="AP142" s="29">
        <f t="shared" ca="1" si="86"/>
        <v>1</v>
      </c>
      <c r="AQ142" s="29">
        <f t="shared" ca="1" si="86"/>
        <v>4</v>
      </c>
      <c r="AR142" s="29">
        <f t="shared" ca="1" si="86"/>
        <v>3</v>
      </c>
      <c r="AS142" s="29">
        <f t="shared" ca="1" si="86"/>
        <v>2</v>
      </c>
      <c r="AT142" s="29">
        <f t="shared" ca="1" si="86"/>
        <v>2</v>
      </c>
      <c r="AU142" s="29">
        <f t="shared" ca="1" si="86"/>
        <v>3</v>
      </c>
      <c r="AV142" s="29">
        <f t="shared" ca="1" si="89"/>
        <v>2</v>
      </c>
      <c r="AW142" s="29">
        <f t="shared" ca="1" si="89"/>
        <v>2</v>
      </c>
      <c r="AX142" s="29">
        <f t="shared" ca="1" si="89"/>
        <v>0</v>
      </c>
      <c r="AY142" s="29">
        <f t="shared" ca="1" si="89"/>
        <v>4</v>
      </c>
      <c r="AZ142" s="29">
        <f t="shared" ca="1" si="89"/>
        <v>6</v>
      </c>
      <c r="BA142" s="29">
        <f t="shared" ca="1" si="89"/>
        <v>2</v>
      </c>
      <c r="BB142" s="29">
        <f t="shared" ca="1" si="89"/>
        <v>3</v>
      </c>
      <c r="BC142" s="29">
        <f t="shared" ca="1" si="89"/>
        <v>3</v>
      </c>
      <c r="BD142" s="29">
        <f t="shared" ca="1" si="89"/>
        <v>3</v>
      </c>
      <c r="BE142" s="29">
        <f t="shared" ca="1" si="89"/>
        <v>5</v>
      </c>
      <c r="BF142" s="29">
        <f t="shared" ca="1" si="89"/>
        <v>1</v>
      </c>
      <c r="BG142" s="29">
        <f t="shared" ca="1" si="89"/>
        <v>3</v>
      </c>
      <c r="BH142" s="29">
        <f t="shared" ca="1" si="89"/>
        <v>2</v>
      </c>
      <c r="BI142" s="29">
        <f t="shared" ca="1" si="89"/>
        <v>2</v>
      </c>
      <c r="BJ142" s="29">
        <f t="shared" ca="1" si="89"/>
        <v>1</v>
      </c>
      <c r="BK142" s="29">
        <f t="shared" ca="1" si="89"/>
        <v>1</v>
      </c>
      <c r="BL142" s="29">
        <f t="shared" ca="1" si="88"/>
        <v>4</v>
      </c>
      <c r="BM142" s="29">
        <f t="shared" ca="1" si="88"/>
        <v>4</v>
      </c>
      <c r="BN142" s="29">
        <f t="shared" ca="1" si="88"/>
        <v>4</v>
      </c>
      <c r="BO142" s="29">
        <f t="shared" ca="1" si="88"/>
        <v>2</v>
      </c>
      <c r="BP142" s="29">
        <f t="shared" ca="1" si="88"/>
        <v>3</v>
      </c>
      <c r="BQ142" s="29">
        <f t="shared" ca="1" si="88"/>
        <v>4</v>
      </c>
      <c r="BR142" s="29">
        <f t="shared" ca="1" si="88"/>
        <v>1</v>
      </c>
      <c r="BS142" s="29">
        <f t="shared" ca="1" si="88"/>
        <v>3</v>
      </c>
      <c r="BT142" s="29">
        <f t="shared" ca="1" si="88"/>
        <v>0</v>
      </c>
      <c r="BU142" s="29">
        <f t="shared" ca="1" si="88"/>
        <v>2</v>
      </c>
      <c r="BV142" s="29">
        <f t="shared" ca="1" si="88"/>
        <v>6</v>
      </c>
      <c r="BW142" s="29">
        <f t="shared" ca="1" si="88"/>
        <v>2</v>
      </c>
      <c r="BX142" s="29">
        <f t="shared" ca="1" si="88"/>
        <v>1</v>
      </c>
      <c r="BY142" s="29">
        <f t="shared" ca="1" si="88"/>
        <v>1</v>
      </c>
      <c r="BZ142" s="29">
        <f t="shared" ca="1" si="88"/>
        <v>4</v>
      </c>
      <c r="CA142" s="29">
        <f t="shared" ca="1" si="85"/>
        <v>2</v>
      </c>
      <c r="CB142" s="29">
        <f t="shared" ca="1" si="85"/>
        <v>5</v>
      </c>
      <c r="CC142" s="29">
        <f t="shared" ca="1" si="85"/>
        <v>4</v>
      </c>
      <c r="CD142" s="29">
        <f t="shared" ca="1" si="85"/>
        <v>2</v>
      </c>
      <c r="CE142" s="29">
        <f t="shared" ca="1" si="85"/>
        <v>5</v>
      </c>
      <c r="CF142" s="29">
        <f t="shared" ca="1" si="85"/>
        <v>3</v>
      </c>
      <c r="CG142" s="29">
        <f t="shared" ca="1" si="85"/>
        <v>3</v>
      </c>
      <c r="CH142" s="29">
        <f t="shared" ca="1" si="85"/>
        <v>2</v>
      </c>
      <c r="CI142" s="29">
        <f t="shared" ca="1" si="85"/>
        <v>1</v>
      </c>
      <c r="CJ142" s="29">
        <f t="shared" ca="1" si="85"/>
        <v>1</v>
      </c>
      <c r="CK142" s="29">
        <f t="shared" ca="1" si="85"/>
        <v>1</v>
      </c>
      <c r="CL142" s="29">
        <f t="shared" ca="1" si="85"/>
        <v>3</v>
      </c>
      <c r="CM142" s="29">
        <f t="shared" ca="1" si="85"/>
        <v>6</v>
      </c>
      <c r="CN142" s="29">
        <f t="shared" ca="1" si="85"/>
        <v>2</v>
      </c>
      <c r="CO142" s="29">
        <f t="shared" ca="1" si="85"/>
        <v>2</v>
      </c>
      <c r="CP142" s="29">
        <f t="shared" ca="1" si="85"/>
        <v>4</v>
      </c>
      <c r="CQ142" s="29">
        <f t="shared" ca="1" si="84"/>
        <v>3</v>
      </c>
      <c r="CR142" s="29">
        <f t="shared" ca="1" si="84"/>
        <v>2</v>
      </c>
      <c r="CS142" s="29">
        <f t="shared" ca="1" si="84"/>
        <v>4</v>
      </c>
      <c r="CT142" s="29">
        <f t="shared" ca="1" si="84"/>
        <v>4</v>
      </c>
      <c r="CU142" s="29">
        <f t="shared" ca="1" si="84"/>
        <v>2</v>
      </c>
      <c r="CV142" s="29">
        <f t="shared" ca="1" si="84"/>
        <v>7</v>
      </c>
      <c r="CW142" s="29">
        <f t="shared" ca="1" si="84"/>
        <v>2</v>
      </c>
      <c r="CX142" s="29">
        <f t="shared" ca="1" si="75"/>
        <v>2</v>
      </c>
      <c r="CY142" s="29">
        <f t="shared" ca="1" si="75"/>
        <v>3</v>
      </c>
      <c r="CZ142" s="29">
        <f t="shared" ca="1" si="75"/>
        <v>4</v>
      </c>
      <c r="DA142" s="29">
        <f t="shared" ca="1" si="75"/>
        <v>4</v>
      </c>
      <c r="DB142" s="29">
        <f t="shared" ca="1" si="75"/>
        <v>7</v>
      </c>
      <c r="DC142" s="29">
        <f t="shared" ca="1" si="76"/>
        <v>3</v>
      </c>
      <c r="DD142" s="29">
        <f t="shared" ca="1" si="76"/>
        <v>0</v>
      </c>
      <c r="DE142" s="29">
        <f t="shared" ca="1" si="76"/>
        <v>1</v>
      </c>
      <c r="DF142" s="29">
        <f t="shared" ca="1" si="76"/>
        <v>2</v>
      </c>
      <c r="DG142" s="29">
        <f t="shared" ca="1" si="76"/>
        <v>2</v>
      </c>
      <c r="DH142" s="29">
        <f t="shared" ca="1" si="76"/>
        <v>5</v>
      </c>
      <c r="DI142" s="29">
        <f t="shared" ca="1" si="76"/>
        <v>2</v>
      </c>
      <c r="DJ142" s="29">
        <f t="shared" ca="1" si="76"/>
        <v>5</v>
      </c>
      <c r="DK142" s="29">
        <f t="shared" ca="1" si="76"/>
        <v>4</v>
      </c>
      <c r="DL142" s="29">
        <f t="shared" ca="1" si="76"/>
        <v>4</v>
      </c>
    </row>
    <row r="143" spans="1:116" ht="14.4" x14ac:dyDescent="0.3">
      <c r="A143" s="31">
        <v>921</v>
      </c>
      <c r="B143" s="28">
        <v>2.74</v>
      </c>
      <c r="C143" s="30">
        <v>38.78</v>
      </c>
      <c r="D143" s="28">
        <v>1.75</v>
      </c>
      <c r="E143" s="34">
        <f t="shared" si="77"/>
        <v>3.5000000000000003E-2</v>
      </c>
      <c r="F143" s="35">
        <f t="shared" si="78"/>
        <v>9.6950000000000003</v>
      </c>
      <c r="G143" s="34">
        <f t="shared" si="79"/>
        <v>43.75</v>
      </c>
      <c r="H143" s="33">
        <f t="shared" si="80"/>
        <v>12.428832116788319</v>
      </c>
      <c r="I143" s="28">
        <f t="shared" si="83"/>
        <v>338.7700000000001</v>
      </c>
      <c r="J143" s="32">
        <v>1</v>
      </c>
      <c r="K143" s="30">
        <f t="shared" si="81"/>
        <v>9.6950000000000003</v>
      </c>
      <c r="L143" s="30"/>
      <c r="M143" s="30"/>
      <c r="N143" s="30"/>
      <c r="O143" s="30"/>
      <c r="Q143" s="29">
        <f t="shared" ca="1" si="82"/>
        <v>2</v>
      </c>
      <c r="R143" s="29">
        <f t="shared" ca="1" si="87"/>
        <v>1</v>
      </c>
      <c r="S143" s="29">
        <f t="shared" ca="1" si="87"/>
        <v>1</v>
      </c>
      <c r="T143" s="29">
        <f t="shared" ca="1" si="87"/>
        <v>4</v>
      </c>
      <c r="U143" s="29">
        <f t="shared" ca="1" si="87"/>
        <v>4</v>
      </c>
      <c r="V143" s="29">
        <f t="shared" ca="1" si="87"/>
        <v>3</v>
      </c>
      <c r="W143" s="29">
        <f t="shared" ca="1" si="87"/>
        <v>2</v>
      </c>
      <c r="X143" s="29">
        <f t="shared" ca="1" si="87"/>
        <v>2</v>
      </c>
      <c r="Y143" s="29">
        <f t="shared" ca="1" si="87"/>
        <v>3</v>
      </c>
      <c r="Z143" s="29">
        <f t="shared" ca="1" si="87"/>
        <v>1</v>
      </c>
      <c r="AA143" s="29">
        <f t="shared" ca="1" si="87"/>
        <v>2</v>
      </c>
      <c r="AB143" s="29">
        <f t="shared" ca="1" si="87"/>
        <v>1</v>
      </c>
      <c r="AC143" s="29">
        <f t="shared" ca="1" si="87"/>
        <v>1</v>
      </c>
      <c r="AD143" s="29">
        <f t="shared" ca="1" si="87"/>
        <v>2</v>
      </c>
      <c r="AE143" s="29">
        <f t="shared" ca="1" si="87"/>
        <v>1</v>
      </c>
      <c r="AF143" s="29">
        <f t="shared" ca="1" si="87"/>
        <v>1</v>
      </c>
      <c r="AG143" s="29">
        <f t="shared" ca="1" si="86"/>
        <v>1</v>
      </c>
      <c r="AH143" s="29">
        <f t="shared" ca="1" si="86"/>
        <v>3</v>
      </c>
      <c r="AI143" s="29">
        <f t="shared" ca="1" si="86"/>
        <v>1</v>
      </c>
      <c r="AJ143" s="29">
        <f t="shared" ca="1" si="86"/>
        <v>1</v>
      </c>
      <c r="AK143" s="29">
        <f t="shared" ca="1" si="86"/>
        <v>0</v>
      </c>
      <c r="AL143" s="29">
        <f t="shared" ca="1" si="86"/>
        <v>2</v>
      </c>
      <c r="AM143" s="29">
        <f t="shared" ca="1" si="86"/>
        <v>1</v>
      </c>
      <c r="AN143" s="29">
        <f t="shared" ca="1" si="86"/>
        <v>2</v>
      </c>
      <c r="AO143" s="29">
        <f t="shared" ca="1" si="86"/>
        <v>3</v>
      </c>
      <c r="AP143" s="29">
        <f t="shared" ca="1" si="86"/>
        <v>0</v>
      </c>
      <c r="AQ143" s="29">
        <f t="shared" ca="1" si="86"/>
        <v>2</v>
      </c>
      <c r="AR143" s="29">
        <f t="shared" ca="1" si="86"/>
        <v>0</v>
      </c>
      <c r="AS143" s="29">
        <f t="shared" ca="1" si="86"/>
        <v>1</v>
      </c>
      <c r="AT143" s="29">
        <f t="shared" ca="1" si="86"/>
        <v>3</v>
      </c>
      <c r="AU143" s="29">
        <f t="shared" ca="1" si="86"/>
        <v>1</v>
      </c>
      <c r="AV143" s="29">
        <f t="shared" ca="1" si="89"/>
        <v>1</v>
      </c>
      <c r="AW143" s="29">
        <f t="shared" ca="1" si="89"/>
        <v>0</v>
      </c>
      <c r="AX143" s="29">
        <f t="shared" ca="1" si="89"/>
        <v>0</v>
      </c>
      <c r="AY143" s="29">
        <f t="shared" ca="1" si="89"/>
        <v>1</v>
      </c>
      <c r="AZ143" s="29">
        <f t="shared" ca="1" si="89"/>
        <v>2</v>
      </c>
      <c r="BA143" s="29">
        <f t="shared" ca="1" si="89"/>
        <v>2</v>
      </c>
      <c r="BB143" s="29">
        <f t="shared" ca="1" si="89"/>
        <v>2</v>
      </c>
      <c r="BC143" s="29">
        <f t="shared" ca="1" si="89"/>
        <v>1</v>
      </c>
      <c r="BD143" s="29">
        <f t="shared" ca="1" si="89"/>
        <v>1</v>
      </c>
      <c r="BE143" s="29">
        <f t="shared" ca="1" si="89"/>
        <v>2</v>
      </c>
      <c r="BF143" s="29">
        <f t="shared" ca="1" si="89"/>
        <v>2</v>
      </c>
      <c r="BG143" s="29">
        <f t="shared" ca="1" si="89"/>
        <v>2</v>
      </c>
      <c r="BH143" s="29">
        <f t="shared" ca="1" si="89"/>
        <v>2</v>
      </c>
      <c r="BI143" s="29">
        <f t="shared" ca="1" si="89"/>
        <v>4</v>
      </c>
      <c r="BJ143" s="29">
        <f t="shared" ca="1" si="89"/>
        <v>2</v>
      </c>
      <c r="BK143" s="29">
        <f t="shared" ca="1" si="89"/>
        <v>5</v>
      </c>
      <c r="BL143" s="29">
        <f t="shared" ca="1" si="88"/>
        <v>1</v>
      </c>
      <c r="BM143" s="29">
        <f t="shared" ca="1" si="88"/>
        <v>1</v>
      </c>
      <c r="BN143" s="29">
        <f t="shared" ca="1" si="88"/>
        <v>1</v>
      </c>
      <c r="BO143" s="29">
        <f t="shared" ca="1" si="88"/>
        <v>3</v>
      </c>
      <c r="BP143" s="29">
        <f t="shared" ca="1" si="88"/>
        <v>1</v>
      </c>
      <c r="BQ143" s="29">
        <f t="shared" ca="1" si="88"/>
        <v>0</v>
      </c>
      <c r="BR143" s="29">
        <f t="shared" ca="1" si="88"/>
        <v>0</v>
      </c>
      <c r="BS143" s="29">
        <f t="shared" ca="1" si="88"/>
        <v>0</v>
      </c>
      <c r="BT143" s="29">
        <f t="shared" ca="1" si="88"/>
        <v>3</v>
      </c>
      <c r="BU143" s="29">
        <f t="shared" ca="1" si="88"/>
        <v>1</v>
      </c>
      <c r="BV143" s="29">
        <f t="shared" ca="1" si="88"/>
        <v>0</v>
      </c>
      <c r="BW143" s="29">
        <f t="shared" ca="1" si="88"/>
        <v>0</v>
      </c>
      <c r="BX143" s="29">
        <f t="shared" ca="1" si="88"/>
        <v>1</v>
      </c>
      <c r="BY143" s="29">
        <f t="shared" ca="1" si="88"/>
        <v>0</v>
      </c>
      <c r="BZ143" s="29">
        <f t="shared" ca="1" si="88"/>
        <v>0</v>
      </c>
      <c r="CA143" s="29">
        <f t="shared" ca="1" si="85"/>
        <v>2</v>
      </c>
      <c r="CB143" s="29">
        <f t="shared" ca="1" si="85"/>
        <v>1</v>
      </c>
      <c r="CC143" s="29">
        <f t="shared" ca="1" si="85"/>
        <v>1</v>
      </c>
      <c r="CD143" s="29">
        <f t="shared" ca="1" si="85"/>
        <v>3</v>
      </c>
      <c r="CE143" s="29">
        <f t="shared" ca="1" si="85"/>
        <v>4</v>
      </c>
      <c r="CF143" s="29">
        <f t="shared" ca="1" si="85"/>
        <v>3</v>
      </c>
      <c r="CG143" s="29">
        <f t="shared" ca="1" si="85"/>
        <v>3</v>
      </c>
      <c r="CH143" s="29">
        <f t="shared" ca="1" si="85"/>
        <v>2</v>
      </c>
      <c r="CI143" s="29">
        <f t="shared" ca="1" si="85"/>
        <v>2</v>
      </c>
      <c r="CJ143" s="29">
        <f t="shared" ca="1" si="85"/>
        <v>5</v>
      </c>
      <c r="CK143" s="29">
        <f t="shared" ca="1" si="85"/>
        <v>1</v>
      </c>
      <c r="CL143" s="29">
        <f t="shared" ca="1" si="85"/>
        <v>2</v>
      </c>
      <c r="CM143" s="29">
        <f t="shared" ca="1" si="85"/>
        <v>5</v>
      </c>
      <c r="CN143" s="29">
        <f t="shared" ca="1" si="85"/>
        <v>2</v>
      </c>
      <c r="CO143" s="29">
        <f t="shared" ca="1" si="85"/>
        <v>0</v>
      </c>
      <c r="CP143" s="29">
        <f t="shared" ca="1" si="85"/>
        <v>4</v>
      </c>
      <c r="CQ143" s="29">
        <f t="shared" ca="1" si="84"/>
        <v>1</v>
      </c>
      <c r="CR143" s="29">
        <f t="shared" ca="1" si="84"/>
        <v>2</v>
      </c>
      <c r="CS143" s="29">
        <f t="shared" ca="1" si="84"/>
        <v>4</v>
      </c>
      <c r="CT143" s="29">
        <f t="shared" ca="1" si="84"/>
        <v>5</v>
      </c>
      <c r="CU143" s="29">
        <f t="shared" ca="1" si="84"/>
        <v>2</v>
      </c>
      <c r="CV143" s="29">
        <f t="shared" ca="1" si="84"/>
        <v>1</v>
      </c>
      <c r="CW143" s="29">
        <f t="shared" ca="1" si="84"/>
        <v>0</v>
      </c>
      <c r="CX143" s="29">
        <f t="shared" ca="1" si="75"/>
        <v>1</v>
      </c>
      <c r="CY143" s="29">
        <f t="shared" ca="1" si="75"/>
        <v>4</v>
      </c>
      <c r="CZ143" s="29">
        <f t="shared" ca="1" si="75"/>
        <v>2</v>
      </c>
      <c r="DA143" s="29">
        <f t="shared" ca="1" si="75"/>
        <v>2</v>
      </c>
      <c r="DB143" s="29">
        <f t="shared" ca="1" si="75"/>
        <v>1</v>
      </c>
      <c r="DC143" s="29">
        <f t="shared" ca="1" si="76"/>
        <v>3</v>
      </c>
      <c r="DD143" s="29">
        <f t="shared" ca="1" si="76"/>
        <v>1</v>
      </c>
      <c r="DE143" s="29">
        <f t="shared" ca="1" si="76"/>
        <v>1</v>
      </c>
      <c r="DF143" s="29">
        <f t="shared" ca="1" si="76"/>
        <v>2</v>
      </c>
      <c r="DG143" s="29">
        <f t="shared" ca="1" si="76"/>
        <v>3</v>
      </c>
      <c r="DH143" s="29">
        <f t="shared" ca="1" si="76"/>
        <v>2</v>
      </c>
      <c r="DI143" s="29">
        <f t="shared" ca="1" si="76"/>
        <v>4</v>
      </c>
      <c r="DJ143" s="29">
        <f t="shared" ca="1" si="76"/>
        <v>1</v>
      </c>
      <c r="DK143" s="29">
        <f t="shared" ca="1" si="76"/>
        <v>3</v>
      </c>
      <c r="DL143" s="29">
        <f t="shared" ca="1" si="76"/>
        <v>1</v>
      </c>
    </row>
    <row r="144" spans="1:116" ht="14.4" x14ac:dyDescent="0.3">
      <c r="A144" s="31">
        <v>253</v>
      </c>
      <c r="B144" s="28">
        <v>1.79</v>
      </c>
      <c r="C144" s="30">
        <v>13.16</v>
      </c>
      <c r="D144" s="28">
        <v>1.02</v>
      </c>
      <c r="E144" s="34">
        <f t="shared" si="77"/>
        <v>2.0400000000000001E-2</v>
      </c>
      <c r="F144" s="35">
        <f t="shared" si="78"/>
        <v>3.29</v>
      </c>
      <c r="G144" s="34">
        <f t="shared" si="79"/>
        <v>25.5</v>
      </c>
      <c r="H144" s="33">
        <f t="shared" si="80"/>
        <v>12.407821229050279</v>
      </c>
      <c r="I144" s="28">
        <f t="shared" si="83"/>
        <v>340.56000000000012</v>
      </c>
      <c r="J144" s="32">
        <v>1</v>
      </c>
      <c r="K144" s="30">
        <f t="shared" si="81"/>
        <v>3.29</v>
      </c>
      <c r="L144" s="30"/>
      <c r="M144" s="30"/>
      <c r="N144" s="30"/>
      <c r="O144" s="30"/>
      <c r="Q144" s="29">
        <f t="shared" ca="1" si="82"/>
        <v>2</v>
      </c>
      <c r="R144" s="29">
        <f t="shared" ca="1" si="87"/>
        <v>0</v>
      </c>
      <c r="S144" s="29">
        <f t="shared" ca="1" si="87"/>
        <v>0</v>
      </c>
      <c r="T144" s="29">
        <f t="shared" ca="1" si="87"/>
        <v>1</v>
      </c>
      <c r="U144" s="29">
        <f t="shared" ca="1" si="87"/>
        <v>0</v>
      </c>
      <c r="V144" s="29">
        <f t="shared" ca="1" si="87"/>
        <v>0</v>
      </c>
      <c r="W144" s="29">
        <f t="shared" ca="1" si="87"/>
        <v>3</v>
      </c>
      <c r="X144" s="29">
        <f t="shared" ca="1" si="87"/>
        <v>1</v>
      </c>
      <c r="Y144" s="29">
        <f t="shared" ca="1" si="87"/>
        <v>0</v>
      </c>
      <c r="Z144" s="29">
        <f t="shared" ca="1" si="87"/>
        <v>1</v>
      </c>
      <c r="AA144" s="29">
        <f t="shared" ca="1" si="87"/>
        <v>1</v>
      </c>
      <c r="AB144" s="29">
        <f t="shared" ca="1" si="87"/>
        <v>0</v>
      </c>
      <c r="AC144" s="29">
        <f t="shared" ca="1" si="87"/>
        <v>1</v>
      </c>
      <c r="AD144" s="29">
        <f t="shared" ca="1" si="87"/>
        <v>1</v>
      </c>
      <c r="AE144" s="29">
        <f t="shared" ca="1" si="87"/>
        <v>0</v>
      </c>
      <c r="AF144" s="29">
        <f t="shared" ca="1" si="87"/>
        <v>2</v>
      </c>
      <c r="AG144" s="29">
        <f t="shared" ca="1" si="86"/>
        <v>0</v>
      </c>
      <c r="AH144" s="29">
        <f t="shared" ca="1" si="86"/>
        <v>1</v>
      </c>
      <c r="AI144" s="29">
        <f t="shared" ca="1" si="86"/>
        <v>1</v>
      </c>
      <c r="AJ144" s="29">
        <f t="shared" ca="1" si="86"/>
        <v>2</v>
      </c>
      <c r="AK144" s="29">
        <f t="shared" ca="1" si="86"/>
        <v>2</v>
      </c>
      <c r="AL144" s="29">
        <f t="shared" ca="1" si="86"/>
        <v>0</v>
      </c>
      <c r="AM144" s="29">
        <f t="shared" ca="1" si="86"/>
        <v>2</v>
      </c>
      <c r="AN144" s="29">
        <f t="shared" ca="1" si="86"/>
        <v>2</v>
      </c>
      <c r="AO144" s="29">
        <f t="shared" ca="1" si="86"/>
        <v>1</v>
      </c>
      <c r="AP144" s="29">
        <f t="shared" ca="1" si="86"/>
        <v>2</v>
      </c>
      <c r="AQ144" s="29">
        <f t="shared" ca="1" si="86"/>
        <v>1</v>
      </c>
      <c r="AR144" s="29">
        <f t="shared" ca="1" si="86"/>
        <v>0</v>
      </c>
      <c r="AS144" s="29">
        <f t="shared" ca="1" si="86"/>
        <v>5</v>
      </c>
      <c r="AT144" s="29">
        <f t="shared" ca="1" si="86"/>
        <v>2</v>
      </c>
      <c r="AU144" s="29">
        <f t="shared" ca="1" si="86"/>
        <v>1</v>
      </c>
      <c r="AV144" s="29">
        <f t="shared" ca="1" si="89"/>
        <v>1</v>
      </c>
      <c r="AW144" s="29">
        <f t="shared" ca="1" si="89"/>
        <v>1</v>
      </c>
      <c r="AX144" s="29">
        <f t="shared" ca="1" si="89"/>
        <v>1</v>
      </c>
      <c r="AY144" s="29">
        <f t="shared" ca="1" si="89"/>
        <v>0</v>
      </c>
      <c r="AZ144" s="29">
        <f t="shared" ca="1" si="89"/>
        <v>0</v>
      </c>
      <c r="BA144" s="29">
        <f t="shared" ca="1" si="89"/>
        <v>2</v>
      </c>
      <c r="BB144" s="29">
        <f t="shared" ca="1" si="89"/>
        <v>1</v>
      </c>
      <c r="BC144" s="29">
        <f t="shared" ca="1" si="89"/>
        <v>1</v>
      </c>
      <c r="BD144" s="29">
        <f t="shared" ca="1" si="89"/>
        <v>1</v>
      </c>
      <c r="BE144" s="29">
        <f t="shared" ca="1" si="89"/>
        <v>2</v>
      </c>
      <c r="BF144" s="29">
        <f t="shared" ca="1" si="89"/>
        <v>1</v>
      </c>
      <c r="BG144" s="29">
        <f t="shared" ca="1" si="89"/>
        <v>1</v>
      </c>
      <c r="BH144" s="29">
        <f t="shared" ca="1" si="89"/>
        <v>1</v>
      </c>
      <c r="BI144" s="29">
        <f t="shared" ca="1" si="89"/>
        <v>0</v>
      </c>
      <c r="BJ144" s="29">
        <f t="shared" ca="1" si="89"/>
        <v>1</v>
      </c>
      <c r="BK144" s="29">
        <f t="shared" ca="1" si="89"/>
        <v>0</v>
      </c>
      <c r="BL144" s="29">
        <f t="shared" ca="1" si="88"/>
        <v>0</v>
      </c>
      <c r="BM144" s="29">
        <f t="shared" ca="1" si="88"/>
        <v>1</v>
      </c>
      <c r="BN144" s="29">
        <f t="shared" ca="1" si="88"/>
        <v>1</v>
      </c>
      <c r="BO144" s="29">
        <f t="shared" ca="1" si="88"/>
        <v>0</v>
      </c>
      <c r="BP144" s="29">
        <f t="shared" ca="1" si="88"/>
        <v>1</v>
      </c>
      <c r="BQ144" s="29">
        <f t="shared" ca="1" si="88"/>
        <v>0</v>
      </c>
      <c r="BR144" s="29">
        <f t="shared" ca="1" si="88"/>
        <v>1</v>
      </c>
      <c r="BS144" s="29">
        <f t="shared" ca="1" si="88"/>
        <v>0</v>
      </c>
      <c r="BT144" s="29">
        <f t="shared" ca="1" si="88"/>
        <v>2</v>
      </c>
      <c r="BU144" s="29">
        <f t="shared" ca="1" si="88"/>
        <v>1</v>
      </c>
      <c r="BV144" s="29">
        <f t="shared" ca="1" si="88"/>
        <v>1</v>
      </c>
      <c r="BW144" s="29">
        <f t="shared" ca="1" si="88"/>
        <v>2</v>
      </c>
      <c r="BX144" s="29">
        <f t="shared" ca="1" si="88"/>
        <v>1</v>
      </c>
      <c r="BY144" s="29">
        <f t="shared" ca="1" si="88"/>
        <v>0</v>
      </c>
      <c r="BZ144" s="29">
        <f t="shared" ca="1" si="88"/>
        <v>0</v>
      </c>
      <c r="CA144" s="29">
        <f t="shared" ca="1" si="85"/>
        <v>1</v>
      </c>
      <c r="CB144" s="29">
        <f t="shared" ca="1" si="85"/>
        <v>1</v>
      </c>
      <c r="CC144" s="29">
        <f t="shared" ca="1" si="85"/>
        <v>1</v>
      </c>
      <c r="CD144" s="29">
        <f t="shared" ca="1" si="85"/>
        <v>0</v>
      </c>
      <c r="CE144" s="29">
        <f t="shared" ca="1" si="85"/>
        <v>0</v>
      </c>
      <c r="CF144" s="29">
        <f t="shared" ca="1" si="85"/>
        <v>2</v>
      </c>
      <c r="CG144" s="29">
        <f t="shared" ca="1" si="85"/>
        <v>0</v>
      </c>
      <c r="CH144" s="29">
        <f t="shared" ca="1" si="85"/>
        <v>2</v>
      </c>
      <c r="CI144" s="29">
        <f t="shared" ca="1" si="85"/>
        <v>3</v>
      </c>
      <c r="CJ144" s="29">
        <f t="shared" ca="1" si="85"/>
        <v>0</v>
      </c>
      <c r="CK144" s="29">
        <f t="shared" ca="1" si="85"/>
        <v>0</v>
      </c>
      <c r="CL144" s="29">
        <f t="shared" ca="1" si="85"/>
        <v>0</v>
      </c>
      <c r="CM144" s="29">
        <f t="shared" ca="1" si="85"/>
        <v>0</v>
      </c>
      <c r="CN144" s="29">
        <f t="shared" ca="1" si="85"/>
        <v>2</v>
      </c>
      <c r="CO144" s="29">
        <f t="shared" ca="1" si="85"/>
        <v>1</v>
      </c>
      <c r="CP144" s="29">
        <f t="shared" ca="1" si="85"/>
        <v>4</v>
      </c>
      <c r="CQ144" s="29">
        <f t="shared" ca="1" si="84"/>
        <v>0</v>
      </c>
      <c r="CR144" s="29">
        <f t="shared" ca="1" si="84"/>
        <v>0</v>
      </c>
      <c r="CS144" s="29">
        <f t="shared" ca="1" si="84"/>
        <v>0</v>
      </c>
      <c r="CT144" s="29">
        <f t="shared" ca="1" si="84"/>
        <v>0</v>
      </c>
      <c r="CU144" s="29">
        <f t="shared" ca="1" si="84"/>
        <v>2</v>
      </c>
      <c r="CV144" s="29">
        <f t="shared" ca="1" si="84"/>
        <v>0</v>
      </c>
      <c r="CW144" s="29">
        <f t="shared" ca="1" si="84"/>
        <v>2</v>
      </c>
      <c r="CX144" s="29">
        <f t="shared" ca="1" si="75"/>
        <v>1</v>
      </c>
      <c r="CY144" s="29">
        <f t="shared" ca="1" si="75"/>
        <v>1</v>
      </c>
      <c r="CZ144" s="29">
        <f t="shared" ca="1" si="75"/>
        <v>1</v>
      </c>
      <c r="DA144" s="29">
        <f t="shared" ca="1" si="75"/>
        <v>0</v>
      </c>
      <c r="DB144" s="29">
        <f t="shared" ca="1" si="75"/>
        <v>0</v>
      </c>
      <c r="DC144" s="29">
        <f t="shared" ca="1" si="76"/>
        <v>0</v>
      </c>
      <c r="DD144" s="29">
        <f t="shared" ca="1" si="76"/>
        <v>1</v>
      </c>
      <c r="DE144" s="29">
        <f t="shared" ca="1" si="76"/>
        <v>0</v>
      </c>
      <c r="DF144" s="29">
        <f t="shared" ca="1" si="76"/>
        <v>1</v>
      </c>
      <c r="DG144" s="29">
        <f t="shared" ca="1" si="76"/>
        <v>1</v>
      </c>
      <c r="DH144" s="29">
        <f t="shared" ca="1" si="76"/>
        <v>1</v>
      </c>
      <c r="DI144" s="29">
        <f t="shared" ca="1" si="76"/>
        <v>0</v>
      </c>
      <c r="DJ144" s="29">
        <f t="shared" ca="1" si="76"/>
        <v>1</v>
      </c>
      <c r="DK144" s="29">
        <f t="shared" ca="1" si="76"/>
        <v>1</v>
      </c>
      <c r="DL144" s="29">
        <f t="shared" ca="1" si="76"/>
        <v>1</v>
      </c>
    </row>
    <row r="145" spans="1:116" ht="14.4" x14ac:dyDescent="0.3">
      <c r="A145" s="31">
        <v>843</v>
      </c>
      <c r="B145" s="28">
        <v>4.2</v>
      </c>
      <c r="C145" s="30">
        <v>29.55</v>
      </c>
      <c r="D145" s="28">
        <v>2.38</v>
      </c>
      <c r="E145" s="34">
        <f t="shared" si="77"/>
        <v>4.7599999999999996E-2</v>
      </c>
      <c r="F145" s="35">
        <f t="shared" si="78"/>
        <v>7.3875000000000002</v>
      </c>
      <c r="G145" s="34">
        <f t="shared" si="79"/>
        <v>59.5</v>
      </c>
      <c r="H145" s="33">
        <f t="shared" si="80"/>
        <v>12.407738095238095</v>
      </c>
      <c r="I145" s="28">
        <f t="shared" si="83"/>
        <v>344.7600000000001</v>
      </c>
      <c r="J145" s="32">
        <v>1</v>
      </c>
      <c r="K145" s="30">
        <f t="shared" si="81"/>
        <v>7.3875000000000002</v>
      </c>
      <c r="L145" s="30"/>
      <c r="M145" s="30"/>
      <c r="N145" s="30"/>
      <c r="O145" s="30"/>
      <c r="Q145" s="29">
        <f t="shared" ca="1" si="82"/>
        <v>3</v>
      </c>
      <c r="R145" s="29">
        <f t="shared" ca="1" si="87"/>
        <v>5</v>
      </c>
      <c r="S145" s="29">
        <f t="shared" ca="1" si="87"/>
        <v>2</v>
      </c>
      <c r="T145" s="29">
        <f t="shared" ca="1" si="87"/>
        <v>2</v>
      </c>
      <c r="U145" s="29">
        <f t="shared" ca="1" si="87"/>
        <v>2</v>
      </c>
      <c r="V145" s="29">
        <f t="shared" ca="1" si="87"/>
        <v>4</v>
      </c>
      <c r="W145" s="29">
        <f t="shared" ca="1" si="87"/>
        <v>1</v>
      </c>
      <c r="X145" s="29">
        <f t="shared" ca="1" si="87"/>
        <v>2</v>
      </c>
      <c r="Y145" s="29">
        <f t="shared" ca="1" si="87"/>
        <v>2</v>
      </c>
      <c r="Z145" s="29">
        <f t="shared" ca="1" si="87"/>
        <v>1</v>
      </c>
      <c r="AA145" s="29">
        <f t="shared" ca="1" si="87"/>
        <v>3</v>
      </c>
      <c r="AB145" s="29">
        <f t="shared" ca="1" si="87"/>
        <v>2</v>
      </c>
      <c r="AC145" s="29">
        <f t="shared" ca="1" si="87"/>
        <v>0</v>
      </c>
      <c r="AD145" s="29">
        <f t="shared" ca="1" si="87"/>
        <v>6</v>
      </c>
      <c r="AE145" s="29">
        <f t="shared" ca="1" si="87"/>
        <v>2</v>
      </c>
      <c r="AF145" s="29">
        <f t="shared" ca="1" si="87"/>
        <v>2</v>
      </c>
      <c r="AG145" s="29">
        <f t="shared" ca="1" si="86"/>
        <v>1</v>
      </c>
      <c r="AH145" s="29">
        <f t="shared" ca="1" si="86"/>
        <v>2</v>
      </c>
      <c r="AI145" s="29">
        <f t="shared" ca="1" si="86"/>
        <v>3</v>
      </c>
      <c r="AJ145" s="29">
        <f t="shared" ca="1" si="86"/>
        <v>4</v>
      </c>
      <c r="AK145" s="29">
        <f t="shared" ca="1" si="86"/>
        <v>1</v>
      </c>
      <c r="AL145" s="29">
        <f t="shared" ca="1" si="86"/>
        <v>2</v>
      </c>
      <c r="AM145" s="29">
        <f t="shared" ca="1" si="86"/>
        <v>4</v>
      </c>
      <c r="AN145" s="29">
        <f t="shared" ca="1" si="86"/>
        <v>1</v>
      </c>
      <c r="AO145" s="29">
        <f t="shared" ca="1" si="86"/>
        <v>4</v>
      </c>
      <c r="AP145" s="29">
        <f t="shared" ca="1" si="86"/>
        <v>0</v>
      </c>
      <c r="AQ145" s="29">
        <f t="shared" ca="1" si="86"/>
        <v>4</v>
      </c>
      <c r="AR145" s="29">
        <f t="shared" ca="1" si="86"/>
        <v>3</v>
      </c>
      <c r="AS145" s="29">
        <f t="shared" ca="1" si="86"/>
        <v>1</v>
      </c>
      <c r="AT145" s="29">
        <f t="shared" ca="1" si="86"/>
        <v>2</v>
      </c>
      <c r="AU145" s="29">
        <f t="shared" ca="1" si="86"/>
        <v>3</v>
      </c>
      <c r="AV145" s="29">
        <f t="shared" ca="1" si="89"/>
        <v>2</v>
      </c>
      <c r="AW145" s="29">
        <f t="shared" ca="1" si="89"/>
        <v>0</v>
      </c>
      <c r="AX145" s="29">
        <f t="shared" ca="1" si="89"/>
        <v>3</v>
      </c>
      <c r="AY145" s="29">
        <f t="shared" ca="1" si="89"/>
        <v>5</v>
      </c>
      <c r="AZ145" s="29">
        <f t="shared" ca="1" si="89"/>
        <v>0</v>
      </c>
      <c r="BA145" s="29">
        <f t="shared" ca="1" si="89"/>
        <v>2</v>
      </c>
      <c r="BB145" s="29">
        <f t="shared" ca="1" si="89"/>
        <v>2</v>
      </c>
      <c r="BC145" s="29">
        <f t="shared" ca="1" si="89"/>
        <v>4</v>
      </c>
      <c r="BD145" s="29">
        <f t="shared" ca="1" si="89"/>
        <v>3</v>
      </c>
      <c r="BE145" s="29">
        <f t="shared" ca="1" si="89"/>
        <v>5</v>
      </c>
      <c r="BF145" s="29">
        <f t="shared" ca="1" si="89"/>
        <v>4</v>
      </c>
      <c r="BG145" s="29">
        <f t="shared" ca="1" si="89"/>
        <v>3</v>
      </c>
      <c r="BH145" s="29">
        <f t="shared" ca="1" si="89"/>
        <v>1</v>
      </c>
      <c r="BI145" s="29">
        <f t="shared" ca="1" si="89"/>
        <v>1</v>
      </c>
      <c r="BJ145" s="29">
        <f t="shared" ca="1" si="89"/>
        <v>0</v>
      </c>
      <c r="BK145" s="29">
        <f t="shared" ca="1" si="89"/>
        <v>0</v>
      </c>
      <c r="BL145" s="29">
        <f t="shared" ca="1" si="88"/>
        <v>2</v>
      </c>
      <c r="BM145" s="29">
        <f t="shared" ca="1" si="88"/>
        <v>2</v>
      </c>
      <c r="BN145" s="29">
        <f t="shared" ca="1" si="88"/>
        <v>1</v>
      </c>
      <c r="BO145" s="29">
        <f t="shared" ca="1" si="88"/>
        <v>3</v>
      </c>
      <c r="BP145" s="29">
        <f t="shared" ca="1" si="88"/>
        <v>0</v>
      </c>
      <c r="BQ145" s="29">
        <f t="shared" ca="1" si="88"/>
        <v>0</v>
      </c>
      <c r="BR145" s="29">
        <f t="shared" ca="1" si="88"/>
        <v>1</v>
      </c>
      <c r="BS145" s="29">
        <f t="shared" ca="1" si="88"/>
        <v>1</v>
      </c>
      <c r="BT145" s="29">
        <f t="shared" ca="1" si="88"/>
        <v>6</v>
      </c>
      <c r="BU145" s="29">
        <f t="shared" ca="1" si="88"/>
        <v>2</v>
      </c>
      <c r="BV145" s="29">
        <f t="shared" ca="1" si="88"/>
        <v>3</v>
      </c>
      <c r="BW145" s="29">
        <f t="shared" ca="1" si="88"/>
        <v>5</v>
      </c>
      <c r="BX145" s="29">
        <f t="shared" ca="1" si="88"/>
        <v>0</v>
      </c>
      <c r="BY145" s="29">
        <f t="shared" ca="1" si="88"/>
        <v>5</v>
      </c>
      <c r="BZ145" s="29">
        <f t="shared" ca="1" si="88"/>
        <v>1</v>
      </c>
      <c r="CA145" s="29">
        <f t="shared" ca="1" si="85"/>
        <v>0</v>
      </c>
      <c r="CB145" s="29">
        <f t="shared" ca="1" si="85"/>
        <v>1</v>
      </c>
      <c r="CC145" s="29">
        <f t="shared" ca="1" si="85"/>
        <v>0</v>
      </c>
      <c r="CD145" s="29">
        <f t="shared" ca="1" si="85"/>
        <v>0</v>
      </c>
      <c r="CE145" s="29">
        <f t="shared" ca="1" si="85"/>
        <v>1</v>
      </c>
      <c r="CF145" s="29">
        <f t="shared" ca="1" si="85"/>
        <v>0</v>
      </c>
      <c r="CG145" s="29">
        <f t="shared" ca="1" si="85"/>
        <v>3</v>
      </c>
      <c r="CH145" s="29">
        <f t="shared" ca="1" si="85"/>
        <v>3</v>
      </c>
      <c r="CI145" s="29">
        <f t="shared" ca="1" si="85"/>
        <v>2</v>
      </c>
      <c r="CJ145" s="29">
        <f t="shared" ca="1" si="85"/>
        <v>1</v>
      </c>
      <c r="CK145" s="29">
        <f t="shared" ca="1" si="85"/>
        <v>2</v>
      </c>
      <c r="CL145" s="29">
        <f t="shared" ca="1" si="85"/>
        <v>3</v>
      </c>
      <c r="CM145" s="29">
        <f t="shared" ca="1" si="85"/>
        <v>0</v>
      </c>
      <c r="CN145" s="29">
        <f t="shared" ca="1" si="85"/>
        <v>2</v>
      </c>
      <c r="CO145" s="29">
        <f t="shared" ca="1" si="85"/>
        <v>3</v>
      </c>
      <c r="CP145" s="29">
        <f t="shared" ca="1" si="85"/>
        <v>3</v>
      </c>
      <c r="CQ145" s="29">
        <f t="shared" ca="1" si="84"/>
        <v>1</v>
      </c>
      <c r="CR145" s="29">
        <f t="shared" ca="1" si="84"/>
        <v>1</v>
      </c>
      <c r="CS145" s="29">
        <f t="shared" ca="1" si="84"/>
        <v>5</v>
      </c>
      <c r="CT145" s="29">
        <f t="shared" ca="1" si="84"/>
        <v>0</v>
      </c>
      <c r="CU145" s="29">
        <f t="shared" ca="1" si="84"/>
        <v>1</v>
      </c>
      <c r="CV145" s="29">
        <f t="shared" ca="1" si="84"/>
        <v>4</v>
      </c>
      <c r="CW145" s="29">
        <f t="shared" ca="1" si="84"/>
        <v>1</v>
      </c>
      <c r="CX145" s="29">
        <f t="shared" ca="1" si="75"/>
        <v>0</v>
      </c>
      <c r="CY145" s="29">
        <f t="shared" ca="1" si="75"/>
        <v>0</v>
      </c>
      <c r="CZ145" s="29">
        <f t="shared" ca="1" si="75"/>
        <v>7</v>
      </c>
      <c r="DA145" s="29">
        <f t="shared" ca="1" si="75"/>
        <v>2</v>
      </c>
      <c r="DB145" s="29">
        <f t="shared" ca="1" si="75"/>
        <v>2</v>
      </c>
      <c r="DC145" s="29">
        <f t="shared" ca="1" si="76"/>
        <v>3</v>
      </c>
      <c r="DD145" s="29">
        <f t="shared" ca="1" si="76"/>
        <v>2</v>
      </c>
      <c r="DE145" s="29">
        <f t="shared" ca="1" si="76"/>
        <v>4</v>
      </c>
      <c r="DF145" s="29">
        <f t="shared" ca="1" si="76"/>
        <v>1</v>
      </c>
      <c r="DG145" s="29">
        <f t="shared" ca="1" si="76"/>
        <v>2</v>
      </c>
      <c r="DH145" s="29">
        <f t="shared" ca="1" si="76"/>
        <v>1</v>
      </c>
      <c r="DI145" s="29">
        <f t="shared" ca="1" si="76"/>
        <v>1</v>
      </c>
      <c r="DJ145" s="29">
        <f t="shared" ca="1" si="76"/>
        <v>3</v>
      </c>
      <c r="DK145" s="29">
        <f t="shared" ca="1" si="76"/>
        <v>4</v>
      </c>
      <c r="DL145" s="29">
        <f t="shared" ca="1" si="76"/>
        <v>1</v>
      </c>
    </row>
    <row r="146" spans="1:116" ht="14.4" x14ac:dyDescent="0.3">
      <c r="A146" s="31">
        <v>1115</v>
      </c>
      <c r="B146" s="28">
        <v>1.62</v>
      </c>
      <c r="C146" s="30">
        <v>77.849999999999994</v>
      </c>
      <c r="D146" s="28">
        <v>1.58</v>
      </c>
      <c r="E146" s="34">
        <f t="shared" si="77"/>
        <v>3.1600000000000003E-2</v>
      </c>
      <c r="F146" s="35">
        <f t="shared" si="78"/>
        <v>19.462499999999999</v>
      </c>
      <c r="G146" s="34">
        <f t="shared" si="79"/>
        <v>39.5</v>
      </c>
      <c r="H146" s="33">
        <f t="shared" si="80"/>
        <v>12.368827160493828</v>
      </c>
      <c r="I146" s="28">
        <f t="shared" si="83"/>
        <v>346.38000000000011</v>
      </c>
      <c r="J146" s="32">
        <v>1</v>
      </c>
      <c r="K146" s="30">
        <f t="shared" si="81"/>
        <v>19.462499999999999</v>
      </c>
      <c r="L146" s="30"/>
      <c r="M146" s="30"/>
      <c r="N146" s="30"/>
      <c r="O146" s="30"/>
      <c r="Q146" s="29">
        <f t="shared" ca="1" si="82"/>
        <v>2</v>
      </c>
      <c r="R146" s="29">
        <f t="shared" ca="1" si="87"/>
        <v>1</v>
      </c>
      <c r="S146" s="29">
        <f t="shared" ca="1" si="87"/>
        <v>1</v>
      </c>
      <c r="T146" s="29">
        <f t="shared" ca="1" si="87"/>
        <v>2</v>
      </c>
      <c r="U146" s="29">
        <f t="shared" ca="1" si="87"/>
        <v>2</v>
      </c>
      <c r="V146" s="29">
        <f t="shared" ca="1" si="87"/>
        <v>2</v>
      </c>
      <c r="W146" s="29">
        <f t="shared" ca="1" si="87"/>
        <v>4</v>
      </c>
      <c r="X146" s="29">
        <f t="shared" ca="1" si="87"/>
        <v>1</v>
      </c>
      <c r="Y146" s="29">
        <f t="shared" ca="1" si="87"/>
        <v>2</v>
      </c>
      <c r="Z146" s="29">
        <f t="shared" ca="1" si="87"/>
        <v>1</v>
      </c>
      <c r="AA146" s="29">
        <f t="shared" ca="1" si="87"/>
        <v>1</v>
      </c>
      <c r="AB146" s="29">
        <f t="shared" ca="1" si="87"/>
        <v>2</v>
      </c>
      <c r="AC146" s="29">
        <f t="shared" ca="1" si="87"/>
        <v>0</v>
      </c>
      <c r="AD146" s="29">
        <f t="shared" ca="1" si="87"/>
        <v>2</v>
      </c>
      <c r="AE146" s="29">
        <f t="shared" ca="1" si="87"/>
        <v>2</v>
      </c>
      <c r="AF146" s="29">
        <f t="shared" ca="1" si="87"/>
        <v>0</v>
      </c>
      <c r="AG146" s="29">
        <f t="shared" ca="1" si="86"/>
        <v>2</v>
      </c>
      <c r="AH146" s="29">
        <f t="shared" ca="1" si="86"/>
        <v>2</v>
      </c>
      <c r="AI146" s="29">
        <f t="shared" ca="1" si="86"/>
        <v>0</v>
      </c>
      <c r="AJ146" s="29">
        <f t="shared" ca="1" si="86"/>
        <v>2</v>
      </c>
      <c r="AK146" s="29">
        <f t="shared" ca="1" si="86"/>
        <v>0</v>
      </c>
      <c r="AL146" s="29">
        <f t="shared" ca="1" si="86"/>
        <v>1</v>
      </c>
      <c r="AM146" s="29">
        <f t="shared" ca="1" si="86"/>
        <v>4</v>
      </c>
      <c r="AN146" s="29">
        <f t="shared" ca="1" si="86"/>
        <v>2</v>
      </c>
      <c r="AO146" s="29">
        <f t="shared" ca="1" si="86"/>
        <v>0</v>
      </c>
      <c r="AP146" s="29">
        <f t="shared" ca="1" si="86"/>
        <v>0</v>
      </c>
      <c r="AQ146" s="29">
        <f t="shared" ca="1" si="86"/>
        <v>2</v>
      </c>
      <c r="AR146" s="29">
        <f t="shared" ca="1" si="86"/>
        <v>1</v>
      </c>
      <c r="AS146" s="29">
        <f t="shared" ca="1" si="86"/>
        <v>1</v>
      </c>
      <c r="AT146" s="29">
        <f t="shared" ca="1" si="86"/>
        <v>1</v>
      </c>
      <c r="AU146" s="29">
        <f t="shared" ca="1" si="86"/>
        <v>2</v>
      </c>
      <c r="AV146" s="29">
        <f t="shared" ca="1" si="89"/>
        <v>0</v>
      </c>
      <c r="AW146" s="29">
        <f t="shared" ca="1" si="89"/>
        <v>1</v>
      </c>
      <c r="AX146" s="29">
        <f t="shared" ca="1" si="89"/>
        <v>5</v>
      </c>
      <c r="AY146" s="29">
        <f t="shared" ca="1" si="89"/>
        <v>1</v>
      </c>
      <c r="AZ146" s="29">
        <f t="shared" ca="1" si="89"/>
        <v>2</v>
      </c>
      <c r="BA146" s="29">
        <f t="shared" ca="1" si="89"/>
        <v>1</v>
      </c>
      <c r="BB146" s="29">
        <f t="shared" ca="1" si="89"/>
        <v>2</v>
      </c>
      <c r="BC146" s="29">
        <f t="shared" ca="1" si="89"/>
        <v>1</v>
      </c>
      <c r="BD146" s="29">
        <f t="shared" ca="1" si="89"/>
        <v>3</v>
      </c>
      <c r="BE146" s="29">
        <f t="shared" ca="1" si="89"/>
        <v>1</v>
      </c>
      <c r="BF146" s="29">
        <f t="shared" ca="1" si="89"/>
        <v>3</v>
      </c>
      <c r="BG146" s="29">
        <f t="shared" ca="1" si="89"/>
        <v>1</v>
      </c>
      <c r="BH146" s="29">
        <f t="shared" ca="1" si="89"/>
        <v>1</v>
      </c>
      <c r="BI146" s="29">
        <f t="shared" ca="1" si="89"/>
        <v>0</v>
      </c>
      <c r="BJ146" s="29">
        <f t="shared" ca="1" si="89"/>
        <v>1</v>
      </c>
      <c r="BK146" s="29">
        <f t="shared" ca="1" si="89"/>
        <v>2</v>
      </c>
      <c r="BL146" s="29">
        <f t="shared" ca="1" si="88"/>
        <v>4</v>
      </c>
      <c r="BM146" s="29">
        <f t="shared" ca="1" si="88"/>
        <v>2</v>
      </c>
      <c r="BN146" s="29">
        <f t="shared" ca="1" si="88"/>
        <v>5</v>
      </c>
      <c r="BO146" s="29">
        <f t="shared" ca="1" si="88"/>
        <v>2</v>
      </c>
      <c r="BP146" s="29">
        <f t="shared" ca="1" si="88"/>
        <v>1</v>
      </c>
      <c r="BQ146" s="29">
        <f t="shared" ca="1" si="88"/>
        <v>2</v>
      </c>
      <c r="BR146" s="29">
        <f t="shared" ca="1" si="88"/>
        <v>3</v>
      </c>
      <c r="BS146" s="29">
        <f t="shared" ca="1" si="88"/>
        <v>1</v>
      </c>
      <c r="BT146" s="29">
        <f t="shared" ca="1" si="88"/>
        <v>2</v>
      </c>
      <c r="BU146" s="29">
        <f t="shared" ca="1" si="88"/>
        <v>2</v>
      </c>
      <c r="BV146" s="29">
        <f t="shared" ca="1" si="88"/>
        <v>1</v>
      </c>
      <c r="BW146" s="29">
        <f t="shared" ca="1" si="88"/>
        <v>2</v>
      </c>
      <c r="BX146" s="29">
        <f t="shared" ca="1" si="88"/>
        <v>2</v>
      </c>
      <c r="BY146" s="29">
        <f t="shared" ca="1" si="88"/>
        <v>3</v>
      </c>
      <c r="BZ146" s="29">
        <f t="shared" ca="1" si="88"/>
        <v>3</v>
      </c>
      <c r="CA146" s="29">
        <f t="shared" ca="1" si="85"/>
        <v>2</v>
      </c>
      <c r="CB146" s="29">
        <f t="shared" ca="1" si="85"/>
        <v>0</v>
      </c>
      <c r="CC146" s="29">
        <f t="shared" ca="1" si="85"/>
        <v>1</v>
      </c>
      <c r="CD146" s="29">
        <f t="shared" ca="1" si="85"/>
        <v>2</v>
      </c>
      <c r="CE146" s="29">
        <f t="shared" ca="1" si="85"/>
        <v>1</v>
      </c>
      <c r="CF146" s="29">
        <f t="shared" ca="1" si="85"/>
        <v>1</v>
      </c>
      <c r="CG146" s="29">
        <f t="shared" ca="1" si="85"/>
        <v>1</v>
      </c>
      <c r="CH146" s="29">
        <f t="shared" ca="1" si="85"/>
        <v>2</v>
      </c>
      <c r="CI146" s="29">
        <f t="shared" ca="1" si="85"/>
        <v>2</v>
      </c>
      <c r="CJ146" s="29">
        <f t="shared" ca="1" si="85"/>
        <v>6</v>
      </c>
      <c r="CK146" s="29">
        <f t="shared" ca="1" si="85"/>
        <v>0</v>
      </c>
      <c r="CL146" s="29">
        <f t="shared" ca="1" si="85"/>
        <v>2</v>
      </c>
      <c r="CM146" s="29">
        <f t="shared" ca="1" si="85"/>
        <v>3</v>
      </c>
      <c r="CN146" s="29">
        <f t="shared" ca="1" si="85"/>
        <v>1</v>
      </c>
      <c r="CO146" s="29">
        <f t="shared" ca="1" si="85"/>
        <v>1</v>
      </c>
      <c r="CP146" s="29">
        <f t="shared" ca="1" si="85"/>
        <v>2</v>
      </c>
      <c r="CQ146" s="29">
        <f t="shared" ca="1" si="84"/>
        <v>1</v>
      </c>
      <c r="CR146" s="29">
        <f t="shared" ca="1" si="84"/>
        <v>0</v>
      </c>
      <c r="CS146" s="29">
        <f t="shared" ca="1" si="84"/>
        <v>1</v>
      </c>
      <c r="CT146" s="29">
        <f t="shared" ca="1" si="84"/>
        <v>2</v>
      </c>
      <c r="CU146" s="29">
        <f t="shared" ca="1" si="84"/>
        <v>1</v>
      </c>
      <c r="CV146" s="29">
        <f t="shared" ca="1" si="84"/>
        <v>1</v>
      </c>
      <c r="CW146" s="29">
        <f t="shared" ca="1" si="84"/>
        <v>2</v>
      </c>
      <c r="CX146" s="29">
        <f t="shared" ca="1" si="75"/>
        <v>3</v>
      </c>
      <c r="CY146" s="29">
        <f t="shared" ca="1" si="75"/>
        <v>2</v>
      </c>
      <c r="CZ146" s="29">
        <f t="shared" ca="1" si="75"/>
        <v>0</v>
      </c>
      <c r="DA146" s="29">
        <f t="shared" ca="1" si="75"/>
        <v>1</v>
      </c>
      <c r="DB146" s="29">
        <f t="shared" ca="1" si="75"/>
        <v>2</v>
      </c>
      <c r="DC146" s="29">
        <f t="shared" ca="1" si="76"/>
        <v>1</v>
      </c>
      <c r="DD146" s="29">
        <f t="shared" ca="1" si="76"/>
        <v>3</v>
      </c>
      <c r="DE146" s="29">
        <f t="shared" ca="1" si="76"/>
        <v>0</v>
      </c>
      <c r="DF146" s="29">
        <f t="shared" ca="1" si="76"/>
        <v>2</v>
      </c>
      <c r="DG146" s="29">
        <f t="shared" ca="1" si="76"/>
        <v>1</v>
      </c>
      <c r="DH146" s="29">
        <f t="shared" ca="1" si="76"/>
        <v>1</v>
      </c>
      <c r="DI146" s="29">
        <f t="shared" ca="1" si="76"/>
        <v>0</v>
      </c>
      <c r="DJ146" s="29">
        <f t="shared" ca="1" si="76"/>
        <v>1</v>
      </c>
      <c r="DK146" s="29">
        <f t="shared" ca="1" si="76"/>
        <v>3</v>
      </c>
      <c r="DL146" s="29">
        <f t="shared" ca="1" si="76"/>
        <v>0</v>
      </c>
    </row>
    <row r="147" spans="1:116" ht="14.4" x14ac:dyDescent="0.3">
      <c r="A147" s="31">
        <v>844</v>
      </c>
      <c r="B147" s="28">
        <v>3.76</v>
      </c>
      <c r="C147" s="30">
        <v>44.52</v>
      </c>
      <c r="D147" s="28">
        <v>2.2999999999999998</v>
      </c>
      <c r="E147" s="34">
        <f t="shared" si="77"/>
        <v>4.5999999999999999E-2</v>
      </c>
      <c r="F147" s="35">
        <f t="shared" si="78"/>
        <v>11.13</v>
      </c>
      <c r="G147" s="34">
        <f t="shared" si="79"/>
        <v>57.499999999999993</v>
      </c>
      <c r="H147" s="33">
        <f t="shared" si="80"/>
        <v>12.332446808510637</v>
      </c>
      <c r="I147" s="28">
        <f t="shared" si="83"/>
        <v>350.1400000000001</v>
      </c>
      <c r="J147" s="32">
        <v>1</v>
      </c>
      <c r="K147" s="30">
        <f t="shared" si="81"/>
        <v>11.13</v>
      </c>
      <c r="L147" s="30"/>
      <c r="M147" s="30"/>
      <c r="N147" s="30"/>
      <c r="O147" s="30"/>
      <c r="Q147" s="29">
        <f t="shared" ca="1" si="82"/>
        <v>3</v>
      </c>
      <c r="R147" s="29">
        <f t="shared" ca="1" si="87"/>
        <v>4</v>
      </c>
      <c r="S147" s="29">
        <f t="shared" ca="1" si="87"/>
        <v>5</v>
      </c>
      <c r="T147" s="29">
        <f t="shared" ca="1" si="87"/>
        <v>2</v>
      </c>
      <c r="U147" s="29">
        <f t="shared" ca="1" si="87"/>
        <v>2</v>
      </c>
      <c r="V147" s="29">
        <f t="shared" ca="1" si="87"/>
        <v>3</v>
      </c>
      <c r="W147" s="29">
        <f t="shared" ca="1" si="87"/>
        <v>0</v>
      </c>
      <c r="X147" s="29">
        <f t="shared" ca="1" si="87"/>
        <v>3</v>
      </c>
      <c r="Y147" s="29">
        <f t="shared" ca="1" si="87"/>
        <v>5</v>
      </c>
      <c r="Z147" s="29">
        <f t="shared" ca="1" si="87"/>
        <v>1</v>
      </c>
      <c r="AA147" s="29">
        <f t="shared" ca="1" si="87"/>
        <v>1</v>
      </c>
      <c r="AB147" s="29">
        <f t="shared" ca="1" si="87"/>
        <v>4</v>
      </c>
      <c r="AC147" s="29">
        <f t="shared" ca="1" si="87"/>
        <v>2</v>
      </c>
      <c r="AD147" s="29">
        <f t="shared" ca="1" si="87"/>
        <v>2</v>
      </c>
      <c r="AE147" s="29">
        <f t="shared" ca="1" si="87"/>
        <v>2</v>
      </c>
      <c r="AF147" s="29">
        <f t="shared" ca="1" si="87"/>
        <v>0</v>
      </c>
      <c r="AG147" s="29">
        <f t="shared" ca="1" si="86"/>
        <v>3</v>
      </c>
      <c r="AH147" s="29">
        <f t="shared" ca="1" si="86"/>
        <v>0</v>
      </c>
      <c r="AI147" s="29">
        <f t="shared" ca="1" si="86"/>
        <v>3</v>
      </c>
      <c r="AJ147" s="29">
        <f t="shared" ca="1" si="86"/>
        <v>1</v>
      </c>
      <c r="AK147" s="29">
        <f t="shared" ca="1" si="86"/>
        <v>4</v>
      </c>
      <c r="AL147" s="29">
        <f t="shared" ca="1" si="86"/>
        <v>1</v>
      </c>
      <c r="AM147" s="29">
        <f t="shared" ca="1" si="86"/>
        <v>2</v>
      </c>
      <c r="AN147" s="29">
        <f t="shared" ca="1" si="86"/>
        <v>1</v>
      </c>
      <c r="AO147" s="29">
        <f t="shared" ca="1" si="86"/>
        <v>2</v>
      </c>
      <c r="AP147" s="29">
        <f t="shared" ca="1" si="86"/>
        <v>6</v>
      </c>
      <c r="AQ147" s="29">
        <f t="shared" ca="1" si="86"/>
        <v>2</v>
      </c>
      <c r="AR147" s="29">
        <f t="shared" ca="1" si="86"/>
        <v>3</v>
      </c>
      <c r="AS147" s="29">
        <f t="shared" ca="1" si="86"/>
        <v>4</v>
      </c>
      <c r="AT147" s="29">
        <f t="shared" ca="1" si="86"/>
        <v>2</v>
      </c>
      <c r="AU147" s="29">
        <f t="shared" ca="1" si="86"/>
        <v>0</v>
      </c>
      <c r="AV147" s="29">
        <f t="shared" ca="1" si="89"/>
        <v>3</v>
      </c>
      <c r="AW147" s="29">
        <f t="shared" ca="1" si="89"/>
        <v>4</v>
      </c>
      <c r="AX147" s="29">
        <f t="shared" ca="1" si="89"/>
        <v>4</v>
      </c>
      <c r="AY147" s="29">
        <f t="shared" ca="1" si="89"/>
        <v>3</v>
      </c>
      <c r="AZ147" s="29">
        <f t="shared" ca="1" si="89"/>
        <v>1</v>
      </c>
      <c r="BA147" s="29">
        <f t="shared" ca="1" si="89"/>
        <v>5</v>
      </c>
      <c r="BB147" s="29">
        <f t="shared" ca="1" si="89"/>
        <v>5</v>
      </c>
      <c r="BC147" s="29">
        <f t="shared" ca="1" si="89"/>
        <v>4</v>
      </c>
      <c r="BD147" s="29">
        <f t="shared" ca="1" si="89"/>
        <v>4</v>
      </c>
      <c r="BE147" s="29">
        <f t="shared" ca="1" si="89"/>
        <v>2</v>
      </c>
      <c r="BF147" s="29">
        <f t="shared" ca="1" si="89"/>
        <v>2</v>
      </c>
      <c r="BG147" s="29">
        <f t="shared" ca="1" si="89"/>
        <v>1</v>
      </c>
      <c r="BH147" s="29">
        <f t="shared" ca="1" si="89"/>
        <v>0</v>
      </c>
      <c r="BI147" s="29">
        <f t="shared" ca="1" si="89"/>
        <v>4</v>
      </c>
      <c r="BJ147" s="29">
        <f t="shared" ca="1" si="89"/>
        <v>0</v>
      </c>
      <c r="BK147" s="29">
        <f t="shared" ca="1" si="89"/>
        <v>4</v>
      </c>
      <c r="BL147" s="29">
        <f t="shared" ca="1" si="88"/>
        <v>3</v>
      </c>
      <c r="BM147" s="29">
        <f t="shared" ca="1" si="88"/>
        <v>2</v>
      </c>
      <c r="BN147" s="29">
        <f t="shared" ca="1" si="88"/>
        <v>0</v>
      </c>
      <c r="BO147" s="29">
        <f t="shared" ca="1" si="88"/>
        <v>5</v>
      </c>
      <c r="BP147" s="29">
        <f t="shared" ca="1" si="88"/>
        <v>4</v>
      </c>
      <c r="BQ147" s="29">
        <f t="shared" ca="1" si="88"/>
        <v>2</v>
      </c>
      <c r="BR147" s="29">
        <f t="shared" ca="1" si="88"/>
        <v>1</v>
      </c>
      <c r="BS147" s="29">
        <f t="shared" ca="1" si="88"/>
        <v>4</v>
      </c>
      <c r="BT147" s="29">
        <f t="shared" ca="1" si="88"/>
        <v>3</v>
      </c>
      <c r="BU147" s="29">
        <f t="shared" ca="1" si="88"/>
        <v>2</v>
      </c>
      <c r="BV147" s="29">
        <f t="shared" ca="1" si="88"/>
        <v>2</v>
      </c>
      <c r="BW147" s="29">
        <f t="shared" ca="1" si="88"/>
        <v>4</v>
      </c>
      <c r="BX147" s="29">
        <f t="shared" ca="1" si="88"/>
        <v>1</v>
      </c>
      <c r="BY147" s="29">
        <f t="shared" ca="1" si="88"/>
        <v>0</v>
      </c>
      <c r="BZ147" s="29">
        <f t="shared" ca="1" si="88"/>
        <v>1</v>
      </c>
      <c r="CA147" s="29">
        <f t="shared" ca="1" si="85"/>
        <v>4</v>
      </c>
      <c r="CB147" s="29">
        <f t="shared" ca="1" si="85"/>
        <v>4</v>
      </c>
      <c r="CC147" s="29">
        <f t="shared" ca="1" si="85"/>
        <v>2</v>
      </c>
      <c r="CD147" s="29">
        <f t="shared" ca="1" si="85"/>
        <v>0</v>
      </c>
      <c r="CE147" s="29">
        <f t="shared" ca="1" si="85"/>
        <v>3</v>
      </c>
      <c r="CF147" s="29">
        <f t="shared" ca="1" si="85"/>
        <v>5</v>
      </c>
      <c r="CG147" s="29">
        <f t="shared" ca="1" si="85"/>
        <v>1</v>
      </c>
      <c r="CH147" s="29">
        <f t="shared" ca="1" si="85"/>
        <v>2</v>
      </c>
      <c r="CI147" s="29">
        <f t="shared" ca="1" si="85"/>
        <v>2</v>
      </c>
      <c r="CJ147" s="29">
        <f t="shared" ca="1" si="85"/>
        <v>2</v>
      </c>
      <c r="CK147" s="29">
        <f t="shared" ca="1" si="85"/>
        <v>2</v>
      </c>
      <c r="CL147" s="29">
        <f t="shared" ca="1" si="85"/>
        <v>3</v>
      </c>
      <c r="CM147" s="29">
        <f t="shared" ca="1" si="85"/>
        <v>2</v>
      </c>
      <c r="CN147" s="29">
        <f t="shared" ca="1" si="85"/>
        <v>1</v>
      </c>
      <c r="CO147" s="29">
        <f t="shared" ca="1" si="85"/>
        <v>2</v>
      </c>
      <c r="CP147" s="29">
        <f t="shared" ca="1" si="85"/>
        <v>3</v>
      </c>
      <c r="CQ147" s="29">
        <f t="shared" ca="1" si="84"/>
        <v>2</v>
      </c>
      <c r="CR147" s="29">
        <f t="shared" ca="1" si="84"/>
        <v>3</v>
      </c>
      <c r="CS147" s="29">
        <f t="shared" ca="1" si="84"/>
        <v>3</v>
      </c>
      <c r="CT147" s="29">
        <f t="shared" ca="1" si="84"/>
        <v>3</v>
      </c>
      <c r="CU147" s="29">
        <f t="shared" ca="1" si="84"/>
        <v>1</v>
      </c>
      <c r="CV147" s="29">
        <f t="shared" ca="1" si="84"/>
        <v>1</v>
      </c>
      <c r="CW147" s="29">
        <f t="shared" ca="1" si="84"/>
        <v>0</v>
      </c>
      <c r="CX147" s="29">
        <f t="shared" ca="1" si="75"/>
        <v>2</v>
      </c>
      <c r="CY147" s="29">
        <f t="shared" ca="1" si="75"/>
        <v>6</v>
      </c>
      <c r="CZ147" s="29">
        <f t="shared" ca="1" si="75"/>
        <v>2</v>
      </c>
      <c r="DA147" s="29">
        <f t="shared" ca="1" si="75"/>
        <v>3</v>
      </c>
      <c r="DB147" s="29">
        <f t="shared" ca="1" si="75"/>
        <v>4</v>
      </c>
      <c r="DC147" s="29">
        <f t="shared" ca="1" si="76"/>
        <v>2</v>
      </c>
      <c r="DD147" s="29">
        <f t="shared" ca="1" si="76"/>
        <v>6</v>
      </c>
      <c r="DE147" s="29">
        <f t="shared" ca="1" si="76"/>
        <v>3</v>
      </c>
      <c r="DF147" s="29">
        <f t="shared" ca="1" si="76"/>
        <v>3</v>
      </c>
      <c r="DG147" s="29">
        <f t="shared" ca="1" si="76"/>
        <v>2</v>
      </c>
      <c r="DH147" s="29">
        <f t="shared" ca="1" si="76"/>
        <v>0</v>
      </c>
      <c r="DI147" s="29">
        <f t="shared" ca="1" si="76"/>
        <v>1</v>
      </c>
      <c r="DJ147" s="29">
        <f t="shared" ca="1" si="76"/>
        <v>1</v>
      </c>
      <c r="DK147" s="29">
        <f t="shared" ca="1" si="76"/>
        <v>3</v>
      </c>
      <c r="DL147" s="29">
        <f t="shared" ca="1" si="76"/>
        <v>1</v>
      </c>
    </row>
    <row r="148" spans="1:116" ht="14.4" x14ac:dyDescent="0.3">
      <c r="A148" s="31">
        <v>25</v>
      </c>
      <c r="B148" s="28">
        <v>4.08</v>
      </c>
      <c r="C148" s="30">
        <v>62.08</v>
      </c>
      <c r="D148" s="28">
        <v>2.63</v>
      </c>
      <c r="E148" s="34">
        <f t="shared" si="77"/>
        <v>5.2600000000000001E-2</v>
      </c>
      <c r="F148" s="35">
        <f t="shared" si="78"/>
        <v>15.52</v>
      </c>
      <c r="G148" s="34">
        <f t="shared" si="79"/>
        <v>65.75</v>
      </c>
      <c r="H148" s="33">
        <f t="shared" si="80"/>
        <v>12.311274509803923</v>
      </c>
      <c r="I148" s="28">
        <f t="shared" si="83"/>
        <v>354.22000000000008</v>
      </c>
      <c r="J148" s="32">
        <v>1</v>
      </c>
      <c r="K148" s="30">
        <f t="shared" si="81"/>
        <v>15.52</v>
      </c>
      <c r="L148" s="30"/>
      <c r="M148" s="30"/>
      <c r="N148" s="30"/>
      <c r="O148" s="30"/>
      <c r="Q148" s="29">
        <f t="shared" ca="1" si="82"/>
        <v>1</v>
      </c>
      <c r="R148" s="29">
        <f t="shared" ca="1" si="87"/>
        <v>2</v>
      </c>
      <c r="S148" s="29">
        <f t="shared" ca="1" si="87"/>
        <v>0</v>
      </c>
      <c r="T148" s="29">
        <f t="shared" ca="1" si="87"/>
        <v>3</v>
      </c>
      <c r="U148" s="29">
        <f t="shared" ca="1" si="87"/>
        <v>0</v>
      </c>
      <c r="V148" s="29">
        <f t="shared" ca="1" si="87"/>
        <v>0</v>
      </c>
      <c r="W148" s="29">
        <f t="shared" ca="1" si="87"/>
        <v>1</v>
      </c>
      <c r="X148" s="29">
        <f t="shared" ca="1" si="87"/>
        <v>3</v>
      </c>
      <c r="Y148" s="29">
        <f t="shared" ca="1" si="87"/>
        <v>0</v>
      </c>
      <c r="Z148" s="29">
        <f t="shared" ca="1" si="87"/>
        <v>3</v>
      </c>
      <c r="AA148" s="29">
        <f t="shared" ca="1" si="87"/>
        <v>3</v>
      </c>
      <c r="AB148" s="29">
        <f t="shared" ca="1" si="87"/>
        <v>2</v>
      </c>
      <c r="AC148" s="29">
        <f t="shared" ca="1" si="87"/>
        <v>4</v>
      </c>
      <c r="AD148" s="29">
        <f t="shared" ca="1" si="87"/>
        <v>2</v>
      </c>
      <c r="AE148" s="29">
        <f t="shared" ca="1" si="87"/>
        <v>2</v>
      </c>
      <c r="AF148" s="29">
        <f t="shared" ca="1" si="87"/>
        <v>3</v>
      </c>
      <c r="AG148" s="29">
        <f t="shared" ca="1" si="86"/>
        <v>3</v>
      </c>
      <c r="AH148" s="29">
        <f t="shared" ca="1" si="86"/>
        <v>1</v>
      </c>
      <c r="AI148" s="29">
        <f t="shared" ca="1" si="86"/>
        <v>2</v>
      </c>
      <c r="AJ148" s="29">
        <f t="shared" ca="1" si="86"/>
        <v>4</v>
      </c>
      <c r="AK148" s="29">
        <f t="shared" ca="1" si="86"/>
        <v>0</v>
      </c>
      <c r="AL148" s="29">
        <f t="shared" ca="1" si="86"/>
        <v>6</v>
      </c>
      <c r="AM148" s="29">
        <f t="shared" ca="1" si="86"/>
        <v>1</v>
      </c>
      <c r="AN148" s="29">
        <f t="shared" ca="1" si="86"/>
        <v>5</v>
      </c>
      <c r="AO148" s="29">
        <f t="shared" ca="1" si="86"/>
        <v>1</v>
      </c>
      <c r="AP148" s="29">
        <f t="shared" ca="1" si="86"/>
        <v>4</v>
      </c>
      <c r="AQ148" s="29">
        <f t="shared" ca="1" si="86"/>
        <v>2</v>
      </c>
      <c r="AR148" s="29">
        <f t="shared" ca="1" si="86"/>
        <v>2</v>
      </c>
      <c r="AS148" s="29">
        <f t="shared" ca="1" si="86"/>
        <v>2</v>
      </c>
      <c r="AT148" s="29">
        <f t="shared" ca="1" si="86"/>
        <v>1</v>
      </c>
      <c r="AU148" s="29">
        <f t="shared" ca="1" si="86"/>
        <v>5</v>
      </c>
      <c r="AV148" s="29">
        <f t="shared" ca="1" si="89"/>
        <v>3</v>
      </c>
      <c r="AW148" s="29">
        <f t="shared" ca="1" si="89"/>
        <v>4</v>
      </c>
      <c r="AX148" s="29">
        <f t="shared" ca="1" si="89"/>
        <v>2</v>
      </c>
      <c r="AY148" s="29">
        <f t="shared" ca="1" si="89"/>
        <v>1</v>
      </c>
      <c r="AZ148" s="29">
        <f t="shared" ca="1" si="89"/>
        <v>1</v>
      </c>
      <c r="BA148" s="29">
        <f t="shared" ca="1" si="89"/>
        <v>4</v>
      </c>
      <c r="BB148" s="29">
        <f t="shared" ca="1" si="89"/>
        <v>2</v>
      </c>
      <c r="BC148" s="29">
        <f t="shared" ca="1" si="89"/>
        <v>1</v>
      </c>
      <c r="BD148" s="29">
        <f t="shared" ca="1" si="89"/>
        <v>5</v>
      </c>
      <c r="BE148" s="29">
        <f t="shared" ca="1" si="89"/>
        <v>2</v>
      </c>
      <c r="BF148" s="29">
        <f t="shared" ca="1" si="89"/>
        <v>1</v>
      </c>
      <c r="BG148" s="29">
        <f t="shared" ca="1" si="89"/>
        <v>4</v>
      </c>
      <c r="BH148" s="29">
        <f t="shared" ca="1" si="89"/>
        <v>1</v>
      </c>
      <c r="BI148" s="29">
        <f t="shared" ca="1" si="89"/>
        <v>1</v>
      </c>
      <c r="BJ148" s="29">
        <f t="shared" ca="1" si="89"/>
        <v>0</v>
      </c>
      <c r="BK148" s="29">
        <f t="shared" ca="1" si="89"/>
        <v>4</v>
      </c>
      <c r="BL148" s="29">
        <f t="shared" ca="1" si="88"/>
        <v>0</v>
      </c>
      <c r="BM148" s="29">
        <f t="shared" ca="1" si="88"/>
        <v>1</v>
      </c>
      <c r="BN148" s="29">
        <f t="shared" ca="1" si="88"/>
        <v>4</v>
      </c>
      <c r="BO148" s="29">
        <f t="shared" ca="1" si="88"/>
        <v>1</v>
      </c>
      <c r="BP148" s="29">
        <f t="shared" ca="1" si="88"/>
        <v>3</v>
      </c>
      <c r="BQ148" s="29">
        <f t="shared" ca="1" si="88"/>
        <v>2</v>
      </c>
      <c r="BR148" s="29">
        <f t="shared" ca="1" si="88"/>
        <v>3</v>
      </c>
      <c r="BS148" s="29">
        <f t="shared" ca="1" si="88"/>
        <v>2</v>
      </c>
      <c r="BT148" s="29">
        <f t="shared" ca="1" si="88"/>
        <v>1</v>
      </c>
      <c r="BU148" s="29">
        <f t="shared" ca="1" si="88"/>
        <v>2</v>
      </c>
      <c r="BV148" s="29">
        <f t="shared" ca="1" si="88"/>
        <v>5</v>
      </c>
      <c r="BW148" s="29">
        <f t="shared" ca="1" si="88"/>
        <v>3</v>
      </c>
      <c r="BX148" s="29">
        <f t="shared" ca="1" si="88"/>
        <v>6</v>
      </c>
      <c r="BY148" s="29">
        <f t="shared" ca="1" si="88"/>
        <v>2</v>
      </c>
      <c r="BZ148" s="29">
        <f t="shared" ca="1" si="88"/>
        <v>2</v>
      </c>
      <c r="CA148" s="29">
        <f t="shared" ca="1" si="85"/>
        <v>4</v>
      </c>
      <c r="CB148" s="29">
        <f t="shared" ca="1" si="85"/>
        <v>2</v>
      </c>
      <c r="CC148" s="29">
        <f t="shared" ca="1" si="85"/>
        <v>1</v>
      </c>
      <c r="CD148" s="29">
        <f t="shared" ca="1" si="85"/>
        <v>3</v>
      </c>
      <c r="CE148" s="29">
        <f t="shared" ca="1" si="85"/>
        <v>2</v>
      </c>
      <c r="CF148" s="29">
        <f t="shared" ca="1" si="85"/>
        <v>2</v>
      </c>
      <c r="CG148" s="29">
        <f t="shared" ca="1" si="85"/>
        <v>4</v>
      </c>
      <c r="CH148" s="29">
        <f t="shared" ca="1" si="85"/>
        <v>4</v>
      </c>
      <c r="CI148" s="29">
        <f t="shared" ca="1" si="85"/>
        <v>1</v>
      </c>
      <c r="CJ148" s="29">
        <f t="shared" ca="1" si="85"/>
        <v>2</v>
      </c>
      <c r="CK148" s="29">
        <f t="shared" ca="1" si="85"/>
        <v>5</v>
      </c>
      <c r="CL148" s="29">
        <f t="shared" ca="1" si="85"/>
        <v>2</v>
      </c>
      <c r="CM148" s="29">
        <f t="shared" ca="1" si="85"/>
        <v>1</v>
      </c>
      <c r="CN148" s="29">
        <f t="shared" ca="1" si="85"/>
        <v>6</v>
      </c>
      <c r="CO148" s="29">
        <f t="shared" ca="1" si="85"/>
        <v>2</v>
      </c>
      <c r="CP148" s="29">
        <f t="shared" ref="CP148:DE163" ca="1" si="90">_xlfn.BINOM.INV(50,$E148,RAND())</f>
        <v>2</v>
      </c>
      <c r="CQ148" s="29">
        <f t="shared" ca="1" si="90"/>
        <v>4</v>
      </c>
      <c r="CR148" s="29">
        <f t="shared" ca="1" si="90"/>
        <v>4</v>
      </c>
      <c r="CS148" s="29">
        <f t="shared" ca="1" si="90"/>
        <v>3</v>
      </c>
      <c r="CT148" s="29">
        <f t="shared" ca="1" si="90"/>
        <v>3</v>
      </c>
      <c r="CU148" s="29">
        <f t="shared" ca="1" si="90"/>
        <v>3</v>
      </c>
      <c r="CV148" s="29">
        <f t="shared" ca="1" si="90"/>
        <v>3</v>
      </c>
      <c r="CW148" s="29">
        <f t="shared" ca="1" si="90"/>
        <v>1</v>
      </c>
      <c r="CX148" s="29">
        <f t="shared" ca="1" si="90"/>
        <v>3</v>
      </c>
      <c r="CY148" s="29">
        <f t="shared" ca="1" si="90"/>
        <v>4</v>
      </c>
      <c r="CZ148" s="29">
        <f t="shared" ca="1" si="90"/>
        <v>1</v>
      </c>
      <c r="DA148" s="29">
        <f t="shared" ca="1" si="90"/>
        <v>5</v>
      </c>
      <c r="DB148" s="29">
        <f t="shared" ca="1" si="90"/>
        <v>3</v>
      </c>
      <c r="DC148" s="29">
        <f t="shared" ca="1" si="90"/>
        <v>5</v>
      </c>
      <c r="DD148" s="29">
        <f t="shared" ca="1" si="90"/>
        <v>2</v>
      </c>
      <c r="DE148" s="29">
        <f t="shared" ca="1" si="90"/>
        <v>1</v>
      </c>
      <c r="DF148" s="29">
        <f t="shared" ca="1" si="76"/>
        <v>0</v>
      </c>
      <c r="DG148" s="29">
        <f t="shared" ca="1" si="76"/>
        <v>3</v>
      </c>
      <c r="DH148" s="29">
        <f t="shared" ca="1" si="76"/>
        <v>3</v>
      </c>
      <c r="DI148" s="29">
        <f t="shared" ca="1" si="76"/>
        <v>3</v>
      </c>
      <c r="DJ148" s="29">
        <f t="shared" ca="1" si="76"/>
        <v>5</v>
      </c>
      <c r="DK148" s="29">
        <f t="shared" ca="1" si="76"/>
        <v>3</v>
      </c>
      <c r="DL148" s="29">
        <f t="shared" ca="1" si="76"/>
        <v>2</v>
      </c>
    </row>
    <row r="149" spans="1:116" ht="14.4" x14ac:dyDescent="0.3">
      <c r="A149" s="31">
        <v>561</v>
      </c>
      <c r="B149" s="28">
        <v>1.93</v>
      </c>
      <c r="C149" s="30">
        <v>62.52</v>
      </c>
      <c r="D149" s="28">
        <v>1.57</v>
      </c>
      <c r="E149" s="34">
        <f t="shared" si="77"/>
        <v>3.1400000000000004E-2</v>
      </c>
      <c r="F149" s="35">
        <f t="shared" si="78"/>
        <v>15.63</v>
      </c>
      <c r="G149" s="34">
        <f t="shared" si="79"/>
        <v>39.25</v>
      </c>
      <c r="H149" s="33">
        <f t="shared" si="80"/>
        <v>12.238341968911916</v>
      </c>
      <c r="I149" s="28">
        <f t="shared" si="83"/>
        <v>356.15000000000009</v>
      </c>
      <c r="J149" s="32">
        <v>1</v>
      </c>
      <c r="K149" s="30">
        <f t="shared" si="81"/>
        <v>15.63</v>
      </c>
      <c r="L149" s="30"/>
      <c r="M149" s="30"/>
      <c r="N149" s="30"/>
      <c r="O149" s="30"/>
      <c r="Q149" s="29">
        <f t="shared" ca="1" si="82"/>
        <v>2</v>
      </c>
      <c r="R149" s="29">
        <f t="shared" ca="1" si="87"/>
        <v>0</v>
      </c>
      <c r="S149" s="29">
        <f t="shared" ca="1" si="87"/>
        <v>1</v>
      </c>
      <c r="T149" s="29">
        <f t="shared" ca="1" si="87"/>
        <v>3</v>
      </c>
      <c r="U149" s="29">
        <f t="shared" ca="1" si="87"/>
        <v>1</v>
      </c>
      <c r="V149" s="29">
        <f t="shared" ca="1" si="87"/>
        <v>2</v>
      </c>
      <c r="W149" s="29">
        <f t="shared" ca="1" si="87"/>
        <v>2</v>
      </c>
      <c r="X149" s="29">
        <f t="shared" ca="1" si="87"/>
        <v>1</v>
      </c>
      <c r="Y149" s="29">
        <f t="shared" ca="1" si="87"/>
        <v>1</v>
      </c>
      <c r="Z149" s="29">
        <f t="shared" ca="1" si="87"/>
        <v>2</v>
      </c>
      <c r="AA149" s="29">
        <f t="shared" ca="1" si="87"/>
        <v>2</v>
      </c>
      <c r="AB149" s="29">
        <f t="shared" ca="1" si="87"/>
        <v>1</v>
      </c>
      <c r="AC149" s="29">
        <f t="shared" ca="1" si="87"/>
        <v>2</v>
      </c>
      <c r="AD149" s="29">
        <f t="shared" ca="1" si="87"/>
        <v>2</v>
      </c>
      <c r="AE149" s="29">
        <f t="shared" ca="1" si="87"/>
        <v>1</v>
      </c>
      <c r="AF149" s="29">
        <f t="shared" ca="1" si="87"/>
        <v>2</v>
      </c>
      <c r="AG149" s="29">
        <f t="shared" ca="1" si="86"/>
        <v>0</v>
      </c>
      <c r="AH149" s="29">
        <f t="shared" ca="1" si="86"/>
        <v>2</v>
      </c>
      <c r="AI149" s="29">
        <f t="shared" ca="1" si="86"/>
        <v>2</v>
      </c>
      <c r="AJ149" s="29">
        <f t="shared" ca="1" si="86"/>
        <v>2</v>
      </c>
      <c r="AK149" s="29">
        <f t="shared" ca="1" si="86"/>
        <v>1</v>
      </c>
      <c r="AL149" s="29">
        <f t="shared" ca="1" si="86"/>
        <v>2</v>
      </c>
      <c r="AM149" s="29">
        <f t="shared" ca="1" si="86"/>
        <v>2</v>
      </c>
      <c r="AN149" s="29">
        <f t="shared" ca="1" si="86"/>
        <v>2</v>
      </c>
      <c r="AO149" s="29">
        <f t="shared" ca="1" si="86"/>
        <v>3</v>
      </c>
      <c r="AP149" s="29">
        <f t="shared" ca="1" si="86"/>
        <v>4</v>
      </c>
      <c r="AQ149" s="29">
        <f t="shared" ca="1" si="86"/>
        <v>0</v>
      </c>
      <c r="AR149" s="29">
        <f t="shared" ca="1" si="86"/>
        <v>4</v>
      </c>
      <c r="AS149" s="29">
        <f t="shared" ca="1" si="86"/>
        <v>2</v>
      </c>
      <c r="AT149" s="29">
        <f t="shared" ca="1" si="86"/>
        <v>2</v>
      </c>
      <c r="AU149" s="29">
        <f t="shared" ca="1" si="86"/>
        <v>4</v>
      </c>
      <c r="AV149" s="29">
        <f t="shared" ca="1" si="89"/>
        <v>2</v>
      </c>
      <c r="AW149" s="29">
        <f t="shared" ca="1" si="89"/>
        <v>0</v>
      </c>
      <c r="AX149" s="29">
        <f t="shared" ca="1" si="89"/>
        <v>2</v>
      </c>
      <c r="AY149" s="29">
        <f t="shared" ca="1" si="89"/>
        <v>5</v>
      </c>
      <c r="AZ149" s="29">
        <f t="shared" ca="1" si="89"/>
        <v>3</v>
      </c>
      <c r="BA149" s="29">
        <f t="shared" ca="1" si="89"/>
        <v>0</v>
      </c>
      <c r="BB149" s="29">
        <f t="shared" ca="1" si="89"/>
        <v>2</v>
      </c>
      <c r="BC149" s="29">
        <f t="shared" ca="1" si="89"/>
        <v>1</v>
      </c>
      <c r="BD149" s="29">
        <f t="shared" ca="1" si="89"/>
        <v>2</v>
      </c>
      <c r="BE149" s="29">
        <f t="shared" ca="1" si="89"/>
        <v>2</v>
      </c>
      <c r="BF149" s="29">
        <f t="shared" ca="1" si="89"/>
        <v>1</v>
      </c>
      <c r="BG149" s="29">
        <f t="shared" ca="1" si="89"/>
        <v>0</v>
      </c>
      <c r="BH149" s="29">
        <f t="shared" ca="1" si="89"/>
        <v>1</v>
      </c>
      <c r="BI149" s="29">
        <f t="shared" ca="1" si="89"/>
        <v>3</v>
      </c>
      <c r="BJ149" s="29">
        <f t="shared" ca="1" si="89"/>
        <v>2</v>
      </c>
      <c r="BK149" s="29">
        <f t="shared" ca="1" si="89"/>
        <v>1</v>
      </c>
      <c r="BL149" s="29">
        <f t="shared" ca="1" si="88"/>
        <v>0</v>
      </c>
      <c r="BM149" s="29">
        <f t="shared" ca="1" si="88"/>
        <v>1</v>
      </c>
      <c r="BN149" s="29">
        <f t="shared" ca="1" si="88"/>
        <v>3</v>
      </c>
      <c r="BO149" s="29">
        <f t="shared" ca="1" si="88"/>
        <v>1</v>
      </c>
      <c r="BP149" s="29">
        <f t="shared" ca="1" si="88"/>
        <v>2</v>
      </c>
      <c r="BQ149" s="29">
        <f t="shared" ca="1" si="88"/>
        <v>1</v>
      </c>
      <c r="BR149" s="29">
        <f t="shared" ca="1" si="88"/>
        <v>1</v>
      </c>
      <c r="BS149" s="29">
        <f t="shared" ca="1" si="88"/>
        <v>1</v>
      </c>
      <c r="BT149" s="29">
        <f t="shared" ca="1" si="88"/>
        <v>3</v>
      </c>
      <c r="BU149" s="29">
        <f t="shared" ca="1" si="88"/>
        <v>4</v>
      </c>
      <c r="BV149" s="29">
        <f t="shared" ca="1" si="88"/>
        <v>1</v>
      </c>
      <c r="BW149" s="29">
        <f t="shared" ca="1" si="88"/>
        <v>1</v>
      </c>
      <c r="BX149" s="29">
        <f t="shared" ca="1" si="88"/>
        <v>2</v>
      </c>
      <c r="BY149" s="29">
        <f t="shared" ca="1" si="88"/>
        <v>2</v>
      </c>
      <c r="BZ149" s="29">
        <f t="shared" ca="1" si="88"/>
        <v>2</v>
      </c>
      <c r="CA149" s="29">
        <f t="shared" ref="CA149:CP164" ca="1" si="91">_xlfn.BINOM.INV(50,$E149,RAND())</f>
        <v>0</v>
      </c>
      <c r="CB149" s="29">
        <f t="shared" ca="1" si="91"/>
        <v>3</v>
      </c>
      <c r="CC149" s="29">
        <f t="shared" ca="1" si="91"/>
        <v>1</v>
      </c>
      <c r="CD149" s="29">
        <f t="shared" ca="1" si="91"/>
        <v>0</v>
      </c>
      <c r="CE149" s="29">
        <f t="shared" ca="1" si="91"/>
        <v>2</v>
      </c>
      <c r="CF149" s="29">
        <f t="shared" ca="1" si="91"/>
        <v>0</v>
      </c>
      <c r="CG149" s="29">
        <f t="shared" ca="1" si="91"/>
        <v>1</v>
      </c>
      <c r="CH149" s="29">
        <f t="shared" ca="1" si="91"/>
        <v>2</v>
      </c>
      <c r="CI149" s="29">
        <f t="shared" ca="1" si="91"/>
        <v>3</v>
      </c>
      <c r="CJ149" s="29">
        <f t="shared" ca="1" si="91"/>
        <v>1</v>
      </c>
      <c r="CK149" s="29">
        <f t="shared" ca="1" si="91"/>
        <v>2</v>
      </c>
      <c r="CL149" s="29">
        <f t="shared" ca="1" si="91"/>
        <v>3</v>
      </c>
      <c r="CM149" s="29">
        <f t="shared" ca="1" si="91"/>
        <v>1</v>
      </c>
      <c r="CN149" s="29">
        <f t="shared" ca="1" si="91"/>
        <v>4</v>
      </c>
      <c r="CO149" s="29">
        <f t="shared" ca="1" si="91"/>
        <v>0</v>
      </c>
      <c r="CP149" s="29">
        <f t="shared" ca="1" si="91"/>
        <v>2</v>
      </c>
      <c r="CQ149" s="29">
        <f t="shared" ca="1" si="90"/>
        <v>1</v>
      </c>
      <c r="CR149" s="29">
        <f t="shared" ca="1" si="90"/>
        <v>1</v>
      </c>
      <c r="CS149" s="29">
        <f t="shared" ca="1" si="90"/>
        <v>2</v>
      </c>
      <c r="CT149" s="29">
        <f t="shared" ca="1" si="90"/>
        <v>2</v>
      </c>
      <c r="CU149" s="29">
        <f t="shared" ca="1" si="90"/>
        <v>1</v>
      </c>
      <c r="CV149" s="29">
        <f t="shared" ca="1" si="90"/>
        <v>3</v>
      </c>
      <c r="CW149" s="29">
        <f t="shared" ca="1" si="90"/>
        <v>1</v>
      </c>
      <c r="CX149" s="29">
        <f t="shared" ca="1" si="90"/>
        <v>3</v>
      </c>
      <c r="CY149" s="29">
        <f t="shared" ca="1" si="90"/>
        <v>0</v>
      </c>
      <c r="CZ149" s="29">
        <f t="shared" ca="1" si="90"/>
        <v>2</v>
      </c>
      <c r="DA149" s="29">
        <f t="shared" ca="1" si="90"/>
        <v>2</v>
      </c>
      <c r="DB149" s="29">
        <f t="shared" ca="1" si="90"/>
        <v>1</v>
      </c>
      <c r="DC149" s="29">
        <f t="shared" ca="1" si="90"/>
        <v>1</v>
      </c>
      <c r="DD149" s="29">
        <f t="shared" ca="1" si="90"/>
        <v>3</v>
      </c>
      <c r="DE149" s="29">
        <f t="shared" ca="1" si="90"/>
        <v>2</v>
      </c>
      <c r="DF149" s="29">
        <f t="shared" ca="1" si="76"/>
        <v>3</v>
      </c>
      <c r="DG149" s="29">
        <f t="shared" ca="1" si="76"/>
        <v>1</v>
      </c>
      <c r="DH149" s="29">
        <f t="shared" ca="1" si="76"/>
        <v>3</v>
      </c>
      <c r="DI149" s="29">
        <f t="shared" ca="1" si="76"/>
        <v>1</v>
      </c>
      <c r="DJ149" s="29">
        <f t="shared" ca="1" si="76"/>
        <v>3</v>
      </c>
      <c r="DK149" s="29">
        <f t="shared" ca="1" si="76"/>
        <v>1</v>
      </c>
      <c r="DL149" s="29">
        <f t="shared" ca="1" si="76"/>
        <v>2</v>
      </c>
    </row>
    <row r="150" spans="1:116" ht="14.4" x14ac:dyDescent="0.3">
      <c r="A150" s="31">
        <v>61</v>
      </c>
      <c r="B150" s="28">
        <v>5</v>
      </c>
      <c r="C150" s="30">
        <v>57.37</v>
      </c>
      <c r="D150" s="28">
        <v>3.02</v>
      </c>
      <c r="E150" s="34">
        <f t="shared" si="77"/>
        <v>6.0400000000000002E-2</v>
      </c>
      <c r="F150" s="35">
        <f t="shared" si="78"/>
        <v>14.342499999999999</v>
      </c>
      <c r="G150" s="34">
        <f t="shared" si="79"/>
        <v>75.5</v>
      </c>
      <c r="H150" s="33">
        <f t="shared" si="80"/>
        <v>12.2315</v>
      </c>
      <c r="I150" s="28">
        <f t="shared" si="83"/>
        <v>361.15000000000009</v>
      </c>
      <c r="J150" s="32">
        <v>1</v>
      </c>
      <c r="K150" s="30">
        <f t="shared" si="81"/>
        <v>14.342499999999999</v>
      </c>
      <c r="L150" s="30"/>
      <c r="M150" s="30"/>
      <c r="N150" s="30"/>
      <c r="O150" s="30"/>
      <c r="Q150" s="29">
        <f t="shared" ca="1" si="82"/>
        <v>2</v>
      </c>
      <c r="R150" s="29">
        <f t="shared" ca="1" si="87"/>
        <v>2</v>
      </c>
      <c r="S150" s="29">
        <f t="shared" ca="1" si="87"/>
        <v>5</v>
      </c>
      <c r="T150" s="29">
        <f t="shared" ca="1" si="87"/>
        <v>4</v>
      </c>
      <c r="U150" s="29">
        <f t="shared" ca="1" si="87"/>
        <v>5</v>
      </c>
      <c r="V150" s="29">
        <f t="shared" ca="1" si="87"/>
        <v>1</v>
      </c>
      <c r="W150" s="29">
        <f t="shared" ca="1" si="87"/>
        <v>3</v>
      </c>
      <c r="X150" s="29">
        <f t="shared" ca="1" si="87"/>
        <v>4</v>
      </c>
      <c r="Y150" s="29">
        <f t="shared" ca="1" si="87"/>
        <v>2</v>
      </c>
      <c r="Z150" s="29">
        <f t="shared" ca="1" si="87"/>
        <v>4</v>
      </c>
      <c r="AA150" s="29">
        <f t="shared" ca="1" si="87"/>
        <v>1</v>
      </c>
      <c r="AB150" s="29">
        <f t="shared" ca="1" si="87"/>
        <v>3</v>
      </c>
      <c r="AC150" s="29">
        <f t="shared" ca="1" si="87"/>
        <v>2</v>
      </c>
      <c r="AD150" s="29">
        <f t="shared" ca="1" si="87"/>
        <v>0</v>
      </c>
      <c r="AE150" s="29">
        <f t="shared" ca="1" si="87"/>
        <v>2</v>
      </c>
      <c r="AF150" s="29">
        <f t="shared" ca="1" si="87"/>
        <v>2</v>
      </c>
      <c r="AG150" s="29">
        <f t="shared" ca="1" si="86"/>
        <v>7</v>
      </c>
      <c r="AH150" s="29">
        <f t="shared" ca="1" si="86"/>
        <v>6</v>
      </c>
      <c r="AI150" s="29">
        <f t="shared" ca="1" si="86"/>
        <v>7</v>
      </c>
      <c r="AJ150" s="29">
        <f t="shared" ca="1" si="86"/>
        <v>4</v>
      </c>
      <c r="AK150" s="29">
        <f t="shared" ca="1" si="86"/>
        <v>4</v>
      </c>
      <c r="AL150" s="29">
        <f t="shared" ca="1" si="86"/>
        <v>2</v>
      </c>
      <c r="AM150" s="29">
        <f t="shared" ca="1" si="86"/>
        <v>5</v>
      </c>
      <c r="AN150" s="29">
        <f t="shared" ca="1" si="86"/>
        <v>2</v>
      </c>
      <c r="AO150" s="29">
        <f t="shared" ca="1" si="86"/>
        <v>1</v>
      </c>
      <c r="AP150" s="29">
        <f t="shared" ca="1" si="86"/>
        <v>4</v>
      </c>
      <c r="AQ150" s="29">
        <f t="shared" ca="1" si="86"/>
        <v>7</v>
      </c>
      <c r="AR150" s="29">
        <f t="shared" ca="1" si="86"/>
        <v>2</v>
      </c>
      <c r="AS150" s="29">
        <f t="shared" ca="1" si="86"/>
        <v>4</v>
      </c>
      <c r="AT150" s="29">
        <f t="shared" ca="1" si="86"/>
        <v>0</v>
      </c>
      <c r="AU150" s="29">
        <f t="shared" ca="1" si="86"/>
        <v>2</v>
      </c>
      <c r="AV150" s="29">
        <f t="shared" ca="1" si="89"/>
        <v>2</v>
      </c>
      <c r="AW150" s="29">
        <f t="shared" ca="1" si="89"/>
        <v>1</v>
      </c>
      <c r="AX150" s="29">
        <f t="shared" ca="1" si="89"/>
        <v>0</v>
      </c>
      <c r="AY150" s="29">
        <f t="shared" ca="1" si="89"/>
        <v>2</v>
      </c>
      <c r="AZ150" s="29">
        <f t="shared" ca="1" si="89"/>
        <v>4</v>
      </c>
      <c r="BA150" s="29">
        <f t="shared" ca="1" si="89"/>
        <v>5</v>
      </c>
      <c r="BB150" s="29">
        <f t="shared" ca="1" si="89"/>
        <v>5</v>
      </c>
      <c r="BC150" s="29">
        <f t="shared" ca="1" si="89"/>
        <v>1</v>
      </c>
      <c r="BD150" s="29">
        <f t="shared" ca="1" si="89"/>
        <v>3</v>
      </c>
      <c r="BE150" s="29">
        <f t="shared" ca="1" si="89"/>
        <v>3</v>
      </c>
      <c r="BF150" s="29">
        <f t="shared" ca="1" si="89"/>
        <v>6</v>
      </c>
      <c r="BG150" s="29">
        <f t="shared" ca="1" si="89"/>
        <v>3</v>
      </c>
      <c r="BH150" s="29">
        <f t="shared" ca="1" si="89"/>
        <v>1</v>
      </c>
      <c r="BI150" s="29">
        <f t="shared" ca="1" si="89"/>
        <v>0</v>
      </c>
      <c r="BJ150" s="29">
        <f t="shared" ca="1" si="89"/>
        <v>4</v>
      </c>
      <c r="BK150" s="29">
        <f t="shared" ca="1" si="89"/>
        <v>2</v>
      </c>
      <c r="BL150" s="29">
        <f t="shared" ca="1" si="88"/>
        <v>1</v>
      </c>
      <c r="BM150" s="29">
        <f t="shared" ca="1" si="88"/>
        <v>6</v>
      </c>
      <c r="BN150" s="29">
        <f t="shared" ca="1" si="88"/>
        <v>6</v>
      </c>
      <c r="BO150" s="29">
        <f t="shared" ca="1" si="88"/>
        <v>4</v>
      </c>
      <c r="BP150" s="29">
        <f t="shared" ca="1" si="88"/>
        <v>4</v>
      </c>
      <c r="BQ150" s="29">
        <f t="shared" ca="1" si="88"/>
        <v>3</v>
      </c>
      <c r="BR150" s="29">
        <f t="shared" ca="1" si="88"/>
        <v>1</v>
      </c>
      <c r="BS150" s="29">
        <f t="shared" ca="1" si="88"/>
        <v>1</v>
      </c>
      <c r="BT150" s="29">
        <f t="shared" ca="1" si="88"/>
        <v>2</v>
      </c>
      <c r="BU150" s="29">
        <f t="shared" ca="1" si="88"/>
        <v>1</v>
      </c>
      <c r="BV150" s="29">
        <f t="shared" ca="1" si="88"/>
        <v>3</v>
      </c>
      <c r="BW150" s="29">
        <f t="shared" ca="1" si="88"/>
        <v>4</v>
      </c>
      <c r="BX150" s="29">
        <f t="shared" ca="1" si="88"/>
        <v>3</v>
      </c>
      <c r="BY150" s="29">
        <f t="shared" ca="1" si="88"/>
        <v>5</v>
      </c>
      <c r="BZ150" s="29">
        <f t="shared" ca="1" si="88"/>
        <v>1</v>
      </c>
      <c r="CA150" s="29">
        <f t="shared" ca="1" si="91"/>
        <v>5</v>
      </c>
      <c r="CB150" s="29">
        <f t="shared" ca="1" si="91"/>
        <v>7</v>
      </c>
      <c r="CC150" s="29">
        <f t="shared" ca="1" si="91"/>
        <v>0</v>
      </c>
      <c r="CD150" s="29">
        <f t="shared" ca="1" si="91"/>
        <v>5</v>
      </c>
      <c r="CE150" s="29">
        <f t="shared" ca="1" si="91"/>
        <v>4</v>
      </c>
      <c r="CF150" s="29">
        <f t="shared" ca="1" si="91"/>
        <v>4</v>
      </c>
      <c r="CG150" s="29">
        <f t="shared" ca="1" si="91"/>
        <v>1</v>
      </c>
      <c r="CH150" s="29">
        <f t="shared" ca="1" si="91"/>
        <v>6</v>
      </c>
      <c r="CI150" s="29">
        <f t="shared" ca="1" si="91"/>
        <v>1</v>
      </c>
      <c r="CJ150" s="29">
        <f t="shared" ca="1" si="91"/>
        <v>8</v>
      </c>
      <c r="CK150" s="29">
        <f t="shared" ca="1" si="91"/>
        <v>5</v>
      </c>
      <c r="CL150" s="29">
        <f t="shared" ca="1" si="91"/>
        <v>3</v>
      </c>
      <c r="CM150" s="29">
        <f t="shared" ca="1" si="91"/>
        <v>5</v>
      </c>
      <c r="CN150" s="29">
        <f t="shared" ca="1" si="91"/>
        <v>2</v>
      </c>
      <c r="CO150" s="29">
        <f t="shared" ca="1" si="91"/>
        <v>4</v>
      </c>
      <c r="CP150" s="29">
        <f t="shared" ca="1" si="91"/>
        <v>3</v>
      </c>
      <c r="CQ150" s="29">
        <f t="shared" ca="1" si="90"/>
        <v>2</v>
      </c>
      <c r="CR150" s="29">
        <f t="shared" ca="1" si="90"/>
        <v>2</v>
      </c>
      <c r="CS150" s="29">
        <f t="shared" ca="1" si="90"/>
        <v>5</v>
      </c>
      <c r="CT150" s="29">
        <f t="shared" ca="1" si="90"/>
        <v>5</v>
      </c>
      <c r="CU150" s="29">
        <f t="shared" ca="1" si="90"/>
        <v>8</v>
      </c>
      <c r="CV150" s="29">
        <f t="shared" ca="1" si="90"/>
        <v>3</v>
      </c>
      <c r="CW150" s="29">
        <f t="shared" ca="1" si="90"/>
        <v>4</v>
      </c>
      <c r="CX150" s="29">
        <f t="shared" ca="1" si="90"/>
        <v>4</v>
      </c>
      <c r="CY150" s="29">
        <f t="shared" ca="1" si="90"/>
        <v>2</v>
      </c>
      <c r="CZ150" s="29">
        <f t="shared" ca="1" si="90"/>
        <v>5</v>
      </c>
      <c r="DA150" s="29">
        <f t="shared" ca="1" si="90"/>
        <v>4</v>
      </c>
      <c r="DB150" s="29">
        <f t="shared" ca="1" si="90"/>
        <v>4</v>
      </c>
      <c r="DC150" s="29">
        <f t="shared" ca="1" si="90"/>
        <v>2</v>
      </c>
      <c r="DD150" s="29">
        <f t="shared" ca="1" si="90"/>
        <v>6</v>
      </c>
      <c r="DE150" s="29">
        <f t="shared" ca="1" si="90"/>
        <v>2</v>
      </c>
      <c r="DF150" s="29">
        <f t="shared" ca="1" si="76"/>
        <v>3</v>
      </c>
      <c r="DG150" s="29">
        <f t="shared" ca="1" si="76"/>
        <v>4</v>
      </c>
      <c r="DH150" s="29">
        <f t="shared" ca="1" si="76"/>
        <v>3</v>
      </c>
      <c r="DI150" s="29">
        <f t="shared" ca="1" si="76"/>
        <v>1</v>
      </c>
      <c r="DJ150" s="29">
        <f t="shared" ca="1" si="76"/>
        <v>1</v>
      </c>
      <c r="DK150" s="29">
        <f t="shared" ca="1" si="76"/>
        <v>6</v>
      </c>
      <c r="DL150" s="29">
        <f t="shared" ca="1" si="76"/>
        <v>1</v>
      </c>
    </row>
    <row r="151" spans="1:116" ht="14.4" x14ac:dyDescent="0.3">
      <c r="A151" s="31">
        <v>254</v>
      </c>
      <c r="B151" s="28">
        <v>5.18</v>
      </c>
      <c r="C151" s="30">
        <v>58.82</v>
      </c>
      <c r="D151" s="28">
        <v>3.11</v>
      </c>
      <c r="E151" s="34">
        <f t="shared" si="77"/>
        <v>6.2199999999999998E-2</v>
      </c>
      <c r="F151" s="35">
        <f t="shared" si="78"/>
        <v>14.705</v>
      </c>
      <c r="G151" s="34">
        <f t="shared" si="79"/>
        <v>77.75</v>
      </c>
      <c r="H151" s="33">
        <f t="shared" si="80"/>
        <v>12.170849420849422</v>
      </c>
      <c r="I151" s="28">
        <f t="shared" si="83"/>
        <v>366.3300000000001</v>
      </c>
      <c r="J151" s="32">
        <v>1</v>
      </c>
      <c r="K151" s="30">
        <f t="shared" si="81"/>
        <v>14.705</v>
      </c>
      <c r="L151" s="30"/>
      <c r="M151" s="30"/>
      <c r="N151" s="30"/>
      <c r="O151" s="30"/>
      <c r="Q151" s="29">
        <f t="shared" ca="1" si="82"/>
        <v>1</v>
      </c>
      <c r="R151" s="29">
        <f t="shared" ca="1" si="87"/>
        <v>2</v>
      </c>
      <c r="S151" s="29">
        <f t="shared" ca="1" si="87"/>
        <v>2</v>
      </c>
      <c r="T151" s="29">
        <f t="shared" ca="1" si="87"/>
        <v>3</v>
      </c>
      <c r="U151" s="29">
        <f t="shared" ca="1" si="87"/>
        <v>4</v>
      </c>
      <c r="V151" s="29">
        <f t="shared" ca="1" si="87"/>
        <v>4</v>
      </c>
      <c r="W151" s="29">
        <f t="shared" ca="1" si="87"/>
        <v>5</v>
      </c>
      <c r="X151" s="29">
        <f t="shared" ca="1" si="87"/>
        <v>2</v>
      </c>
      <c r="Y151" s="29">
        <f t="shared" ca="1" si="87"/>
        <v>3</v>
      </c>
      <c r="Z151" s="29">
        <f t="shared" ca="1" si="87"/>
        <v>7</v>
      </c>
      <c r="AA151" s="29">
        <f t="shared" ca="1" si="87"/>
        <v>2</v>
      </c>
      <c r="AB151" s="29">
        <f t="shared" ca="1" si="87"/>
        <v>2</v>
      </c>
      <c r="AC151" s="29">
        <f t="shared" ca="1" si="87"/>
        <v>3</v>
      </c>
      <c r="AD151" s="29">
        <f t="shared" ca="1" si="87"/>
        <v>3</v>
      </c>
      <c r="AE151" s="29">
        <f t="shared" ca="1" si="87"/>
        <v>2</v>
      </c>
      <c r="AF151" s="29">
        <f t="shared" ca="1" si="87"/>
        <v>1</v>
      </c>
      <c r="AG151" s="29">
        <f t="shared" ca="1" si="86"/>
        <v>3</v>
      </c>
      <c r="AH151" s="29">
        <f t="shared" ca="1" si="86"/>
        <v>5</v>
      </c>
      <c r="AI151" s="29">
        <f t="shared" ca="1" si="86"/>
        <v>5</v>
      </c>
      <c r="AJ151" s="29">
        <f t="shared" ca="1" si="86"/>
        <v>5</v>
      </c>
      <c r="AK151" s="29">
        <f t="shared" ca="1" si="86"/>
        <v>4</v>
      </c>
      <c r="AL151" s="29">
        <f t="shared" ca="1" si="86"/>
        <v>3</v>
      </c>
      <c r="AM151" s="29">
        <f t="shared" ca="1" si="86"/>
        <v>3</v>
      </c>
      <c r="AN151" s="29">
        <f t="shared" ca="1" si="86"/>
        <v>3</v>
      </c>
      <c r="AO151" s="29">
        <f t="shared" ca="1" si="86"/>
        <v>4</v>
      </c>
      <c r="AP151" s="29">
        <f t="shared" ca="1" si="86"/>
        <v>4</v>
      </c>
      <c r="AQ151" s="29">
        <f t="shared" ca="1" si="86"/>
        <v>2</v>
      </c>
      <c r="AR151" s="29">
        <f t="shared" ca="1" si="86"/>
        <v>1</v>
      </c>
      <c r="AS151" s="29">
        <f t="shared" ca="1" si="86"/>
        <v>2</v>
      </c>
      <c r="AT151" s="29">
        <f t="shared" ca="1" si="86"/>
        <v>3</v>
      </c>
      <c r="AU151" s="29">
        <f t="shared" ca="1" si="86"/>
        <v>4</v>
      </c>
      <c r="AV151" s="29">
        <f t="shared" ca="1" si="89"/>
        <v>1</v>
      </c>
      <c r="AW151" s="29">
        <f t="shared" ca="1" si="89"/>
        <v>0</v>
      </c>
      <c r="AX151" s="29">
        <f t="shared" ca="1" si="89"/>
        <v>2</v>
      </c>
      <c r="AY151" s="29">
        <f t="shared" ca="1" si="89"/>
        <v>2</v>
      </c>
      <c r="AZ151" s="29">
        <f t="shared" ca="1" si="89"/>
        <v>4</v>
      </c>
      <c r="BA151" s="29">
        <f t="shared" ca="1" si="89"/>
        <v>2</v>
      </c>
      <c r="BB151" s="29">
        <f t="shared" ca="1" si="89"/>
        <v>3</v>
      </c>
      <c r="BC151" s="29">
        <f t="shared" ca="1" si="89"/>
        <v>3</v>
      </c>
      <c r="BD151" s="29">
        <f t="shared" ca="1" si="89"/>
        <v>7</v>
      </c>
      <c r="BE151" s="29">
        <f t="shared" ca="1" si="89"/>
        <v>5</v>
      </c>
      <c r="BF151" s="29">
        <f t="shared" ca="1" si="89"/>
        <v>2</v>
      </c>
      <c r="BG151" s="29">
        <f t="shared" ca="1" si="89"/>
        <v>0</v>
      </c>
      <c r="BH151" s="29">
        <f t="shared" ca="1" si="89"/>
        <v>4</v>
      </c>
      <c r="BI151" s="29">
        <f t="shared" ca="1" si="89"/>
        <v>3</v>
      </c>
      <c r="BJ151" s="29">
        <f t="shared" ca="1" si="89"/>
        <v>5</v>
      </c>
      <c r="BK151" s="29">
        <f t="shared" ca="1" si="89"/>
        <v>5</v>
      </c>
      <c r="BL151" s="29">
        <f t="shared" ca="1" si="88"/>
        <v>2</v>
      </c>
      <c r="BM151" s="29">
        <f t="shared" ca="1" si="88"/>
        <v>0</v>
      </c>
      <c r="BN151" s="29">
        <f t="shared" ca="1" si="88"/>
        <v>3</v>
      </c>
      <c r="BO151" s="29">
        <f t="shared" ca="1" si="88"/>
        <v>3</v>
      </c>
      <c r="BP151" s="29">
        <f t="shared" ca="1" si="88"/>
        <v>0</v>
      </c>
      <c r="BQ151" s="29">
        <f t="shared" ca="1" si="88"/>
        <v>4</v>
      </c>
      <c r="BR151" s="29">
        <f t="shared" ca="1" si="88"/>
        <v>3</v>
      </c>
      <c r="BS151" s="29">
        <f t="shared" ca="1" si="88"/>
        <v>4</v>
      </c>
      <c r="BT151" s="29">
        <f t="shared" ca="1" si="88"/>
        <v>1</v>
      </c>
      <c r="BU151" s="29">
        <f t="shared" ca="1" si="88"/>
        <v>4</v>
      </c>
      <c r="BV151" s="29">
        <f t="shared" ca="1" si="88"/>
        <v>3</v>
      </c>
      <c r="BW151" s="29">
        <f t="shared" ca="1" si="88"/>
        <v>2</v>
      </c>
      <c r="BX151" s="29">
        <f t="shared" ca="1" si="88"/>
        <v>4</v>
      </c>
      <c r="BY151" s="29">
        <f t="shared" ca="1" si="88"/>
        <v>2</v>
      </c>
      <c r="BZ151" s="29">
        <f t="shared" ca="1" si="88"/>
        <v>2</v>
      </c>
      <c r="CA151" s="29">
        <f t="shared" ca="1" si="91"/>
        <v>6</v>
      </c>
      <c r="CB151" s="29">
        <f t="shared" ca="1" si="91"/>
        <v>8</v>
      </c>
      <c r="CC151" s="29">
        <f t="shared" ca="1" si="91"/>
        <v>1</v>
      </c>
      <c r="CD151" s="29">
        <f t="shared" ca="1" si="91"/>
        <v>3</v>
      </c>
      <c r="CE151" s="29">
        <f t="shared" ca="1" si="91"/>
        <v>2</v>
      </c>
      <c r="CF151" s="29">
        <f t="shared" ca="1" si="91"/>
        <v>5</v>
      </c>
      <c r="CG151" s="29">
        <f t="shared" ca="1" si="91"/>
        <v>2</v>
      </c>
      <c r="CH151" s="29">
        <f t="shared" ca="1" si="91"/>
        <v>4</v>
      </c>
      <c r="CI151" s="29">
        <f t="shared" ca="1" si="91"/>
        <v>5</v>
      </c>
      <c r="CJ151" s="29">
        <f t="shared" ca="1" si="91"/>
        <v>2</v>
      </c>
      <c r="CK151" s="29">
        <f t="shared" ca="1" si="91"/>
        <v>3</v>
      </c>
      <c r="CL151" s="29">
        <f t="shared" ca="1" si="91"/>
        <v>4</v>
      </c>
      <c r="CM151" s="29">
        <f t="shared" ca="1" si="91"/>
        <v>2</v>
      </c>
      <c r="CN151" s="29">
        <f t="shared" ca="1" si="91"/>
        <v>3</v>
      </c>
      <c r="CO151" s="29">
        <f t="shared" ca="1" si="91"/>
        <v>1</v>
      </c>
      <c r="CP151" s="29">
        <f t="shared" ca="1" si="91"/>
        <v>3</v>
      </c>
      <c r="CQ151" s="29">
        <f t="shared" ca="1" si="90"/>
        <v>7</v>
      </c>
      <c r="CR151" s="29">
        <f t="shared" ca="1" si="90"/>
        <v>2</v>
      </c>
      <c r="CS151" s="29">
        <f t="shared" ca="1" si="90"/>
        <v>2</v>
      </c>
      <c r="CT151" s="29">
        <f t="shared" ca="1" si="90"/>
        <v>3</v>
      </c>
      <c r="CU151" s="29">
        <f t="shared" ca="1" si="90"/>
        <v>4</v>
      </c>
      <c r="CV151" s="29">
        <f t="shared" ca="1" si="90"/>
        <v>3</v>
      </c>
      <c r="CW151" s="29">
        <f t="shared" ca="1" si="90"/>
        <v>3</v>
      </c>
      <c r="CX151" s="29">
        <f t="shared" ca="1" si="90"/>
        <v>7</v>
      </c>
      <c r="CY151" s="29">
        <f t="shared" ca="1" si="90"/>
        <v>6</v>
      </c>
      <c r="CZ151" s="29">
        <f t="shared" ca="1" si="90"/>
        <v>8</v>
      </c>
      <c r="DA151" s="29">
        <f t="shared" ca="1" si="90"/>
        <v>1</v>
      </c>
      <c r="DB151" s="29">
        <f t="shared" ca="1" si="90"/>
        <v>2</v>
      </c>
      <c r="DC151" s="29">
        <f t="shared" ca="1" si="90"/>
        <v>3</v>
      </c>
      <c r="DD151" s="29">
        <f t="shared" ca="1" si="90"/>
        <v>5</v>
      </c>
      <c r="DE151" s="29">
        <f t="shared" ca="1" si="90"/>
        <v>0</v>
      </c>
      <c r="DF151" s="29">
        <f t="shared" ca="1" si="76"/>
        <v>2</v>
      </c>
      <c r="DG151" s="29">
        <f t="shared" ca="1" si="76"/>
        <v>2</v>
      </c>
      <c r="DH151" s="29">
        <f t="shared" ca="1" si="76"/>
        <v>5</v>
      </c>
      <c r="DI151" s="29">
        <f t="shared" ca="1" si="76"/>
        <v>4</v>
      </c>
      <c r="DJ151" s="29">
        <f t="shared" ca="1" si="76"/>
        <v>1</v>
      </c>
      <c r="DK151" s="29">
        <f t="shared" ca="1" si="76"/>
        <v>4</v>
      </c>
      <c r="DL151" s="29">
        <f t="shared" ca="1" si="76"/>
        <v>1</v>
      </c>
    </row>
    <row r="152" spans="1:116" ht="14.4" x14ac:dyDescent="0.3">
      <c r="A152" s="31">
        <v>1052</v>
      </c>
      <c r="B152" s="28">
        <v>5.22</v>
      </c>
      <c r="C152" s="30">
        <v>66.47</v>
      </c>
      <c r="D152" s="28">
        <v>3.19</v>
      </c>
      <c r="E152" s="34">
        <f t="shared" si="77"/>
        <v>6.3799999999999996E-2</v>
      </c>
      <c r="F152" s="35">
        <f t="shared" si="78"/>
        <v>16.6175</v>
      </c>
      <c r="G152" s="34">
        <f t="shared" si="79"/>
        <v>79.75</v>
      </c>
      <c r="H152" s="33">
        <f t="shared" si="80"/>
        <v>12.094348659003833</v>
      </c>
      <c r="I152" s="28">
        <f t="shared" si="83"/>
        <v>371.55000000000013</v>
      </c>
      <c r="J152" s="32">
        <v>1</v>
      </c>
      <c r="K152" s="30">
        <f t="shared" si="81"/>
        <v>16.6175</v>
      </c>
      <c r="L152" s="30"/>
      <c r="M152" s="30"/>
      <c r="N152" s="30"/>
      <c r="O152" s="30"/>
      <c r="Q152" s="29">
        <f t="shared" ca="1" si="82"/>
        <v>2</v>
      </c>
      <c r="R152" s="29">
        <f t="shared" ca="1" si="87"/>
        <v>5</v>
      </c>
      <c r="S152" s="29">
        <f t="shared" ca="1" si="87"/>
        <v>1</v>
      </c>
      <c r="T152" s="29">
        <f t="shared" ca="1" si="87"/>
        <v>5</v>
      </c>
      <c r="U152" s="29">
        <f t="shared" ca="1" si="87"/>
        <v>6</v>
      </c>
      <c r="V152" s="29">
        <f t="shared" ca="1" si="87"/>
        <v>3</v>
      </c>
      <c r="W152" s="29">
        <f t="shared" ca="1" si="87"/>
        <v>2</v>
      </c>
      <c r="X152" s="29">
        <f t="shared" ca="1" si="87"/>
        <v>3</v>
      </c>
      <c r="Y152" s="29">
        <f t="shared" ca="1" si="87"/>
        <v>1</v>
      </c>
      <c r="Z152" s="29">
        <f t="shared" ca="1" si="87"/>
        <v>5</v>
      </c>
      <c r="AA152" s="29">
        <f t="shared" ca="1" si="87"/>
        <v>4</v>
      </c>
      <c r="AB152" s="29">
        <f t="shared" ca="1" si="87"/>
        <v>2</v>
      </c>
      <c r="AC152" s="29">
        <f t="shared" ca="1" si="87"/>
        <v>4</v>
      </c>
      <c r="AD152" s="29">
        <f t="shared" ca="1" si="87"/>
        <v>2</v>
      </c>
      <c r="AE152" s="29">
        <f t="shared" ca="1" si="87"/>
        <v>3</v>
      </c>
      <c r="AF152" s="29">
        <f t="shared" ca="1" si="87"/>
        <v>5</v>
      </c>
      <c r="AG152" s="29">
        <f t="shared" ca="1" si="86"/>
        <v>1</v>
      </c>
      <c r="AH152" s="29">
        <f t="shared" ca="1" si="86"/>
        <v>3</v>
      </c>
      <c r="AI152" s="29">
        <f t="shared" ca="1" si="86"/>
        <v>4</v>
      </c>
      <c r="AJ152" s="29">
        <f t="shared" ca="1" si="86"/>
        <v>2</v>
      </c>
      <c r="AK152" s="29">
        <f t="shared" ca="1" si="86"/>
        <v>4</v>
      </c>
      <c r="AL152" s="29">
        <f t="shared" ca="1" si="86"/>
        <v>2</v>
      </c>
      <c r="AM152" s="29">
        <f t="shared" ca="1" si="86"/>
        <v>3</v>
      </c>
      <c r="AN152" s="29">
        <f t="shared" ca="1" si="86"/>
        <v>6</v>
      </c>
      <c r="AO152" s="29">
        <f t="shared" ca="1" si="86"/>
        <v>3</v>
      </c>
      <c r="AP152" s="29">
        <f t="shared" ca="1" si="86"/>
        <v>6</v>
      </c>
      <c r="AQ152" s="29">
        <f t="shared" ca="1" si="86"/>
        <v>3</v>
      </c>
      <c r="AR152" s="29">
        <f t="shared" ca="1" si="86"/>
        <v>3</v>
      </c>
      <c r="AS152" s="29">
        <f t="shared" ca="1" si="86"/>
        <v>3</v>
      </c>
      <c r="AT152" s="29">
        <f t="shared" ca="1" si="86"/>
        <v>1</v>
      </c>
      <c r="AU152" s="29">
        <f t="shared" ca="1" si="86"/>
        <v>2</v>
      </c>
      <c r="AV152" s="29">
        <f t="shared" ca="1" si="89"/>
        <v>4</v>
      </c>
      <c r="AW152" s="29">
        <f t="shared" ca="1" si="89"/>
        <v>3</v>
      </c>
      <c r="AX152" s="29">
        <f t="shared" ca="1" si="89"/>
        <v>4</v>
      </c>
      <c r="AY152" s="29">
        <f t="shared" ca="1" si="89"/>
        <v>6</v>
      </c>
      <c r="AZ152" s="29">
        <f t="shared" ca="1" si="89"/>
        <v>1</v>
      </c>
      <c r="BA152" s="29">
        <f t="shared" ca="1" si="89"/>
        <v>3</v>
      </c>
      <c r="BB152" s="29">
        <f t="shared" ca="1" si="89"/>
        <v>2</v>
      </c>
      <c r="BC152" s="29">
        <f t="shared" ca="1" si="89"/>
        <v>0</v>
      </c>
      <c r="BD152" s="29">
        <f t="shared" ca="1" si="89"/>
        <v>4</v>
      </c>
      <c r="BE152" s="29">
        <f t="shared" ca="1" si="89"/>
        <v>3</v>
      </c>
      <c r="BF152" s="29">
        <f t="shared" ca="1" si="89"/>
        <v>1</v>
      </c>
      <c r="BG152" s="29">
        <f t="shared" ca="1" si="89"/>
        <v>2</v>
      </c>
      <c r="BH152" s="29">
        <f t="shared" ca="1" si="89"/>
        <v>2</v>
      </c>
      <c r="BI152" s="29">
        <f t="shared" ca="1" si="89"/>
        <v>2</v>
      </c>
      <c r="BJ152" s="29">
        <f t="shared" ca="1" si="89"/>
        <v>5</v>
      </c>
      <c r="BK152" s="29">
        <f t="shared" ca="1" si="89"/>
        <v>4</v>
      </c>
      <c r="BL152" s="29">
        <f t="shared" ca="1" si="88"/>
        <v>2</v>
      </c>
      <c r="BM152" s="29">
        <f t="shared" ca="1" si="88"/>
        <v>3</v>
      </c>
      <c r="BN152" s="29">
        <f t="shared" ca="1" si="88"/>
        <v>3</v>
      </c>
      <c r="BO152" s="29">
        <f t="shared" ca="1" si="88"/>
        <v>1</v>
      </c>
      <c r="BP152" s="29">
        <f t="shared" ca="1" si="88"/>
        <v>4</v>
      </c>
      <c r="BQ152" s="29">
        <f t="shared" ca="1" si="88"/>
        <v>5</v>
      </c>
      <c r="BR152" s="29">
        <f t="shared" ca="1" si="88"/>
        <v>3</v>
      </c>
      <c r="BS152" s="29">
        <f t="shared" ca="1" si="88"/>
        <v>1</v>
      </c>
      <c r="BT152" s="29">
        <f t="shared" ca="1" si="88"/>
        <v>0</v>
      </c>
      <c r="BU152" s="29">
        <f t="shared" ca="1" si="88"/>
        <v>2</v>
      </c>
      <c r="BV152" s="29">
        <f t="shared" ca="1" si="88"/>
        <v>3</v>
      </c>
      <c r="BW152" s="29">
        <f t="shared" ca="1" si="88"/>
        <v>4</v>
      </c>
      <c r="BX152" s="29">
        <f t="shared" ca="1" si="88"/>
        <v>0</v>
      </c>
      <c r="BY152" s="29">
        <f t="shared" ca="1" si="88"/>
        <v>2</v>
      </c>
      <c r="BZ152" s="29">
        <f t="shared" ca="1" si="88"/>
        <v>10</v>
      </c>
      <c r="CA152" s="29">
        <f t="shared" ca="1" si="91"/>
        <v>2</v>
      </c>
      <c r="CB152" s="29">
        <f t="shared" ca="1" si="91"/>
        <v>5</v>
      </c>
      <c r="CC152" s="29">
        <f t="shared" ca="1" si="91"/>
        <v>4</v>
      </c>
      <c r="CD152" s="29">
        <f t="shared" ca="1" si="91"/>
        <v>2</v>
      </c>
      <c r="CE152" s="29">
        <f t="shared" ca="1" si="91"/>
        <v>7</v>
      </c>
      <c r="CF152" s="29">
        <f t="shared" ca="1" si="91"/>
        <v>1</v>
      </c>
      <c r="CG152" s="29">
        <f t="shared" ca="1" si="91"/>
        <v>4</v>
      </c>
      <c r="CH152" s="29">
        <f t="shared" ca="1" si="91"/>
        <v>3</v>
      </c>
      <c r="CI152" s="29">
        <f t="shared" ca="1" si="91"/>
        <v>9</v>
      </c>
      <c r="CJ152" s="29">
        <f t="shared" ca="1" si="91"/>
        <v>10</v>
      </c>
      <c r="CK152" s="29">
        <f t="shared" ca="1" si="91"/>
        <v>1</v>
      </c>
      <c r="CL152" s="29">
        <f t="shared" ca="1" si="91"/>
        <v>3</v>
      </c>
      <c r="CM152" s="29">
        <f t="shared" ca="1" si="91"/>
        <v>3</v>
      </c>
      <c r="CN152" s="29">
        <f t="shared" ca="1" si="91"/>
        <v>5</v>
      </c>
      <c r="CO152" s="29">
        <f t="shared" ca="1" si="91"/>
        <v>3</v>
      </c>
      <c r="CP152" s="29">
        <f t="shared" ca="1" si="91"/>
        <v>2</v>
      </c>
      <c r="CQ152" s="29">
        <f t="shared" ca="1" si="90"/>
        <v>5</v>
      </c>
      <c r="CR152" s="29">
        <f t="shared" ca="1" si="90"/>
        <v>1</v>
      </c>
      <c r="CS152" s="29">
        <f t="shared" ca="1" si="90"/>
        <v>3</v>
      </c>
      <c r="CT152" s="29">
        <f t="shared" ca="1" si="90"/>
        <v>2</v>
      </c>
      <c r="CU152" s="29">
        <f t="shared" ca="1" si="90"/>
        <v>5</v>
      </c>
      <c r="CV152" s="29">
        <f t="shared" ca="1" si="90"/>
        <v>3</v>
      </c>
      <c r="CW152" s="29">
        <f t="shared" ca="1" si="90"/>
        <v>1</v>
      </c>
      <c r="CX152" s="29">
        <f t="shared" ca="1" si="90"/>
        <v>5</v>
      </c>
      <c r="CY152" s="29">
        <f t="shared" ca="1" si="90"/>
        <v>2</v>
      </c>
      <c r="CZ152" s="29">
        <f t="shared" ca="1" si="90"/>
        <v>5</v>
      </c>
      <c r="DA152" s="29">
        <f t="shared" ca="1" si="90"/>
        <v>9</v>
      </c>
      <c r="DB152" s="29">
        <f t="shared" ca="1" si="90"/>
        <v>3</v>
      </c>
      <c r="DC152" s="29">
        <f t="shared" ca="1" si="90"/>
        <v>2</v>
      </c>
      <c r="DD152" s="29">
        <f t="shared" ca="1" si="90"/>
        <v>4</v>
      </c>
      <c r="DE152" s="29">
        <f t="shared" ca="1" si="90"/>
        <v>5</v>
      </c>
      <c r="DF152" s="29">
        <f t="shared" ca="1" si="76"/>
        <v>2</v>
      </c>
      <c r="DG152" s="29">
        <f t="shared" ca="1" si="76"/>
        <v>3</v>
      </c>
      <c r="DH152" s="29">
        <f t="shared" ca="1" si="76"/>
        <v>3</v>
      </c>
      <c r="DI152" s="29">
        <f t="shared" ca="1" si="76"/>
        <v>1</v>
      </c>
      <c r="DJ152" s="29">
        <f t="shared" ca="1" si="76"/>
        <v>0</v>
      </c>
      <c r="DK152" s="29">
        <f t="shared" ca="1" si="76"/>
        <v>5</v>
      </c>
      <c r="DL152" s="29">
        <f t="shared" ca="1" si="76"/>
        <v>1</v>
      </c>
    </row>
    <row r="153" spans="1:116" ht="14.4" x14ac:dyDescent="0.3">
      <c r="A153" s="31">
        <v>536</v>
      </c>
      <c r="B153" s="28">
        <v>4.8899999999999997</v>
      </c>
      <c r="C153" s="30">
        <v>43.66</v>
      </c>
      <c r="D153" s="28">
        <v>2.8</v>
      </c>
      <c r="E153" s="34">
        <f t="shared" si="77"/>
        <v>5.5999999999999994E-2</v>
      </c>
      <c r="F153" s="35">
        <f t="shared" si="78"/>
        <v>10.914999999999999</v>
      </c>
      <c r="G153" s="34">
        <f t="shared" si="79"/>
        <v>70</v>
      </c>
      <c r="H153" s="33">
        <f t="shared" si="80"/>
        <v>12.082822085889571</v>
      </c>
      <c r="I153" s="28">
        <f t="shared" si="83"/>
        <v>376.44000000000011</v>
      </c>
      <c r="J153" s="32">
        <v>1</v>
      </c>
      <c r="K153" s="30">
        <f t="shared" si="81"/>
        <v>10.914999999999999</v>
      </c>
      <c r="L153" s="30"/>
      <c r="M153" s="30"/>
      <c r="N153" s="30"/>
      <c r="O153" s="30"/>
      <c r="Q153" s="29">
        <f t="shared" ca="1" si="82"/>
        <v>0</v>
      </c>
      <c r="R153" s="29">
        <f t="shared" ca="1" si="87"/>
        <v>1</v>
      </c>
      <c r="S153" s="29">
        <f t="shared" ca="1" si="87"/>
        <v>2</v>
      </c>
      <c r="T153" s="29">
        <f t="shared" ca="1" si="87"/>
        <v>0</v>
      </c>
      <c r="U153" s="29">
        <f t="shared" ca="1" si="87"/>
        <v>0</v>
      </c>
      <c r="V153" s="29">
        <f t="shared" ca="1" si="87"/>
        <v>1</v>
      </c>
      <c r="W153" s="29">
        <f t="shared" ca="1" si="87"/>
        <v>2</v>
      </c>
      <c r="X153" s="29">
        <f t="shared" ca="1" si="87"/>
        <v>6</v>
      </c>
      <c r="Y153" s="29">
        <f t="shared" ca="1" si="87"/>
        <v>1</v>
      </c>
      <c r="Z153" s="29">
        <f t="shared" ca="1" si="87"/>
        <v>1</v>
      </c>
      <c r="AA153" s="29">
        <f t="shared" ca="1" si="87"/>
        <v>2</v>
      </c>
      <c r="AB153" s="29">
        <f t="shared" ca="1" si="87"/>
        <v>4</v>
      </c>
      <c r="AC153" s="29">
        <f t="shared" ca="1" si="87"/>
        <v>3</v>
      </c>
      <c r="AD153" s="29">
        <f t="shared" ca="1" si="87"/>
        <v>4</v>
      </c>
      <c r="AE153" s="29">
        <f t="shared" ca="1" si="87"/>
        <v>4</v>
      </c>
      <c r="AF153" s="29">
        <f t="shared" ref="AF153:AU168" ca="1" si="92">_xlfn.BINOM.INV(50,$E153,RAND())</f>
        <v>3</v>
      </c>
      <c r="AG153" s="29">
        <f t="shared" ca="1" si="92"/>
        <v>1</v>
      </c>
      <c r="AH153" s="29">
        <f t="shared" ca="1" si="92"/>
        <v>7</v>
      </c>
      <c r="AI153" s="29">
        <f t="shared" ca="1" si="92"/>
        <v>2</v>
      </c>
      <c r="AJ153" s="29">
        <f t="shared" ca="1" si="92"/>
        <v>5</v>
      </c>
      <c r="AK153" s="29">
        <f t="shared" ca="1" si="92"/>
        <v>1</v>
      </c>
      <c r="AL153" s="29">
        <f t="shared" ca="1" si="92"/>
        <v>2</v>
      </c>
      <c r="AM153" s="29">
        <f t="shared" ca="1" si="92"/>
        <v>2</v>
      </c>
      <c r="AN153" s="29">
        <f t="shared" ca="1" si="92"/>
        <v>5</v>
      </c>
      <c r="AO153" s="29">
        <f t="shared" ca="1" si="92"/>
        <v>1</v>
      </c>
      <c r="AP153" s="29">
        <f t="shared" ca="1" si="92"/>
        <v>3</v>
      </c>
      <c r="AQ153" s="29">
        <f t="shared" ca="1" si="92"/>
        <v>2</v>
      </c>
      <c r="AR153" s="29">
        <f t="shared" ca="1" si="92"/>
        <v>4</v>
      </c>
      <c r="AS153" s="29">
        <f t="shared" ca="1" si="92"/>
        <v>5</v>
      </c>
      <c r="AT153" s="29">
        <f t="shared" ca="1" si="92"/>
        <v>3</v>
      </c>
      <c r="AU153" s="29">
        <f t="shared" ca="1" si="92"/>
        <v>4</v>
      </c>
      <c r="AV153" s="29">
        <f t="shared" ca="1" si="89"/>
        <v>1</v>
      </c>
      <c r="AW153" s="29">
        <f t="shared" ca="1" si="89"/>
        <v>2</v>
      </c>
      <c r="AX153" s="29">
        <f t="shared" ca="1" si="89"/>
        <v>4</v>
      </c>
      <c r="AY153" s="29">
        <f t="shared" ca="1" si="89"/>
        <v>4</v>
      </c>
      <c r="AZ153" s="29">
        <f t="shared" ca="1" si="89"/>
        <v>1</v>
      </c>
      <c r="BA153" s="29">
        <f t="shared" ca="1" si="89"/>
        <v>3</v>
      </c>
      <c r="BB153" s="29">
        <f t="shared" ca="1" si="89"/>
        <v>2</v>
      </c>
      <c r="BC153" s="29">
        <f t="shared" ca="1" si="89"/>
        <v>4</v>
      </c>
      <c r="BD153" s="29">
        <f t="shared" ca="1" si="89"/>
        <v>7</v>
      </c>
      <c r="BE153" s="29">
        <f t="shared" ca="1" si="89"/>
        <v>3</v>
      </c>
      <c r="BF153" s="29">
        <f t="shared" ca="1" si="89"/>
        <v>2</v>
      </c>
      <c r="BG153" s="29">
        <f t="shared" ca="1" si="89"/>
        <v>2</v>
      </c>
      <c r="BH153" s="29">
        <f t="shared" ca="1" si="89"/>
        <v>0</v>
      </c>
      <c r="BI153" s="29">
        <f t="shared" ca="1" si="89"/>
        <v>3</v>
      </c>
      <c r="BJ153" s="29">
        <f t="shared" ca="1" si="89"/>
        <v>5</v>
      </c>
      <c r="BK153" s="29">
        <f t="shared" ca="1" si="89"/>
        <v>1</v>
      </c>
      <c r="BL153" s="29">
        <f t="shared" ca="1" si="88"/>
        <v>2</v>
      </c>
      <c r="BM153" s="29">
        <f t="shared" ca="1" si="88"/>
        <v>4</v>
      </c>
      <c r="BN153" s="29">
        <f t="shared" ca="1" si="88"/>
        <v>3</v>
      </c>
      <c r="BO153" s="29">
        <f t="shared" ca="1" si="88"/>
        <v>2</v>
      </c>
      <c r="BP153" s="29">
        <f t="shared" ca="1" si="88"/>
        <v>4</v>
      </c>
      <c r="BQ153" s="29">
        <f t="shared" ca="1" si="88"/>
        <v>2</v>
      </c>
      <c r="BR153" s="29">
        <f t="shared" ca="1" si="88"/>
        <v>2</v>
      </c>
      <c r="BS153" s="29">
        <f t="shared" ca="1" si="88"/>
        <v>2</v>
      </c>
      <c r="BT153" s="29">
        <f t="shared" ca="1" si="88"/>
        <v>0</v>
      </c>
      <c r="BU153" s="29">
        <f t="shared" ca="1" si="88"/>
        <v>1</v>
      </c>
      <c r="BV153" s="29">
        <f t="shared" ca="1" si="88"/>
        <v>2</v>
      </c>
      <c r="BW153" s="29">
        <f t="shared" ca="1" si="88"/>
        <v>1</v>
      </c>
      <c r="BX153" s="29">
        <f t="shared" ca="1" si="88"/>
        <v>4</v>
      </c>
      <c r="BY153" s="29">
        <f t="shared" ca="1" si="88"/>
        <v>0</v>
      </c>
      <c r="BZ153" s="29">
        <f t="shared" ca="1" si="88"/>
        <v>4</v>
      </c>
      <c r="CA153" s="29">
        <f t="shared" ca="1" si="91"/>
        <v>7</v>
      </c>
      <c r="CB153" s="29">
        <f t="shared" ca="1" si="91"/>
        <v>2</v>
      </c>
      <c r="CC153" s="29">
        <f t="shared" ca="1" si="91"/>
        <v>3</v>
      </c>
      <c r="CD153" s="29">
        <f t="shared" ca="1" si="91"/>
        <v>0</v>
      </c>
      <c r="CE153" s="29">
        <f t="shared" ca="1" si="91"/>
        <v>5</v>
      </c>
      <c r="CF153" s="29">
        <f t="shared" ca="1" si="91"/>
        <v>0</v>
      </c>
      <c r="CG153" s="29">
        <f t="shared" ca="1" si="91"/>
        <v>1</v>
      </c>
      <c r="CH153" s="29">
        <f t="shared" ca="1" si="91"/>
        <v>1</v>
      </c>
      <c r="CI153" s="29">
        <f t="shared" ca="1" si="91"/>
        <v>0</v>
      </c>
      <c r="CJ153" s="29">
        <f t="shared" ca="1" si="91"/>
        <v>3</v>
      </c>
      <c r="CK153" s="29">
        <f t="shared" ca="1" si="91"/>
        <v>4</v>
      </c>
      <c r="CL153" s="29">
        <f t="shared" ca="1" si="91"/>
        <v>4</v>
      </c>
      <c r="CM153" s="29">
        <f t="shared" ca="1" si="91"/>
        <v>3</v>
      </c>
      <c r="CN153" s="29">
        <f t="shared" ca="1" si="91"/>
        <v>4</v>
      </c>
      <c r="CO153" s="29">
        <f t="shared" ca="1" si="91"/>
        <v>1</v>
      </c>
      <c r="CP153" s="29">
        <f t="shared" ca="1" si="91"/>
        <v>6</v>
      </c>
      <c r="CQ153" s="29">
        <f t="shared" ca="1" si="90"/>
        <v>6</v>
      </c>
      <c r="CR153" s="29">
        <f t="shared" ca="1" si="90"/>
        <v>6</v>
      </c>
      <c r="CS153" s="29">
        <f t="shared" ca="1" si="90"/>
        <v>2</v>
      </c>
      <c r="CT153" s="29">
        <f t="shared" ca="1" si="90"/>
        <v>2</v>
      </c>
      <c r="CU153" s="29">
        <f t="shared" ca="1" si="90"/>
        <v>1</v>
      </c>
      <c r="CV153" s="29">
        <f t="shared" ca="1" si="90"/>
        <v>1</v>
      </c>
      <c r="CW153" s="29">
        <f t="shared" ca="1" si="90"/>
        <v>3</v>
      </c>
      <c r="CX153" s="29">
        <f t="shared" ca="1" si="90"/>
        <v>4</v>
      </c>
      <c r="CY153" s="29">
        <f t="shared" ca="1" si="90"/>
        <v>4</v>
      </c>
      <c r="CZ153" s="29">
        <f t="shared" ca="1" si="90"/>
        <v>5</v>
      </c>
      <c r="DA153" s="29">
        <f t="shared" ca="1" si="90"/>
        <v>0</v>
      </c>
      <c r="DB153" s="29">
        <f t="shared" ca="1" si="90"/>
        <v>1</v>
      </c>
      <c r="DC153" s="29">
        <f t="shared" ca="1" si="90"/>
        <v>0</v>
      </c>
      <c r="DD153" s="29">
        <f t="shared" ca="1" si="90"/>
        <v>5</v>
      </c>
      <c r="DE153" s="29">
        <f t="shared" ca="1" si="90"/>
        <v>1</v>
      </c>
      <c r="DF153" s="29">
        <f t="shared" ca="1" si="76"/>
        <v>4</v>
      </c>
      <c r="DG153" s="29">
        <f t="shared" ca="1" si="76"/>
        <v>4</v>
      </c>
      <c r="DH153" s="29">
        <f t="shared" ca="1" si="76"/>
        <v>4</v>
      </c>
      <c r="DI153" s="29">
        <f t="shared" ca="1" si="76"/>
        <v>1</v>
      </c>
      <c r="DJ153" s="29">
        <f t="shared" ca="1" si="76"/>
        <v>3</v>
      </c>
      <c r="DK153" s="29">
        <f t="shared" ca="1" si="76"/>
        <v>2</v>
      </c>
      <c r="DL153" s="29">
        <f t="shared" ca="1" si="76"/>
        <v>1</v>
      </c>
    </row>
    <row r="154" spans="1:116" ht="14.4" x14ac:dyDescent="0.3">
      <c r="A154" s="31">
        <v>612</v>
      </c>
      <c r="B154" s="28">
        <v>3.74</v>
      </c>
      <c r="C154" s="30">
        <v>33.93</v>
      </c>
      <c r="D154" s="28">
        <v>2.14</v>
      </c>
      <c r="E154" s="34">
        <f t="shared" si="77"/>
        <v>4.2800000000000005E-2</v>
      </c>
      <c r="F154" s="35">
        <f t="shared" si="78"/>
        <v>8.4824999999999999</v>
      </c>
      <c r="G154" s="34">
        <f t="shared" si="79"/>
        <v>53.5</v>
      </c>
      <c r="H154" s="33">
        <f t="shared" si="80"/>
        <v>12.036764705882351</v>
      </c>
      <c r="I154" s="28">
        <f t="shared" si="83"/>
        <v>380.18000000000012</v>
      </c>
      <c r="J154" s="32">
        <v>1</v>
      </c>
      <c r="K154" s="30">
        <f t="shared" si="81"/>
        <v>8.4824999999999999</v>
      </c>
      <c r="L154" s="30"/>
      <c r="M154" s="30"/>
      <c r="N154" s="30"/>
      <c r="O154" s="30"/>
      <c r="Q154" s="29">
        <f t="shared" ca="1" si="82"/>
        <v>6</v>
      </c>
      <c r="R154" s="29">
        <f t="shared" ref="R154:AF169" ca="1" si="93">_xlfn.BINOM.INV(50,$E154,RAND())</f>
        <v>2</v>
      </c>
      <c r="S154" s="29">
        <f t="shared" ca="1" si="93"/>
        <v>1</v>
      </c>
      <c r="T154" s="29">
        <f t="shared" ca="1" si="93"/>
        <v>3</v>
      </c>
      <c r="U154" s="29">
        <f t="shared" ca="1" si="93"/>
        <v>2</v>
      </c>
      <c r="V154" s="29">
        <f t="shared" ca="1" si="93"/>
        <v>1</v>
      </c>
      <c r="W154" s="29">
        <f t="shared" ca="1" si="93"/>
        <v>4</v>
      </c>
      <c r="X154" s="29">
        <f t="shared" ca="1" si="93"/>
        <v>1</v>
      </c>
      <c r="Y154" s="29">
        <f t="shared" ca="1" si="93"/>
        <v>4</v>
      </c>
      <c r="Z154" s="29">
        <f t="shared" ca="1" si="93"/>
        <v>0</v>
      </c>
      <c r="AA154" s="29">
        <f t="shared" ca="1" si="93"/>
        <v>2</v>
      </c>
      <c r="AB154" s="29">
        <f t="shared" ca="1" si="93"/>
        <v>1</v>
      </c>
      <c r="AC154" s="29">
        <f t="shared" ca="1" si="93"/>
        <v>3</v>
      </c>
      <c r="AD154" s="29">
        <f t="shared" ca="1" si="93"/>
        <v>1</v>
      </c>
      <c r="AE154" s="29">
        <f t="shared" ca="1" si="93"/>
        <v>2</v>
      </c>
      <c r="AF154" s="29">
        <f t="shared" ca="1" si="93"/>
        <v>2</v>
      </c>
      <c r="AG154" s="29">
        <f t="shared" ca="1" si="92"/>
        <v>7</v>
      </c>
      <c r="AH154" s="29">
        <f t="shared" ca="1" si="92"/>
        <v>2</v>
      </c>
      <c r="AI154" s="29">
        <f t="shared" ca="1" si="92"/>
        <v>0</v>
      </c>
      <c r="AJ154" s="29">
        <f t="shared" ca="1" si="92"/>
        <v>3</v>
      </c>
      <c r="AK154" s="29">
        <f t="shared" ca="1" si="92"/>
        <v>1</v>
      </c>
      <c r="AL154" s="29">
        <f t="shared" ca="1" si="92"/>
        <v>0</v>
      </c>
      <c r="AM154" s="29">
        <f t="shared" ca="1" si="92"/>
        <v>2</v>
      </c>
      <c r="AN154" s="29">
        <f t="shared" ca="1" si="92"/>
        <v>3</v>
      </c>
      <c r="AO154" s="29">
        <f t="shared" ca="1" si="92"/>
        <v>4</v>
      </c>
      <c r="AP154" s="29">
        <f t="shared" ca="1" si="92"/>
        <v>1</v>
      </c>
      <c r="AQ154" s="29">
        <f t="shared" ca="1" si="92"/>
        <v>2</v>
      </c>
      <c r="AR154" s="29">
        <f t="shared" ca="1" si="92"/>
        <v>2</v>
      </c>
      <c r="AS154" s="29">
        <f t="shared" ca="1" si="92"/>
        <v>1</v>
      </c>
      <c r="AT154" s="29">
        <f t="shared" ca="1" si="92"/>
        <v>2</v>
      </c>
      <c r="AU154" s="29">
        <f t="shared" ca="1" si="92"/>
        <v>2</v>
      </c>
      <c r="AV154" s="29">
        <f t="shared" ca="1" si="89"/>
        <v>3</v>
      </c>
      <c r="AW154" s="29">
        <f t="shared" ca="1" si="89"/>
        <v>3</v>
      </c>
      <c r="AX154" s="29">
        <f t="shared" ca="1" si="89"/>
        <v>1</v>
      </c>
      <c r="AY154" s="29">
        <f t="shared" ca="1" si="89"/>
        <v>2</v>
      </c>
      <c r="AZ154" s="29">
        <f t="shared" ca="1" si="89"/>
        <v>3</v>
      </c>
      <c r="BA154" s="29">
        <f t="shared" ca="1" si="89"/>
        <v>3</v>
      </c>
      <c r="BB154" s="29">
        <f t="shared" ca="1" si="89"/>
        <v>1</v>
      </c>
      <c r="BC154" s="29">
        <f t="shared" ca="1" si="89"/>
        <v>0</v>
      </c>
      <c r="BD154" s="29">
        <f t="shared" ca="1" si="89"/>
        <v>1</v>
      </c>
      <c r="BE154" s="29">
        <f t="shared" ca="1" si="89"/>
        <v>3</v>
      </c>
      <c r="BF154" s="29">
        <f t="shared" ca="1" si="89"/>
        <v>2</v>
      </c>
      <c r="BG154" s="29">
        <f t="shared" ca="1" si="89"/>
        <v>2</v>
      </c>
      <c r="BH154" s="29">
        <f t="shared" ca="1" si="89"/>
        <v>1</v>
      </c>
      <c r="BI154" s="29">
        <f t="shared" ca="1" si="89"/>
        <v>2</v>
      </c>
      <c r="BJ154" s="29">
        <f t="shared" ca="1" si="89"/>
        <v>1</v>
      </c>
      <c r="BK154" s="29">
        <f t="shared" ca="1" si="89"/>
        <v>2</v>
      </c>
      <c r="BL154" s="29">
        <f t="shared" ca="1" si="88"/>
        <v>2</v>
      </c>
      <c r="BM154" s="29">
        <f t="shared" ca="1" si="88"/>
        <v>1</v>
      </c>
      <c r="BN154" s="29">
        <f t="shared" ca="1" si="88"/>
        <v>0</v>
      </c>
      <c r="BO154" s="29">
        <f t="shared" ca="1" si="88"/>
        <v>2</v>
      </c>
      <c r="BP154" s="29">
        <f t="shared" ca="1" si="88"/>
        <v>1</v>
      </c>
      <c r="BQ154" s="29">
        <f t="shared" ca="1" si="88"/>
        <v>0</v>
      </c>
      <c r="BR154" s="29">
        <f t="shared" ca="1" si="88"/>
        <v>0</v>
      </c>
      <c r="BS154" s="29">
        <f t="shared" ca="1" si="88"/>
        <v>2</v>
      </c>
      <c r="BT154" s="29">
        <f t="shared" ca="1" si="88"/>
        <v>3</v>
      </c>
      <c r="BU154" s="29">
        <f t="shared" ca="1" si="88"/>
        <v>3</v>
      </c>
      <c r="BV154" s="29">
        <f t="shared" ca="1" si="88"/>
        <v>3</v>
      </c>
      <c r="BW154" s="29">
        <f t="shared" ca="1" si="88"/>
        <v>2</v>
      </c>
      <c r="BX154" s="29">
        <f t="shared" ca="1" si="88"/>
        <v>1</v>
      </c>
      <c r="BY154" s="29">
        <f t="shared" ca="1" si="88"/>
        <v>0</v>
      </c>
      <c r="BZ154" s="29">
        <f t="shared" ca="1" si="88"/>
        <v>2</v>
      </c>
      <c r="CA154" s="29">
        <f t="shared" ca="1" si="91"/>
        <v>4</v>
      </c>
      <c r="CB154" s="29">
        <f t="shared" ca="1" si="91"/>
        <v>2</v>
      </c>
      <c r="CC154" s="29">
        <f t="shared" ca="1" si="91"/>
        <v>2</v>
      </c>
      <c r="CD154" s="29">
        <f t="shared" ca="1" si="91"/>
        <v>0</v>
      </c>
      <c r="CE154" s="29">
        <f t="shared" ca="1" si="91"/>
        <v>5</v>
      </c>
      <c r="CF154" s="29">
        <f t="shared" ca="1" si="91"/>
        <v>5</v>
      </c>
      <c r="CG154" s="29">
        <f t="shared" ca="1" si="91"/>
        <v>1</v>
      </c>
      <c r="CH154" s="29">
        <f t="shared" ca="1" si="91"/>
        <v>2</v>
      </c>
      <c r="CI154" s="29">
        <f t="shared" ca="1" si="91"/>
        <v>0</v>
      </c>
      <c r="CJ154" s="29">
        <f t="shared" ca="1" si="91"/>
        <v>2</v>
      </c>
      <c r="CK154" s="29">
        <f t="shared" ca="1" si="91"/>
        <v>4</v>
      </c>
      <c r="CL154" s="29">
        <f t="shared" ca="1" si="91"/>
        <v>3</v>
      </c>
      <c r="CM154" s="29">
        <f t="shared" ca="1" si="91"/>
        <v>5</v>
      </c>
      <c r="CN154" s="29">
        <f t="shared" ca="1" si="91"/>
        <v>3</v>
      </c>
      <c r="CO154" s="29">
        <f t="shared" ca="1" si="91"/>
        <v>4</v>
      </c>
      <c r="CP154" s="29">
        <f t="shared" ca="1" si="91"/>
        <v>7</v>
      </c>
      <c r="CQ154" s="29">
        <f t="shared" ca="1" si="90"/>
        <v>1</v>
      </c>
      <c r="CR154" s="29">
        <f t="shared" ca="1" si="90"/>
        <v>2</v>
      </c>
      <c r="CS154" s="29">
        <f t="shared" ca="1" si="90"/>
        <v>2</v>
      </c>
      <c r="CT154" s="29">
        <f t="shared" ca="1" si="90"/>
        <v>1</v>
      </c>
      <c r="CU154" s="29">
        <f t="shared" ca="1" si="90"/>
        <v>1</v>
      </c>
      <c r="CV154" s="29">
        <f t="shared" ca="1" si="90"/>
        <v>1</v>
      </c>
      <c r="CW154" s="29">
        <f t="shared" ca="1" si="90"/>
        <v>1</v>
      </c>
      <c r="CX154" s="29">
        <f t="shared" ca="1" si="90"/>
        <v>2</v>
      </c>
      <c r="CY154" s="29">
        <f t="shared" ca="1" si="90"/>
        <v>2</v>
      </c>
      <c r="CZ154" s="29">
        <f t="shared" ca="1" si="90"/>
        <v>1</v>
      </c>
      <c r="DA154" s="29">
        <f t="shared" ca="1" si="90"/>
        <v>0</v>
      </c>
      <c r="DB154" s="29">
        <f t="shared" ca="1" si="90"/>
        <v>5</v>
      </c>
      <c r="DC154" s="29">
        <f t="shared" ca="1" si="90"/>
        <v>1</v>
      </c>
      <c r="DD154" s="29">
        <f t="shared" ca="1" si="90"/>
        <v>3</v>
      </c>
      <c r="DE154" s="29">
        <f t="shared" ca="1" si="90"/>
        <v>3</v>
      </c>
      <c r="DF154" s="29">
        <f t="shared" ca="1" si="76"/>
        <v>1</v>
      </c>
      <c r="DG154" s="29">
        <f t="shared" ca="1" si="76"/>
        <v>3</v>
      </c>
      <c r="DH154" s="29">
        <f t="shared" ca="1" si="76"/>
        <v>5</v>
      </c>
      <c r="DI154" s="29">
        <f t="shared" ca="1" si="76"/>
        <v>3</v>
      </c>
      <c r="DJ154" s="29">
        <f t="shared" ca="1" si="76"/>
        <v>2</v>
      </c>
      <c r="DK154" s="29">
        <f t="shared" ca="1" si="76"/>
        <v>1</v>
      </c>
      <c r="DL154" s="29">
        <f t="shared" ca="1" si="76"/>
        <v>1</v>
      </c>
    </row>
    <row r="155" spans="1:116" ht="14.4" x14ac:dyDescent="0.3">
      <c r="A155" s="31">
        <v>788</v>
      </c>
      <c r="B155" s="28">
        <v>4.42</v>
      </c>
      <c r="C155" s="30">
        <v>45.66</v>
      </c>
      <c r="D155" s="28">
        <v>2.58</v>
      </c>
      <c r="E155" s="34">
        <f t="shared" si="77"/>
        <v>5.16E-2</v>
      </c>
      <c r="F155" s="35">
        <f t="shared" si="78"/>
        <v>11.414999999999999</v>
      </c>
      <c r="G155" s="34">
        <f t="shared" si="79"/>
        <v>64.5</v>
      </c>
      <c r="H155" s="33">
        <f t="shared" si="80"/>
        <v>12.010180995475114</v>
      </c>
      <c r="I155" s="28">
        <f t="shared" si="83"/>
        <v>384.60000000000014</v>
      </c>
      <c r="J155" s="32">
        <v>1</v>
      </c>
      <c r="K155" s="30">
        <f t="shared" si="81"/>
        <v>11.414999999999999</v>
      </c>
      <c r="L155" s="30"/>
      <c r="M155" s="30"/>
      <c r="N155" s="30"/>
      <c r="O155" s="30"/>
      <c r="Q155" s="29">
        <f t="shared" ca="1" si="82"/>
        <v>2</v>
      </c>
      <c r="R155" s="29">
        <f t="shared" ca="1" si="93"/>
        <v>2</v>
      </c>
      <c r="S155" s="29">
        <f t="shared" ca="1" si="93"/>
        <v>4</v>
      </c>
      <c r="T155" s="29">
        <f t="shared" ca="1" si="93"/>
        <v>6</v>
      </c>
      <c r="U155" s="29">
        <f t="shared" ca="1" si="93"/>
        <v>4</v>
      </c>
      <c r="V155" s="29">
        <f t="shared" ca="1" si="93"/>
        <v>3</v>
      </c>
      <c r="W155" s="29">
        <f t="shared" ca="1" si="93"/>
        <v>1</v>
      </c>
      <c r="X155" s="29">
        <f t="shared" ca="1" si="93"/>
        <v>2</v>
      </c>
      <c r="Y155" s="29">
        <f t="shared" ca="1" si="93"/>
        <v>4</v>
      </c>
      <c r="Z155" s="29">
        <f t="shared" ca="1" si="93"/>
        <v>3</v>
      </c>
      <c r="AA155" s="29">
        <f t="shared" ca="1" si="93"/>
        <v>5</v>
      </c>
      <c r="AB155" s="29">
        <f t="shared" ca="1" si="93"/>
        <v>3</v>
      </c>
      <c r="AC155" s="29">
        <f t="shared" ca="1" si="93"/>
        <v>1</v>
      </c>
      <c r="AD155" s="29">
        <f t="shared" ca="1" si="93"/>
        <v>3</v>
      </c>
      <c r="AE155" s="29">
        <f t="shared" ca="1" si="93"/>
        <v>4</v>
      </c>
      <c r="AF155" s="29">
        <f t="shared" ca="1" si="93"/>
        <v>2</v>
      </c>
      <c r="AG155" s="29">
        <f t="shared" ca="1" si="92"/>
        <v>3</v>
      </c>
      <c r="AH155" s="29">
        <f t="shared" ca="1" si="92"/>
        <v>3</v>
      </c>
      <c r="AI155" s="29">
        <f t="shared" ca="1" si="92"/>
        <v>3</v>
      </c>
      <c r="AJ155" s="29">
        <f t="shared" ca="1" si="92"/>
        <v>0</v>
      </c>
      <c r="AK155" s="29">
        <f t="shared" ca="1" si="92"/>
        <v>2</v>
      </c>
      <c r="AL155" s="29">
        <f t="shared" ca="1" si="92"/>
        <v>3</v>
      </c>
      <c r="AM155" s="29">
        <f t="shared" ca="1" si="92"/>
        <v>4</v>
      </c>
      <c r="AN155" s="29">
        <f t="shared" ca="1" si="92"/>
        <v>4</v>
      </c>
      <c r="AO155" s="29">
        <f t="shared" ca="1" si="92"/>
        <v>3</v>
      </c>
      <c r="AP155" s="29">
        <f t="shared" ca="1" si="92"/>
        <v>1</v>
      </c>
      <c r="AQ155" s="29">
        <f t="shared" ca="1" si="92"/>
        <v>1</v>
      </c>
      <c r="AR155" s="29">
        <f t="shared" ca="1" si="92"/>
        <v>1</v>
      </c>
      <c r="AS155" s="29">
        <f t="shared" ca="1" si="92"/>
        <v>5</v>
      </c>
      <c r="AT155" s="29">
        <f t="shared" ca="1" si="92"/>
        <v>2</v>
      </c>
      <c r="AU155" s="29">
        <f t="shared" ca="1" si="92"/>
        <v>2</v>
      </c>
      <c r="AV155" s="29">
        <f t="shared" ca="1" si="89"/>
        <v>6</v>
      </c>
      <c r="AW155" s="29">
        <f t="shared" ca="1" si="89"/>
        <v>1</v>
      </c>
      <c r="AX155" s="29">
        <f t="shared" ca="1" si="89"/>
        <v>1</v>
      </c>
      <c r="AY155" s="29">
        <f t="shared" ca="1" si="89"/>
        <v>1</v>
      </c>
      <c r="AZ155" s="29">
        <f t="shared" ca="1" si="89"/>
        <v>3</v>
      </c>
      <c r="BA155" s="29">
        <f t="shared" ca="1" si="89"/>
        <v>2</v>
      </c>
      <c r="BB155" s="29">
        <f t="shared" ca="1" si="89"/>
        <v>3</v>
      </c>
      <c r="BC155" s="29">
        <f t="shared" ca="1" si="89"/>
        <v>2</v>
      </c>
      <c r="BD155" s="29">
        <f t="shared" ca="1" si="89"/>
        <v>1</v>
      </c>
      <c r="BE155" s="29">
        <f t="shared" ca="1" si="89"/>
        <v>3</v>
      </c>
      <c r="BF155" s="29">
        <f t="shared" ca="1" si="89"/>
        <v>0</v>
      </c>
      <c r="BG155" s="29">
        <f t="shared" ca="1" si="89"/>
        <v>1</v>
      </c>
      <c r="BH155" s="29">
        <f t="shared" ca="1" si="89"/>
        <v>3</v>
      </c>
      <c r="BI155" s="29">
        <f t="shared" ca="1" si="89"/>
        <v>2</v>
      </c>
      <c r="BJ155" s="29">
        <f t="shared" ca="1" si="89"/>
        <v>2</v>
      </c>
      <c r="BK155" s="29">
        <f t="shared" ca="1" si="89"/>
        <v>3</v>
      </c>
      <c r="BL155" s="29">
        <f t="shared" ca="1" si="88"/>
        <v>2</v>
      </c>
      <c r="BM155" s="29">
        <f t="shared" ca="1" si="88"/>
        <v>6</v>
      </c>
      <c r="BN155" s="29">
        <f t="shared" ca="1" si="88"/>
        <v>1</v>
      </c>
      <c r="BO155" s="29">
        <f t="shared" ca="1" si="88"/>
        <v>3</v>
      </c>
      <c r="BP155" s="29">
        <f t="shared" ca="1" si="88"/>
        <v>4</v>
      </c>
      <c r="BQ155" s="29">
        <f t="shared" ca="1" si="88"/>
        <v>3</v>
      </c>
      <c r="BR155" s="29">
        <f t="shared" ca="1" si="88"/>
        <v>3</v>
      </c>
      <c r="BS155" s="29">
        <f t="shared" ca="1" si="88"/>
        <v>2</v>
      </c>
      <c r="BT155" s="29">
        <f t="shared" ca="1" si="88"/>
        <v>5</v>
      </c>
      <c r="BU155" s="29">
        <f t="shared" ca="1" si="88"/>
        <v>4</v>
      </c>
      <c r="BV155" s="29">
        <f t="shared" ca="1" si="88"/>
        <v>2</v>
      </c>
      <c r="BW155" s="29">
        <f t="shared" ca="1" si="88"/>
        <v>1</v>
      </c>
      <c r="BX155" s="29">
        <f t="shared" ca="1" si="88"/>
        <v>5</v>
      </c>
      <c r="BY155" s="29">
        <f t="shared" ca="1" si="88"/>
        <v>4</v>
      </c>
      <c r="BZ155" s="29">
        <f t="shared" ca="1" si="88"/>
        <v>3</v>
      </c>
      <c r="CA155" s="29">
        <f t="shared" ca="1" si="91"/>
        <v>0</v>
      </c>
      <c r="CB155" s="29">
        <f t="shared" ca="1" si="91"/>
        <v>3</v>
      </c>
      <c r="CC155" s="29">
        <f t="shared" ca="1" si="91"/>
        <v>1</v>
      </c>
      <c r="CD155" s="29">
        <f t="shared" ca="1" si="91"/>
        <v>3</v>
      </c>
      <c r="CE155" s="29">
        <f t="shared" ca="1" si="91"/>
        <v>4</v>
      </c>
      <c r="CF155" s="29">
        <f t="shared" ca="1" si="91"/>
        <v>1</v>
      </c>
      <c r="CG155" s="29">
        <f t="shared" ca="1" si="91"/>
        <v>1</v>
      </c>
      <c r="CH155" s="29">
        <f t="shared" ca="1" si="91"/>
        <v>4</v>
      </c>
      <c r="CI155" s="29">
        <f t="shared" ca="1" si="91"/>
        <v>3</v>
      </c>
      <c r="CJ155" s="29">
        <f t="shared" ca="1" si="91"/>
        <v>3</v>
      </c>
      <c r="CK155" s="29">
        <f t="shared" ca="1" si="91"/>
        <v>4</v>
      </c>
      <c r="CL155" s="29">
        <f t="shared" ca="1" si="91"/>
        <v>1</v>
      </c>
      <c r="CM155" s="29">
        <f t="shared" ca="1" si="91"/>
        <v>2</v>
      </c>
      <c r="CN155" s="29">
        <f t="shared" ca="1" si="91"/>
        <v>3</v>
      </c>
      <c r="CO155" s="29">
        <f t="shared" ca="1" si="91"/>
        <v>0</v>
      </c>
      <c r="CP155" s="29">
        <f t="shared" ca="1" si="91"/>
        <v>2</v>
      </c>
      <c r="CQ155" s="29">
        <f t="shared" ca="1" si="90"/>
        <v>1</v>
      </c>
      <c r="CR155" s="29">
        <f t="shared" ca="1" si="90"/>
        <v>3</v>
      </c>
      <c r="CS155" s="29">
        <f t="shared" ca="1" si="90"/>
        <v>1</v>
      </c>
      <c r="CT155" s="29">
        <f t="shared" ca="1" si="90"/>
        <v>2</v>
      </c>
      <c r="CU155" s="29">
        <f t="shared" ca="1" si="90"/>
        <v>2</v>
      </c>
      <c r="CV155" s="29">
        <f t="shared" ca="1" si="90"/>
        <v>2</v>
      </c>
      <c r="CW155" s="29">
        <f t="shared" ca="1" si="90"/>
        <v>1</v>
      </c>
      <c r="CX155" s="29">
        <f t="shared" ca="1" si="90"/>
        <v>3</v>
      </c>
      <c r="CY155" s="29">
        <f t="shared" ca="1" si="90"/>
        <v>5</v>
      </c>
      <c r="CZ155" s="29">
        <f t="shared" ca="1" si="90"/>
        <v>3</v>
      </c>
      <c r="DA155" s="29">
        <f t="shared" ca="1" si="90"/>
        <v>1</v>
      </c>
      <c r="DB155" s="29">
        <f t="shared" ca="1" si="90"/>
        <v>1</v>
      </c>
      <c r="DC155" s="29">
        <f t="shared" ca="1" si="90"/>
        <v>3</v>
      </c>
      <c r="DD155" s="29">
        <f t="shared" ca="1" si="90"/>
        <v>1</v>
      </c>
      <c r="DE155" s="29">
        <f t="shared" ca="1" si="90"/>
        <v>2</v>
      </c>
      <c r="DF155" s="29">
        <f t="shared" ca="1" si="76"/>
        <v>1</v>
      </c>
      <c r="DG155" s="29">
        <f t="shared" ca="1" si="76"/>
        <v>1</v>
      </c>
      <c r="DH155" s="29">
        <f t="shared" ca="1" si="76"/>
        <v>2</v>
      </c>
      <c r="DI155" s="29">
        <f t="shared" ca="1" si="76"/>
        <v>0</v>
      </c>
      <c r="DJ155" s="29">
        <f t="shared" ca="1" si="76"/>
        <v>5</v>
      </c>
      <c r="DK155" s="29">
        <f t="shared" ca="1" si="76"/>
        <v>1</v>
      </c>
      <c r="DL155" s="29">
        <f t="shared" ca="1" si="76"/>
        <v>5</v>
      </c>
    </row>
    <row r="156" spans="1:116" ht="14.4" x14ac:dyDescent="0.3">
      <c r="A156" s="31">
        <v>764</v>
      </c>
      <c r="B156" s="28">
        <v>5</v>
      </c>
      <c r="C156" s="30">
        <v>72.290000000000006</v>
      </c>
      <c r="D156" s="28">
        <v>3.12</v>
      </c>
      <c r="E156" s="34">
        <f t="shared" si="77"/>
        <v>6.2400000000000004E-2</v>
      </c>
      <c r="F156" s="35">
        <f t="shared" si="78"/>
        <v>18.072500000000002</v>
      </c>
      <c r="G156" s="34">
        <f t="shared" si="79"/>
        <v>78</v>
      </c>
      <c r="H156" s="33">
        <f t="shared" si="80"/>
        <v>11.985499999999998</v>
      </c>
      <c r="I156" s="28">
        <f t="shared" si="83"/>
        <v>389.60000000000014</v>
      </c>
      <c r="J156" s="32">
        <v>1</v>
      </c>
      <c r="K156" s="30">
        <f t="shared" si="81"/>
        <v>18.072500000000002</v>
      </c>
      <c r="L156" s="30"/>
      <c r="M156" s="30"/>
      <c r="N156" s="30"/>
      <c r="O156" s="30"/>
      <c r="Q156" s="29">
        <f t="shared" ca="1" si="82"/>
        <v>5</v>
      </c>
      <c r="R156" s="29">
        <f t="shared" ca="1" si="93"/>
        <v>7</v>
      </c>
      <c r="S156" s="29">
        <f t="shared" ca="1" si="93"/>
        <v>5</v>
      </c>
      <c r="T156" s="29">
        <f t="shared" ca="1" si="93"/>
        <v>1</v>
      </c>
      <c r="U156" s="29">
        <f t="shared" ca="1" si="93"/>
        <v>1</v>
      </c>
      <c r="V156" s="29">
        <f t="shared" ca="1" si="93"/>
        <v>2</v>
      </c>
      <c r="W156" s="29">
        <f t="shared" ca="1" si="93"/>
        <v>3</v>
      </c>
      <c r="X156" s="29">
        <f t="shared" ca="1" si="93"/>
        <v>6</v>
      </c>
      <c r="Y156" s="29">
        <f t="shared" ca="1" si="93"/>
        <v>5</v>
      </c>
      <c r="Z156" s="29">
        <f t="shared" ca="1" si="93"/>
        <v>4</v>
      </c>
      <c r="AA156" s="29">
        <f t="shared" ca="1" si="93"/>
        <v>2</v>
      </c>
      <c r="AB156" s="29">
        <f t="shared" ca="1" si="93"/>
        <v>4</v>
      </c>
      <c r="AC156" s="29">
        <f t="shared" ca="1" si="93"/>
        <v>3</v>
      </c>
      <c r="AD156" s="29">
        <f t="shared" ca="1" si="93"/>
        <v>3</v>
      </c>
      <c r="AE156" s="29">
        <f t="shared" ca="1" si="93"/>
        <v>2</v>
      </c>
      <c r="AF156" s="29">
        <f t="shared" ca="1" si="93"/>
        <v>2</v>
      </c>
      <c r="AG156" s="29">
        <f t="shared" ca="1" si="92"/>
        <v>4</v>
      </c>
      <c r="AH156" s="29">
        <f t="shared" ca="1" si="92"/>
        <v>2</v>
      </c>
      <c r="AI156" s="29">
        <f t="shared" ca="1" si="92"/>
        <v>4</v>
      </c>
      <c r="AJ156" s="29">
        <f t="shared" ca="1" si="92"/>
        <v>6</v>
      </c>
      <c r="AK156" s="29">
        <f t="shared" ca="1" si="92"/>
        <v>3</v>
      </c>
      <c r="AL156" s="29">
        <f t="shared" ca="1" si="92"/>
        <v>7</v>
      </c>
      <c r="AM156" s="29">
        <f t="shared" ca="1" si="92"/>
        <v>3</v>
      </c>
      <c r="AN156" s="29">
        <f t="shared" ca="1" si="92"/>
        <v>4</v>
      </c>
      <c r="AO156" s="29">
        <f t="shared" ca="1" si="92"/>
        <v>3</v>
      </c>
      <c r="AP156" s="29">
        <f t="shared" ca="1" si="92"/>
        <v>3</v>
      </c>
      <c r="AQ156" s="29">
        <f t="shared" ca="1" si="92"/>
        <v>2</v>
      </c>
      <c r="AR156" s="29">
        <f t="shared" ca="1" si="92"/>
        <v>4</v>
      </c>
      <c r="AS156" s="29">
        <f t="shared" ca="1" si="92"/>
        <v>6</v>
      </c>
      <c r="AT156" s="29">
        <f t="shared" ca="1" si="92"/>
        <v>2</v>
      </c>
      <c r="AU156" s="29">
        <f t="shared" ca="1" si="92"/>
        <v>7</v>
      </c>
      <c r="AV156" s="29">
        <f t="shared" ca="1" si="89"/>
        <v>2</v>
      </c>
      <c r="AW156" s="29">
        <f t="shared" ca="1" si="89"/>
        <v>4</v>
      </c>
      <c r="AX156" s="29">
        <f t="shared" ca="1" si="89"/>
        <v>5</v>
      </c>
      <c r="AY156" s="29">
        <f t="shared" ca="1" si="89"/>
        <v>3</v>
      </c>
      <c r="AZ156" s="29">
        <f t="shared" ca="1" si="89"/>
        <v>2</v>
      </c>
      <c r="BA156" s="29">
        <f t="shared" ca="1" si="89"/>
        <v>6</v>
      </c>
      <c r="BB156" s="29">
        <f t="shared" ca="1" si="89"/>
        <v>3</v>
      </c>
      <c r="BC156" s="29">
        <f t="shared" ca="1" si="89"/>
        <v>3</v>
      </c>
      <c r="BD156" s="29">
        <f t="shared" ca="1" si="89"/>
        <v>4</v>
      </c>
      <c r="BE156" s="29">
        <f t="shared" ca="1" si="89"/>
        <v>7</v>
      </c>
      <c r="BF156" s="29">
        <f t="shared" ca="1" si="89"/>
        <v>3</v>
      </c>
      <c r="BG156" s="29">
        <f t="shared" ca="1" si="89"/>
        <v>5</v>
      </c>
      <c r="BH156" s="29">
        <f t="shared" ca="1" si="89"/>
        <v>3</v>
      </c>
      <c r="BI156" s="29">
        <f t="shared" ca="1" si="89"/>
        <v>1</v>
      </c>
      <c r="BJ156" s="29">
        <f t="shared" ca="1" si="89"/>
        <v>3</v>
      </c>
      <c r="BK156" s="29">
        <f t="shared" ref="BK156:BZ171" ca="1" si="94">_xlfn.BINOM.INV(50,$E156,RAND())</f>
        <v>0</v>
      </c>
      <c r="BL156" s="29">
        <f t="shared" ca="1" si="94"/>
        <v>3</v>
      </c>
      <c r="BM156" s="29">
        <f t="shared" ca="1" si="94"/>
        <v>2</v>
      </c>
      <c r="BN156" s="29">
        <f t="shared" ca="1" si="94"/>
        <v>5</v>
      </c>
      <c r="BO156" s="29">
        <f t="shared" ca="1" si="94"/>
        <v>1</v>
      </c>
      <c r="BP156" s="29">
        <f t="shared" ca="1" si="94"/>
        <v>1</v>
      </c>
      <c r="BQ156" s="29">
        <f t="shared" ca="1" si="94"/>
        <v>5</v>
      </c>
      <c r="BR156" s="29">
        <f t="shared" ca="1" si="94"/>
        <v>3</v>
      </c>
      <c r="BS156" s="29">
        <f t="shared" ca="1" si="94"/>
        <v>3</v>
      </c>
      <c r="BT156" s="29">
        <f t="shared" ca="1" si="94"/>
        <v>4</v>
      </c>
      <c r="BU156" s="29">
        <f t="shared" ca="1" si="94"/>
        <v>3</v>
      </c>
      <c r="BV156" s="29">
        <f t="shared" ca="1" si="94"/>
        <v>2</v>
      </c>
      <c r="BW156" s="29">
        <f t="shared" ca="1" si="94"/>
        <v>9</v>
      </c>
      <c r="BX156" s="29">
        <f t="shared" ca="1" si="94"/>
        <v>7</v>
      </c>
      <c r="BY156" s="29">
        <f t="shared" ca="1" si="94"/>
        <v>4</v>
      </c>
      <c r="BZ156" s="29">
        <f t="shared" ca="1" si="94"/>
        <v>5</v>
      </c>
      <c r="CA156" s="29">
        <f t="shared" ca="1" si="91"/>
        <v>4</v>
      </c>
      <c r="CB156" s="29">
        <f t="shared" ca="1" si="91"/>
        <v>6</v>
      </c>
      <c r="CC156" s="29">
        <f t="shared" ca="1" si="91"/>
        <v>4</v>
      </c>
      <c r="CD156" s="29">
        <f t="shared" ca="1" si="91"/>
        <v>5</v>
      </c>
      <c r="CE156" s="29">
        <f t="shared" ca="1" si="91"/>
        <v>1</v>
      </c>
      <c r="CF156" s="29">
        <f t="shared" ca="1" si="91"/>
        <v>0</v>
      </c>
      <c r="CG156" s="29">
        <f t="shared" ca="1" si="91"/>
        <v>5</v>
      </c>
      <c r="CH156" s="29">
        <f t="shared" ca="1" si="91"/>
        <v>6</v>
      </c>
      <c r="CI156" s="29">
        <f t="shared" ca="1" si="91"/>
        <v>3</v>
      </c>
      <c r="CJ156" s="29">
        <f t="shared" ca="1" si="91"/>
        <v>2</v>
      </c>
      <c r="CK156" s="29">
        <f t="shared" ca="1" si="91"/>
        <v>2</v>
      </c>
      <c r="CL156" s="29">
        <f t="shared" ca="1" si="91"/>
        <v>3</v>
      </c>
      <c r="CM156" s="29">
        <f t="shared" ca="1" si="91"/>
        <v>2</v>
      </c>
      <c r="CN156" s="29">
        <f t="shared" ca="1" si="91"/>
        <v>2</v>
      </c>
      <c r="CO156" s="29">
        <f t="shared" ca="1" si="91"/>
        <v>1</v>
      </c>
      <c r="CP156" s="29">
        <f t="shared" ca="1" si="91"/>
        <v>5</v>
      </c>
      <c r="CQ156" s="29">
        <f t="shared" ca="1" si="90"/>
        <v>1</v>
      </c>
      <c r="CR156" s="29">
        <f t="shared" ca="1" si="90"/>
        <v>1</v>
      </c>
      <c r="CS156" s="29">
        <f t="shared" ca="1" si="90"/>
        <v>4</v>
      </c>
      <c r="CT156" s="29">
        <f t="shared" ca="1" si="90"/>
        <v>2</v>
      </c>
      <c r="CU156" s="29">
        <f t="shared" ca="1" si="90"/>
        <v>2</v>
      </c>
      <c r="CV156" s="29">
        <f t="shared" ca="1" si="90"/>
        <v>3</v>
      </c>
      <c r="CW156" s="29">
        <f t="shared" ca="1" si="90"/>
        <v>2</v>
      </c>
      <c r="CX156" s="29">
        <f t="shared" ca="1" si="90"/>
        <v>2</v>
      </c>
      <c r="CY156" s="29">
        <f t="shared" ca="1" si="90"/>
        <v>5</v>
      </c>
      <c r="CZ156" s="29">
        <f t="shared" ca="1" si="90"/>
        <v>6</v>
      </c>
      <c r="DA156" s="29">
        <f t="shared" ca="1" si="90"/>
        <v>2</v>
      </c>
      <c r="DB156" s="29">
        <f t="shared" ca="1" si="90"/>
        <v>4</v>
      </c>
      <c r="DC156" s="29">
        <f t="shared" ca="1" si="90"/>
        <v>2</v>
      </c>
      <c r="DD156" s="29">
        <f t="shared" ca="1" si="90"/>
        <v>2</v>
      </c>
      <c r="DE156" s="29">
        <f t="shared" ca="1" si="90"/>
        <v>3</v>
      </c>
      <c r="DF156" s="29">
        <f t="shared" ca="1" si="76"/>
        <v>1</v>
      </c>
      <c r="DG156" s="29">
        <f t="shared" ca="1" si="76"/>
        <v>2</v>
      </c>
      <c r="DH156" s="29">
        <f t="shared" ca="1" si="76"/>
        <v>2</v>
      </c>
      <c r="DI156" s="29">
        <f t="shared" ca="1" si="76"/>
        <v>2</v>
      </c>
      <c r="DJ156" s="29">
        <f t="shared" ca="1" si="76"/>
        <v>4</v>
      </c>
      <c r="DK156" s="29">
        <f t="shared" ca="1" si="76"/>
        <v>2</v>
      </c>
      <c r="DL156" s="29">
        <f t="shared" ca="1" si="76"/>
        <v>2</v>
      </c>
    </row>
    <row r="157" spans="1:116" ht="14.4" x14ac:dyDescent="0.3">
      <c r="A157" s="31">
        <v>840</v>
      </c>
      <c r="B157" s="28">
        <v>2.87</v>
      </c>
      <c r="C157" s="30">
        <v>36.799999999999997</v>
      </c>
      <c r="D157" s="28">
        <v>1.74</v>
      </c>
      <c r="E157" s="34">
        <f t="shared" si="77"/>
        <v>3.4799999999999998E-2</v>
      </c>
      <c r="F157" s="35">
        <f t="shared" si="78"/>
        <v>9.1999999999999993</v>
      </c>
      <c r="G157" s="34">
        <f t="shared" si="79"/>
        <v>43.5</v>
      </c>
      <c r="H157" s="33">
        <f t="shared" si="80"/>
        <v>11.95121951219512</v>
      </c>
      <c r="I157" s="28">
        <f t="shared" si="83"/>
        <v>392.47000000000014</v>
      </c>
      <c r="J157" s="32">
        <v>1</v>
      </c>
      <c r="K157" s="30">
        <f t="shared" si="81"/>
        <v>9.1999999999999993</v>
      </c>
      <c r="L157" s="30"/>
      <c r="M157" s="30"/>
      <c r="N157" s="30"/>
      <c r="O157" s="30"/>
      <c r="Q157" s="29">
        <f t="shared" ca="1" si="82"/>
        <v>0</v>
      </c>
      <c r="R157" s="29">
        <f t="shared" ca="1" si="93"/>
        <v>1</v>
      </c>
      <c r="S157" s="29">
        <f t="shared" ca="1" si="93"/>
        <v>2</v>
      </c>
      <c r="T157" s="29">
        <f t="shared" ca="1" si="93"/>
        <v>2</v>
      </c>
      <c r="U157" s="29">
        <f t="shared" ca="1" si="93"/>
        <v>2</v>
      </c>
      <c r="V157" s="29">
        <f t="shared" ca="1" si="93"/>
        <v>0</v>
      </c>
      <c r="W157" s="29">
        <f t="shared" ca="1" si="93"/>
        <v>1</v>
      </c>
      <c r="X157" s="29">
        <f t="shared" ca="1" si="93"/>
        <v>4</v>
      </c>
      <c r="Y157" s="29">
        <f t="shared" ca="1" si="93"/>
        <v>1</v>
      </c>
      <c r="Z157" s="29">
        <f t="shared" ca="1" si="93"/>
        <v>1</v>
      </c>
      <c r="AA157" s="29">
        <f t="shared" ca="1" si="93"/>
        <v>0</v>
      </c>
      <c r="AB157" s="29">
        <f t="shared" ca="1" si="93"/>
        <v>2</v>
      </c>
      <c r="AC157" s="29">
        <f t="shared" ca="1" si="93"/>
        <v>0</v>
      </c>
      <c r="AD157" s="29">
        <f t="shared" ca="1" si="93"/>
        <v>2</v>
      </c>
      <c r="AE157" s="29">
        <f t="shared" ca="1" si="93"/>
        <v>2</v>
      </c>
      <c r="AF157" s="29">
        <f t="shared" ca="1" si="93"/>
        <v>2</v>
      </c>
      <c r="AG157" s="29">
        <f t="shared" ca="1" si="92"/>
        <v>3</v>
      </c>
      <c r="AH157" s="29">
        <f t="shared" ca="1" si="92"/>
        <v>2</v>
      </c>
      <c r="AI157" s="29">
        <f t="shared" ca="1" si="92"/>
        <v>2</v>
      </c>
      <c r="AJ157" s="29">
        <f t="shared" ca="1" si="92"/>
        <v>1</v>
      </c>
      <c r="AK157" s="29">
        <f t="shared" ca="1" si="92"/>
        <v>2</v>
      </c>
      <c r="AL157" s="29">
        <f t="shared" ca="1" si="92"/>
        <v>1</v>
      </c>
      <c r="AM157" s="29">
        <f t="shared" ca="1" si="92"/>
        <v>0</v>
      </c>
      <c r="AN157" s="29">
        <f t="shared" ca="1" si="92"/>
        <v>2</v>
      </c>
      <c r="AO157" s="29">
        <f t="shared" ca="1" si="92"/>
        <v>0</v>
      </c>
      <c r="AP157" s="29">
        <f t="shared" ca="1" si="92"/>
        <v>1</v>
      </c>
      <c r="AQ157" s="29">
        <f t="shared" ca="1" si="92"/>
        <v>2</v>
      </c>
      <c r="AR157" s="29">
        <f t="shared" ca="1" si="92"/>
        <v>1</v>
      </c>
      <c r="AS157" s="29">
        <f t="shared" ca="1" si="92"/>
        <v>3</v>
      </c>
      <c r="AT157" s="29">
        <f t="shared" ca="1" si="92"/>
        <v>0</v>
      </c>
      <c r="AU157" s="29">
        <f t="shared" ca="1" si="92"/>
        <v>0</v>
      </c>
      <c r="AV157" s="29">
        <f t="shared" ref="AV157:BK172" ca="1" si="95">_xlfn.BINOM.INV(50,$E157,RAND())</f>
        <v>1</v>
      </c>
      <c r="AW157" s="29">
        <f t="shared" ca="1" si="95"/>
        <v>1</v>
      </c>
      <c r="AX157" s="29">
        <f t="shared" ca="1" si="95"/>
        <v>3</v>
      </c>
      <c r="AY157" s="29">
        <f t="shared" ca="1" si="95"/>
        <v>1</v>
      </c>
      <c r="AZ157" s="29">
        <f t="shared" ca="1" si="95"/>
        <v>1</v>
      </c>
      <c r="BA157" s="29">
        <f t="shared" ca="1" si="95"/>
        <v>3</v>
      </c>
      <c r="BB157" s="29">
        <f t="shared" ca="1" si="95"/>
        <v>3</v>
      </c>
      <c r="BC157" s="29">
        <f t="shared" ca="1" si="95"/>
        <v>1</v>
      </c>
      <c r="BD157" s="29">
        <f t="shared" ca="1" si="95"/>
        <v>2</v>
      </c>
      <c r="BE157" s="29">
        <f t="shared" ca="1" si="95"/>
        <v>2</v>
      </c>
      <c r="BF157" s="29">
        <f t="shared" ca="1" si="95"/>
        <v>1</v>
      </c>
      <c r="BG157" s="29">
        <f t="shared" ca="1" si="95"/>
        <v>1</v>
      </c>
      <c r="BH157" s="29">
        <f t="shared" ca="1" si="95"/>
        <v>1</v>
      </c>
      <c r="BI157" s="29">
        <f t="shared" ca="1" si="95"/>
        <v>1</v>
      </c>
      <c r="BJ157" s="29">
        <f t="shared" ca="1" si="95"/>
        <v>4</v>
      </c>
      <c r="BK157" s="29">
        <f t="shared" ca="1" si="95"/>
        <v>3</v>
      </c>
      <c r="BL157" s="29">
        <f t="shared" ca="1" si="94"/>
        <v>1</v>
      </c>
      <c r="BM157" s="29">
        <f t="shared" ca="1" si="94"/>
        <v>3</v>
      </c>
      <c r="BN157" s="29">
        <f t="shared" ca="1" si="94"/>
        <v>1</v>
      </c>
      <c r="BO157" s="29">
        <f t="shared" ca="1" si="94"/>
        <v>1</v>
      </c>
      <c r="BP157" s="29">
        <f t="shared" ca="1" si="94"/>
        <v>3</v>
      </c>
      <c r="BQ157" s="29">
        <f t="shared" ca="1" si="94"/>
        <v>1</v>
      </c>
      <c r="BR157" s="29">
        <f t="shared" ca="1" si="94"/>
        <v>3</v>
      </c>
      <c r="BS157" s="29">
        <f t="shared" ca="1" si="94"/>
        <v>2</v>
      </c>
      <c r="BT157" s="29">
        <f t="shared" ca="1" si="94"/>
        <v>0</v>
      </c>
      <c r="BU157" s="29">
        <f t="shared" ca="1" si="94"/>
        <v>1</v>
      </c>
      <c r="BV157" s="29">
        <f t="shared" ca="1" si="94"/>
        <v>2</v>
      </c>
      <c r="BW157" s="29">
        <f t="shared" ca="1" si="94"/>
        <v>1</v>
      </c>
      <c r="BX157" s="29">
        <f t="shared" ca="1" si="94"/>
        <v>1</v>
      </c>
      <c r="BY157" s="29">
        <f t="shared" ca="1" si="94"/>
        <v>3</v>
      </c>
      <c r="BZ157" s="29">
        <f t="shared" ca="1" si="94"/>
        <v>3</v>
      </c>
      <c r="CA157" s="29">
        <f t="shared" ca="1" si="91"/>
        <v>1</v>
      </c>
      <c r="CB157" s="29">
        <f t="shared" ca="1" si="91"/>
        <v>2</v>
      </c>
      <c r="CC157" s="29">
        <f t="shared" ca="1" si="91"/>
        <v>2</v>
      </c>
      <c r="CD157" s="29">
        <f t="shared" ca="1" si="91"/>
        <v>1</v>
      </c>
      <c r="CE157" s="29">
        <f t="shared" ca="1" si="91"/>
        <v>1</v>
      </c>
      <c r="CF157" s="29">
        <f t="shared" ca="1" si="91"/>
        <v>1</v>
      </c>
      <c r="CG157" s="29">
        <f t="shared" ca="1" si="91"/>
        <v>0</v>
      </c>
      <c r="CH157" s="29">
        <f t="shared" ca="1" si="91"/>
        <v>2</v>
      </c>
      <c r="CI157" s="29">
        <f t="shared" ca="1" si="91"/>
        <v>3</v>
      </c>
      <c r="CJ157" s="29">
        <f t="shared" ca="1" si="91"/>
        <v>4</v>
      </c>
      <c r="CK157" s="29">
        <f t="shared" ca="1" si="91"/>
        <v>1</v>
      </c>
      <c r="CL157" s="29">
        <f t="shared" ca="1" si="91"/>
        <v>2</v>
      </c>
      <c r="CM157" s="29">
        <f t="shared" ca="1" si="91"/>
        <v>1</v>
      </c>
      <c r="CN157" s="29">
        <f t="shared" ca="1" si="91"/>
        <v>2</v>
      </c>
      <c r="CO157" s="29">
        <f t="shared" ca="1" si="91"/>
        <v>1</v>
      </c>
      <c r="CP157" s="29">
        <f t="shared" ca="1" si="91"/>
        <v>2</v>
      </c>
      <c r="CQ157" s="29">
        <f t="shared" ca="1" si="90"/>
        <v>2</v>
      </c>
      <c r="CR157" s="29">
        <f t="shared" ca="1" si="90"/>
        <v>1</v>
      </c>
      <c r="CS157" s="29">
        <f t="shared" ca="1" si="90"/>
        <v>2</v>
      </c>
      <c r="CT157" s="29">
        <f t="shared" ca="1" si="90"/>
        <v>1</v>
      </c>
      <c r="CU157" s="29">
        <f t="shared" ca="1" si="90"/>
        <v>2</v>
      </c>
      <c r="CV157" s="29">
        <f t="shared" ca="1" si="90"/>
        <v>1</v>
      </c>
      <c r="CW157" s="29">
        <f t="shared" ca="1" si="90"/>
        <v>1</v>
      </c>
      <c r="CX157" s="29">
        <f t="shared" ca="1" si="90"/>
        <v>3</v>
      </c>
      <c r="CY157" s="29">
        <f t="shared" ca="1" si="90"/>
        <v>3</v>
      </c>
      <c r="CZ157" s="29">
        <f t="shared" ca="1" si="90"/>
        <v>0</v>
      </c>
      <c r="DA157" s="29">
        <f t="shared" ca="1" si="90"/>
        <v>1</v>
      </c>
      <c r="DB157" s="29">
        <f t="shared" ca="1" si="90"/>
        <v>2</v>
      </c>
      <c r="DC157" s="29">
        <f t="shared" ca="1" si="90"/>
        <v>2</v>
      </c>
      <c r="DD157" s="29">
        <f t="shared" ca="1" si="90"/>
        <v>3</v>
      </c>
      <c r="DE157" s="29">
        <f t="shared" ca="1" si="90"/>
        <v>1</v>
      </c>
      <c r="DF157" s="29">
        <f t="shared" ca="1" si="76"/>
        <v>1</v>
      </c>
      <c r="DG157" s="29">
        <f t="shared" ca="1" si="76"/>
        <v>0</v>
      </c>
      <c r="DH157" s="29">
        <f t="shared" ref="DH157:DL157" ca="1" si="96">_xlfn.BINOM.INV(50,$E157,RAND())</f>
        <v>1</v>
      </c>
      <c r="DI157" s="29">
        <f t="shared" ca="1" si="96"/>
        <v>2</v>
      </c>
      <c r="DJ157" s="29">
        <f t="shared" ca="1" si="96"/>
        <v>0</v>
      </c>
      <c r="DK157" s="29">
        <f t="shared" ca="1" si="96"/>
        <v>2</v>
      </c>
      <c r="DL157" s="29">
        <f t="shared" ca="1" si="96"/>
        <v>1</v>
      </c>
    </row>
    <row r="158" spans="1:116" ht="14.4" x14ac:dyDescent="0.3">
      <c r="A158" s="31">
        <v>354</v>
      </c>
      <c r="B158" s="28">
        <v>4.62</v>
      </c>
      <c r="C158" s="30">
        <v>82.06</v>
      </c>
      <c r="D158" s="28">
        <v>3.02</v>
      </c>
      <c r="E158" s="34">
        <f t="shared" si="77"/>
        <v>6.0400000000000002E-2</v>
      </c>
      <c r="F158" s="35">
        <f t="shared" si="78"/>
        <v>20.515000000000001</v>
      </c>
      <c r="G158" s="34">
        <f t="shared" si="79"/>
        <v>75.5</v>
      </c>
      <c r="H158" s="33">
        <f t="shared" si="80"/>
        <v>11.90151515151515</v>
      </c>
      <c r="I158" s="28">
        <f t="shared" si="83"/>
        <v>397.09000000000015</v>
      </c>
      <c r="J158" s="32">
        <v>1</v>
      </c>
      <c r="K158" s="30">
        <f t="shared" si="81"/>
        <v>20.515000000000001</v>
      </c>
      <c r="L158" s="30"/>
      <c r="M158" s="30"/>
      <c r="N158" s="30"/>
      <c r="O158" s="30"/>
      <c r="Q158" s="29">
        <f t="shared" ca="1" si="82"/>
        <v>2</v>
      </c>
      <c r="R158" s="29">
        <f t="shared" ca="1" si="93"/>
        <v>4</v>
      </c>
      <c r="S158" s="29">
        <f t="shared" ca="1" si="93"/>
        <v>3</v>
      </c>
      <c r="T158" s="29">
        <f t="shared" ca="1" si="93"/>
        <v>3</v>
      </c>
      <c r="U158" s="29">
        <f t="shared" ca="1" si="93"/>
        <v>2</v>
      </c>
      <c r="V158" s="29">
        <f t="shared" ca="1" si="93"/>
        <v>4</v>
      </c>
      <c r="W158" s="29">
        <f t="shared" ca="1" si="93"/>
        <v>2</v>
      </c>
      <c r="X158" s="29">
        <f t="shared" ca="1" si="93"/>
        <v>2</v>
      </c>
      <c r="Y158" s="29">
        <f t="shared" ca="1" si="93"/>
        <v>1</v>
      </c>
      <c r="Z158" s="29">
        <f t="shared" ca="1" si="93"/>
        <v>1</v>
      </c>
      <c r="AA158" s="29">
        <f t="shared" ca="1" si="93"/>
        <v>3</v>
      </c>
      <c r="AB158" s="29">
        <f t="shared" ca="1" si="93"/>
        <v>0</v>
      </c>
      <c r="AC158" s="29">
        <f t="shared" ca="1" si="93"/>
        <v>2</v>
      </c>
      <c r="AD158" s="29">
        <f t="shared" ca="1" si="93"/>
        <v>4</v>
      </c>
      <c r="AE158" s="29">
        <f t="shared" ca="1" si="93"/>
        <v>3</v>
      </c>
      <c r="AF158" s="29">
        <f t="shared" ca="1" si="93"/>
        <v>5</v>
      </c>
      <c r="AG158" s="29">
        <f t="shared" ca="1" si="92"/>
        <v>0</v>
      </c>
      <c r="AH158" s="29">
        <f t="shared" ca="1" si="92"/>
        <v>1</v>
      </c>
      <c r="AI158" s="29">
        <f t="shared" ca="1" si="92"/>
        <v>4</v>
      </c>
      <c r="AJ158" s="29">
        <f t="shared" ca="1" si="92"/>
        <v>4</v>
      </c>
      <c r="AK158" s="29">
        <f t="shared" ca="1" si="92"/>
        <v>4</v>
      </c>
      <c r="AL158" s="29">
        <f t="shared" ca="1" si="92"/>
        <v>6</v>
      </c>
      <c r="AM158" s="29">
        <f t="shared" ca="1" si="92"/>
        <v>9</v>
      </c>
      <c r="AN158" s="29">
        <f t="shared" ca="1" si="92"/>
        <v>1</v>
      </c>
      <c r="AO158" s="29">
        <f t="shared" ca="1" si="92"/>
        <v>0</v>
      </c>
      <c r="AP158" s="29">
        <f t="shared" ca="1" si="92"/>
        <v>1</v>
      </c>
      <c r="AQ158" s="29">
        <f t="shared" ca="1" si="92"/>
        <v>4</v>
      </c>
      <c r="AR158" s="29">
        <f t="shared" ca="1" si="92"/>
        <v>4</v>
      </c>
      <c r="AS158" s="29">
        <f t="shared" ca="1" si="92"/>
        <v>2</v>
      </c>
      <c r="AT158" s="29">
        <f t="shared" ca="1" si="92"/>
        <v>7</v>
      </c>
      <c r="AU158" s="29">
        <f t="shared" ca="1" si="92"/>
        <v>3</v>
      </c>
      <c r="AV158" s="29">
        <f t="shared" ca="1" si="95"/>
        <v>3</v>
      </c>
      <c r="AW158" s="29">
        <f t="shared" ca="1" si="95"/>
        <v>1</v>
      </c>
      <c r="AX158" s="29">
        <f t="shared" ca="1" si="95"/>
        <v>6</v>
      </c>
      <c r="AY158" s="29">
        <f t="shared" ca="1" si="95"/>
        <v>5</v>
      </c>
      <c r="AZ158" s="29">
        <f t="shared" ca="1" si="95"/>
        <v>2</v>
      </c>
      <c r="BA158" s="29">
        <f t="shared" ca="1" si="95"/>
        <v>3</v>
      </c>
      <c r="BB158" s="29">
        <f t="shared" ca="1" si="95"/>
        <v>6</v>
      </c>
      <c r="BC158" s="29">
        <f t="shared" ca="1" si="95"/>
        <v>6</v>
      </c>
      <c r="BD158" s="29">
        <f t="shared" ca="1" si="95"/>
        <v>1</v>
      </c>
      <c r="BE158" s="29">
        <f t="shared" ca="1" si="95"/>
        <v>4</v>
      </c>
      <c r="BF158" s="29">
        <f t="shared" ca="1" si="95"/>
        <v>6</v>
      </c>
      <c r="BG158" s="29">
        <f t="shared" ca="1" si="95"/>
        <v>3</v>
      </c>
      <c r="BH158" s="29">
        <f t="shared" ca="1" si="95"/>
        <v>5</v>
      </c>
      <c r="BI158" s="29">
        <f t="shared" ca="1" si="95"/>
        <v>8</v>
      </c>
      <c r="BJ158" s="29">
        <f t="shared" ca="1" si="95"/>
        <v>5</v>
      </c>
      <c r="BK158" s="29">
        <f t="shared" ca="1" si="95"/>
        <v>4</v>
      </c>
      <c r="BL158" s="29">
        <f t="shared" ca="1" si="94"/>
        <v>4</v>
      </c>
      <c r="BM158" s="29">
        <f t="shared" ca="1" si="94"/>
        <v>2</v>
      </c>
      <c r="BN158" s="29">
        <f t="shared" ca="1" si="94"/>
        <v>4</v>
      </c>
      <c r="BO158" s="29">
        <f t="shared" ca="1" si="94"/>
        <v>1</v>
      </c>
      <c r="BP158" s="29">
        <f t="shared" ca="1" si="94"/>
        <v>2</v>
      </c>
      <c r="BQ158" s="29">
        <f t="shared" ca="1" si="94"/>
        <v>4</v>
      </c>
      <c r="BR158" s="29">
        <f t="shared" ca="1" si="94"/>
        <v>3</v>
      </c>
      <c r="BS158" s="29">
        <f t="shared" ca="1" si="94"/>
        <v>5</v>
      </c>
      <c r="BT158" s="29">
        <f t="shared" ca="1" si="94"/>
        <v>3</v>
      </c>
      <c r="BU158" s="29">
        <f t="shared" ca="1" si="94"/>
        <v>1</v>
      </c>
      <c r="BV158" s="29">
        <f t="shared" ca="1" si="94"/>
        <v>5</v>
      </c>
      <c r="BW158" s="29">
        <f t="shared" ca="1" si="94"/>
        <v>0</v>
      </c>
      <c r="BX158" s="29">
        <f t="shared" ca="1" si="94"/>
        <v>7</v>
      </c>
      <c r="BY158" s="29">
        <f t="shared" ca="1" si="94"/>
        <v>0</v>
      </c>
      <c r="BZ158" s="29">
        <f t="shared" ca="1" si="94"/>
        <v>1</v>
      </c>
      <c r="CA158" s="29">
        <f t="shared" ca="1" si="91"/>
        <v>3</v>
      </c>
      <c r="CB158" s="29">
        <f t="shared" ca="1" si="91"/>
        <v>2</v>
      </c>
      <c r="CC158" s="29">
        <f t="shared" ca="1" si="91"/>
        <v>3</v>
      </c>
      <c r="CD158" s="29">
        <f t="shared" ca="1" si="91"/>
        <v>4</v>
      </c>
      <c r="CE158" s="29">
        <f t="shared" ca="1" si="91"/>
        <v>1</v>
      </c>
      <c r="CF158" s="29">
        <f t="shared" ca="1" si="91"/>
        <v>3</v>
      </c>
      <c r="CG158" s="29">
        <f t="shared" ca="1" si="91"/>
        <v>1</v>
      </c>
      <c r="CH158" s="29">
        <f t="shared" ca="1" si="91"/>
        <v>5</v>
      </c>
      <c r="CI158" s="29">
        <f t="shared" ca="1" si="91"/>
        <v>4</v>
      </c>
      <c r="CJ158" s="29">
        <f t="shared" ca="1" si="91"/>
        <v>6</v>
      </c>
      <c r="CK158" s="29">
        <f t="shared" ca="1" si="91"/>
        <v>3</v>
      </c>
      <c r="CL158" s="29">
        <f t="shared" ca="1" si="91"/>
        <v>4</v>
      </c>
      <c r="CM158" s="29">
        <f t="shared" ca="1" si="91"/>
        <v>3</v>
      </c>
      <c r="CN158" s="29">
        <f t="shared" ca="1" si="91"/>
        <v>5</v>
      </c>
      <c r="CO158" s="29">
        <f t="shared" ca="1" si="91"/>
        <v>1</v>
      </c>
      <c r="CP158" s="29">
        <f t="shared" ca="1" si="91"/>
        <v>2</v>
      </c>
      <c r="CQ158" s="29">
        <f t="shared" ca="1" si="90"/>
        <v>4</v>
      </c>
      <c r="CR158" s="29">
        <f t="shared" ca="1" si="90"/>
        <v>3</v>
      </c>
      <c r="CS158" s="29">
        <f t="shared" ca="1" si="90"/>
        <v>5</v>
      </c>
      <c r="CT158" s="29">
        <f t="shared" ca="1" si="90"/>
        <v>3</v>
      </c>
      <c r="CU158" s="29">
        <f t="shared" ca="1" si="90"/>
        <v>1</v>
      </c>
      <c r="CV158" s="29">
        <f t="shared" ca="1" si="90"/>
        <v>2</v>
      </c>
      <c r="CW158" s="29">
        <f t="shared" ca="1" si="90"/>
        <v>4</v>
      </c>
      <c r="CX158" s="29">
        <f t="shared" ca="1" si="90"/>
        <v>5</v>
      </c>
      <c r="CY158" s="29">
        <f t="shared" ca="1" si="90"/>
        <v>2</v>
      </c>
      <c r="CZ158" s="29">
        <f t="shared" ca="1" si="90"/>
        <v>2</v>
      </c>
      <c r="DA158" s="29">
        <f t="shared" ca="1" si="90"/>
        <v>4</v>
      </c>
      <c r="DB158" s="29">
        <f t="shared" ca="1" si="90"/>
        <v>3</v>
      </c>
      <c r="DC158" s="29">
        <f t="shared" ca="1" si="90"/>
        <v>2</v>
      </c>
      <c r="DD158" s="29">
        <f t="shared" ca="1" si="90"/>
        <v>4</v>
      </c>
      <c r="DE158" s="29">
        <f t="shared" ca="1" si="90"/>
        <v>4</v>
      </c>
      <c r="DF158" s="29">
        <f t="shared" ref="DF158:DL194" ca="1" si="97">_xlfn.BINOM.INV(50,$E158,RAND())</f>
        <v>5</v>
      </c>
      <c r="DG158" s="29">
        <f t="shared" ca="1" si="97"/>
        <v>2</v>
      </c>
      <c r="DH158" s="29">
        <f t="shared" ca="1" si="97"/>
        <v>7</v>
      </c>
      <c r="DI158" s="29">
        <f t="shared" ca="1" si="97"/>
        <v>3</v>
      </c>
      <c r="DJ158" s="29">
        <f t="shared" ca="1" si="97"/>
        <v>6</v>
      </c>
      <c r="DK158" s="29">
        <f t="shared" ca="1" si="97"/>
        <v>2</v>
      </c>
      <c r="DL158" s="29">
        <f t="shared" ca="1" si="97"/>
        <v>4</v>
      </c>
    </row>
    <row r="159" spans="1:116" ht="14.4" x14ac:dyDescent="0.3">
      <c r="A159" s="31">
        <v>241</v>
      </c>
      <c r="B159" s="28">
        <v>4.88</v>
      </c>
      <c r="C159" s="30">
        <v>33.18</v>
      </c>
      <c r="D159" s="28">
        <v>2.64</v>
      </c>
      <c r="E159" s="34">
        <f t="shared" si="77"/>
        <v>5.28E-2</v>
      </c>
      <c r="F159" s="35">
        <f t="shared" si="78"/>
        <v>8.2949999999999999</v>
      </c>
      <c r="G159" s="34">
        <f t="shared" si="79"/>
        <v>66</v>
      </c>
      <c r="H159" s="33">
        <f t="shared" si="80"/>
        <v>11.824795081967213</v>
      </c>
      <c r="I159" s="28">
        <f t="shared" si="83"/>
        <v>401.97000000000014</v>
      </c>
      <c r="J159" s="32">
        <v>1</v>
      </c>
      <c r="K159" s="30">
        <f t="shared" si="81"/>
        <v>8.2949999999999999</v>
      </c>
      <c r="L159" s="30"/>
      <c r="M159" s="30"/>
      <c r="N159" s="30"/>
      <c r="O159" s="30"/>
      <c r="Q159" s="29">
        <f t="shared" ca="1" si="82"/>
        <v>1</v>
      </c>
      <c r="R159" s="29">
        <f t="shared" ca="1" si="93"/>
        <v>4</v>
      </c>
      <c r="S159" s="29">
        <f t="shared" ca="1" si="93"/>
        <v>3</v>
      </c>
      <c r="T159" s="29">
        <f t="shared" ca="1" si="93"/>
        <v>4</v>
      </c>
      <c r="U159" s="29">
        <f t="shared" ca="1" si="93"/>
        <v>3</v>
      </c>
      <c r="V159" s="29">
        <f t="shared" ca="1" si="93"/>
        <v>3</v>
      </c>
      <c r="W159" s="29">
        <f t="shared" ca="1" si="93"/>
        <v>4</v>
      </c>
      <c r="X159" s="29">
        <f t="shared" ca="1" si="93"/>
        <v>3</v>
      </c>
      <c r="Y159" s="29">
        <f t="shared" ca="1" si="93"/>
        <v>2</v>
      </c>
      <c r="Z159" s="29">
        <f t="shared" ca="1" si="93"/>
        <v>4</v>
      </c>
      <c r="AA159" s="29">
        <f t="shared" ca="1" si="93"/>
        <v>5</v>
      </c>
      <c r="AB159" s="29">
        <f t="shared" ca="1" si="93"/>
        <v>2</v>
      </c>
      <c r="AC159" s="29">
        <f t="shared" ca="1" si="93"/>
        <v>0</v>
      </c>
      <c r="AD159" s="29">
        <f t="shared" ca="1" si="93"/>
        <v>4</v>
      </c>
      <c r="AE159" s="29">
        <f t="shared" ca="1" si="93"/>
        <v>4</v>
      </c>
      <c r="AF159" s="29">
        <f t="shared" ca="1" si="93"/>
        <v>4</v>
      </c>
      <c r="AG159" s="29">
        <f t="shared" ca="1" si="92"/>
        <v>2</v>
      </c>
      <c r="AH159" s="29">
        <f t="shared" ca="1" si="92"/>
        <v>2</v>
      </c>
      <c r="AI159" s="29">
        <f t="shared" ca="1" si="92"/>
        <v>2</v>
      </c>
      <c r="AJ159" s="29">
        <f t="shared" ca="1" si="92"/>
        <v>5</v>
      </c>
      <c r="AK159" s="29">
        <f t="shared" ca="1" si="92"/>
        <v>2</v>
      </c>
      <c r="AL159" s="29">
        <f t="shared" ca="1" si="92"/>
        <v>2</v>
      </c>
      <c r="AM159" s="29">
        <f t="shared" ca="1" si="92"/>
        <v>3</v>
      </c>
      <c r="AN159" s="29">
        <f t="shared" ca="1" si="92"/>
        <v>3</v>
      </c>
      <c r="AO159" s="29">
        <f t="shared" ca="1" si="92"/>
        <v>4</v>
      </c>
      <c r="AP159" s="29">
        <f t="shared" ca="1" si="92"/>
        <v>1</v>
      </c>
      <c r="AQ159" s="29">
        <f t="shared" ca="1" si="92"/>
        <v>2</v>
      </c>
      <c r="AR159" s="29">
        <f t="shared" ca="1" si="92"/>
        <v>3</v>
      </c>
      <c r="AS159" s="29">
        <f t="shared" ca="1" si="92"/>
        <v>2</v>
      </c>
      <c r="AT159" s="29">
        <f t="shared" ca="1" si="92"/>
        <v>2</v>
      </c>
      <c r="AU159" s="29">
        <f t="shared" ca="1" si="92"/>
        <v>0</v>
      </c>
      <c r="AV159" s="29">
        <f t="shared" ca="1" si="95"/>
        <v>5</v>
      </c>
      <c r="AW159" s="29">
        <f t="shared" ca="1" si="95"/>
        <v>1</v>
      </c>
      <c r="AX159" s="29">
        <f t="shared" ca="1" si="95"/>
        <v>2</v>
      </c>
      <c r="AY159" s="29">
        <f t="shared" ca="1" si="95"/>
        <v>3</v>
      </c>
      <c r="AZ159" s="29">
        <f t="shared" ca="1" si="95"/>
        <v>4</v>
      </c>
      <c r="BA159" s="29">
        <f t="shared" ca="1" si="95"/>
        <v>2</v>
      </c>
      <c r="BB159" s="29">
        <f t="shared" ca="1" si="95"/>
        <v>2</v>
      </c>
      <c r="BC159" s="29">
        <f t="shared" ca="1" si="95"/>
        <v>3</v>
      </c>
      <c r="BD159" s="29">
        <f t="shared" ca="1" si="95"/>
        <v>4</v>
      </c>
      <c r="BE159" s="29">
        <f t="shared" ca="1" si="95"/>
        <v>1</v>
      </c>
      <c r="BF159" s="29">
        <f t="shared" ca="1" si="95"/>
        <v>4</v>
      </c>
      <c r="BG159" s="29">
        <f t="shared" ca="1" si="95"/>
        <v>5</v>
      </c>
      <c r="BH159" s="29">
        <f t="shared" ca="1" si="95"/>
        <v>1</v>
      </c>
      <c r="BI159" s="29">
        <f t="shared" ca="1" si="95"/>
        <v>3</v>
      </c>
      <c r="BJ159" s="29">
        <f t="shared" ca="1" si="95"/>
        <v>3</v>
      </c>
      <c r="BK159" s="29">
        <f t="shared" ca="1" si="95"/>
        <v>3</v>
      </c>
      <c r="BL159" s="29">
        <f t="shared" ca="1" si="94"/>
        <v>3</v>
      </c>
      <c r="BM159" s="29">
        <f t="shared" ca="1" si="94"/>
        <v>4</v>
      </c>
      <c r="BN159" s="29">
        <f t="shared" ca="1" si="94"/>
        <v>4</v>
      </c>
      <c r="BO159" s="29">
        <f t="shared" ca="1" si="94"/>
        <v>4</v>
      </c>
      <c r="BP159" s="29">
        <f t="shared" ca="1" si="94"/>
        <v>1</v>
      </c>
      <c r="BQ159" s="29">
        <f t="shared" ca="1" si="94"/>
        <v>3</v>
      </c>
      <c r="BR159" s="29">
        <f t="shared" ca="1" si="94"/>
        <v>2</v>
      </c>
      <c r="BS159" s="29">
        <f t="shared" ca="1" si="94"/>
        <v>1</v>
      </c>
      <c r="BT159" s="29">
        <f t="shared" ca="1" si="94"/>
        <v>0</v>
      </c>
      <c r="BU159" s="29">
        <f t="shared" ca="1" si="94"/>
        <v>4</v>
      </c>
      <c r="BV159" s="29">
        <f t="shared" ca="1" si="94"/>
        <v>3</v>
      </c>
      <c r="BW159" s="29">
        <f t="shared" ca="1" si="94"/>
        <v>3</v>
      </c>
      <c r="BX159" s="29">
        <f t="shared" ca="1" si="94"/>
        <v>0</v>
      </c>
      <c r="BY159" s="29">
        <f t="shared" ca="1" si="94"/>
        <v>3</v>
      </c>
      <c r="BZ159" s="29">
        <f t="shared" ca="1" si="94"/>
        <v>1</v>
      </c>
      <c r="CA159" s="29">
        <f t="shared" ca="1" si="91"/>
        <v>4</v>
      </c>
      <c r="CB159" s="29">
        <f t="shared" ca="1" si="91"/>
        <v>4</v>
      </c>
      <c r="CC159" s="29">
        <f t="shared" ca="1" si="91"/>
        <v>2</v>
      </c>
      <c r="CD159" s="29">
        <f t="shared" ca="1" si="91"/>
        <v>3</v>
      </c>
      <c r="CE159" s="29">
        <f t="shared" ca="1" si="91"/>
        <v>0</v>
      </c>
      <c r="CF159" s="29">
        <f t="shared" ca="1" si="91"/>
        <v>4</v>
      </c>
      <c r="CG159" s="29">
        <f t="shared" ca="1" si="91"/>
        <v>1</v>
      </c>
      <c r="CH159" s="29">
        <f t="shared" ca="1" si="91"/>
        <v>2</v>
      </c>
      <c r="CI159" s="29">
        <f t="shared" ca="1" si="91"/>
        <v>3</v>
      </c>
      <c r="CJ159" s="29">
        <f t="shared" ca="1" si="91"/>
        <v>2</v>
      </c>
      <c r="CK159" s="29">
        <f t="shared" ca="1" si="91"/>
        <v>2</v>
      </c>
      <c r="CL159" s="29">
        <f t="shared" ca="1" si="91"/>
        <v>2</v>
      </c>
      <c r="CM159" s="29">
        <f t="shared" ca="1" si="91"/>
        <v>3</v>
      </c>
      <c r="CN159" s="29">
        <f t="shared" ca="1" si="91"/>
        <v>2</v>
      </c>
      <c r="CO159" s="29">
        <f t="shared" ca="1" si="91"/>
        <v>3</v>
      </c>
      <c r="CP159" s="29">
        <f t="shared" ca="1" si="91"/>
        <v>3</v>
      </c>
      <c r="CQ159" s="29">
        <f t="shared" ca="1" si="90"/>
        <v>2</v>
      </c>
      <c r="CR159" s="29">
        <f t="shared" ca="1" si="90"/>
        <v>3</v>
      </c>
      <c r="CS159" s="29">
        <f t="shared" ca="1" si="90"/>
        <v>4</v>
      </c>
      <c r="CT159" s="29">
        <f t="shared" ca="1" si="90"/>
        <v>1</v>
      </c>
      <c r="CU159" s="29">
        <f t="shared" ca="1" si="90"/>
        <v>0</v>
      </c>
      <c r="CV159" s="29">
        <f t="shared" ca="1" si="90"/>
        <v>2</v>
      </c>
      <c r="CW159" s="29">
        <f t="shared" ca="1" si="90"/>
        <v>5</v>
      </c>
      <c r="CX159" s="29">
        <f t="shared" ca="1" si="90"/>
        <v>1</v>
      </c>
      <c r="CY159" s="29">
        <f t="shared" ca="1" si="90"/>
        <v>4</v>
      </c>
      <c r="CZ159" s="29">
        <f t="shared" ca="1" si="90"/>
        <v>3</v>
      </c>
      <c r="DA159" s="29">
        <f t="shared" ca="1" si="90"/>
        <v>5</v>
      </c>
      <c r="DB159" s="29">
        <f t="shared" ca="1" si="90"/>
        <v>4</v>
      </c>
      <c r="DC159" s="29">
        <f t="shared" ca="1" si="90"/>
        <v>5</v>
      </c>
      <c r="DD159" s="29">
        <f t="shared" ca="1" si="90"/>
        <v>2</v>
      </c>
      <c r="DE159" s="29">
        <f t="shared" ca="1" si="90"/>
        <v>2</v>
      </c>
      <c r="DF159" s="29">
        <f t="shared" ca="1" si="97"/>
        <v>3</v>
      </c>
      <c r="DG159" s="29">
        <f t="shared" ca="1" si="97"/>
        <v>3</v>
      </c>
      <c r="DH159" s="29">
        <f t="shared" ca="1" si="97"/>
        <v>3</v>
      </c>
      <c r="DI159" s="29">
        <f t="shared" ca="1" si="97"/>
        <v>5</v>
      </c>
      <c r="DJ159" s="29">
        <f t="shared" ca="1" si="97"/>
        <v>2</v>
      </c>
      <c r="DK159" s="29">
        <f t="shared" ca="1" si="97"/>
        <v>1</v>
      </c>
      <c r="DL159" s="29">
        <f t="shared" ca="1" si="97"/>
        <v>5</v>
      </c>
    </row>
    <row r="160" spans="1:116" ht="14.4" x14ac:dyDescent="0.3">
      <c r="A160" s="31">
        <v>137</v>
      </c>
      <c r="B160" s="28">
        <v>1.48</v>
      </c>
      <c r="C160" s="30">
        <v>30.1</v>
      </c>
      <c r="D160" s="28">
        <v>1</v>
      </c>
      <c r="E160" s="34">
        <f t="shared" si="77"/>
        <v>0.02</v>
      </c>
      <c r="F160" s="35">
        <f t="shared" si="78"/>
        <v>7.5250000000000004</v>
      </c>
      <c r="G160" s="34">
        <f t="shared" si="79"/>
        <v>25</v>
      </c>
      <c r="H160" s="33">
        <f t="shared" si="80"/>
        <v>11.807432432432433</v>
      </c>
      <c r="I160" s="28">
        <f t="shared" si="83"/>
        <v>403.45000000000016</v>
      </c>
      <c r="J160" s="32">
        <v>1</v>
      </c>
      <c r="K160" s="30">
        <f t="shared" si="81"/>
        <v>7.5250000000000004</v>
      </c>
      <c r="L160" s="30"/>
      <c r="M160" s="30"/>
      <c r="N160" s="30"/>
      <c r="O160" s="30"/>
      <c r="Q160" s="29">
        <f t="shared" ca="1" si="82"/>
        <v>0</v>
      </c>
      <c r="R160" s="29">
        <f t="shared" ca="1" si="93"/>
        <v>1</v>
      </c>
      <c r="S160" s="29">
        <f t="shared" ca="1" si="93"/>
        <v>0</v>
      </c>
      <c r="T160" s="29">
        <f t="shared" ca="1" si="93"/>
        <v>0</v>
      </c>
      <c r="U160" s="29">
        <f t="shared" ca="1" si="93"/>
        <v>0</v>
      </c>
      <c r="V160" s="29">
        <f t="shared" ca="1" si="93"/>
        <v>2</v>
      </c>
      <c r="W160" s="29">
        <f t="shared" ca="1" si="93"/>
        <v>1</v>
      </c>
      <c r="X160" s="29">
        <f t="shared" ca="1" si="93"/>
        <v>1</v>
      </c>
      <c r="Y160" s="29">
        <f t="shared" ca="1" si="93"/>
        <v>3</v>
      </c>
      <c r="Z160" s="29">
        <f t="shared" ca="1" si="93"/>
        <v>1</v>
      </c>
      <c r="AA160" s="29">
        <f t="shared" ca="1" si="93"/>
        <v>0</v>
      </c>
      <c r="AB160" s="29">
        <f t="shared" ca="1" si="93"/>
        <v>0</v>
      </c>
      <c r="AC160" s="29">
        <f t="shared" ca="1" si="93"/>
        <v>1</v>
      </c>
      <c r="AD160" s="29">
        <f t="shared" ca="1" si="93"/>
        <v>1</v>
      </c>
      <c r="AE160" s="29">
        <f t="shared" ca="1" si="93"/>
        <v>1</v>
      </c>
      <c r="AF160" s="29">
        <f t="shared" ca="1" si="93"/>
        <v>2</v>
      </c>
      <c r="AG160" s="29">
        <f t="shared" ca="1" si="92"/>
        <v>2</v>
      </c>
      <c r="AH160" s="29">
        <f t="shared" ca="1" si="92"/>
        <v>0</v>
      </c>
      <c r="AI160" s="29">
        <f t="shared" ca="1" si="92"/>
        <v>1</v>
      </c>
      <c r="AJ160" s="29">
        <f t="shared" ca="1" si="92"/>
        <v>1</v>
      </c>
      <c r="AK160" s="29">
        <f t="shared" ca="1" si="92"/>
        <v>0</v>
      </c>
      <c r="AL160" s="29">
        <f t="shared" ca="1" si="92"/>
        <v>0</v>
      </c>
      <c r="AM160" s="29">
        <f t="shared" ca="1" si="92"/>
        <v>1</v>
      </c>
      <c r="AN160" s="29">
        <f t="shared" ca="1" si="92"/>
        <v>3</v>
      </c>
      <c r="AO160" s="29">
        <f t="shared" ca="1" si="92"/>
        <v>1</v>
      </c>
      <c r="AP160" s="29">
        <f t="shared" ca="1" si="92"/>
        <v>0</v>
      </c>
      <c r="AQ160" s="29">
        <f t="shared" ca="1" si="92"/>
        <v>0</v>
      </c>
      <c r="AR160" s="29">
        <f t="shared" ca="1" si="92"/>
        <v>1</v>
      </c>
      <c r="AS160" s="29">
        <f t="shared" ca="1" si="92"/>
        <v>2</v>
      </c>
      <c r="AT160" s="29">
        <f t="shared" ca="1" si="92"/>
        <v>2</v>
      </c>
      <c r="AU160" s="29">
        <f t="shared" ca="1" si="92"/>
        <v>5</v>
      </c>
      <c r="AV160" s="29">
        <f t="shared" ca="1" si="95"/>
        <v>0</v>
      </c>
      <c r="AW160" s="29">
        <f t="shared" ca="1" si="95"/>
        <v>1</v>
      </c>
      <c r="AX160" s="29">
        <f t="shared" ca="1" si="95"/>
        <v>1</v>
      </c>
      <c r="AY160" s="29">
        <f t="shared" ca="1" si="95"/>
        <v>0</v>
      </c>
      <c r="AZ160" s="29">
        <f t="shared" ca="1" si="95"/>
        <v>1</v>
      </c>
      <c r="BA160" s="29">
        <f t="shared" ca="1" si="95"/>
        <v>2</v>
      </c>
      <c r="BB160" s="29">
        <f t="shared" ca="1" si="95"/>
        <v>1</v>
      </c>
      <c r="BC160" s="29">
        <f t="shared" ca="1" si="95"/>
        <v>0</v>
      </c>
      <c r="BD160" s="29">
        <f t="shared" ca="1" si="95"/>
        <v>0</v>
      </c>
      <c r="BE160" s="29">
        <f t="shared" ca="1" si="95"/>
        <v>2</v>
      </c>
      <c r="BF160" s="29">
        <f t="shared" ca="1" si="95"/>
        <v>2</v>
      </c>
      <c r="BG160" s="29">
        <f t="shared" ca="1" si="95"/>
        <v>0</v>
      </c>
      <c r="BH160" s="29">
        <f t="shared" ca="1" si="95"/>
        <v>2</v>
      </c>
      <c r="BI160" s="29">
        <f t="shared" ca="1" si="95"/>
        <v>1</v>
      </c>
      <c r="BJ160" s="29">
        <f t="shared" ca="1" si="95"/>
        <v>2</v>
      </c>
      <c r="BK160" s="29">
        <f t="shared" ca="1" si="95"/>
        <v>1</v>
      </c>
      <c r="BL160" s="29">
        <f t="shared" ca="1" si="94"/>
        <v>1</v>
      </c>
      <c r="BM160" s="29">
        <f t="shared" ca="1" si="94"/>
        <v>1</v>
      </c>
      <c r="BN160" s="29">
        <f t="shared" ca="1" si="94"/>
        <v>1</v>
      </c>
      <c r="BO160" s="29">
        <f t="shared" ca="1" si="94"/>
        <v>1</v>
      </c>
      <c r="BP160" s="29">
        <f t="shared" ca="1" si="94"/>
        <v>2</v>
      </c>
      <c r="BQ160" s="29">
        <f t="shared" ca="1" si="94"/>
        <v>0</v>
      </c>
      <c r="BR160" s="29">
        <f t="shared" ca="1" si="94"/>
        <v>0</v>
      </c>
      <c r="BS160" s="29">
        <f t="shared" ca="1" si="94"/>
        <v>2</v>
      </c>
      <c r="BT160" s="29">
        <f t="shared" ca="1" si="94"/>
        <v>0</v>
      </c>
      <c r="BU160" s="29">
        <f t="shared" ca="1" si="94"/>
        <v>0</v>
      </c>
      <c r="BV160" s="29">
        <f t="shared" ca="1" si="94"/>
        <v>0</v>
      </c>
      <c r="BW160" s="29">
        <f t="shared" ca="1" si="94"/>
        <v>1</v>
      </c>
      <c r="BX160" s="29">
        <f t="shared" ca="1" si="94"/>
        <v>1</v>
      </c>
      <c r="BY160" s="29">
        <f t="shared" ca="1" si="94"/>
        <v>1</v>
      </c>
      <c r="BZ160" s="29">
        <f t="shared" ca="1" si="94"/>
        <v>1</v>
      </c>
      <c r="CA160" s="29">
        <f t="shared" ca="1" si="91"/>
        <v>2</v>
      </c>
      <c r="CB160" s="29">
        <f t="shared" ca="1" si="91"/>
        <v>0</v>
      </c>
      <c r="CC160" s="29">
        <f t="shared" ca="1" si="91"/>
        <v>0</v>
      </c>
      <c r="CD160" s="29">
        <f t="shared" ca="1" si="91"/>
        <v>0</v>
      </c>
      <c r="CE160" s="29">
        <f t="shared" ca="1" si="91"/>
        <v>3</v>
      </c>
      <c r="CF160" s="29">
        <f t="shared" ca="1" si="91"/>
        <v>3</v>
      </c>
      <c r="CG160" s="29">
        <f t="shared" ca="1" si="91"/>
        <v>2</v>
      </c>
      <c r="CH160" s="29">
        <f t="shared" ca="1" si="91"/>
        <v>0</v>
      </c>
      <c r="CI160" s="29">
        <f t="shared" ca="1" si="91"/>
        <v>2</v>
      </c>
      <c r="CJ160" s="29">
        <f t="shared" ca="1" si="91"/>
        <v>2</v>
      </c>
      <c r="CK160" s="29">
        <f t="shared" ca="1" si="91"/>
        <v>1</v>
      </c>
      <c r="CL160" s="29">
        <f t="shared" ca="1" si="91"/>
        <v>2</v>
      </c>
      <c r="CM160" s="29">
        <f t="shared" ca="1" si="91"/>
        <v>2</v>
      </c>
      <c r="CN160" s="29">
        <f t="shared" ca="1" si="91"/>
        <v>0</v>
      </c>
      <c r="CO160" s="29">
        <f t="shared" ca="1" si="91"/>
        <v>1</v>
      </c>
      <c r="CP160" s="29">
        <f t="shared" ca="1" si="91"/>
        <v>1</v>
      </c>
      <c r="CQ160" s="29">
        <f t="shared" ca="1" si="90"/>
        <v>0</v>
      </c>
      <c r="CR160" s="29">
        <f t="shared" ca="1" si="90"/>
        <v>1</v>
      </c>
      <c r="CS160" s="29">
        <f t="shared" ca="1" si="90"/>
        <v>1</v>
      </c>
      <c r="CT160" s="29">
        <f t="shared" ca="1" si="90"/>
        <v>2</v>
      </c>
      <c r="CU160" s="29">
        <f t="shared" ca="1" si="90"/>
        <v>1</v>
      </c>
      <c r="CV160" s="29">
        <f t="shared" ca="1" si="90"/>
        <v>1</v>
      </c>
      <c r="CW160" s="29">
        <f t="shared" ca="1" si="90"/>
        <v>2</v>
      </c>
      <c r="CX160" s="29">
        <f t="shared" ca="1" si="90"/>
        <v>2</v>
      </c>
      <c r="CY160" s="29">
        <f t="shared" ca="1" si="90"/>
        <v>1</v>
      </c>
      <c r="CZ160" s="29">
        <f t="shared" ca="1" si="90"/>
        <v>3</v>
      </c>
      <c r="DA160" s="29">
        <f t="shared" ca="1" si="90"/>
        <v>0</v>
      </c>
      <c r="DB160" s="29">
        <f t="shared" ca="1" si="90"/>
        <v>2</v>
      </c>
      <c r="DC160" s="29">
        <f t="shared" ca="1" si="90"/>
        <v>0</v>
      </c>
      <c r="DD160" s="29">
        <f t="shared" ca="1" si="90"/>
        <v>2</v>
      </c>
      <c r="DE160" s="29">
        <f t="shared" ca="1" si="90"/>
        <v>1</v>
      </c>
      <c r="DF160" s="29">
        <f t="shared" ca="1" si="97"/>
        <v>1</v>
      </c>
      <c r="DG160" s="29">
        <f t="shared" ca="1" si="97"/>
        <v>1</v>
      </c>
      <c r="DH160" s="29">
        <f t="shared" ca="1" si="97"/>
        <v>3</v>
      </c>
      <c r="DI160" s="29">
        <f t="shared" ca="1" si="97"/>
        <v>1</v>
      </c>
      <c r="DJ160" s="29">
        <f t="shared" ca="1" si="97"/>
        <v>1</v>
      </c>
      <c r="DK160" s="29">
        <f t="shared" ca="1" si="97"/>
        <v>1</v>
      </c>
      <c r="DL160" s="29">
        <f t="shared" ca="1" si="97"/>
        <v>0</v>
      </c>
    </row>
    <row r="161" spans="1:116" ht="14.4" x14ac:dyDescent="0.3">
      <c r="A161" s="31">
        <v>75</v>
      </c>
      <c r="B161" s="28">
        <v>5.86</v>
      </c>
      <c r="C161" s="30">
        <v>31.84</v>
      </c>
      <c r="D161" s="28">
        <v>3.08</v>
      </c>
      <c r="E161" s="34">
        <f t="shared" si="77"/>
        <v>6.1600000000000002E-2</v>
      </c>
      <c r="F161" s="35">
        <f t="shared" si="78"/>
        <v>7.96</v>
      </c>
      <c r="G161" s="34">
        <f t="shared" si="79"/>
        <v>77</v>
      </c>
      <c r="H161" s="33">
        <f t="shared" si="80"/>
        <v>11.781569965870307</v>
      </c>
      <c r="I161" s="28">
        <f t="shared" si="83"/>
        <v>409.31000000000017</v>
      </c>
      <c r="J161" s="32">
        <v>1</v>
      </c>
      <c r="K161" s="30">
        <f t="shared" si="81"/>
        <v>7.96</v>
      </c>
      <c r="L161" s="30"/>
      <c r="M161" s="30"/>
      <c r="N161" s="30"/>
      <c r="O161" s="30"/>
      <c r="Q161" s="29">
        <f t="shared" ca="1" si="82"/>
        <v>0</v>
      </c>
      <c r="R161" s="29">
        <f t="shared" ca="1" si="93"/>
        <v>3</v>
      </c>
      <c r="S161" s="29">
        <f t="shared" ca="1" si="93"/>
        <v>3</v>
      </c>
      <c r="T161" s="29">
        <f t="shared" ca="1" si="93"/>
        <v>2</v>
      </c>
      <c r="U161" s="29">
        <f t="shared" ca="1" si="93"/>
        <v>3</v>
      </c>
      <c r="V161" s="29">
        <f t="shared" ca="1" si="93"/>
        <v>6</v>
      </c>
      <c r="W161" s="29">
        <f t="shared" ca="1" si="93"/>
        <v>4</v>
      </c>
      <c r="X161" s="29">
        <f t="shared" ca="1" si="93"/>
        <v>2</v>
      </c>
      <c r="Y161" s="29">
        <f t="shared" ca="1" si="93"/>
        <v>1</v>
      </c>
      <c r="Z161" s="29">
        <f t="shared" ca="1" si="93"/>
        <v>1</v>
      </c>
      <c r="AA161" s="29">
        <f t="shared" ca="1" si="93"/>
        <v>3</v>
      </c>
      <c r="AB161" s="29">
        <f t="shared" ca="1" si="93"/>
        <v>3</v>
      </c>
      <c r="AC161" s="29">
        <f t="shared" ca="1" si="93"/>
        <v>5</v>
      </c>
      <c r="AD161" s="29">
        <f t="shared" ca="1" si="93"/>
        <v>1</v>
      </c>
      <c r="AE161" s="29">
        <f t="shared" ca="1" si="93"/>
        <v>3</v>
      </c>
      <c r="AF161" s="29">
        <f t="shared" ca="1" si="93"/>
        <v>5</v>
      </c>
      <c r="AG161" s="29">
        <f t="shared" ca="1" si="92"/>
        <v>3</v>
      </c>
      <c r="AH161" s="29">
        <f t="shared" ca="1" si="92"/>
        <v>8</v>
      </c>
      <c r="AI161" s="29">
        <f t="shared" ca="1" si="92"/>
        <v>5</v>
      </c>
      <c r="AJ161" s="29">
        <f t="shared" ca="1" si="92"/>
        <v>2</v>
      </c>
      <c r="AK161" s="29">
        <f t="shared" ca="1" si="92"/>
        <v>4</v>
      </c>
      <c r="AL161" s="29">
        <f t="shared" ca="1" si="92"/>
        <v>5</v>
      </c>
      <c r="AM161" s="29">
        <f t="shared" ca="1" si="92"/>
        <v>3</v>
      </c>
      <c r="AN161" s="29">
        <f t="shared" ca="1" si="92"/>
        <v>3</v>
      </c>
      <c r="AO161" s="29">
        <f t="shared" ca="1" si="92"/>
        <v>5</v>
      </c>
      <c r="AP161" s="29">
        <f t="shared" ca="1" si="92"/>
        <v>2</v>
      </c>
      <c r="AQ161" s="29">
        <f t="shared" ca="1" si="92"/>
        <v>3</v>
      </c>
      <c r="AR161" s="29">
        <f t="shared" ca="1" si="92"/>
        <v>3</v>
      </c>
      <c r="AS161" s="29">
        <f t="shared" ca="1" si="92"/>
        <v>3</v>
      </c>
      <c r="AT161" s="29">
        <f t="shared" ca="1" si="92"/>
        <v>2</v>
      </c>
      <c r="AU161" s="29">
        <f t="shared" ca="1" si="92"/>
        <v>1</v>
      </c>
      <c r="AV161" s="29">
        <f t="shared" ca="1" si="95"/>
        <v>1</v>
      </c>
      <c r="AW161" s="29">
        <f t="shared" ca="1" si="95"/>
        <v>1</v>
      </c>
      <c r="AX161" s="29">
        <f t="shared" ca="1" si="95"/>
        <v>3</v>
      </c>
      <c r="AY161" s="29">
        <f t="shared" ca="1" si="95"/>
        <v>0</v>
      </c>
      <c r="AZ161" s="29">
        <f t="shared" ca="1" si="95"/>
        <v>5</v>
      </c>
      <c r="BA161" s="29">
        <f t="shared" ca="1" si="95"/>
        <v>5</v>
      </c>
      <c r="BB161" s="29">
        <f t="shared" ca="1" si="95"/>
        <v>3</v>
      </c>
      <c r="BC161" s="29">
        <f t="shared" ca="1" si="95"/>
        <v>3</v>
      </c>
      <c r="BD161" s="29">
        <f t="shared" ca="1" si="95"/>
        <v>5</v>
      </c>
      <c r="BE161" s="29">
        <f t="shared" ca="1" si="95"/>
        <v>5</v>
      </c>
      <c r="BF161" s="29">
        <f t="shared" ca="1" si="95"/>
        <v>3</v>
      </c>
      <c r="BG161" s="29">
        <f t="shared" ca="1" si="95"/>
        <v>3</v>
      </c>
      <c r="BH161" s="29">
        <f t="shared" ca="1" si="95"/>
        <v>2</v>
      </c>
      <c r="BI161" s="29">
        <f t="shared" ca="1" si="95"/>
        <v>2</v>
      </c>
      <c r="BJ161" s="29">
        <f t="shared" ca="1" si="95"/>
        <v>2</v>
      </c>
      <c r="BK161" s="29">
        <f t="shared" ca="1" si="95"/>
        <v>1</v>
      </c>
      <c r="BL161" s="29">
        <f t="shared" ca="1" si="94"/>
        <v>3</v>
      </c>
      <c r="BM161" s="29">
        <f t="shared" ca="1" si="94"/>
        <v>4</v>
      </c>
      <c r="BN161" s="29">
        <f t="shared" ca="1" si="94"/>
        <v>3</v>
      </c>
      <c r="BO161" s="29">
        <f t="shared" ca="1" si="94"/>
        <v>2</v>
      </c>
      <c r="BP161" s="29">
        <f t="shared" ca="1" si="94"/>
        <v>1</v>
      </c>
      <c r="BQ161" s="29">
        <f t="shared" ca="1" si="94"/>
        <v>2</v>
      </c>
      <c r="BR161" s="29">
        <f t="shared" ca="1" si="94"/>
        <v>2</v>
      </c>
      <c r="BS161" s="29">
        <f t="shared" ca="1" si="94"/>
        <v>2</v>
      </c>
      <c r="BT161" s="29">
        <f t="shared" ca="1" si="94"/>
        <v>3</v>
      </c>
      <c r="BU161" s="29">
        <f t="shared" ca="1" si="94"/>
        <v>3</v>
      </c>
      <c r="BV161" s="29">
        <f t="shared" ca="1" si="94"/>
        <v>1</v>
      </c>
      <c r="BW161" s="29">
        <f t="shared" ca="1" si="94"/>
        <v>4</v>
      </c>
      <c r="BX161" s="29">
        <f t="shared" ca="1" si="94"/>
        <v>1</v>
      </c>
      <c r="BY161" s="29">
        <f t="shared" ca="1" si="94"/>
        <v>2</v>
      </c>
      <c r="BZ161" s="29">
        <f t="shared" ca="1" si="94"/>
        <v>1</v>
      </c>
      <c r="CA161" s="29">
        <f t="shared" ca="1" si="91"/>
        <v>2</v>
      </c>
      <c r="CB161" s="29">
        <f t="shared" ca="1" si="91"/>
        <v>2</v>
      </c>
      <c r="CC161" s="29">
        <f t="shared" ca="1" si="91"/>
        <v>4</v>
      </c>
      <c r="CD161" s="29">
        <f t="shared" ca="1" si="91"/>
        <v>0</v>
      </c>
      <c r="CE161" s="29">
        <f t="shared" ca="1" si="91"/>
        <v>6</v>
      </c>
      <c r="CF161" s="29">
        <f t="shared" ca="1" si="91"/>
        <v>4</v>
      </c>
      <c r="CG161" s="29">
        <f t="shared" ca="1" si="91"/>
        <v>5</v>
      </c>
      <c r="CH161" s="29">
        <f t="shared" ca="1" si="91"/>
        <v>3</v>
      </c>
      <c r="CI161" s="29">
        <f t="shared" ca="1" si="91"/>
        <v>2</v>
      </c>
      <c r="CJ161" s="29">
        <f t="shared" ca="1" si="91"/>
        <v>2</v>
      </c>
      <c r="CK161" s="29">
        <f t="shared" ca="1" si="91"/>
        <v>5</v>
      </c>
      <c r="CL161" s="29">
        <f t="shared" ca="1" si="91"/>
        <v>4</v>
      </c>
      <c r="CM161" s="29">
        <f t="shared" ca="1" si="91"/>
        <v>3</v>
      </c>
      <c r="CN161" s="29">
        <f t="shared" ca="1" si="91"/>
        <v>1</v>
      </c>
      <c r="CO161" s="29">
        <f t="shared" ca="1" si="91"/>
        <v>5</v>
      </c>
      <c r="CP161" s="29">
        <f t="shared" ca="1" si="91"/>
        <v>2</v>
      </c>
      <c r="CQ161" s="29">
        <f t="shared" ca="1" si="90"/>
        <v>3</v>
      </c>
      <c r="CR161" s="29">
        <f t="shared" ca="1" si="90"/>
        <v>4</v>
      </c>
      <c r="CS161" s="29">
        <f t="shared" ca="1" si="90"/>
        <v>1</v>
      </c>
      <c r="CT161" s="29">
        <f t="shared" ca="1" si="90"/>
        <v>2</v>
      </c>
      <c r="CU161" s="29">
        <f t="shared" ca="1" si="90"/>
        <v>0</v>
      </c>
      <c r="CV161" s="29">
        <f t="shared" ca="1" si="90"/>
        <v>8</v>
      </c>
      <c r="CW161" s="29">
        <f t="shared" ca="1" si="90"/>
        <v>2</v>
      </c>
      <c r="CX161" s="29">
        <f t="shared" ca="1" si="90"/>
        <v>1</v>
      </c>
      <c r="CY161" s="29">
        <f t="shared" ca="1" si="90"/>
        <v>3</v>
      </c>
      <c r="CZ161" s="29">
        <f t="shared" ca="1" si="90"/>
        <v>4</v>
      </c>
      <c r="DA161" s="29">
        <f t="shared" ca="1" si="90"/>
        <v>3</v>
      </c>
      <c r="DB161" s="29">
        <f t="shared" ca="1" si="90"/>
        <v>3</v>
      </c>
      <c r="DC161" s="29">
        <f t="shared" ca="1" si="90"/>
        <v>6</v>
      </c>
      <c r="DD161" s="29">
        <f t="shared" ca="1" si="90"/>
        <v>1</v>
      </c>
      <c r="DE161" s="29">
        <f t="shared" ca="1" si="90"/>
        <v>6</v>
      </c>
      <c r="DF161" s="29">
        <f t="shared" ca="1" si="97"/>
        <v>1</v>
      </c>
      <c r="DG161" s="29">
        <f t="shared" ca="1" si="97"/>
        <v>4</v>
      </c>
      <c r="DH161" s="29">
        <f t="shared" ca="1" si="97"/>
        <v>2</v>
      </c>
      <c r="DI161" s="29">
        <f t="shared" ca="1" si="97"/>
        <v>3</v>
      </c>
      <c r="DJ161" s="29">
        <f t="shared" ca="1" si="97"/>
        <v>2</v>
      </c>
      <c r="DK161" s="29">
        <f t="shared" ca="1" si="97"/>
        <v>1</v>
      </c>
      <c r="DL161" s="29">
        <f t="shared" ca="1" si="97"/>
        <v>2</v>
      </c>
    </row>
    <row r="162" spans="1:116" ht="14.4" x14ac:dyDescent="0.3">
      <c r="A162" s="31">
        <v>1027</v>
      </c>
      <c r="B162" s="28">
        <v>6.67</v>
      </c>
      <c r="C162" s="30">
        <v>9.69</v>
      </c>
      <c r="D162" s="28">
        <v>3.23</v>
      </c>
      <c r="E162" s="34">
        <f t="shared" si="77"/>
        <v>6.4600000000000005E-2</v>
      </c>
      <c r="F162" s="35">
        <f t="shared" si="78"/>
        <v>2.4224999999999999</v>
      </c>
      <c r="G162" s="34">
        <f t="shared" si="79"/>
        <v>80.75</v>
      </c>
      <c r="H162" s="33">
        <f t="shared" si="80"/>
        <v>11.743253373313344</v>
      </c>
      <c r="I162" s="28">
        <f t="shared" si="83"/>
        <v>415.98000000000019</v>
      </c>
      <c r="J162" s="32">
        <v>1</v>
      </c>
      <c r="K162" s="30">
        <f t="shared" si="81"/>
        <v>2.4224999999999999</v>
      </c>
      <c r="L162" s="30"/>
      <c r="M162" s="30"/>
      <c r="N162" s="30"/>
      <c r="O162" s="30"/>
      <c r="Q162" s="29">
        <f t="shared" ca="1" si="82"/>
        <v>5</v>
      </c>
      <c r="R162" s="29">
        <f t="shared" ca="1" si="93"/>
        <v>5</v>
      </c>
      <c r="S162" s="29">
        <f t="shared" ca="1" si="93"/>
        <v>3</v>
      </c>
      <c r="T162" s="29">
        <f t="shared" ca="1" si="93"/>
        <v>4</v>
      </c>
      <c r="U162" s="29">
        <f t="shared" ca="1" si="93"/>
        <v>2</v>
      </c>
      <c r="V162" s="29">
        <f t="shared" ca="1" si="93"/>
        <v>1</v>
      </c>
      <c r="W162" s="29">
        <f t="shared" ca="1" si="93"/>
        <v>3</v>
      </c>
      <c r="X162" s="29">
        <f t="shared" ca="1" si="93"/>
        <v>2</v>
      </c>
      <c r="Y162" s="29">
        <f t="shared" ca="1" si="93"/>
        <v>8</v>
      </c>
      <c r="Z162" s="29">
        <f t="shared" ca="1" si="93"/>
        <v>3</v>
      </c>
      <c r="AA162" s="29">
        <f t="shared" ca="1" si="93"/>
        <v>8</v>
      </c>
      <c r="AB162" s="29">
        <f t="shared" ca="1" si="93"/>
        <v>2</v>
      </c>
      <c r="AC162" s="29">
        <f t="shared" ca="1" si="93"/>
        <v>4</v>
      </c>
      <c r="AD162" s="29">
        <f t="shared" ca="1" si="93"/>
        <v>2</v>
      </c>
      <c r="AE162" s="29">
        <f t="shared" ca="1" si="93"/>
        <v>5</v>
      </c>
      <c r="AF162" s="29">
        <f t="shared" ca="1" si="93"/>
        <v>5</v>
      </c>
      <c r="AG162" s="29">
        <f t="shared" ca="1" si="92"/>
        <v>4</v>
      </c>
      <c r="AH162" s="29">
        <f t="shared" ca="1" si="92"/>
        <v>3</v>
      </c>
      <c r="AI162" s="29">
        <f t="shared" ca="1" si="92"/>
        <v>4</v>
      </c>
      <c r="AJ162" s="29">
        <f t="shared" ca="1" si="92"/>
        <v>6</v>
      </c>
      <c r="AK162" s="29">
        <f t="shared" ca="1" si="92"/>
        <v>7</v>
      </c>
      <c r="AL162" s="29">
        <f t="shared" ca="1" si="92"/>
        <v>5</v>
      </c>
      <c r="AM162" s="29">
        <f t="shared" ca="1" si="92"/>
        <v>0</v>
      </c>
      <c r="AN162" s="29">
        <f t="shared" ca="1" si="92"/>
        <v>4</v>
      </c>
      <c r="AO162" s="29">
        <f t="shared" ca="1" si="92"/>
        <v>1</v>
      </c>
      <c r="AP162" s="29">
        <f t="shared" ca="1" si="92"/>
        <v>1</v>
      </c>
      <c r="AQ162" s="29">
        <f t="shared" ca="1" si="92"/>
        <v>3</v>
      </c>
      <c r="AR162" s="29">
        <f t="shared" ca="1" si="92"/>
        <v>3</v>
      </c>
      <c r="AS162" s="29">
        <f t="shared" ca="1" si="92"/>
        <v>5</v>
      </c>
      <c r="AT162" s="29">
        <f t="shared" ca="1" si="92"/>
        <v>6</v>
      </c>
      <c r="AU162" s="29">
        <f t="shared" ca="1" si="92"/>
        <v>4</v>
      </c>
      <c r="AV162" s="29">
        <f t="shared" ca="1" si="95"/>
        <v>3</v>
      </c>
      <c r="AW162" s="29">
        <f t="shared" ca="1" si="95"/>
        <v>1</v>
      </c>
      <c r="AX162" s="29">
        <f t="shared" ca="1" si="95"/>
        <v>2</v>
      </c>
      <c r="AY162" s="29">
        <f t="shared" ca="1" si="95"/>
        <v>3</v>
      </c>
      <c r="AZ162" s="29">
        <f t="shared" ca="1" si="95"/>
        <v>4</v>
      </c>
      <c r="BA162" s="29">
        <f t="shared" ca="1" si="95"/>
        <v>4</v>
      </c>
      <c r="BB162" s="29">
        <f t="shared" ca="1" si="95"/>
        <v>4</v>
      </c>
      <c r="BC162" s="29">
        <f t="shared" ca="1" si="95"/>
        <v>2</v>
      </c>
      <c r="BD162" s="29">
        <f t="shared" ca="1" si="95"/>
        <v>3</v>
      </c>
      <c r="BE162" s="29">
        <f t="shared" ca="1" si="95"/>
        <v>5</v>
      </c>
      <c r="BF162" s="29">
        <f t="shared" ca="1" si="95"/>
        <v>4</v>
      </c>
      <c r="BG162" s="29">
        <f t="shared" ca="1" si="95"/>
        <v>1</v>
      </c>
      <c r="BH162" s="29">
        <f t="shared" ca="1" si="95"/>
        <v>2</v>
      </c>
      <c r="BI162" s="29">
        <f t="shared" ca="1" si="95"/>
        <v>6</v>
      </c>
      <c r="BJ162" s="29">
        <f t="shared" ca="1" si="95"/>
        <v>3</v>
      </c>
      <c r="BK162" s="29">
        <f t="shared" ca="1" si="95"/>
        <v>5</v>
      </c>
      <c r="BL162" s="29">
        <f t="shared" ca="1" si="94"/>
        <v>3</v>
      </c>
      <c r="BM162" s="29">
        <f t="shared" ca="1" si="94"/>
        <v>3</v>
      </c>
      <c r="BN162" s="29">
        <f t="shared" ca="1" si="94"/>
        <v>5</v>
      </c>
      <c r="BO162" s="29">
        <f t="shared" ca="1" si="94"/>
        <v>1</v>
      </c>
      <c r="BP162" s="29">
        <f t="shared" ca="1" si="94"/>
        <v>1</v>
      </c>
      <c r="BQ162" s="29">
        <f t="shared" ca="1" si="94"/>
        <v>3</v>
      </c>
      <c r="BR162" s="29">
        <f t="shared" ca="1" si="94"/>
        <v>5</v>
      </c>
      <c r="BS162" s="29">
        <f t="shared" ca="1" si="94"/>
        <v>6</v>
      </c>
      <c r="BT162" s="29">
        <f t="shared" ca="1" si="94"/>
        <v>2</v>
      </c>
      <c r="BU162" s="29">
        <f t="shared" ca="1" si="94"/>
        <v>3</v>
      </c>
      <c r="BV162" s="29">
        <f t="shared" ca="1" si="94"/>
        <v>3</v>
      </c>
      <c r="BW162" s="29">
        <f t="shared" ca="1" si="94"/>
        <v>2</v>
      </c>
      <c r="BX162" s="29">
        <f t="shared" ca="1" si="94"/>
        <v>2</v>
      </c>
      <c r="BY162" s="29">
        <f t="shared" ca="1" si="94"/>
        <v>3</v>
      </c>
      <c r="BZ162" s="29">
        <f t="shared" ca="1" si="94"/>
        <v>3</v>
      </c>
      <c r="CA162" s="29">
        <f t="shared" ca="1" si="91"/>
        <v>3</v>
      </c>
      <c r="CB162" s="29">
        <f t="shared" ca="1" si="91"/>
        <v>7</v>
      </c>
      <c r="CC162" s="29">
        <f t="shared" ca="1" si="91"/>
        <v>2</v>
      </c>
      <c r="CD162" s="29">
        <f t="shared" ca="1" si="91"/>
        <v>4</v>
      </c>
      <c r="CE162" s="29">
        <f t="shared" ca="1" si="91"/>
        <v>1</v>
      </c>
      <c r="CF162" s="29">
        <f t="shared" ca="1" si="91"/>
        <v>2</v>
      </c>
      <c r="CG162" s="29">
        <f t="shared" ca="1" si="91"/>
        <v>3</v>
      </c>
      <c r="CH162" s="29">
        <f t="shared" ca="1" si="91"/>
        <v>2</v>
      </c>
      <c r="CI162" s="29">
        <f t="shared" ca="1" si="91"/>
        <v>2</v>
      </c>
      <c r="CJ162" s="29">
        <f t="shared" ca="1" si="91"/>
        <v>2</v>
      </c>
      <c r="CK162" s="29">
        <f t="shared" ca="1" si="91"/>
        <v>2</v>
      </c>
      <c r="CL162" s="29">
        <f t="shared" ca="1" si="91"/>
        <v>3</v>
      </c>
      <c r="CM162" s="29">
        <f t="shared" ca="1" si="91"/>
        <v>2</v>
      </c>
      <c r="CN162" s="29">
        <f t="shared" ca="1" si="91"/>
        <v>1</v>
      </c>
      <c r="CO162" s="29">
        <f t="shared" ca="1" si="91"/>
        <v>6</v>
      </c>
      <c r="CP162" s="29">
        <f t="shared" ca="1" si="91"/>
        <v>6</v>
      </c>
      <c r="CQ162" s="29">
        <f t="shared" ca="1" si="90"/>
        <v>4</v>
      </c>
      <c r="CR162" s="29">
        <f t="shared" ca="1" si="90"/>
        <v>6</v>
      </c>
      <c r="CS162" s="29">
        <f t="shared" ca="1" si="90"/>
        <v>6</v>
      </c>
      <c r="CT162" s="29">
        <f t="shared" ca="1" si="90"/>
        <v>4</v>
      </c>
      <c r="CU162" s="29">
        <f t="shared" ca="1" si="90"/>
        <v>3</v>
      </c>
      <c r="CV162" s="29">
        <f t="shared" ca="1" si="90"/>
        <v>2</v>
      </c>
      <c r="CW162" s="29">
        <f t="shared" ca="1" si="90"/>
        <v>0</v>
      </c>
      <c r="CX162" s="29">
        <f t="shared" ca="1" si="90"/>
        <v>3</v>
      </c>
      <c r="CY162" s="29">
        <f t="shared" ca="1" si="90"/>
        <v>5</v>
      </c>
      <c r="CZ162" s="29">
        <f t="shared" ca="1" si="90"/>
        <v>2</v>
      </c>
      <c r="DA162" s="29">
        <f t="shared" ca="1" si="90"/>
        <v>3</v>
      </c>
      <c r="DB162" s="29">
        <f t="shared" ca="1" si="90"/>
        <v>6</v>
      </c>
      <c r="DC162" s="29">
        <f t="shared" ca="1" si="90"/>
        <v>5</v>
      </c>
      <c r="DD162" s="29">
        <f t="shared" ca="1" si="90"/>
        <v>6</v>
      </c>
      <c r="DE162" s="29">
        <f t="shared" ca="1" si="90"/>
        <v>3</v>
      </c>
      <c r="DF162" s="29">
        <f t="shared" ca="1" si="97"/>
        <v>1</v>
      </c>
      <c r="DG162" s="29">
        <f t="shared" ca="1" si="97"/>
        <v>2</v>
      </c>
      <c r="DH162" s="29">
        <f t="shared" ca="1" si="97"/>
        <v>7</v>
      </c>
      <c r="DI162" s="29">
        <f t="shared" ca="1" si="97"/>
        <v>0</v>
      </c>
      <c r="DJ162" s="29">
        <f t="shared" ca="1" si="97"/>
        <v>2</v>
      </c>
      <c r="DK162" s="29">
        <f t="shared" ca="1" si="97"/>
        <v>3</v>
      </c>
      <c r="DL162" s="29">
        <f t="shared" ca="1" si="97"/>
        <v>1</v>
      </c>
    </row>
    <row r="163" spans="1:116" ht="14.4" x14ac:dyDescent="0.3">
      <c r="A163" s="31">
        <v>160</v>
      </c>
      <c r="B163" s="28">
        <v>3.62</v>
      </c>
      <c r="C163" s="30">
        <v>67.56</v>
      </c>
      <c r="D163" s="28">
        <v>2.37</v>
      </c>
      <c r="E163" s="34">
        <f t="shared" si="77"/>
        <v>4.7400000000000005E-2</v>
      </c>
      <c r="F163" s="35">
        <f t="shared" si="78"/>
        <v>16.89</v>
      </c>
      <c r="G163" s="34">
        <f t="shared" si="79"/>
        <v>59.25</v>
      </c>
      <c r="H163" s="33">
        <f t="shared" si="80"/>
        <v>11.701657458563535</v>
      </c>
      <c r="I163" s="28">
        <f t="shared" si="83"/>
        <v>419.60000000000019</v>
      </c>
      <c r="J163" s="32">
        <v>1</v>
      </c>
      <c r="K163" s="30">
        <f t="shared" si="81"/>
        <v>16.89</v>
      </c>
      <c r="L163" s="30"/>
      <c r="M163" s="30"/>
      <c r="N163" s="30"/>
      <c r="O163" s="30"/>
      <c r="Q163" s="29">
        <f t="shared" ca="1" si="82"/>
        <v>0</v>
      </c>
      <c r="R163" s="29">
        <f t="shared" ca="1" si="93"/>
        <v>4</v>
      </c>
      <c r="S163" s="29">
        <f t="shared" ca="1" si="93"/>
        <v>3</v>
      </c>
      <c r="T163" s="29">
        <f t="shared" ca="1" si="93"/>
        <v>1</v>
      </c>
      <c r="U163" s="29">
        <f t="shared" ca="1" si="93"/>
        <v>1</v>
      </c>
      <c r="V163" s="29">
        <f t="shared" ca="1" si="93"/>
        <v>2</v>
      </c>
      <c r="W163" s="29">
        <f t="shared" ca="1" si="93"/>
        <v>1</v>
      </c>
      <c r="X163" s="29">
        <f t="shared" ca="1" si="93"/>
        <v>3</v>
      </c>
      <c r="Y163" s="29">
        <f t="shared" ca="1" si="93"/>
        <v>2</v>
      </c>
      <c r="Z163" s="29">
        <f t="shared" ca="1" si="93"/>
        <v>1</v>
      </c>
      <c r="AA163" s="29">
        <f t="shared" ca="1" si="93"/>
        <v>6</v>
      </c>
      <c r="AB163" s="29">
        <f t="shared" ca="1" si="93"/>
        <v>1</v>
      </c>
      <c r="AC163" s="29">
        <f t="shared" ca="1" si="93"/>
        <v>4</v>
      </c>
      <c r="AD163" s="29">
        <f t="shared" ca="1" si="93"/>
        <v>3</v>
      </c>
      <c r="AE163" s="29">
        <f t="shared" ca="1" si="93"/>
        <v>4</v>
      </c>
      <c r="AF163" s="29">
        <f t="shared" ca="1" si="93"/>
        <v>4</v>
      </c>
      <c r="AG163" s="29">
        <f t="shared" ca="1" si="92"/>
        <v>0</v>
      </c>
      <c r="AH163" s="29">
        <f t="shared" ca="1" si="92"/>
        <v>3</v>
      </c>
      <c r="AI163" s="29">
        <f t="shared" ca="1" si="92"/>
        <v>3</v>
      </c>
      <c r="AJ163" s="29">
        <f t="shared" ca="1" si="92"/>
        <v>1</v>
      </c>
      <c r="AK163" s="29">
        <f t="shared" ca="1" si="92"/>
        <v>4</v>
      </c>
      <c r="AL163" s="29">
        <f t="shared" ca="1" si="92"/>
        <v>6</v>
      </c>
      <c r="AM163" s="29">
        <f t="shared" ca="1" si="92"/>
        <v>1</v>
      </c>
      <c r="AN163" s="29">
        <f t="shared" ca="1" si="92"/>
        <v>2</v>
      </c>
      <c r="AO163" s="29">
        <f t="shared" ca="1" si="92"/>
        <v>4</v>
      </c>
      <c r="AP163" s="29">
        <f t="shared" ca="1" si="92"/>
        <v>1</v>
      </c>
      <c r="AQ163" s="29">
        <f t="shared" ca="1" si="92"/>
        <v>2</v>
      </c>
      <c r="AR163" s="29">
        <f t="shared" ca="1" si="92"/>
        <v>1</v>
      </c>
      <c r="AS163" s="29">
        <f t="shared" ca="1" si="92"/>
        <v>1</v>
      </c>
      <c r="AT163" s="29">
        <f t="shared" ca="1" si="92"/>
        <v>5</v>
      </c>
      <c r="AU163" s="29">
        <f t="shared" ca="1" si="92"/>
        <v>2</v>
      </c>
      <c r="AV163" s="29">
        <f t="shared" ca="1" si="95"/>
        <v>5</v>
      </c>
      <c r="AW163" s="29">
        <f t="shared" ca="1" si="95"/>
        <v>3</v>
      </c>
      <c r="AX163" s="29">
        <f t="shared" ca="1" si="95"/>
        <v>11</v>
      </c>
      <c r="AY163" s="29">
        <f t="shared" ca="1" si="95"/>
        <v>4</v>
      </c>
      <c r="AZ163" s="29">
        <f t="shared" ca="1" si="95"/>
        <v>1</v>
      </c>
      <c r="BA163" s="29">
        <f t="shared" ca="1" si="95"/>
        <v>3</v>
      </c>
      <c r="BB163" s="29">
        <f t="shared" ca="1" si="95"/>
        <v>3</v>
      </c>
      <c r="BC163" s="29">
        <f t="shared" ca="1" si="95"/>
        <v>2</v>
      </c>
      <c r="BD163" s="29">
        <f t="shared" ca="1" si="95"/>
        <v>3</v>
      </c>
      <c r="BE163" s="29">
        <f t="shared" ca="1" si="95"/>
        <v>4</v>
      </c>
      <c r="BF163" s="29">
        <f t="shared" ca="1" si="95"/>
        <v>2</v>
      </c>
      <c r="BG163" s="29">
        <f t="shared" ca="1" si="95"/>
        <v>2</v>
      </c>
      <c r="BH163" s="29">
        <f t="shared" ca="1" si="95"/>
        <v>4</v>
      </c>
      <c r="BI163" s="29">
        <f t="shared" ca="1" si="95"/>
        <v>3</v>
      </c>
      <c r="BJ163" s="29">
        <f t="shared" ca="1" si="95"/>
        <v>0</v>
      </c>
      <c r="BK163" s="29">
        <f t="shared" ca="1" si="95"/>
        <v>1</v>
      </c>
      <c r="BL163" s="29">
        <f t="shared" ca="1" si="94"/>
        <v>2</v>
      </c>
      <c r="BM163" s="29">
        <f t="shared" ca="1" si="94"/>
        <v>2</v>
      </c>
      <c r="BN163" s="29">
        <f t="shared" ca="1" si="94"/>
        <v>2</v>
      </c>
      <c r="BO163" s="29">
        <f t="shared" ca="1" si="94"/>
        <v>4</v>
      </c>
      <c r="BP163" s="29">
        <f t="shared" ca="1" si="94"/>
        <v>1</v>
      </c>
      <c r="BQ163" s="29">
        <f t="shared" ca="1" si="94"/>
        <v>1</v>
      </c>
      <c r="BR163" s="29">
        <f t="shared" ca="1" si="94"/>
        <v>3</v>
      </c>
      <c r="BS163" s="29">
        <f t="shared" ca="1" si="94"/>
        <v>3</v>
      </c>
      <c r="BT163" s="29">
        <f t="shared" ca="1" si="94"/>
        <v>0</v>
      </c>
      <c r="BU163" s="29">
        <f t="shared" ca="1" si="94"/>
        <v>3</v>
      </c>
      <c r="BV163" s="29">
        <f t="shared" ca="1" si="94"/>
        <v>1</v>
      </c>
      <c r="BW163" s="29">
        <f t="shared" ca="1" si="94"/>
        <v>1</v>
      </c>
      <c r="BX163" s="29">
        <f t="shared" ca="1" si="94"/>
        <v>2</v>
      </c>
      <c r="BY163" s="29">
        <f t="shared" ca="1" si="94"/>
        <v>1</v>
      </c>
      <c r="BZ163" s="29">
        <f t="shared" ca="1" si="94"/>
        <v>2</v>
      </c>
      <c r="CA163" s="29">
        <f t="shared" ca="1" si="91"/>
        <v>1</v>
      </c>
      <c r="CB163" s="29">
        <f t="shared" ca="1" si="91"/>
        <v>3</v>
      </c>
      <c r="CC163" s="29">
        <f t="shared" ca="1" si="91"/>
        <v>4</v>
      </c>
      <c r="CD163" s="29">
        <f t="shared" ca="1" si="91"/>
        <v>1</v>
      </c>
      <c r="CE163" s="29">
        <f t="shared" ca="1" si="91"/>
        <v>1</v>
      </c>
      <c r="CF163" s="29">
        <f t="shared" ca="1" si="91"/>
        <v>2</v>
      </c>
      <c r="CG163" s="29">
        <f t="shared" ca="1" si="91"/>
        <v>4</v>
      </c>
      <c r="CH163" s="29">
        <f t="shared" ca="1" si="91"/>
        <v>1</v>
      </c>
      <c r="CI163" s="29">
        <f t="shared" ca="1" si="91"/>
        <v>3</v>
      </c>
      <c r="CJ163" s="29">
        <f t="shared" ca="1" si="91"/>
        <v>0</v>
      </c>
      <c r="CK163" s="29">
        <f t="shared" ca="1" si="91"/>
        <v>4</v>
      </c>
      <c r="CL163" s="29">
        <f t="shared" ca="1" si="91"/>
        <v>2</v>
      </c>
      <c r="CM163" s="29">
        <f t="shared" ca="1" si="91"/>
        <v>2</v>
      </c>
      <c r="CN163" s="29">
        <f t="shared" ca="1" si="91"/>
        <v>2</v>
      </c>
      <c r="CO163" s="29">
        <f t="shared" ca="1" si="91"/>
        <v>1</v>
      </c>
      <c r="CP163" s="29">
        <f t="shared" ca="1" si="91"/>
        <v>4</v>
      </c>
      <c r="CQ163" s="29">
        <f t="shared" ca="1" si="90"/>
        <v>2</v>
      </c>
      <c r="CR163" s="29">
        <f t="shared" ca="1" si="90"/>
        <v>3</v>
      </c>
      <c r="CS163" s="29">
        <f t="shared" ca="1" si="90"/>
        <v>7</v>
      </c>
      <c r="CT163" s="29">
        <f t="shared" ca="1" si="90"/>
        <v>1</v>
      </c>
      <c r="CU163" s="29">
        <f t="shared" ca="1" si="90"/>
        <v>1</v>
      </c>
      <c r="CV163" s="29">
        <f t="shared" ca="1" si="90"/>
        <v>3</v>
      </c>
      <c r="CW163" s="29">
        <f t="shared" ca="1" si="90"/>
        <v>3</v>
      </c>
      <c r="CX163" s="29">
        <f t="shared" ca="1" si="90"/>
        <v>1</v>
      </c>
      <c r="CY163" s="29">
        <f t="shared" ca="1" si="90"/>
        <v>5</v>
      </c>
      <c r="CZ163" s="29">
        <f t="shared" ca="1" si="90"/>
        <v>1</v>
      </c>
      <c r="DA163" s="29">
        <f t="shared" ca="1" si="90"/>
        <v>3</v>
      </c>
      <c r="DB163" s="29">
        <f t="shared" ca="1" si="90"/>
        <v>1</v>
      </c>
      <c r="DC163" s="29">
        <f t="shared" ca="1" si="90"/>
        <v>0</v>
      </c>
      <c r="DD163" s="29">
        <f t="shared" ca="1" si="90"/>
        <v>4</v>
      </c>
      <c r="DE163" s="29">
        <f t="shared" ca="1" si="90"/>
        <v>2</v>
      </c>
      <c r="DF163" s="29">
        <f t="shared" ca="1" si="97"/>
        <v>2</v>
      </c>
      <c r="DG163" s="29">
        <f t="shared" ca="1" si="97"/>
        <v>0</v>
      </c>
      <c r="DH163" s="29">
        <f t="shared" ca="1" si="97"/>
        <v>5</v>
      </c>
      <c r="DI163" s="29">
        <f t="shared" ca="1" si="97"/>
        <v>1</v>
      </c>
      <c r="DJ163" s="29">
        <f t="shared" ca="1" si="97"/>
        <v>3</v>
      </c>
      <c r="DK163" s="29">
        <f t="shared" ca="1" si="97"/>
        <v>4</v>
      </c>
      <c r="DL163" s="29">
        <f t="shared" ca="1" si="97"/>
        <v>1</v>
      </c>
    </row>
    <row r="164" spans="1:116" ht="14.4" x14ac:dyDescent="0.3">
      <c r="A164" s="31">
        <v>287</v>
      </c>
      <c r="B164" s="28">
        <v>4.18</v>
      </c>
      <c r="C164" s="30">
        <v>3.9</v>
      </c>
      <c r="D164" s="28">
        <v>1.98</v>
      </c>
      <c r="E164" s="34">
        <f t="shared" si="77"/>
        <v>3.9599999999999996E-2</v>
      </c>
      <c r="F164" s="35">
        <f t="shared" si="78"/>
        <v>0.97499999999999998</v>
      </c>
      <c r="G164" s="34">
        <f t="shared" si="79"/>
        <v>49.5</v>
      </c>
      <c r="H164" s="33">
        <f t="shared" si="80"/>
        <v>11.60885167464115</v>
      </c>
      <c r="I164" s="28">
        <f t="shared" si="83"/>
        <v>423.7800000000002</v>
      </c>
      <c r="J164" s="32">
        <v>1</v>
      </c>
      <c r="K164" s="30">
        <f t="shared" si="81"/>
        <v>0.97499999999999998</v>
      </c>
      <c r="L164" s="30"/>
      <c r="M164" s="30"/>
      <c r="N164" s="30"/>
      <c r="O164" s="30"/>
      <c r="Q164" s="29">
        <f t="shared" ca="1" si="82"/>
        <v>2</v>
      </c>
      <c r="R164" s="29">
        <f t="shared" ca="1" si="93"/>
        <v>3</v>
      </c>
      <c r="S164" s="29">
        <f t="shared" ca="1" si="93"/>
        <v>3</v>
      </c>
      <c r="T164" s="29">
        <f t="shared" ca="1" si="93"/>
        <v>2</v>
      </c>
      <c r="U164" s="29">
        <f t="shared" ca="1" si="93"/>
        <v>1</v>
      </c>
      <c r="V164" s="29">
        <f t="shared" ca="1" si="93"/>
        <v>3</v>
      </c>
      <c r="W164" s="29">
        <f t="shared" ca="1" si="93"/>
        <v>2</v>
      </c>
      <c r="X164" s="29">
        <f t="shared" ca="1" si="93"/>
        <v>1</v>
      </c>
      <c r="Y164" s="29">
        <f t="shared" ca="1" si="93"/>
        <v>0</v>
      </c>
      <c r="Z164" s="29">
        <f t="shared" ca="1" si="93"/>
        <v>1</v>
      </c>
      <c r="AA164" s="29">
        <f t="shared" ca="1" si="93"/>
        <v>1</v>
      </c>
      <c r="AB164" s="29">
        <f t="shared" ca="1" si="93"/>
        <v>2</v>
      </c>
      <c r="AC164" s="29">
        <f t="shared" ca="1" si="93"/>
        <v>1</v>
      </c>
      <c r="AD164" s="29">
        <f t="shared" ca="1" si="93"/>
        <v>3</v>
      </c>
      <c r="AE164" s="29">
        <f t="shared" ca="1" si="93"/>
        <v>3</v>
      </c>
      <c r="AF164" s="29">
        <f t="shared" ca="1" si="93"/>
        <v>3</v>
      </c>
      <c r="AG164" s="29">
        <f t="shared" ca="1" si="92"/>
        <v>5</v>
      </c>
      <c r="AH164" s="29">
        <f t="shared" ca="1" si="92"/>
        <v>2</v>
      </c>
      <c r="AI164" s="29">
        <f t="shared" ca="1" si="92"/>
        <v>1</v>
      </c>
      <c r="AJ164" s="29">
        <f t="shared" ca="1" si="92"/>
        <v>1</v>
      </c>
      <c r="AK164" s="29">
        <f t="shared" ca="1" si="92"/>
        <v>2</v>
      </c>
      <c r="AL164" s="29">
        <f t="shared" ca="1" si="92"/>
        <v>2</v>
      </c>
      <c r="AM164" s="29">
        <f t="shared" ca="1" si="92"/>
        <v>3</v>
      </c>
      <c r="AN164" s="29">
        <f t="shared" ca="1" si="92"/>
        <v>1</v>
      </c>
      <c r="AO164" s="29">
        <f t="shared" ca="1" si="92"/>
        <v>1</v>
      </c>
      <c r="AP164" s="29">
        <f t="shared" ca="1" si="92"/>
        <v>2</v>
      </c>
      <c r="AQ164" s="29">
        <f t="shared" ca="1" si="92"/>
        <v>3</v>
      </c>
      <c r="AR164" s="29">
        <f t="shared" ca="1" si="92"/>
        <v>0</v>
      </c>
      <c r="AS164" s="29">
        <f t="shared" ca="1" si="92"/>
        <v>3</v>
      </c>
      <c r="AT164" s="29">
        <f t="shared" ca="1" si="92"/>
        <v>4</v>
      </c>
      <c r="AU164" s="29">
        <f t="shared" ca="1" si="92"/>
        <v>2</v>
      </c>
      <c r="AV164" s="29">
        <f t="shared" ca="1" si="95"/>
        <v>4</v>
      </c>
      <c r="AW164" s="29">
        <f t="shared" ca="1" si="95"/>
        <v>3</v>
      </c>
      <c r="AX164" s="29">
        <f t="shared" ca="1" si="95"/>
        <v>3</v>
      </c>
      <c r="AY164" s="29">
        <f t="shared" ca="1" si="95"/>
        <v>5</v>
      </c>
      <c r="AZ164" s="29">
        <f t="shared" ca="1" si="95"/>
        <v>0</v>
      </c>
      <c r="BA164" s="29">
        <f t="shared" ca="1" si="95"/>
        <v>2</v>
      </c>
      <c r="BB164" s="29">
        <f t="shared" ca="1" si="95"/>
        <v>1</v>
      </c>
      <c r="BC164" s="29">
        <f t="shared" ca="1" si="95"/>
        <v>0</v>
      </c>
      <c r="BD164" s="29">
        <f t="shared" ca="1" si="95"/>
        <v>2</v>
      </c>
      <c r="BE164" s="29">
        <f t="shared" ca="1" si="95"/>
        <v>2</v>
      </c>
      <c r="BF164" s="29">
        <f t="shared" ca="1" si="95"/>
        <v>1</v>
      </c>
      <c r="BG164" s="29">
        <f t="shared" ca="1" si="95"/>
        <v>2</v>
      </c>
      <c r="BH164" s="29">
        <f t="shared" ca="1" si="95"/>
        <v>1</v>
      </c>
      <c r="BI164" s="29">
        <f t="shared" ca="1" si="95"/>
        <v>2</v>
      </c>
      <c r="BJ164" s="29">
        <f t="shared" ca="1" si="95"/>
        <v>4</v>
      </c>
      <c r="BK164" s="29">
        <f t="shared" ca="1" si="95"/>
        <v>3</v>
      </c>
      <c r="BL164" s="29">
        <f t="shared" ca="1" si="94"/>
        <v>1</v>
      </c>
      <c r="BM164" s="29">
        <f t="shared" ca="1" si="94"/>
        <v>0</v>
      </c>
      <c r="BN164" s="29">
        <f t="shared" ca="1" si="94"/>
        <v>1</v>
      </c>
      <c r="BO164" s="29">
        <f t="shared" ca="1" si="94"/>
        <v>0</v>
      </c>
      <c r="BP164" s="29">
        <f t="shared" ca="1" si="94"/>
        <v>4</v>
      </c>
      <c r="BQ164" s="29">
        <f t="shared" ca="1" si="94"/>
        <v>2</v>
      </c>
      <c r="BR164" s="29">
        <f t="shared" ca="1" si="94"/>
        <v>6</v>
      </c>
      <c r="BS164" s="29">
        <f t="shared" ca="1" si="94"/>
        <v>0</v>
      </c>
      <c r="BT164" s="29">
        <f t="shared" ca="1" si="94"/>
        <v>2</v>
      </c>
      <c r="BU164" s="29">
        <f t="shared" ca="1" si="94"/>
        <v>2</v>
      </c>
      <c r="BV164" s="29">
        <f t="shared" ca="1" si="94"/>
        <v>1</v>
      </c>
      <c r="BW164" s="29">
        <f t="shared" ca="1" si="94"/>
        <v>3</v>
      </c>
      <c r="BX164" s="29">
        <f t="shared" ca="1" si="94"/>
        <v>1</v>
      </c>
      <c r="BY164" s="29">
        <f t="shared" ca="1" si="94"/>
        <v>3</v>
      </c>
      <c r="BZ164" s="29">
        <f t="shared" ca="1" si="94"/>
        <v>0</v>
      </c>
      <c r="CA164" s="29">
        <f t="shared" ca="1" si="91"/>
        <v>6</v>
      </c>
      <c r="CB164" s="29">
        <f t="shared" ca="1" si="91"/>
        <v>3</v>
      </c>
      <c r="CC164" s="29">
        <f t="shared" ca="1" si="91"/>
        <v>1</v>
      </c>
      <c r="CD164" s="29">
        <f t="shared" ca="1" si="91"/>
        <v>2</v>
      </c>
      <c r="CE164" s="29">
        <f t="shared" ca="1" si="91"/>
        <v>4</v>
      </c>
      <c r="CF164" s="29">
        <f t="shared" ca="1" si="91"/>
        <v>6</v>
      </c>
      <c r="CG164" s="29">
        <f t="shared" ca="1" si="91"/>
        <v>2</v>
      </c>
      <c r="CH164" s="29">
        <f t="shared" ca="1" si="91"/>
        <v>4</v>
      </c>
      <c r="CI164" s="29">
        <f t="shared" ca="1" si="91"/>
        <v>1</v>
      </c>
      <c r="CJ164" s="29">
        <f t="shared" ca="1" si="91"/>
        <v>0</v>
      </c>
      <c r="CK164" s="29">
        <f t="shared" ca="1" si="91"/>
        <v>1</v>
      </c>
      <c r="CL164" s="29">
        <f t="shared" ca="1" si="91"/>
        <v>2</v>
      </c>
      <c r="CM164" s="29">
        <f t="shared" ca="1" si="91"/>
        <v>2</v>
      </c>
      <c r="CN164" s="29">
        <f t="shared" ca="1" si="91"/>
        <v>2</v>
      </c>
      <c r="CO164" s="29">
        <f t="shared" ca="1" si="91"/>
        <v>0</v>
      </c>
      <c r="CP164" s="29">
        <f t="shared" ref="CP164:DE179" ca="1" si="98">_xlfn.BINOM.INV(50,$E164,RAND())</f>
        <v>2</v>
      </c>
      <c r="CQ164" s="29">
        <f t="shared" ca="1" si="98"/>
        <v>0</v>
      </c>
      <c r="CR164" s="29">
        <f t="shared" ca="1" si="98"/>
        <v>1</v>
      </c>
      <c r="CS164" s="29">
        <f t="shared" ca="1" si="98"/>
        <v>2</v>
      </c>
      <c r="CT164" s="29">
        <f t="shared" ca="1" si="98"/>
        <v>2</v>
      </c>
      <c r="CU164" s="29">
        <f t="shared" ca="1" si="98"/>
        <v>2</v>
      </c>
      <c r="CV164" s="29">
        <f t="shared" ca="1" si="98"/>
        <v>2</v>
      </c>
      <c r="CW164" s="29">
        <f t="shared" ca="1" si="98"/>
        <v>3</v>
      </c>
      <c r="CX164" s="29">
        <f t="shared" ca="1" si="98"/>
        <v>1</v>
      </c>
      <c r="CY164" s="29">
        <f t="shared" ca="1" si="98"/>
        <v>0</v>
      </c>
      <c r="CZ164" s="29">
        <f t="shared" ca="1" si="98"/>
        <v>2</v>
      </c>
      <c r="DA164" s="29">
        <f t="shared" ca="1" si="98"/>
        <v>0</v>
      </c>
      <c r="DB164" s="29">
        <f t="shared" ca="1" si="98"/>
        <v>2</v>
      </c>
      <c r="DC164" s="29">
        <f t="shared" ca="1" si="98"/>
        <v>2</v>
      </c>
      <c r="DD164" s="29">
        <f t="shared" ca="1" si="98"/>
        <v>3</v>
      </c>
      <c r="DE164" s="29">
        <f t="shared" ca="1" si="98"/>
        <v>6</v>
      </c>
      <c r="DF164" s="29">
        <f t="shared" ca="1" si="97"/>
        <v>1</v>
      </c>
      <c r="DG164" s="29">
        <f t="shared" ca="1" si="97"/>
        <v>4</v>
      </c>
      <c r="DH164" s="29">
        <f t="shared" ca="1" si="97"/>
        <v>0</v>
      </c>
      <c r="DI164" s="29">
        <f t="shared" ca="1" si="97"/>
        <v>2</v>
      </c>
      <c r="DJ164" s="29">
        <f t="shared" ca="1" si="97"/>
        <v>4</v>
      </c>
      <c r="DK164" s="29">
        <f t="shared" ca="1" si="97"/>
        <v>2</v>
      </c>
      <c r="DL164" s="29">
        <f t="shared" ca="1" si="97"/>
        <v>3</v>
      </c>
    </row>
    <row r="165" spans="1:116" ht="14.4" x14ac:dyDescent="0.3">
      <c r="A165" s="31">
        <v>869</v>
      </c>
      <c r="B165" s="28">
        <v>0.45</v>
      </c>
      <c r="C165" s="30">
        <v>99.34</v>
      </c>
      <c r="D165" s="28">
        <v>1.2</v>
      </c>
      <c r="E165" s="34">
        <f t="shared" si="77"/>
        <v>2.4E-2</v>
      </c>
      <c r="F165" s="35">
        <f t="shared" si="78"/>
        <v>24.835000000000001</v>
      </c>
      <c r="G165" s="34">
        <f t="shared" si="79"/>
        <v>30</v>
      </c>
      <c r="H165" s="33">
        <f t="shared" si="80"/>
        <v>11.477777777777776</v>
      </c>
      <c r="I165" s="28">
        <f t="shared" si="83"/>
        <v>424.23000000000019</v>
      </c>
      <c r="J165" s="32">
        <v>1</v>
      </c>
      <c r="K165" s="30">
        <f t="shared" si="81"/>
        <v>24.835000000000001</v>
      </c>
      <c r="L165" s="30"/>
      <c r="M165" s="30"/>
      <c r="N165" s="30"/>
      <c r="O165" s="30"/>
      <c r="Q165" s="29">
        <f t="shared" ca="1" si="82"/>
        <v>0</v>
      </c>
      <c r="R165" s="29">
        <f t="shared" ca="1" si="93"/>
        <v>0</v>
      </c>
      <c r="S165" s="29">
        <f t="shared" ca="1" si="93"/>
        <v>2</v>
      </c>
      <c r="T165" s="29">
        <f t="shared" ca="1" si="93"/>
        <v>0</v>
      </c>
      <c r="U165" s="29">
        <f t="shared" ca="1" si="93"/>
        <v>2</v>
      </c>
      <c r="V165" s="29">
        <f t="shared" ca="1" si="93"/>
        <v>1</v>
      </c>
      <c r="W165" s="29">
        <f t="shared" ca="1" si="93"/>
        <v>2</v>
      </c>
      <c r="X165" s="29">
        <f t="shared" ca="1" si="93"/>
        <v>3</v>
      </c>
      <c r="Y165" s="29">
        <f t="shared" ca="1" si="93"/>
        <v>0</v>
      </c>
      <c r="Z165" s="29">
        <f t="shared" ca="1" si="93"/>
        <v>1</v>
      </c>
      <c r="AA165" s="29">
        <f t="shared" ca="1" si="93"/>
        <v>3</v>
      </c>
      <c r="AB165" s="29">
        <f t="shared" ca="1" si="93"/>
        <v>1</v>
      </c>
      <c r="AC165" s="29">
        <f t="shared" ca="1" si="93"/>
        <v>1</v>
      </c>
      <c r="AD165" s="29">
        <f t="shared" ca="1" si="93"/>
        <v>0</v>
      </c>
      <c r="AE165" s="29">
        <f t="shared" ca="1" si="93"/>
        <v>0</v>
      </c>
      <c r="AF165" s="29">
        <f t="shared" ca="1" si="93"/>
        <v>0</v>
      </c>
      <c r="AG165" s="29">
        <f t="shared" ca="1" si="92"/>
        <v>4</v>
      </c>
      <c r="AH165" s="29">
        <f t="shared" ca="1" si="92"/>
        <v>0</v>
      </c>
      <c r="AI165" s="29">
        <f t="shared" ca="1" si="92"/>
        <v>0</v>
      </c>
      <c r="AJ165" s="29">
        <f t="shared" ca="1" si="92"/>
        <v>0</v>
      </c>
      <c r="AK165" s="29">
        <f t="shared" ca="1" si="92"/>
        <v>0</v>
      </c>
      <c r="AL165" s="29">
        <f t="shared" ca="1" si="92"/>
        <v>2</v>
      </c>
      <c r="AM165" s="29">
        <f t="shared" ca="1" si="92"/>
        <v>1</v>
      </c>
      <c r="AN165" s="29">
        <f t="shared" ca="1" si="92"/>
        <v>2</v>
      </c>
      <c r="AO165" s="29">
        <f t="shared" ca="1" si="92"/>
        <v>0</v>
      </c>
      <c r="AP165" s="29">
        <f t="shared" ca="1" si="92"/>
        <v>3</v>
      </c>
      <c r="AQ165" s="29">
        <f t="shared" ca="1" si="92"/>
        <v>2</v>
      </c>
      <c r="AR165" s="29">
        <f t="shared" ca="1" si="92"/>
        <v>3</v>
      </c>
      <c r="AS165" s="29">
        <f t="shared" ca="1" si="92"/>
        <v>1</v>
      </c>
      <c r="AT165" s="29">
        <f t="shared" ca="1" si="92"/>
        <v>1</v>
      </c>
      <c r="AU165" s="29">
        <f t="shared" ca="1" si="92"/>
        <v>2</v>
      </c>
      <c r="AV165" s="29">
        <f t="shared" ca="1" si="95"/>
        <v>1</v>
      </c>
      <c r="AW165" s="29">
        <f t="shared" ca="1" si="95"/>
        <v>0</v>
      </c>
      <c r="AX165" s="29">
        <f t="shared" ca="1" si="95"/>
        <v>0</v>
      </c>
      <c r="AY165" s="29">
        <f t="shared" ca="1" si="95"/>
        <v>2</v>
      </c>
      <c r="AZ165" s="29">
        <f t="shared" ca="1" si="95"/>
        <v>1</v>
      </c>
      <c r="BA165" s="29">
        <f t="shared" ca="1" si="95"/>
        <v>2</v>
      </c>
      <c r="BB165" s="29">
        <f t="shared" ca="1" si="95"/>
        <v>2</v>
      </c>
      <c r="BC165" s="29">
        <f t="shared" ca="1" si="95"/>
        <v>4</v>
      </c>
      <c r="BD165" s="29">
        <f t="shared" ca="1" si="95"/>
        <v>0</v>
      </c>
      <c r="BE165" s="29">
        <f t="shared" ca="1" si="95"/>
        <v>1</v>
      </c>
      <c r="BF165" s="29">
        <f t="shared" ca="1" si="95"/>
        <v>3</v>
      </c>
      <c r="BG165" s="29">
        <f t="shared" ca="1" si="95"/>
        <v>1</v>
      </c>
      <c r="BH165" s="29">
        <f t="shared" ca="1" si="95"/>
        <v>0</v>
      </c>
      <c r="BI165" s="29">
        <f t="shared" ca="1" si="95"/>
        <v>1</v>
      </c>
      <c r="BJ165" s="29">
        <f t="shared" ca="1" si="95"/>
        <v>1</v>
      </c>
      <c r="BK165" s="29">
        <f t="shared" ca="1" si="95"/>
        <v>1</v>
      </c>
      <c r="BL165" s="29">
        <f t="shared" ca="1" si="94"/>
        <v>2</v>
      </c>
      <c r="BM165" s="29">
        <f t="shared" ca="1" si="94"/>
        <v>1</v>
      </c>
      <c r="BN165" s="29">
        <f t="shared" ca="1" si="94"/>
        <v>1</v>
      </c>
      <c r="BO165" s="29">
        <f t="shared" ca="1" si="94"/>
        <v>1</v>
      </c>
      <c r="BP165" s="29">
        <f t="shared" ca="1" si="94"/>
        <v>0</v>
      </c>
      <c r="BQ165" s="29">
        <f t="shared" ca="1" si="94"/>
        <v>0</v>
      </c>
      <c r="BR165" s="29">
        <f t="shared" ca="1" si="94"/>
        <v>2</v>
      </c>
      <c r="BS165" s="29">
        <f t="shared" ca="1" si="94"/>
        <v>2</v>
      </c>
      <c r="BT165" s="29">
        <f t="shared" ca="1" si="94"/>
        <v>0</v>
      </c>
      <c r="BU165" s="29">
        <f t="shared" ca="1" si="94"/>
        <v>2</v>
      </c>
      <c r="BV165" s="29">
        <f t="shared" ca="1" si="94"/>
        <v>1</v>
      </c>
      <c r="BW165" s="29">
        <f t="shared" ca="1" si="94"/>
        <v>1</v>
      </c>
      <c r="BX165" s="29">
        <f t="shared" ca="1" si="94"/>
        <v>2</v>
      </c>
      <c r="BY165" s="29">
        <f t="shared" ca="1" si="94"/>
        <v>1</v>
      </c>
      <c r="BZ165" s="29">
        <f t="shared" ca="1" si="94"/>
        <v>1</v>
      </c>
      <c r="CA165" s="29">
        <f t="shared" ref="CA165:CP180" ca="1" si="99">_xlfn.BINOM.INV(50,$E165,RAND())</f>
        <v>0</v>
      </c>
      <c r="CB165" s="29">
        <f t="shared" ca="1" si="99"/>
        <v>2</v>
      </c>
      <c r="CC165" s="29">
        <f t="shared" ca="1" si="99"/>
        <v>0</v>
      </c>
      <c r="CD165" s="29">
        <f t="shared" ca="1" si="99"/>
        <v>2</v>
      </c>
      <c r="CE165" s="29">
        <f t="shared" ca="1" si="99"/>
        <v>1</v>
      </c>
      <c r="CF165" s="29">
        <f t="shared" ca="1" si="99"/>
        <v>0</v>
      </c>
      <c r="CG165" s="29">
        <f t="shared" ca="1" si="99"/>
        <v>1</v>
      </c>
      <c r="CH165" s="29">
        <f t="shared" ca="1" si="99"/>
        <v>0</v>
      </c>
      <c r="CI165" s="29">
        <f t="shared" ca="1" si="99"/>
        <v>0</v>
      </c>
      <c r="CJ165" s="29">
        <f t="shared" ca="1" si="99"/>
        <v>1</v>
      </c>
      <c r="CK165" s="29">
        <f t="shared" ca="1" si="99"/>
        <v>0</v>
      </c>
      <c r="CL165" s="29">
        <f t="shared" ca="1" si="99"/>
        <v>2</v>
      </c>
      <c r="CM165" s="29">
        <f t="shared" ca="1" si="99"/>
        <v>1</v>
      </c>
      <c r="CN165" s="29">
        <f t="shared" ca="1" si="99"/>
        <v>4</v>
      </c>
      <c r="CO165" s="29">
        <f t="shared" ca="1" si="99"/>
        <v>0</v>
      </c>
      <c r="CP165" s="29">
        <f t="shared" ca="1" si="99"/>
        <v>0</v>
      </c>
      <c r="CQ165" s="29">
        <f t="shared" ca="1" si="98"/>
        <v>1</v>
      </c>
      <c r="CR165" s="29">
        <f t="shared" ca="1" si="98"/>
        <v>0</v>
      </c>
      <c r="CS165" s="29">
        <f t="shared" ca="1" si="98"/>
        <v>2</v>
      </c>
      <c r="CT165" s="29">
        <f t="shared" ca="1" si="98"/>
        <v>1</v>
      </c>
      <c r="CU165" s="29">
        <f t="shared" ca="1" si="98"/>
        <v>0</v>
      </c>
      <c r="CV165" s="29">
        <f t="shared" ca="1" si="98"/>
        <v>1</v>
      </c>
      <c r="CW165" s="29">
        <f t="shared" ca="1" si="98"/>
        <v>1</v>
      </c>
      <c r="CX165" s="29">
        <f t="shared" ca="1" si="98"/>
        <v>3</v>
      </c>
      <c r="CY165" s="29">
        <f t="shared" ca="1" si="98"/>
        <v>2</v>
      </c>
      <c r="CZ165" s="29">
        <f t="shared" ca="1" si="98"/>
        <v>3</v>
      </c>
      <c r="DA165" s="29">
        <f t="shared" ca="1" si="98"/>
        <v>1</v>
      </c>
      <c r="DB165" s="29">
        <f t="shared" ca="1" si="98"/>
        <v>1</v>
      </c>
      <c r="DC165" s="29">
        <f t="shared" ca="1" si="98"/>
        <v>0</v>
      </c>
      <c r="DD165" s="29">
        <f t="shared" ca="1" si="98"/>
        <v>1</v>
      </c>
      <c r="DE165" s="29">
        <f t="shared" ca="1" si="98"/>
        <v>1</v>
      </c>
      <c r="DF165" s="29">
        <f t="shared" ca="1" si="97"/>
        <v>0</v>
      </c>
      <c r="DG165" s="29">
        <f t="shared" ca="1" si="97"/>
        <v>0</v>
      </c>
      <c r="DH165" s="29">
        <f t="shared" ca="1" si="97"/>
        <v>0</v>
      </c>
      <c r="DI165" s="29">
        <f t="shared" ca="1" si="97"/>
        <v>0</v>
      </c>
      <c r="DJ165" s="29">
        <f t="shared" ca="1" si="97"/>
        <v>1</v>
      </c>
      <c r="DK165" s="29">
        <f t="shared" ca="1" si="97"/>
        <v>2</v>
      </c>
      <c r="DL165" s="29">
        <f t="shared" ca="1" si="97"/>
        <v>1</v>
      </c>
    </row>
    <row r="166" spans="1:116" ht="14.4" x14ac:dyDescent="0.3">
      <c r="A166" s="31">
        <v>940</v>
      </c>
      <c r="B166" s="28">
        <v>4.4000000000000004</v>
      </c>
      <c r="C166" s="30">
        <v>24.66</v>
      </c>
      <c r="D166" s="28">
        <v>2.2599999999999998</v>
      </c>
      <c r="E166" s="34">
        <f t="shared" si="77"/>
        <v>4.5199999999999997E-2</v>
      </c>
      <c r="F166" s="35">
        <f t="shared" si="78"/>
        <v>6.165</v>
      </c>
      <c r="G166" s="34">
        <f t="shared" si="79"/>
        <v>56.499999999999993</v>
      </c>
      <c r="H166" s="33">
        <f t="shared" si="80"/>
        <v>11.439772727272725</v>
      </c>
      <c r="I166" s="28">
        <f t="shared" si="83"/>
        <v>428.63000000000017</v>
      </c>
      <c r="J166" s="32">
        <v>1</v>
      </c>
      <c r="K166" s="30">
        <f t="shared" si="81"/>
        <v>6.165</v>
      </c>
      <c r="L166" s="30"/>
      <c r="M166" s="30"/>
      <c r="N166" s="30"/>
      <c r="O166" s="30"/>
      <c r="Q166" s="29">
        <f t="shared" ca="1" si="82"/>
        <v>4</v>
      </c>
      <c r="R166" s="29">
        <f t="shared" ca="1" si="93"/>
        <v>0</v>
      </c>
      <c r="S166" s="29">
        <f t="shared" ca="1" si="93"/>
        <v>3</v>
      </c>
      <c r="T166" s="29">
        <f t="shared" ca="1" si="93"/>
        <v>2</v>
      </c>
      <c r="U166" s="29">
        <f t="shared" ca="1" si="93"/>
        <v>1</v>
      </c>
      <c r="V166" s="29">
        <f t="shared" ca="1" si="93"/>
        <v>2</v>
      </c>
      <c r="W166" s="29">
        <f t="shared" ca="1" si="93"/>
        <v>2</v>
      </c>
      <c r="X166" s="29">
        <f t="shared" ca="1" si="93"/>
        <v>2</v>
      </c>
      <c r="Y166" s="29">
        <f t="shared" ca="1" si="93"/>
        <v>2</v>
      </c>
      <c r="Z166" s="29">
        <f t="shared" ca="1" si="93"/>
        <v>2</v>
      </c>
      <c r="AA166" s="29">
        <f t="shared" ca="1" si="93"/>
        <v>3</v>
      </c>
      <c r="AB166" s="29">
        <f t="shared" ca="1" si="93"/>
        <v>1</v>
      </c>
      <c r="AC166" s="29">
        <f t="shared" ca="1" si="93"/>
        <v>1</v>
      </c>
      <c r="AD166" s="29">
        <f t="shared" ca="1" si="93"/>
        <v>2</v>
      </c>
      <c r="AE166" s="29">
        <f t="shared" ca="1" si="93"/>
        <v>3</v>
      </c>
      <c r="AF166" s="29">
        <f t="shared" ca="1" si="93"/>
        <v>2</v>
      </c>
      <c r="AG166" s="29">
        <f t="shared" ca="1" si="92"/>
        <v>2</v>
      </c>
      <c r="AH166" s="29">
        <f t="shared" ca="1" si="92"/>
        <v>2</v>
      </c>
      <c r="AI166" s="29">
        <f t="shared" ca="1" si="92"/>
        <v>5</v>
      </c>
      <c r="AJ166" s="29">
        <f t="shared" ca="1" si="92"/>
        <v>1</v>
      </c>
      <c r="AK166" s="29">
        <f t="shared" ca="1" si="92"/>
        <v>2</v>
      </c>
      <c r="AL166" s="29">
        <f t="shared" ca="1" si="92"/>
        <v>1</v>
      </c>
      <c r="AM166" s="29">
        <f t="shared" ca="1" si="92"/>
        <v>1</v>
      </c>
      <c r="AN166" s="29">
        <f t="shared" ca="1" si="92"/>
        <v>2</v>
      </c>
      <c r="AO166" s="29">
        <f t="shared" ca="1" si="92"/>
        <v>3</v>
      </c>
      <c r="AP166" s="29">
        <f t="shared" ca="1" si="92"/>
        <v>1</v>
      </c>
      <c r="AQ166" s="29">
        <f t="shared" ca="1" si="92"/>
        <v>6</v>
      </c>
      <c r="AR166" s="29">
        <f t="shared" ca="1" si="92"/>
        <v>0</v>
      </c>
      <c r="AS166" s="29">
        <f t="shared" ca="1" si="92"/>
        <v>2</v>
      </c>
      <c r="AT166" s="29">
        <f t="shared" ca="1" si="92"/>
        <v>1</v>
      </c>
      <c r="AU166" s="29">
        <f t="shared" ca="1" si="92"/>
        <v>2</v>
      </c>
      <c r="AV166" s="29">
        <f t="shared" ca="1" si="95"/>
        <v>1</v>
      </c>
      <c r="AW166" s="29">
        <f t="shared" ca="1" si="95"/>
        <v>0</v>
      </c>
      <c r="AX166" s="29">
        <f t="shared" ca="1" si="95"/>
        <v>3</v>
      </c>
      <c r="AY166" s="29">
        <f t="shared" ca="1" si="95"/>
        <v>3</v>
      </c>
      <c r="AZ166" s="29">
        <f t="shared" ca="1" si="95"/>
        <v>2</v>
      </c>
      <c r="BA166" s="29">
        <f t="shared" ca="1" si="95"/>
        <v>0</v>
      </c>
      <c r="BB166" s="29">
        <f t="shared" ca="1" si="95"/>
        <v>3</v>
      </c>
      <c r="BC166" s="29">
        <f t="shared" ca="1" si="95"/>
        <v>1</v>
      </c>
      <c r="BD166" s="29">
        <f t="shared" ca="1" si="95"/>
        <v>1</v>
      </c>
      <c r="BE166" s="29">
        <f t="shared" ca="1" si="95"/>
        <v>1</v>
      </c>
      <c r="BF166" s="29">
        <f t="shared" ca="1" si="95"/>
        <v>2</v>
      </c>
      <c r="BG166" s="29">
        <f t="shared" ca="1" si="95"/>
        <v>5</v>
      </c>
      <c r="BH166" s="29">
        <f t="shared" ca="1" si="95"/>
        <v>3</v>
      </c>
      <c r="BI166" s="29">
        <f t="shared" ca="1" si="95"/>
        <v>1</v>
      </c>
      <c r="BJ166" s="29">
        <f t="shared" ca="1" si="95"/>
        <v>4</v>
      </c>
      <c r="BK166" s="29">
        <f t="shared" ca="1" si="95"/>
        <v>2</v>
      </c>
      <c r="BL166" s="29">
        <f t="shared" ca="1" si="94"/>
        <v>1</v>
      </c>
      <c r="BM166" s="29">
        <f t="shared" ca="1" si="94"/>
        <v>2</v>
      </c>
      <c r="BN166" s="29">
        <f t="shared" ca="1" si="94"/>
        <v>4</v>
      </c>
      <c r="BO166" s="29">
        <f t="shared" ca="1" si="94"/>
        <v>3</v>
      </c>
      <c r="BP166" s="29">
        <f t="shared" ca="1" si="94"/>
        <v>2</v>
      </c>
      <c r="BQ166" s="29">
        <f t="shared" ca="1" si="94"/>
        <v>2</v>
      </c>
      <c r="BR166" s="29">
        <f t="shared" ca="1" si="94"/>
        <v>5</v>
      </c>
      <c r="BS166" s="29">
        <f t="shared" ca="1" si="94"/>
        <v>3</v>
      </c>
      <c r="BT166" s="29">
        <f t="shared" ca="1" si="94"/>
        <v>3</v>
      </c>
      <c r="BU166" s="29">
        <f t="shared" ca="1" si="94"/>
        <v>0</v>
      </c>
      <c r="BV166" s="29">
        <f t="shared" ca="1" si="94"/>
        <v>0</v>
      </c>
      <c r="BW166" s="29">
        <f t="shared" ca="1" si="94"/>
        <v>2</v>
      </c>
      <c r="BX166" s="29">
        <f t="shared" ca="1" si="94"/>
        <v>0</v>
      </c>
      <c r="BY166" s="29">
        <f t="shared" ca="1" si="94"/>
        <v>3</v>
      </c>
      <c r="BZ166" s="29">
        <f t="shared" ca="1" si="94"/>
        <v>4</v>
      </c>
      <c r="CA166" s="29">
        <f t="shared" ca="1" si="99"/>
        <v>2</v>
      </c>
      <c r="CB166" s="29">
        <f t="shared" ca="1" si="99"/>
        <v>3</v>
      </c>
      <c r="CC166" s="29">
        <f t="shared" ca="1" si="99"/>
        <v>2</v>
      </c>
      <c r="CD166" s="29">
        <f t="shared" ca="1" si="99"/>
        <v>4</v>
      </c>
      <c r="CE166" s="29">
        <f t="shared" ca="1" si="99"/>
        <v>2</v>
      </c>
      <c r="CF166" s="29">
        <f t="shared" ca="1" si="99"/>
        <v>1</v>
      </c>
      <c r="CG166" s="29">
        <f t="shared" ca="1" si="99"/>
        <v>1</v>
      </c>
      <c r="CH166" s="29">
        <f t="shared" ca="1" si="99"/>
        <v>1</v>
      </c>
      <c r="CI166" s="29">
        <f t="shared" ca="1" si="99"/>
        <v>4</v>
      </c>
      <c r="CJ166" s="29">
        <f t="shared" ca="1" si="99"/>
        <v>1</v>
      </c>
      <c r="CK166" s="29">
        <f t="shared" ca="1" si="99"/>
        <v>2</v>
      </c>
      <c r="CL166" s="29">
        <f t="shared" ca="1" si="99"/>
        <v>2</v>
      </c>
      <c r="CM166" s="29">
        <f t="shared" ca="1" si="99"/>
        <v>0</v>
      </c>
      <c r="CN166" s="29">
        <f t="shared" ca="1" si="99"/>
        <v>0</v>
      </c>
      <c r="CO166" s="29">
        <f t="shared" ca="1" si="99"/>
        <v>1</v>
      </c>
      <c r="CP166" s="29">
        <f t="shared" ca="1" si="99"/>
        <v>2</v>
      </c>
      <c r="CQ166" s="29">
        <f t="shared" ca="1" si="98"/>
        <v>2</v>
      </c>
      <c r="CR166" s="29">
        <f t="shared" ca="1" si="98"/>
        <v>4</v>
      </c>
      <c r="CS166" s="29">
        <f t="shared" ca="1" si="98"/>
        <v>2</v>
      </c>
      <c r="CT166" s="29">
        <f t="shared" ca="1" si="98"/>
        <v>1</v>
      </c>
      <c r="CU166" s="29">
        <f t="shared" ca="1" si="98"/>
        <v>5</v>
      </c>
      <c r="CV166" s="29">
        <f t="shared" ca="1" si="98"/>
        <v>0</v>
      </c>
      <c r="CW166" s="29">
        <f t="shared" ca="1" si="98"/>
        <v>1</v>
      </c>
      <c r="CX166" s="29">
        <f t="shared" ca="1" si="98"/>
        <v>0</v>
      </c>
      <c r="CY166" s="29">
        <f t="shared" ca="1" si="98"/>
        <v>4</v>
      </c>
      <c r="CZ166" s="29">
        <f t="shared" ca="1" si="98"/>
        <v>3</v>
      </c>
      <c r="DA166" s="29">
        <f t="shared" ca="1" si="98"/>
        <v>3</v>
      </c>
      <c r="DB166" s="29">
        <f t="shared" ca="1" si="98"/>
        <v>1</v>
      </c>
      <c r="DC166" s="29">
        <f t="shared" ca="1" si="98"/>
        <v>3</v>
      </c>
      <c r="DD166" s="29">
        <f t="shared" ca="1" si="98"/>
        <v>4</v>
      </c>
      <c r="DE166" s="29">
        <f t="shared" ca="1" si="98"/>
        <v>3</v>
      </c>
      <c r="DF166" s="29">
        <f t="shared" ca="1" si="97"/>
        <v>5</v>
      </c>
      <c r="DG166" s="29">
        <f t="shared" ca="1" si="97"/>
        <v>1</v>
      </c>
      <c r="DH166" s="29">
        <f t="shared" ca="1" si="97"/>
        <v>2</v>
      </c>
      <c r="DI166" s="29">
        <f t="shared" ca="1" si="97"/>
        <v>1</v>
      </c>
      <c r="DJ166" s="29">
        <f t="shared" ca="1" si="97"/>
        <v>4</v>
      </c>
      <c r="DK166" s="29">
        <f t="shared" ca="1" si="97"/>
        <v>1</v>
      </c>
      <c r="DL166" s="29">
        <f t="shared" ca="1" si="97"/>
        <v>1</v>
      </c>
    </row>
    <row r="167" spans="1:116" ht="14.4" x14ac:dyDescent="0.3">
      <c r="A167" s="31">
        <v>39</v>
      </c>
      <c r="B167" s="28">
        <v>2.0499999999999998</v>
      </c>
      <c r="C167" s="30">
        <v>42.78</v>
      </c>
      <c r="D167" s="28">
        <v>1.36</v>
      </c>
      <c r="E167" s="34">
        <f t="shared" si="77"/>
        <v>2.7200000000000002E-2</v>
      </c>
      <c r="F167" s="35">
        <f t="shared" si="78"/>
        <v>10.695</v>
      </c>
      <c r="G167" s="34">
        <f t="shared" si="79"/>
        <v>34</v>
      </c>
      <c r="H167" s="33">
        <f t="shared" si="80"/>
        <v>11.36829268292683</v>
      </c>
      <c r="I167" s="28">
        <f t="shared" si="83"/>
        <v>430.68000000000018</v>
      </c>
      <c r="J167" s="32">
        <v>1</v>
      </c>
      <c r="K167" s="30">
        <f t="shared" si="81"/>
        <v>10.695</v>
      </c>
      <c r="L167" s="30"/>
      <c r="M167" s="30"/>
      <c r="N167" s="30"/>
      <c r="O167" s="30"/>
      <c r="Q167" s="29">
        <f t="shared" ca="1" si="82"/>
        <v>0</v>
      </c>
      <c r="R167" s="29">
        <f t="shared" ca="1" si="93"/>
        <v>2</v>
      </c>
      <c r="S167" s="29">
        <f t="shared" ca="1" si="93"/>
        <v>1</v>
      </c>
      <c r="T167" s="29">
        <f t="shared" ca="1" si="93"/>
        <v>2</v>
      </c>
      <c r="U167" s="29">
        <f t="shared" ca="1" si="93"/>
        <v>1</v>
      </c>
      <c r="V167" s="29">
        <f t="shared" ca="1" si="93"/>
        <v>2</v>
      </c>
      <c r="W167" s="29">
        <f t="shared" ca="1" si="93"/>
        <v>2</v>
      </c>
      <c r="X167" s="29">
        <f t="shared" ca="1" si="93"/>
        <v>0</v>
      </c>
      <c r="Y167" s="29">
        <f t="shared" ca="1" si="93"/>
        <v>1</v>
      </c>
      <c r="Z167" s="29">
        <f t="shared" ca="1" si="93"/>
        <v>0</v>
      </c>
      <c r="AA167" s="29">
        <f t="shared" ca="1" si="93"/>
        <v>1</v>
      </c>
      <c r="AB167" s="29">
        <f t="shared" ca="1" si="93"/>
        <v>3</v>
      </c>
      <c r="AC167" s="29">
        <f t="shared" ca="1" si="93"/>
        <v>2</v>
      </c>
      <c r="AD167" s="29">
        <f t="shared" ca="1" si="93"/>
        <v>3</v>
      </c>
      <c r="AE167" s="29">
        <f t="shared" ca="1" si="93"/>
        <v>0</v>
      </c>
      <c r="AF167" s="29">
        <f t="shared" ca="1" si="93"/>
        <v>2</v>
      </c>
      <c r="AG167" s="29">
        <f t="shared" ca="1" si="92"/>
        <v>0</v>
      </c>
      <c r="AH167" s="29">
        <f t="shared" ca="1" si="92"/>
        <v>3</v>
      </c>
      <c r="AI167" s="29">
        <f t="shared" ca="1" si="92"/>
        <v>2</v>
      </c>
      <c r="AJ167" s="29">
        <f t="shared" ca="1" si="92"/>
        <v>2</v>
      </c>
      <c r="AK167" s="29">
        <f t="shared" ca="1" si="92"/>
        <v>2</v>
      </c>
      <c r="AL167" s="29">
        <f t="shared" ca="1" si="92"/>
        <v>1</v>
      </c>
      <c r="AM167" s="29">
        <f t="shared" ca="1" si="92"/>
        <v>0</v>
      </c>
      <c r="AN167" s="29">
        <f t="shared" ca="1" si="92"/>
        <v>2</v>
      </c>
      <c r="AO167" s="29">
        <f t="shared" ca="1" si="92"/>
        <v>0</v>
      </c>
      <c r="AP167" s="29">
        <f t="shared" ca="1" si="92"/>
        <v>3</v>
      </c>
      <c r="AQ167" s="29">
        <f t="shared" ca="1" si="92"/>
        <v>1</v>
      </c>
      <c r="AR167" s="29">
        <f t="shared" ca="1" si="92"/>
        <v>0</v>
      </c>
      <c r="AS167" s="29">
        <f t="shared" ca="1" si="92"/>
        <v>1</v>
      </c>
      <c r="AT167" s="29">
        <f t="shared" ca="1" si="92"/>
        <v>0</v>
      </c>
      <c r="AU167" s="29">
        <f t="shared" ca="1" si="92"/>
        <v>0</v>
      </c>
      <c r="AV167" s="29">
        <f t="shared" ca="1" si="95"/>
        <v>2</v>
      </c>
      <c r="AW167" s="29">
        <f t="shared" ca="1" si="95"/>
        <v>1</v>
      </c>
      <c r="AX167" s="29">
        <f t="shared" ca="1" si="95"/>
        <v>1</v>
      </c>
      <c r="AY167" s="29">
        <f t="shared" ca="1" si="95"/>
        <v>1</v>
      </c>
      <c r="AZ167" s="29">
        <f t="shared" ca="1" si="95"/>
        <v>1</v>
      </c>
      <c r="BA167" s="29">
        <f t="shared" ca="1" si="95"/>
        <v>2</v>
      </c>
      <c r="BB167" s="29">
        <f t="shared" ca="1" si="95"/>
        <v>1</v>
      </c>
      <c r="BC167" s="29">
        <f t="shared" ca="1" si="95"/>
        <v>1</v>
      </c>
      <c r="BD167" s="29">
        <f t="shared" ca="1" si="95"/>
        <v>3</v>
      </c>
      <c r="BE167" s="29">
        <f t="shared" ca="1" si="95"/>
        <v>4</v>
      </c>
      <c r="BF167" s="29">
        <f t="shared" ca="1" si="95"/>
        <v>0</v>
      </c>
      <c r="BG167" s="29">
        <f t="shared" ca="1" si="95"/>
        <v>2</v>
      </c>
      <c r="BH167" s="29">
        <f t="shared" ca="1" si="95"/>
        <v>4</v>
      </c>
      <c r="BI167" s="29">
        <f t="shared" ca="1" si="95"/>
        <v>1</v>
      </c>
      <c r="BJ167" s="29">
        <f t="shared" ca="1" si="95"/>
        <v>0</v>
      </c>
      <c r="BK167" s="29">
        <f t="shared" ca="1" si="95"/>
        <v>1</v>
      </c>
      <c r="BL167" s="29">
        <f t="shared" ca="1" si="94"/>
        <v>5</v>
      </c>
      <c r="BM167" s="29">
        <f t="shared" ca="1" si="94"/>
        <v>1</v>
      </c>
      <c r="BN167" s="29">
        <f t="shared" ca="1" si="94"/>
        <v>0</v>
      </c>
      <c r="BO167" s="29">
        <f t="shared" ca="1" si="94"/>
        <v>0</v>
      </c>
      <c r="BP167" s="29">
        <f t="shared" ca="1" si="94"/>
        <v>2</v>
      </c>
      <c r="BQ167" s="29">
        <f t="shared" ca="1" si="94"/>
        <v>2</v>
      </c>
      <c r="BR167" s="29">
        <f t="shared" ca="1" si="94"/>
        <v>1</v>
      </c>
      <c r="BS167" s="29">
        <f t="shared" ca="1" si="94"/>
        <v>4</v>
      </c>
      <c r="BT167" s="29">
        <f t="shared" ca="1" si="94"/>
        <v>3</v>
      </c>
      <c r="BU167" s="29">
        <f t="shared" ca="1" si="94"/>
        <v>1</v>
      </c>
      <c r="BV167" s="29">
        <f t="shared" ca="1" si="94"/>
        <v>2</v>
      </c>
      <c r="BW167" s="29">
        <f t="shared" ca="1" si="94"/>
        <v>1</v>
      </c>
      <c r="BX167" s="29">
        <f t="shared" ca="1" si="94"/>
        <v>2</v>
      </c>
      <c r="BY167" s="29">
        <f t="shared" ca="1" si="94"/>
        <v>2</v>
      </c>
      <c r="BZ167" s="29">
        <f t="shared" ca="1" si="94"/>
        <v>0</v>
      </c>
      <c r="CA167" s="29">
        <f t="shared" ca="1" si="99"/>
        <v>3</v>
      </c>
      <c r="CB167" s="29">
        <f t="shared" ca="1" si="99"/>
        <v>0</v>
      </c>
      <c r="CC167" s="29">
        <f t="shared" ca="1" si="99"/>
        <v>0</v>
      </c>
      <c r="CD167" s="29">
        <f t="shared" ca="1" si="99"/>
        <v>1</v>
      </c>
      <c r="CE167" s="29">
        <f t="shared" ca="1" si="99"/>
        <v>0</v>
      </c>
      <c r="CF167" s="29">
        <f t="shared" ca="1" si="99"/>
        <v>2</v>
      </c>
      <c r="CG167" s="29">
        <f t="shared" ca="1" si="99"/>
        <v>1</v>
      </c>
      <c r="CH167" s="29">
        <f t="shared" ca="1" si="99"/>
        <v>3</v>
      </c>
      <c r="CI167" s="29">
        <f t="shared" ca="1" si="99"/>
        <v>1</v>
      </c>
      <c r="CJ167" s="29">
        <f t="shared" ca="1" si="99"/>
        <v>1</v>
      </c>
      <c r="CK167" s="29">
        <f t="shared" ca="1" si="99"/>
        <v>0</v>
      </c>
      <c r="CL167" s="29">
        <f t="shared" ca="1" si="99"/>
        <v>3</v>
      </c>
      <c r="CM167" s="29">
        <f t="shared" ca="1" si="99"/>
        <v>1</v>
      </c>
      <c r="CN167" s="29">
        <f t="shared" ca="1" si="99"/>
        <v>2</v>
      </c>
      <c r="CO167" s="29">
        <f t="shared" ca="1" si="99"/>
        <v>2</v>
      </c>
      <c r="CP167" s="29">
        <f t="shared" ca="1" si="99"/>
        <v>3</v>
      </c>
      <c r="CQ167" s="29">
        <f t="shared" ca="1" si="98"/>
        <v>1</v>
      </c>
      <c r="CR167" s="29">
        <f t="shared" ca="1" si="98"/>
        <v>1</v>
      </c>
      <c r="CS167" s="29">
        <f t="shared" ca="1" si="98"/>
        <v>2</v>
      </c>
      <c r="CT167" s="29">
        <f t="shared" ca="1" si="98"/>
        <v>3</v>
      </c>
      <c r="CU167" s="29">
        <f t="shared" ca="1" si="98"/>
        <v>1</v>
      </c>
      <c r="CV167" s="29">
        <f t="shared" ca="1" si="98"/>
        <v>1</v>
      </c>
      <c r="CW167" s="29">
        <f t="shared" ca="1" si="98"/>
        <v>2</v>
      </c>
      <c r="CX167" s="29">
        <f t="shared" ca="1" si="98"/>
        <v>0</v>
      </c>
      <c r="CY167" s="29">
        <f t="shared" ca="1" si="98"/>
        <v>2</v>
      </c>
      <c r="CZ167" s="29">
        <f t="shared" ca="1" si="98"/>
        <v>2</v>
      </c>
      <c r="DA167" s="29">
        <f t="shared" ca="1" si="98"/>
        <v>1</v>
      </c>
      <c r="DB167" s="29">
        <f t="shared" ca="1" si="98"/>
        <v>0</v>
      </c>
      <c r="DC167" s="29">
        <f t="shared" ca="1" si="98"/>
        <v>2</v>
      </c>
      <c r="DD167" s="29">
        <f t="shared" ca="1" si="98"/>
        <v>2</v>
      </c>
      <c r="DE167" s="29">
        <f t="shared" ca="1" si="98"/>
        <v>1</v>
      </c>
      <c r="DF167" s="29">
        <f t="shared" ca="1" si="97"/>
        <v>1</v>
      </c>
      <c r="DG167" s="29">
        <f t="shared" ca="1" si="97"/>
        <v>0</v>
      </c>
      <c r="DH167" s="29">
        <f t="shared" ca="1" si="97"/>
        <v>0</v>
      </c>
      <c r="DI167" s="29">
        <f t="shared" ca="1" si="97"/>
        <v>2</v>
      </c>
      <c r="DJ167" s="29">
        <f t="shared" ca="1" si="97"/>
        <v>0</v>
      </c>
      <c r="DK167" s="29">
        <f t="shared" ca="1" si="97"/>
        <v>1</v>
      </c>
      <c r="DL167" s="29">
        <f t="shared" ca="1" si="97"/>
        <v>1</v>
      </c>
    </row>
    <row r="168" spans="1:116" ht="14.4" x14ac:dyDescent="0.3">
      <c r="A168" s="31">
        <v>229</v>
      </c>
      <c r="B168" s="28">
        <v>1.87</v>
      </c>
      <c r="C168" s="30">
        <v>18.22</v>
      </c>
      <c r="D168" s="28">
        <v>1.03</v>
      </c>
      <c r="E168" s="34">
        <f t="shared" si="77"/>
        <v>2.06E-2</v>
      </c>
      <c r="F168" s="35">
        <f t="shared" si="78"/>
        <v>4.5549999999999997</v>
      </c>
      <c r="G168" s="34">
        <f t="shared" si="79"/>
        <v>25.75</v>
      </c>
      <c r="H168" s="33">
        <f t="shared" si="80"/>
        <v>11.334224598930481</v>
      </c>
      <c r="I168" s="28">
        <f t="shared" si="83"/>
        <v>432.55000000000018</v>
      </c>
      <c r="J168" s="32">
        <v>1</v>
      </c>
      <c r="K168" s="30">
        <f t="shared" si="81"/>
        <v>4.5549999999999997</v>
      </c>
      <c r="L168" s="30"/>
      <c r="M168" s="30"/>
      <c r="N168" s="30"/>
      <c r="O168" s="30"/>
      <c r="Q168" s="29">
        <f t="shared" ca="1" si="82"/>
        <v>1</v>
      </c>
      <c r="R168" s="29">
        <f t="shared" ca="1" si="93"/>
        <v>2</v>
      </c>
      <c r="S168" s="29">
        <f t="shared" ca="1" si="93"/>
        <v>0</v>
      </c>
      <c r="T168" s="29">
        <f t="shared" ca="1" si="93"/>
        <v>1</v>
      </c>
      <c r="U168" s="29">
        <f t="shared" ca="1" si="93"/>
        <v>0</v>
      </c>
      <c r="V168" s="29">
        <f t="shared" ca="1" si="93"/>
        <v>1</v>
      </c>
      <c r="W168" s="29">
        <f t="shared" ca="1" si="93"/>
        <v>0</v>
      </c>
      <c r="X168" s="29">
        <f t="shared" ca="1" si="93"/>
        <v>2</v>
      </c>
      <c r="Y168" s="29">
        <f t="shared" ca="1" si="93"/>
        <v>2</v>
      </c>
      <c r="Z168" s="29">
        <f t="shared" ca="1" si="93"/>
        <v>1</v>
      </c>
      <c r="AA168" s="29">
        <f t="shared" ca="1" si="93"/>
        <v>1</v>
      </c>
      <c r="AB168" s="29">
        <f t="shared" ca="1" si="93"/>
        <v>1</v>
      </c>
      <c r="AC168" s="29">
        <f t="shared" ca="1" si="93"/>
        <v>1</v>
      </c>
      <c r="AD168" s="29">
        <f t="shared" ca="1" si="93"/>
        <v>1</v>
      </c>
      <c r="AE168" s="29">
        <f t="shared" ca="1" si="93"/>
        <v>0</v>
      </c>
      <c r="AF168" s="29">
        <f t="shared" ca="1" si="93"/>
        <v>1</v>
      </c>
      <c r="AG168" s="29">
        <f t="shared" ca="1" si="92"/>
        <v>2</v>
      </c>
      <c r="AH168" s="29">
        <f t="shared" ca="1" si="92"/>
        <v>0</v>
      </c>
      <c r="AI168" s="29">
        <f t="shared" ca="1" si="92"/>
        <v>0</v>
      </c>
      <c r="AJ168" s="29">
        <f t="shared" ca="1" si="92"/>
        <v>2</v>
      </c>
      <c r="AK168" s="29">
        <f t="shared" ca="1" si="92"/>
        <v>1</v>
      </c>
      <c r="AL168" s="29">
        <f t="shared" ca="1" si="92"/>
        <v>0</v>
      </c>
      <c r="AM168" s="29">
        <f t="shared" ca="1" si="92"/>
        <v>1</v>
      </c>
      <c r="AN168" s="29">
        <f t="shared" ca="1" si="92"/>
        <v>1</v>
      </c>
      <c r="AO168" s="29">
        <f t="shared" ca="1" si="92"/>
        <v>1</v>
      </c>
      <c r="AP168" s="29">
        <f t="shared" ca="1" si="92"/>
        <v>2</v>
      </c>
      <c r="AQ168" s="29">
        <f t="shared" ca="1" si="92"/>
        <v>0</v>
      </c>
      <c r="AR168" s="29">
        <f t="shared" ca="1" si="92"/>
        <v>1</v>
      </c>
      <c r="AS168" s="29">
        <f t="shared" ca="1" si="92"/>
        <v>1</v>
      </c>
      <c r="AT168" s="29">
        <f t="shared" ca="1" si="92"/>
        <v>2</v>
      </c>
      <c r="AU168" s="29">
        <f t="shared" ca="1" si="92"/>
        <v>0</v>
      </c>
      <c r="AV168" s="29">
        <f t="shared" ca="1" si="95"/>
        <v>2</v>
      </c>
      <c r="AW168" s="29">
        <f t="shared" ca="1" si="95"/>
        <v>2</v>
      </c>
      <c r="AX168" s="29">
        <f t="shared" ca="1" si="95"/>
        <v>2</v>
      </c>
      <c r="AY168" s="29">
        <f t="shared" ca="1" si="95"/>
        <v>0</v>
      </c>
      <c r="AZ168" s="29">
        <f t="shared" ca="1" si="95"/>
        <v>1</v>
      </c>
      <c r="BA168" s="29">
        <f t="shared" ca="1" si="95"/>
        <v>1</v>
      </c>
      <c r="BB168" s="29">
        <f t="shared" ca="1" si="95"/>
        <v>1</v>
      </c>
      <c r="BC168" s="29">
        <f t="shared" ca="1" si="95"/>
        <v>0</v>
      </c>
      <c r="BD168" s="29">
        <f t="shared" ca="1" si="95"/>
        <v>0</v>
      </c>
      <c r="BE168" s="29">
        <f t="shared" ca="1" si="95"/>
        <v>1</v>
      </c>
      <c r="BF168" s="29">
        <f t="shared" ca="1" si="95"/>
        <v>2</v>
      </c>
      <c r="BG168" s="29">
        <f t="shared" ca="1" si="95"/>
        <v>1</v>
      </c>
      <c r="BH168" s="29">
        <f t="shared" ca="1" si="95"/>
        <v>1</v>
      </c>
      <c r="BI168" s="29">
        <f t="shared" ca="1" si="95"/>
        <v>2</v>
      </c>
      <c r="BJ168" s="29">
        <f t="shared" ca="1" si="95"/>
        <v>1</v>
      </c>
      <c r="BK168" s="29">
        <f t="shared" ca="1" si="95"/>
        <v>0</v>
      </c>
      <c r="BL168" s="29">
        <f t="shared" ca="1" si="94"/>
        <v>0</v>
      </c>
      <c r="BM168" s="29">
        <f t="shared" ca="1" si="94"/>
        <v>1</v>
      </c>
      <c r="BN168" s="29">
        <f t="shared" ca="1" si="94"/>
        <v>0</v>
      </c>
      <c r="BO168" s="29">
        <f t="shared" ca="1" si="94"/>
        <v>3</v>
      </c>
      <c r="BP168" s="29">
        <f t="shared" ca="1" si="94"/>
        <v>1</v>
      </c>
      <c r="BQ168" s="29">
        <f t="shared" ca="1" si="94"/>
        <v>0</v>
      </c>
      <c r="BR168" s="29">
        <f t="shared" ca="1" si="94"/>
        <v>3</v>
      </c>
      <c r="BS168" s="29">
        <f t="shared" ca="1" si="94"/>
        <v>0</v>
      </c>
      <c r="BT168" s="29">
        <f t="shared" ca="1" si="94"/>
        <v>1</v>
      </c>
      <c r="BU168" s="29">
        <f t="shared" ca="1" si="94"/>
        <v>3</v>
      </c>
      <c r="BV168" s="29">
        <f t="shared" ca="1" si="94"/>
        <v>0</v>
      </c>
      <c r="BW168" s="29">
        <f t="shared" ca="1" si="94"/>
        <v>0</v>
      </c>
      <c r="BX168" s="29">
        <f t="shared" ca="1" si="94"/>
        <v>2</v>
      </c>
      <c r="BY168" s="29">
        <f t="shared" ca="1" si="94"/>
        <v>0</v>
      </c>
      <c r="BZ168" s="29">
        <f t="shared" ca="1" si="94"/>
        <v>4</v>
      </c>
      <c r="CA168" s="29">
        <f t="shared" ca="1" si="99"/>
        <v>1</v>
      </c>
      <c r="CB168" s="29">
        <f t="shared" ca="1" si="99"/>
        <v>0</v>
      </c>
      <c r="CC168" s="29">
        <f t="shared" ca="1" si="99"/>
        <v>2</v>
      </c>
      <c r="CD168" s="29">
        <f t="shared" ca="1" si="99"/>
        <v>0</v>
      </c>
      <c r="CE168" s="29">
        <f t="shared" ca="1" si="99"/>
        <v>0</v>
      </c>
      <c r="CF168" s="29">
        <f t="shared" ca="1" si="99"/>
        <v>4</v>
      </c>
      <c r="CG168" s="29">
        <f t="shared" ca="1" si="99"/>
        <v>2</v>
      </c>
      <c r="CH168" s="29">
        <f t="shared" ca="1" si="99"/>
        <v>0</v>
      </c>
      <c r="CI168" s="29">
        <f t="shared" ca="1" si="99"/>
        <v>1</v>
      </c>
      <c r="CJ168" s="29">
        <f t="shared" ca="1" si="99"/>
        <v>1</v>
      </c>
      <c r="CK168" s="29">
        <f t="shared" ca="1" si="99"/>
        <v>1</v>
      </c>
      <c r="CL168" s="29">
        <f t="shared" ca="1" si="99"/>
        <v>0</v>
      </c>
      <c r="CM168" s="29">
        <f t="shared" ca="1" si="99"/>
        <v>1</v>
      </c>
      <c r="CN168" s="29">
        <f t="shared" ca="1" si="99"/>
        <v>0</v>
      </c>
      <c r="CO168" s="29">
        <f t="shared" ca="1" si="99"/>
        <v>0</v>
      </c>
      <c r="CP168" s="29">
        <f t="shared" ca="1" si="99"/>
        <v>2</v>
      </c>
      <c r="CQ168" s="29">
        <f t="shared" ca="1" si="98"/>
        <v>1</v>
      </c>
      <c r="CR168" s="29">
        <f t="shared" ca="1" si="98"/>
        <v>1</v>
      </c>
      <c r="CS168" s="29">
        <f t="shared" ca="1" si="98"/>
        <v>1</v>
      </c>
      <c r="CT168" s="29">
        <f t="shared" ca="1" si="98"/>
        <v>1</v>
      </c>
      <c r="CU168" s="29">
        <f t="shared" ca="1" si="98"/>
        <v>0</v>
      </c>
      <c r="CV168" s="29">
        <f t="shared" ca="1" si="98"/>
        <v>1</v>
      </c>
      <c r="CW168" s="29">
        <f t="shared" ca="1" si="98"/>
        <v>0</v>
      </c>
      <c r="CX168" s="29">
        <f t="shared" ca="1" si="98"/>
        <v>1</v>
      </c>
      <c r="CY168" s="29">
        <f t="shared" ca="1" si="98"/>
        <v>2</v>
      </c>
      <c r="CZ168" s="29">
        <f t="shared" ca="1" si="98"/>
        <v>0</v>
      </c>
      <c r="DA168" s="29">
        <f t="shared" ca="1" si="98"/>
        <v>3</v>
      </c>
      <c r="DB168" s="29">
        <f t="shared" ca="1" si="98"/>
        <v>2</v>
      </c>
      <c r="DC168" s="29">
        <f t="shared" ca="1" si="98"/>
        <v>1</v>
      </c>
      <c r="DD168" s="29">
        <f t="shared" ca="1" si="98"/>
        <v>2</v>
      </c>
      <c r="DE168" s="29">
        <f t="shared" ca="1" si="98"/>
        <v>2</v>
      </c>
      <c r="DF168" s="29">
        <f t="shared" ca="1" si="97"/>
        <v>0</v>
      </c>
      <c r="DG168" s="29">
        <f t="shared" ca="1" si="97"/>
        <v>1</v>
      </c>
      <c r="DH168" s="29">
        <f t="shared" ca="1" si="97"/>
        <v>1</v>
      </c>
      <c r="DI168" s="29">
        <f t="shared" ca="1" si="97"/>
        <v>0</v>
      </c>
      <c r="DJ168" s="29">
        <f t="shared" ca="1" si="97"/>
        <v>3</v>
      </c>
      <c r="DK168" s="29">
        <f t="shared" ca="1" si="97"/>
        <v>0</v>
      </c>
      <c r="DL168" s="29">
        <f t="shared" ca="1" si="97"/>
        <v>1</v>
      </c>
    </row>
    <row r="169" spans="1:116" ht="14.4" x14ac:dyDescent="0.3">
      <c r="A169" s="31">
        <v>502</v>
      </c>
      <c r="B169" s="28">
        <v>2.54</v>
      </c>
      <c r="C169" s="30">
        <v>19.440000000000001</v>
      </c>
      <c r="D169" s="28">
        <v>1.34</v>
      </c>
      <c r="E169" s="34">
        <f t="shared" si="77"/>
        <v>2.6800000000000001E-2</v>
      </c>
      <c r="F169" s="35">
        <f t="shared" si="78"/>
        <v>4.8600000000000003</v>
      </c>
      <c r="G169" s="34">
        <f t="shared" si="79"/>
        <v>33.5</v>
      </c>
      <c r="H169" s="33">
        <f t="shared" si="80"/>
        <v>11.275590551181102</v>
      </c>
      <c r="I169" s="28">
        <f t="shared" si="83"/>
        <v>435.0900000000002</v>
      </c>
      <c r="J169" s="32">
        <v>1</v>
      </c>
      <c r="K169" s="30">
        <f t="shared" si="81"/>
        <v>4.8600000000000003</v>
      </c>
      <c r="L169" s="30"/>
      <c r="M169" s="30"/>
      <c r="N169" s="30"/>
      <c r="O169" s="30"/>
      <c r="Q169" s="29">
        <f t="shared" ca="1" si="82"/>
        <v>1</v>
      </c>
      <c r="R169" s="29">
        <f t="shared" ca="1" si="93"/>
        <v>1</v>
      </c>
      <c r="S169" s="29">
        <f t="shared" ca="1" si="93"/>
        <v>0</v>
      </c>
      <c r="T169" s="29">
        <f t="shared" ca="1" si="93"/>
        <v>1</v>
      </c>
      <c r="U169" s="29">
        <f t="shared" ca="1" si="93"/>
        <v>4</v>
      </c>
      <c r="V169" s="29">
        <f t="shared" ca="1" si="93"/>
        <v>0</v>
      </c>
      <c r="W169" s="29">
        <f t="shared" ca="1" si="93"/>
        <v>1</v>
      </c>
      <c r="X169" s="29">
        <f t="shared" ca="1" si="93"/>
        <v>1</v>
      </c>
      <c r="Y169" s="29">
        <f t="shared" ca="1" si="93"/>
        <v>4</v>
      </c>
      <c r="Z169" s="29">
        <f t="shared" ca="1" si="93"/>
        <v>1</v>
      </c>
      <c r="AA169" s="29">
        <f t="shared" ca="1" si="93"/>
        <v>1</v>
      </c>
      <c r="AB169" s="29">
        <f t="shared" ca="1" si="93"/>
        <v>2</v>
      </c>
      <c r="AC169" s="29">
        <f t="shared" ca="1" si="93"/>
        <v>4</v>
      </c>
      <c r="AD169" s="29">
        <f t="shared" ca="1" si="93"/>
        <v>2</v>
      </c>
      <c r="AE169" s="29">
        <f t="shared" ca="1" si="93"/>
        <v>1</v>
      </c>
      <c r="AF169" s="29">
        <f t="shared" ref="AF169:AU184" ca="1" si="100">_xlfn.BINOM.INV(50,$E169,RAND())</f>
        <v>1</v>
      </c>
      <c r="AG169" s="29">
        <f t="shared" ca="1" si="100"/>
        <v>1</v>
      </c>
      <c r="AH169" s="29">
        <f t="shared" ca="1" si="100"/>
        <v>0</v>
      </c>
      <c r="AI169" s="29">
        <f t="shared" ca="1" si="100"/>
        <v>6</v>
      </c>
      <c r="AJ169" s="29">
        <f t="shared" ca="1" si="100"/>
        <v>1</v>
      </c>
      <c r="AK169" s="29">
        <f t="shared" ca="1" si="100"/>
        <v>3</v>
      </c>
      <c r="AL169" s="29">
        <f t="shared" ca="1" si="100"/>
        <v>0</v>
      </c>
      <c r="AM169" s="29">
        <f t="shared" ca="1" si="100"/>
        <v>3</v>
      </c>
      <c r="AN169" s="29">
        <f t="shared" ca="1" si="100"/>
        <v>3</v>
      </c>
      <c r="AO169" s="29">
        <f t="shared" ca="1" si="100"/>
        <v>3</v>
      </c>
      <c r="AP169" s="29">
        <f t="shared" ca="1" si="100"/>
        <v>2</v>
      </c>
      <c r="AQ169" s="29">
        <f t="shared" ca="1" si="100"/>
        <v>3</v>
      </c>
      <c r="AR169" s="29">
        <f t="shared" ca="1" si="100"/>
        <v>0</v>
      </c>
      <c r="AS169" s="29">
        <f t="shared" ca="1" si="100"/>
        <v>2</v>
      </c>
      <c r="AT169" s="29">
        <f t="shared" ca="1" si="100"/>
        <v>3</v>
      </c>
      <c r="AU169" s="29">
        <f t="shared" ca="1" si="100"/>
        <v>3</v>
      </c>
      <c r="AV169" s="29">
        <f t="shared" ca="1" si="95"/>
        <v>1</v>
      </c>
      <c r="AW169" s="29">
        <f t="shared" ca="1" si="95"/>
        <v>2</v>
      </c>
      <c r="AX169" s="29">
        <f t="shared" ca="1" si="95"/>
        <v>0</v>
      </c>
      <c r="AY169" s="29">
        <f t="shared" ca="1" si="95"/>
        <v>0</v>
      </c>
      <c r="AZ169" s="29">
        <f t="shared" ca="1" si="95"/>
        <v>2</v>
      </c>
      <c r="BA169" s="29">
        <f t="shared" ca="1" si="95"/>
        <v>3</v>
      </c>
      <c r="BB169" s="29">
        <f t="shared" ca="1" si="95"/>
        <v>1</v>
      </c>
      <c r="BC169" s="29">
        <f t="shared" ca="1" si="95"/>
        <v>1</v>
      </c>
      <c r="BD169" s="29">
        <f t="shared" ca="1" si="95"/>
        <v>1</v>
      </c>
      <c r="BE169" s="29">
        <f t="shared" ca="1" si="95"/>
        <v>1</v>
      </c>
      <c r="BF169" s="29">
        <f t="shared" ca="1" si="95"/>
        <v>3</v>
      </c>
      <c r="BG169" s="29">
        <f t="shared" ca="1" si="95"/>
        <v>1</v>
      </c>
      <c r="BH169" s="29">
        <f t="shared" ca="1" si="95"/>
        <v>1</v>
      </c>
      <c r="BI169" s="29">
        <f t="shared" ca="1" si="95"/>
        <v>1</v>
      </c>
      <c r="BJ169" s="29">
        <f t="shared" ca="1" si="95"/>
        <v>0</v>
      </c>
      <c r="BK169" s="29">
        <f t="shared" ca="1" si="95"/>
        <v>0</v>
      </c>
      <c r="BL169" s="29">
        <f t="shared" ca="1" si="94"/>
        <v>1</v>
      </c>
      <c r="BM169" s="29">
        <f t="shared" ca="1" si="94"/>
        <v>0</v>
      </c>
      <c r="BN169" s="29">
        <f t="shared" ca="1" si="94"/>
        <v>1</v>
      </c>
      <c r="BO169" s="29">
        <f t="shared" ca="1" si="94"/>
        <v>2</v>
      </c>
      <c r="BP169" s="29">
        <f t="shared" ca="1" si="94"/>
        <v>2</v>
      </c>
      <c r="BQ169" s="29">
        <f t="shared" ca="1" si="94"/>
        <v>0</v>
      </c>
      <c r="BR169" s="29">
        <f t="shared" ca="1" si="94"/>
        <v>1</v>
      </c>
      <c r="BS169" s="29">
        <f t="shared" ca="1" si="94"/>
        <v>2</v>
      </c>
      <c r="BT169" s="29">
        <f t="shared" ca="1" si="94"/>
        <v>3</v>
      </c>
      <c r="BU169" s="29">
        <f t="shared" ca="1" si="94"/>
        <v>4</v>
      </c>
      <c r="BV169" s="29">
        <f t="shared" ca="1" si="94"/>
        <v>2</v>
      </c>
      <c r="BW169" s="29">
        <f t="shared" ca="1" si="94"/>
        <v>0</v>
      </c>
      <c r="BX169" s="29">
        <f t="shared" ca="1" si="94"/>
        <v>0</v>
      </c>
      <c r="BY169" s="29">
        <f t="shared" ca="1" si="94"/>
        <v>0</v>
      </c>
      <c r="BZ169" s="29">
        <f t="shared" ca="1" si="94"/>
        <v>1</v>
      </c>
      <c r="CA169" s="29">
        <f t="shared" ca="1" si="99"/>
        <v>1</v>
      </c>
      <c r="CB169" s="29">
        <f t="shared" ca="1" si="99"/>
        <v>4</v>
      </c>
      <c r="CC169" s="29">
        <f t="shared" ca="1" si="99"/>
        <v>1</v>
      </c>
      <c r="CD169" s="29">
        <f t="shared" ca="1" si="99"/>
        <v>3</v>
      </c>
      <c r="CE169" s="29">
        <f t="shared" ca="1" si="99"/>
        <v>0</v>
      </c>
      <c r="CF169" s="29">
        <f t="shared" ca="1" si="99"/>
        <v>3</v>
      </c>
      <c r="CG169" s="29">
        <f t="shared" ca="1" si="99"/>
        <v>0</v>
      </c>
      <c r="CH169" s="29">
        <f t="shared" ca="1" si="99"/>
        <v>0</v>
      </c>
      <c r="CI169" s="29">
        <f t="shared" ca="1" si="99"/>
        <v>1</v>
      </c>
      <c r="CJ169" s="29">
        <f t="shared" ca="1" si="99"/>
        <v>5</v>
      </c>
      <c r="CK169" s="29">
        <f t="shared" ca="1" si="99"/>
        <v>1</v>
      </c>
      <c r="CL169" s="29">
        <f t="shared" ca="1" si="99"/>
        <v>0</v>
      </c>
      <c r="CM169" s="29">
        <f t="shared" ca="1" si="99"/>
        <v>0</v>
      </c>
      <c r="CN169" s="29">
        <f t="shared" ca="1" si="99"/>
        <v>3</v>
      </c>
      <c r="CO169" s="29">
        <f t="shared" ca="1" si="99"/>
        <v>3</v>
      </c>
      <c r="CP169" s="29">
        <f t="shared" ca="1" si="99"/>
        <v>3</v>
      </c>
      <c r="CQ169" s="29">
        <f t="shared" ca="1" si="98"/>
        <v>1</v>
      </c>
      <c r="CR169" s="29">
        <f t="shared" ca="1" si="98"/>
        <v>1</v>
      </c>
      <c r="CS169" s="29">
        <f t="shared" ca="1" si="98"/>
        <v>1</v>
      </c>
      <c r="CT169" s="29">
        <f t="shared" ca="1" si="98"/>
        <v>1</v>
      </c>
      <c r="CU169" s="29">
        <f t="shared" ca="1" si="98"/>
        <v>3</v>
      </c>
      <c r="CV169" s="29">
        <f t="shared" ca="1" si="98"/>
        <v>2</v>
      </c>
      <c r="CW169" s="29">
        <f t="shared" ca="1" si="98"/>
        <v>1</v>
      </c>
      <c r="CX169" s="29">
        <f t="shared" ca="1" si="98"/>
        <v>1</v>
      </c>
      <c r="CY169" s="29">
        <f t="shared" ca="1" si="98"/>
        <v>1</v>
      </c>
      <c r="CZ169" s="29">
        <f t="shared" ca="1" si="98"/>
        <v>4</v>
      </c>
      <c r="DA169" s="29">
        <f t="shared" ca="1" si="98"/>
        <v>1</v>
      </c>
      <c r="DB169" s="29">
        <f t="shared" ca="1" si="98"/>
        <v>2</v>
      </c>
      <c r="DC169" s="29">
        <f t="shared" ca="1" si="98"/>
        <v>1</v>
      </c>
      <c r="DD169" s="29">
        <f t="shared" ca="1" si="98"/>
        <v>1</v>
      </c>
      <c r="DE169" s="29">
        <f t="shared" ca="1" si="98"/>
        <v>3</v>
      </c>
      <c r="DF169" s="29">
        <f t="shared" ca="1" si="97"/>
        <v>2</v>
      </c>
      <c r="DG169" s="29">
        <f t="shared" ca="1" si="97"/>
        <v>2</v>
      </c>
      <c r="DH169" s="29">
        <f t="shared" ca="1" si="97"/>
        <v>1</v>
      </c>
      <c r="DI169" s="29">
        <f t="shared" ca="1" si="97"/>
        <v>1</v>
      </c>
      <c r="DJ169" s="29">
        <f t="shared" ca="1" si="97"/>
        <v>1</v>
      </c>
      <c r="DK169" s="29">
        <f t="shared" ca="1" si="97"/>
        <v>1</v>
      </c>
      <c r="DL169" s="29">
        <f t="shared" ca="1" si="97"/>
        <v>1</v>
      </c>
    </row>
    <row r="170" spans="1:116" ht="14.4" x14ac:dyDescent="0.3">
      <c r="A170" s="31">
        <v>893</v>
      </c>
      <c r="B170" s="28">
        <v>3.77</v>
      </c>
      <c r="C170" s="30">
        <v>80.819999999999993</v>
      </c>
      <c r="D170" s="28">
        <v>2.5</v>
      </c>
      <c r="E170" s="34">
        <f t="shared" si="77"/>
        <v>0.05</v>
      </c>
      <c r="F170" s="35">
        <f t="shared" si="78"/>
        <v>20.204999999999998</v>
      </c>
      <c r="G170" s="34">
        <f t="shared" si="79"/>
        <v>62.5</v>
      </c>
      <c r="H170" s="33">
        <f t="shared" si="80"/>
        <v>11.218832891246684</v>
      </c>
      <c r="I170" s="28">
        <f t="shared" si="83"/>
        <v>438.86000000000018</v>
      </c>
      <c r="J170" s="32">
        <v>1</v>
      </c>
      <c r="K170" s="30">
        <f t="shared" si="81"/>
        <v>20.204999999999998</v>
      </c>
      <c r="L170" s="30"/>
      <c r="M170" s="30"/>
      <c r="N170" s="30"/>
      <c r="O170" s="30"/>
      <c r="Q170" s="29">
        <f t="shared" ca="1" si="82"/>
        <v>3</v>
      </c>
      <c r="R170" s="29">
        <f t="shared" ref="R170:AF185" ca="1" si="101">_xlfn.BINOM.INV(50,$E170,RAND())</f>
        <v>2</v>
      </c>
      <c r="S170" s="29">
        <f t="shared" ca="1" si="101"/>
        <v>1</v>
      </c>
      <c r="T170" s="29">
        <f t="shared" ca="1" si="101"/>
        <v>3</v>
      </c>
      <c r="U170" s="29">
        <f t="shared" ca="1" si="101"/>
        <v>1</v>
      </c>
      <c r="V170" s="29">
        <f t="shared" ca="1" si="101"/>
        <v>1</v>
      </c>
      <c r="W170" s="29">
        <f t="shared" ca="1" si="101"/>
        <v>2</v>
      </c>
      <c r="X170" s="29">
        <f t="shared" ca="1" si="101"/>
        <v>4</v>
      </c>
      <c r="Y170" s="29">
        <f t="shared" ca="1" si="101"/>
        <v>6</v>
      </c>
      <c r="Z170" s="29">
        <f t="shared" ca="1" si="101"/>
        <v>3</v>
      </c>
      <c r="AA170" s="29">
        <f t="shared" ca="1" si="101"/>
        <v>2</v>
      </c>
      <c r="AB170" s="29">
        <f t="shared" ca="1" si="101"/>
        <v>1</v>
      </c>
      <c r="AC170" s="29">
        <f t="shared" ca="1" si="101"/>
        <v>4</v>
      </c>
      <c r="AD170" s="29">
        <f t="shared" ca="1" si="101"/>
        <v>2</v>
      </c>
      <c r="AE170" s="29">
        <f t="shared" ca="1" si="101"/>
        <v>2</v>
      </c>
      <c r="AF170" s="29">
        <f t="shared" ca="1" si="101"/>
        <v>1</v>
      </c>
      <c r="AG170" s="29">
        <f t="shared" ca="1" si="100"/>
        <v>3</v>
      </c>
      <c r="AH170" s="29">
        <f t="shared" ca="1" si="100"/>
        <v>2</v>
      </c>
      <c r="AI170" s="29">
        <f t="shared" ca="1" si="100"/>
        <v>4</v>
      </c>
      <c r="AJ170" s="29">
        <f t="shared" ca="1" si="100"/>
        <v>2</v>
      </c>
      <c r="AK170" s="29">
        <f t="shared" ca="1" si="100"/>
        <v>3</v>
      </c>
      <c r="AL170" s="29">
        <f t="shared" ca="1" si="100"/>
        <v>4</v>
      </c>
      <c r="AM170" s="29">
        <f t="shared" ca="1" si="100"/>
        <v>2</v>
      </c>
      <c r="AN170" s="29">
        <f t="shared" ca="1" si="100"/>
        <v>2</v>
      </c>
      <c r="AO170" s="29">
        <f t="shared" ca="1" si="100"/>
        <v>2</v>
      </c>
      <c r="AP170" s="29">
        <f t="shared" ca="1" si="100"/>
        <v>0</v>
      </c>
      <c r="AQ170" s="29">
        <f t="shared" ca="1" si="100"/>
        <v>1</v>
      </c>
      <c r="AR170" s="29">
        <f t="shared" ca="1" si="100"/>
        <v>1</v>
      </c>
      <c r="AS170" s="29">
        <f t="shared" ca="1" si="100"/>
        <v>2</v>
      </c>
      <c r="AT170" s="29">
        <f t="shared" ca="1" si="100"/>
        <v>3</v>
      </c>
      <c r="AU170" s="29">
        <f t="shared" ca="1" si="100"/>
        <v>3</v>
      </c>
      <c r="AV170" s="29">
        <f t="shared" ca="1" si="95"/>
        <v>3</v>
      </c>
      <c r="AW170" s="29">
        <f t="shared" ca="1" si="95"/>
        <v>2</v>
      </c>
      <c r="AX170" s="29">
        <f t="shared" ca="1" si="95"/>
        <v>2</v>
      </c>
      <c r="AY170" s="29">
        <f t="shared" ca="1" si="95"/>
        <v>6</v>
      </c>
      <c r="AZ170" s="29">
        <f t="shared" ca="1" si="95"/>
        <v>3</v>
      </c>
      <c r="BA170" s="29">
        <f t="shared" ca="1" si="95"/>
        <v>4</v>
      </c>
      <c r="BB170" s="29">
        <f t="shared" ca="1" si="95"/>
        <v>5</v>
      </c>
      <c r="BC170" s="29">
        <f t="shared" ca="1" si="95"/>
        <v>1</v>
      </c>
      <c r="BD170" s="29">
        <f t="shared" ca="1" si="95"/>
        <v>2</v>
      </c>
      <c r="BE170" s="29">
        <f t="shared" ca="1" si="95"/>
        <v>2</v>
      </c>
      <c r="BF170" s="29">
        <f t="shared" ca="1" si="95"/>
        <v>2</v>
      </c>
      <c r="BG170" s="29">
        <f t="shared" ca="1" si="95"/>
        <v>3</v>
      </c>
      <c r="BH170" s="29">
        <f t="shared" ca="1" si="95"/>
        <v>5</v>
      </c>
      <c r="BI170" s="29">
        <f t="shared" ca="1" si="95"/>
        <v>5</v>
      </c>
      <c r="BJ170" s="29">
        <f t="shared" ca="1" si="95"/>
        <v>2</v>
      </c>
      <c r="BK170" s="29">
        <f t="shared" ca="1" si="95"/>
        <v>2</v>
      </c>
      <c r="BL170" s="29">
        <f t="shared" ca="1" si="94"/>
        <v>2</v>
      </c>
      <c r="BM170" s="29">
        <f t="shared" ca="1" si="94"/>
        <v>5</v>
      </c>
      <c r="BN170" s="29">
        <f t="shared" ca="1" si="94"/>
        <v>5</v>
      </c>
      <c r="BO170" s="29">
        <f t="shared" ca="1" si="94"/>
        <v>4</v>
      </c>
      <c r="BP170" s="29">
        <f t="shared" ca="1" si="94"/>
        <v>1</v>
      </c>
      <c r="BQ170" s="29">
        <f t="shared" ca="1" si="94"/>
        <v>2</v>
      </c>
      <c r="BR170" s="29">
        <f t="shared" ca="1" si="94"/>
        <v>3</v>
      </c>
      <c r="BS170" s="29">
        <f t="shared" ca="1" si="94"/>
        <v>2</v>
      </c>
      <c r="BT170" s="29">
        <f t="shared" ca="1" si="94"/>
        <v>3</v>
      </c>
      <c r="BU170" s="29">
        <f t="shared" ca="1" si="94"/>
        <v>2</v>
      </c>
      <c r="BV170" s="29">
        <f t="shared" ca="1" si="94"/>
        <v>3</v>
      </c>
      <c r="BW170" s="29">
        <f t="shared" ca="1" si="94"/>
        <v>2</v>
      </c>
      <c r="BX170" s="29">
        <f t="shared" ca="1" si="94"/>
        <v>1</v>
      </c>
      <c r="BY170" s="29">
        <f t="shared" ca="1" si="94"/>
        <v>7</v>
      </c>
      <c r="BZ170" s="29">
        <f t="shared" ca="1" si="94"/>
        <v>1</v>
      </c>
      <c r="CA170" s="29">
        <f t="shared" ca="1" si="99"/>
        <v>1</v>
      </c>
      <c r="CB170" s="29">
        <f t="shared" ca="1" si="99"/>
        <v>1</v>
      </c>
      <c r="CC170" s="29">
        <f t="shared" ca="1" si="99"/>
        <v>1</v>
      </c>
      <c r="CD170" s="29">
        <f t="shared" ca="1" si="99"/>
        <v>2</v>
      </c>
      <c r="CE170" s="29">
        <f t="shared" ca="1" si="99"/>
        <v>1</v>
      </c>
      <c r="CF170" s="29">
        <f t="shared" ca="1" si="99"/>
        <v>3</v>
      </c>
      <c r="CG170" s="29">
        <f t="shared" ca="1" si="99"/>
        <v>3</v>
      </c>
      <c r="CH170" s="29">
        <f t="shared" ca="1" si="99"/>
        <v>2</v>
      </c>
      <c r="CI170" s="29">
        <f t="shared" ca="1" si="99"/>
        <v>5</v>
      </c>
      <c r="CJ170" s="29">
        <f t="shared" ca="1" si="99"/>
        <v>2</v>
      </c>
      <c r="CK170" s="29">
        <f t="shared" ca="1" si="99"/>
        <v>1</v>
      </c>
      <c r="CL170" s="29">
        <f t="shared" ca="1" si="99"/>
        <v>1</v>
      </c>
      <c r="CM170" s="29">
        <f t="shared" ca="1" si="99"/>
        <v>2</v>
      </c>
      <c r="CN170" s="29">
        <f t="shared" ca="1" si="99"/>
        <v>2</v>
      </c>
      <c r="CO170" s="29">
        <f t="shared" ca="1" si="99"/>
        <v>3</v>
      </c>
      <c r="CP170" s="29">
        <f t="shared" ca="1" si="99"/>
        <v>4</v>
      </c>
      <c r="CQ170" s="29">
        <f t="shared" ca="1" si="98"/>
        <v>2</v>
      </c>
      <c r="CR170" s="29">
        <f t="shared" ca="1" si="98"/>
        <v>2</v>
      </c>
      <c r="CS170" s="29">
        <f t="shared" ca="1" si="98"/>
        <v>3</v>
      </c>
      <c r="CT170" s="29">
        <f t="shared" ca="1" si="98"/>
        <v>1</v>
      </c>
      <c r="CU170" s="29">
        <f t="shared" ca="1" si="98"/>
        <v>1</v>
      </c>
      <c r="CV170" s="29">
        <f t="shared" ca="1" si="98"/>
        <v>2</v>
      </c>
      <c r="CW170" s="29">
        <f t="shared" ca="1" si="98"/>
        <v>6</v>
      </c>
      <c r="CX170" s="29">
        <f t="shared" ca="1" si="98"/>
        <v>3</v>
      </c>
      <c r="CY170" s="29">
        <f t="shared" ca="1" si="98"/>
        <v>2</v>
      </c>
      <c r="CZ170" s="29">
        <f t="shared" ca="1" si="98"/>
        <v>1</v>
      </c>
      <c r="DA170" s="29">
        <f t="shared" ca="1" si="98"/>
        <v>2</v>
      </c>
      <c r="DB170" s="29">
        <f t="shared" ca="1" si="98"/>
        <v>0</v>
      </c>
      <c r="DC170" s="29">
        <f t="shared" ca="1" si="98"/>
        <v>1</v>
      </c>
      <c r="DD170" s="29">
        <f t="shared" ca="1" si="98"/>
        <v>3</v>
      </c>
      <c r="DE170" s="29">
        <f t="shared" ca="1" si="98"/>
        <v>2</v>
      </c>
      <c r="DF170" s="29">
        <f t="shared" ca="1" si="97"/>
        <v>2</v>
      </c>
      <c r="DG170" s="29">
        <f t="shared" ca="1" si="97"/>
        <v>1</v>
      </c>
      <c r="DH170" s="29">
        <f t="shared" ca="1" si="97"/>
        <v>3</v>
      </c>
      <c r="DI170" s="29">
        <f t="shared" ca="1" si="97"/>
        <v>6</v>
      </c>
      <c r="DJ170" s="29">
        <f t="shared" ca="1" si="97"/>
        <v>2</v>
      </c>
      <c r="DK170" s="29">
        <f t="shared" ca="1" si="97"/>
        <v>4</v>
      </c>
      <c r="DL170" s="29">
        <f t="shared" ca="1" si="97"/>
        <v>4</v>
      </c>
    </row>
    <row r="171" spans="1:116" ht="14.4" x14ac:dyDescent="0.3">
      <c r="A171" s="31">
        <v>1078</v>
      </c>
      <c r="B171" s="28">
        <v>3.08</v>
      </c>
      <c r="C171" s="30">
        <v>86.81</v>
      </c>
      <c r="D171" s="28">
        <v>2.25</v>
      </c>
      <c r="E171" s="34">
        <f t="shared" si="77"/>
        <v>4.4999999999999998E-2</v>
      </c>
      <c r="F171" s="35">
        <f t="shared" si="78"/>
        <v>21.702500000000001</v>
      </c>
      <c r="G171" s="34">
        <f t="shared" si="79"/>
        <v>56.25</v>
      </c>
      <c r="H171" s="33">
        <f t="shared" si="80"/>
        <v>11.216720779220779</v>
      </c>
      <c r="I171" s="28">
        <f t="shared" si="83"/>
        <v>441.94000000000017</v>
      </c>
      <c r="J171" s="32">
        <v>1</v>
      </c>
      <c r="K171" s="30">
        <f t="shared" si="81"/>
        <v>21.702500000000001</v>
      </c>
      <c r="L171" s="30"/>
      <c r="M171" s="30"/>
      <c r="N171" s="30"/>
      <c r="O171" s="30"/>
      <c r="Q171" s="29">
        <f t="shared" ca="1" si="82"/>
        <v>1</v>
      </c>
      <c r="R171" s="29">
        <f t="shared" ca="1" si="101"/>
        <v>4</v>
      </c>
      <c r="S171" s="29">
        <f t="shared" ca="1" si="101"/>
        <v>2</v>
      </c>
      <c r="T171" s="29">
        <f t="shared" ca="1" si="101"/>
        <v>3</v>
      </c>
      <c r="U171" s="29">
        <f t="shared" ca="1" si="101"/>
        <v>0</v>
      </c>
      <c r="V171" s="29">
        <f t="shared" ca="1" si="101"/>
        <v>2</v>
      </c>
      <c r="W171" s="29">
        <f t="shared" ca="1" si="101"/>
        <v>3</v>
      </c>
      <c r="X171" s="29">
        <f t="shared" ca="1" si="101"/>
        <v>2</v>
      </c>
      <c r="Y171" s="29">
        <f t="shared" ca="1" si="101"/>
        <v>2</v>
      </c>
      <c r="Z171" s="29">
        <f t="shared" ca="1" si="101"/>
        <v>2</v>
      </c>
      <c r="AA171" s="29">
        <f t="shared" ca="1" si="101"/>
        <v>1</v>
      </c>
      <c r="AB171" s="29">
        <f t="shared" ca="1" si="101"/>
        <v>1</v>
      </c>
      <c r="AC171" s="29">
        <f t="shared" ca="1" si="101"/>
        <v>2</v>
      </c>
      <c r="AD171" s="29">
        <f t="shared" ca="1" si="101"/>
        <v>0</v>
      </c>
      <c r="AE171" s="29">
        <f t="shared" ca="1" si="101"/>
        <v>1</v>
      </c>
      <c r="AF171" s="29">
        <f t="shared" ca="1" si="101"/>
        <v>3</v>
      </c>
      <c r="AG171" s="29">
        <f t="shared" ca="1" si="100"/>
        <v>1</v>
      </c>
      <c r="AH171" s="29">
        <f t="shared" ca="1" si="100"/>
        <v>4</v>
      </c>
      <c r="AI171" s="29">
        <f t="shared" ca="1" si="100"/>
        <v>0</v>
      </c>
      <c r="AJ171" s="29">
        <f t="shared" ca="1" si="100"/>
        <v>2</v>
      </c>
      <c r="AK171" s="29">
        <f t="shared" ca="1" si="100"/>
        <v>2</v>
      </c>
      <c r="AL171" s="29">
        <f t="shared" ca="1" si="100"/>
        <v>0</v>
      </c>
      <c r="AM171" s="29">
        <f t="shared" ca="1" si="100"/>
        <v>0</v>
      </c>
      <c r="AN171" s="29">
        <f t="shared" ca="1" si="100"/>
        <v>2</v>
      </c>
      <c r="AO171" s="29">
        <f t="shared" ca="1" si="100"/>
        <v>4</v>
      </c>
      <c r="AP171" s="29">
        <f t="shared" ca="1" si="100"/>
        <v>1</v>
      </c>
      <c r="AQ171" s="29">
        <f t="shared" ca="1" si="100"/>
        <v>3</v>
      </c>
      <c r="AR171" s="29">
        <f t="shared" ca="1" si="100"/>
        <v>2</v>
      </c>
      <c r="AS171" s="29">
        <f t="shared" ca="1" si="100"/>
        <v>1</v>
      </c>
      <c r="AT171" s="29">
        <f t="shared" ca="1" si="100"/>
        <v>8</v>
      </c>
      <c r="AU171" s="29">
        <f t="shared" ca="1" si="100"/>
        <v>3</v>
      </c>
      <c r="AV171" s="29">
        <f t="shared" ca="1" si="95"/>
        <v>1</v>
      </c>
      <c r="AW171" s="29">
        <f t="shared" ca="1" si="95"/>
        <v>1</v>
      </c>
      <c r="AX171" s="29">
        <f t="shared" ca="1" si="95"/>
        <v>0</v>
      </c>
      <c r="AY171" s="29">
        <f t="shared" ca="1" si="95"/>
        <v>1</v>
      </c>
      <c r="AZ171" s="29">
        <f t="shared" ca="1" si="95"/>
        <v>4</v>
      </c>
      <c r="BA171" s="29">
        <f t="shared" ca="1" si="95"/>
        <v>0</v>
      </c>
      <c r="BB171" s="29">
        <f t="shared" ca="1" si="95"/>
        <v>2</v>
      </c>
      <c r="BC171" s="29">
        <f t="shared" ca="1" si="95"/>
        <v>1</v>
      </c>
      <c r="BD171" s="29">
        <f t="shared" ca="1" si="95"/>
        <v>4</v>
      </c>
      <c r="BE171" s="29">
        <f t="shared" ca="1" si="95"/>
        <v>4</v>
      </c>
      <c r="BF171" s="29">
        <f t="shared" ca="1" si="95"/>
        <v>5</v>
      </c>
      <c r="BG171" s="29">
        <f t="shared" ca="1" si="95"/>
        <v>0</v>
      </c>
      <c r="BH171" s="29">
        <f t="shared" ca="1" si="95"/>
        <v>1</v>
      </c>
      <c r="BI171" s="29">
        <f t="shared" ca="1" si="95"/>
        <v>3</v>
      </c>
      <c r="BJ171" s="29">
        <f t="shared" ca="1" si="95"/>
        <v>2</v>
      </c>
      <c r="BK171" s="29">
        <f t="shared" ca="1" si="95"/>
        <v>1</v>
      </c>
      <c r="BL171" s="29">
        <f t="shared" ca="1" si="94"/>
        <v>4</v>
      </c>
      <c r="BM171" s="29">
        <f t="shared" ca="1" si="94"/>
        <v>3</v>
      </c>
      <c r="BN171" s="29">
        <f t="shared" ca="1" si="94"/>
        <v>3</v>
      </c>
      <c r="BO171" s="29">
        <f t="shared" ca="1" si="94"/>
        <v>1</v>
      </c>
      <c r="BP171" s="29">
        <f t="shared" ca="1" si="94"/>
        <v>2</v>
      </c>
      <c r="BQ171" s="29">
        <f t="shared" ca="1" si="94"/>
        <v>2</v>
      </c>
      <c r="BR171" s="29">
        <f t="shared" ca="1" si="94"/>
        <v>0</v>
      </c>
      <c r="BS171" s="29">
        <f t="shared" ca="1" si="94"/>
        <v>5</v>
      </c>
      <c r="BT171" s="29">
        <f t="shared" ca="1" si="94"/>
        <v>2</v>
      </c>
      <c r="BU171" s="29">
        <f t="shared" ca="1" si="94"/>
        <v>2</v>
      </c>
      <c r="BV171" s="29">
        <f t="shared" ca="1" si="94"/>
        <v>2</v>
      </c>
      <c r="BW171" s="29">
        <f t="shared" ca="1" si="94"/>
        <v>2</v>
      </c>
      <c r="BX171" s="29">
        <f t="shared" ca="1" si="94"/>
        <v>0</v>
      </c>
      <c r="BY171" s="29">
        <f t="shared" ca="1" si="94"/>
        <v>0</v>
      </c>
      <c r="BZ171" s="29">
        <f t="shared" ca="1" si="94"/>
        <v>1</v>
      </c>
      <c r="CA171" s="29">
        <f t="shared" ca="1" si="99"/>
        <v>0</v>
      </c>
      <c r="CB171" s="29">
        <f t="shared" ca="1" si="99"/>
        <v>1</v>
      </c>
      <c r="CC171" s="29">
        <f t="shared" ca="1" si="99"/>
        <v>1</v>
      </c>
      <c r="CD171" s="29">
        <f t="shared" ca="1" si="99"/>
        <v>3</v>
      </c>
      <c r="CE171" s="29">
        <f t="shared" ca="1" si="99"/>
        <v>1</v>
      </c>
      <c r="CF171" s="29">
        <f t="shared" ca="1" si="99"/>
        <v>5</v>
      </c>
      <c r="CG171" s="29">
        <f t="shared" ca="1" si="99"/>
        <v>0</v>
      </c>
      <c r="CH171" s="29">
        <f t="shared" ca="1" si="99"/>
        <v>2</v>
      </c>
      <c r="CI171" s="29">
        <f t="shared" ca="1" si="99"/>
        <v>0</v>
      </c>
      <c r="CJ171" s="29">
        <f t="shared" ca="1" si="99"/>
        <v>2</v>
      </c>
      <c r="CK171" s="29">
        <f t="shared" ca="1" si="99"/>
        <v>2</v>
      </c>
      <c r="CL171" s="29">
        <f t="shared" ca="1" si="99"/>
        <v>1</v>
      </c>
      <c r="CM171" s="29">
        <f t="shared" ca="1" si="99"/>
        <v>5</v>
      </c>
      <c r="CN171" s="29">
        <f t="shared" ca="1" si="99"/>
        <v>2</v>
      </c>
      <c r="CO171" s="29">
        <f t="shared" ca="1" si="99"/>
        <v>1</v>
      </c>
      <c r="CP171" s="29">
        <f t="shared" ca="1" si="99"/>
        <v>2</v>
      </c>
      <c r="CQ171" s="29">
        <f t="shared" ca="1" si="98"/>
        <v>2</v>
      </c>
      <c r="CR171" s="29">
        <f t="shared" ca="1" si="98"/>
        <v>2</v>
      </c>
      <c r="CS171" s="29">
        <f t="shared" ca="1" si="98"/>
        <v>4</v>
      </c>
      <c r="CT171" s="29">
        <f t="shared" ca="1" si="98"/>
        <v>5</v>
      </c>
      <c r="CU171" s="29">
        <f t="shared" ca="1" si="98"/>
        <v>4</v>
      </c>
      <c r="CV171" s="29">
        <f t="shared" ca="1" si="98"/>
        <v>1</v>
      </c>
      <c r="CW171" s="29">
        <f t="shared" ca="1" si="98"/>
        <v>3</v>
      </c>
      <c r="CX171" s="29">
        <f t="shared" ca="1" si="98"/>
        <v>4</v>
      </c>
      <c r="CY171" s="29">
        <f t="shared" ca="1" si="98"/>
        <v>1</v>
      </c>
      <c r="CZ171" s="29">
        <f t="shared" ca="1" si="98"/>
        <v>1</v>
      </c>
      <c r="DA171" s="29">
        <f t="shared" ca="1" si="98"/>
        <v>2</v>
      </c>
      <c r="DB171" s="29">
        <f t="shared" ca="1" si="98"/>
        <v>2</v>
      </c>
      <c r="DC171" s="29">
        <f t="shared" ca="1" si="98"/>
        <v>1</v>
      </c>
      <c r="DD171" s="29">
        <f t="shared" ca="1" si="98"/>
        <v>5</v>
      </c>
      <c r="DE171" s="29">
        <f t="shared" ca="1" si="98"/>
        <v>2</v>
      </c>
      <c r="DF171" s="29">
        <f t="shared" ca="1" si="97"/>
        <v>1</v>
      </c>
      <c r="DG171" s="29">
        <f t="shared" ca="1" si="97"/>
        <v>1</v>
      </c>
      <c r="DH171" s="29">
        <f t="shared" ca="1" si="97"/>
        <v>2</v>
      </c>
      <c r="DI171" s="29">
        <f t="shared" ca="1" si="97"/>
        <v>1</v>
      </c>
      <c r="DJ171" s="29">
        <f t="shared" ca="1" si="97"/>
        <v>4</v>
      </c>
      <c r="DK171" s="29">
        <f t="shared" ca="1" si="97"/>
        <v>4</v>
      </c>
      <c r="DL171" s="29">
        <f t="shared" ca="1" si="97"/>
        <v>1</v>
      </c>
    </row>
    <row r="172" spans="1:116" ht="14.4" x14ac:dyDescent="0.3">
      <c r="A172" s="31">
        <v>910</v>
      </c>
      <c r="B172" s="28">
        <v>3.04</v>
      </c>
      <c r="C172" s="30">
        <v>61.33</v>
      </c>
      <c r="D172" s="28">
        <v>1.97</v>
      </c>
      <c r="E172" s="34">
        <f t="shared" si="77"/>
        <v>3.9399999999999998E-2</v>
      </c>
      <c r="F172" s="35">
        <f t="shared" si="78"/>
        <v>15.3325</v>
      </c>
      <c r="G172" s="34">
        <f t="shared" si="79"/>
        <v>49.25</v>
      </c>
      <c r="H172" s="33">
        <f t="shared" si="80"/>
        <v>11.157072368421053</v>
      </c>
      <c r="I172" s="28">
        <f t="shared" si="83"/>
        <v>444.98000000000019</v>
      </c>
      <c r="J172" s="32">
        <v>1</v>
      </c>
      <c r="K172" s="30">
        <f t="shared" si="81"/>
        <v>15.3325</v>
      </c>
      <c r="L172" s="30"/>
      <c r="M172" s="30"/>
      <c r="N172" s="30"/>
      <c r="O172" s="30"/>
      <c r="Q172" s="29">
        <f t="shared" ca="1" si="82"/>
        <v>3</v>
      </c>
      <c r="R172" s="29">
        <f t="shared" ca="1" si="101"/>
        <v>5</v>
      </c>
      <c r="S172" s="29">
        <f t="shared" ca="1" si="101"/>
        <v>0</v>
      </c>
      <c r="T172" s="29">
        <f t="shared" ca="1" si="101"/>
        <v>6</v>
      </c>
      <c r="U172" s="29">
        <f t="shared" ca="1" si="101"/>
        <v>2</v>
      </c>
      <c r="V172" s="29">
        <f t="shared" ca="1" si="101"/>
        <v>7</v>
      </c>
      <c r="W172" s="29">
        <f t="shared" ca="1" si="101"/>
        <v>2</v>
      </c>
      <c r="X172" s="29">
        <f t="shared" ca="1" si="101"/>
        <v>7</v>
      </c>
      <c r="Y172" s="29">
        <f t="shared" ca="1" si="101"/>
        <v>0</v>
      </c>
      <c r="Z172" s="29">
        <f t="shared" ca="1" si="101"/>
        <v>3</v>
      </c>
      <c r="AA172" s="29">
        <f t="shared" ca="1" si="101"/>
        <v>1</v>
      </c>
      <c r="AB172" s="29">
        <f t="shared" ca="1" si="101"/>
        <v>2</v>
      </c>
      <c r="AC172" s="29">
        <f t="shared" ca="1" si="101"/>
        <v>2</v>
      </c>
      <c r="AD172" s="29">
        <f t="shared" ca="1" si="101"/>
        <v>4</v>
      </c>
      <c r="AE172" s="29">
        <f t="shared" ca="1" si="101"/>
        <v>2</v>
      </c>
      <c r="AF172" s="29">
        <f t="shared" ca="1" si="101"/>
        <v>4</v>
      </c>
      <c r="AG172" s="29">
        <f t="shared" ca="1" si="100"/>
        <v>3</v>
      </c>
      <c r="AH172" s="29">
        <f t="shared" ca="1" si="100"/>
        <v>3</v>
      </c>
      <c r="AI172" s="29">
        <f t="shared" ca="1" si="100"/>
        <v>3</v>
      </c>
      <c r="AJ172" s="29">
        <f t="shared" ca="1" si="100"/>
        <v>1</v>
      </c>
      <c r="AK172" s="29">
        <f t="shared" ca="1" si="100"/>
        <v>4</v>
      </c>
      <c r="AL172" s="29">
        <f t="shared" ca="1" si="100"/>
        <v>4</v>
      </c>
      <c r="AM172" s="29">
        <f t="shared" ca="1" si="100"/>
        <v>1</v>
      </c>
      <c r="AN172" s="29">
        <f t="shared" ca="1" si="100"/>
        <v>5</v>
      </c>
      <c r="AO172" s="29">
        <f t="shared" ca="1" si="100"/>
        <v>3</v>
      </c>
      <c r="AP172" s="29">
        <f t="shared" ca="1" si="100"/>
        <v>0</v>
      </c>
      <c r="AQ172" s="29">
        <f t="shared" ca="1" si="100"/>
        <v>1</v>
      </c>
      <c r="AR172" s="29">
        <f t="shared" ca="1" si="100"/>
        <v>2</v>
      </c>
      <c r="AS172" s="29">
        <f t="shared" ca="1" si="100"/>
        <v>2</v>
      </c>
      <c r="AT172" s="29">
        <f t="shared" ca="1" si="100"/>
        <v>2</v>
      </c>
      <c r="AU172" s="29">
        <f t="shared" ca="1" si="100"/>
        <v>0</v>
      </c>
      <c r="AV172" s="29">
        <f t="shared" ca="1" si="95"/>
        <v>1</v>
      </c>
      <c r="AW172" s="29">
        <f t="shared" ca="1" si="95"/>
        <v>4</v>
      </c>
      <c r="AX172" s="29">
        <f t="shared" ca="1" si="95"/>
        <v>3</v>
      </c>
      <c r="AY172" s="29">
        <f t="shared" ca="1" si="95"/>
        <v>2</v>
      </c>
      <c r="AZ172" s="29">
        <f t="shared" ca="1" si="95"/>
        <v>5</v>
      </c>
      <c r="BA172" s="29">
        <f t="shared" ca="1" si="95"/>
        <v>2</v>
      </c>
      <c r="BB172" s="29">
        <f t="shared" ca="1" si="95"/>
        <v>3</v>
      </c>
      <c r="BC172" s="29">
        <f t="shared" ca="1" si="95"/>
        <v>3</v>
      </c>
      <c r="BD172" s="29">
        <f t="shared" ca="1" si="95"/>
        <v>0</v>
      </c>
      <c r="BE172" s="29">
        <f t="shared" ca="1" si="95"/>
        <v>1</v>
      </c>
      <c r="BF172" s="29">
        <f t="shared" ca="1" si="95"/>
        <v>3</v>
      </c>
      <c r="BG172" s="29">
        <f t="shared" ca="1" si="95"/>
        <v>1</v>
      </c>
      <c r="BH172" s="29">
        <f t="shared" ca="1" si="95"/>
        <v>1</v>
      </c>
      <c r="BI172" s="29">
        <f t="shared" ca="1" si="95"/>
        <v>4</v>
      </c>
      <c r="BJ172" s="29">
        <f t="shared" ca="1" si="95"/>
        <v>2</v>
      </c>
      <c r="BK172" s="29">
        <f t="shared" ref="BK172:BZ187" ca="1" si="102">_xlfn.BINOM.INV(50,$E172,RAND())</f>
        <v>1</v>
      </c>
      <c r="BL172" s="29">
        <f t="shared" ca="1" si="102"/>
        <v>1</v>
      </c>
      <c r="BM172" s="29">
        <f t="shared" ca="1" si="102"/>
        <v>0</v>
      </c>
      <c r="BN172" s="29">
        <f t="shared" ca="1" si="102"/>
        <v>2</v>
      </c>
      <c r="BO172" s="29">
        <f t="shared" ca="1" si="102"/>
        <v>2</v>
      </c>
      <c r="BP172" s="29">
        <f t="shared" ca="1" si="102"/>
        <v>4</v>
      </c>
      <c r="BQ172" s="29">
        <f t="shared" ca="1" si="102"/>
        <v>0</v>
      </c>
      <c r="BR172" s="29">
        <f t="shared" ca="1" si="102"/>
        <v>2</v>
      </c>
      <c r="BS172" s="29">
        <f t="shared" ca="1" si="102"/>
        <v>3</v>
      </c>
      <c r="BT172" s="29">
        <f t="shared" ca="1" si="102"/>
        <v>4</v>
      </c>
      <c r="BU172" s="29">
        <f t="shared" ca="1" si="102"/>
        <v>1</v>
      </c>
      <c r="BV172" s="29">
        <f t="shared" ca="1" si="102"/>
        <v>1</v>
      </c>
      <c r="BW172" s="29">
        <f t="shared" ca="1" si="102"/>
        <v>1</v>
      </c>
      <c r="BX172" s="29">
        <f t="shared" ca="1" si="102"/>
        <v>1</v>
      </c>
      <c r="BY172" s="29">
        <f t="shared" ca="1" si="102"/>
        <v>4</v>
      </c>
      <c r="BZ172" s="29">
        <f t="shared" ca="1" si="102"/>
        <v>3</v>
      </c>
      <c r="CA172" s="29">
        <f t="shared" ca="1" si="99"/>
        <v>3</v>
      </c>
      <c r="CB172" s="29">
        <f t="shared" ca="1" si="99"/>
        <v>3</v>
      </c>
      <c r="CC172" s="29">
        <f t="shared" ca="1" si="99"/>
        <v>2</v>
      </c>
      <c r="CD172" s="29">
        <f t="shared" ca="1" si="99"/>
        <v>1</v>
      </c>
      <c r="CE172" s="29">
        <f t="shared" ca="1" si="99"/>
        <v>3</v>
      </c>
      <c r="CF172" s="29">
        <f t="shared" ca="1" si="99"/>
        <v>3</v>
      </c>
      <c r="CG172" s="29">
        <f t="shared" ca="1" si="99"/>
        <v>3</v>
      </c>
      <c r="CH172" s="29">
        <f t="shared" ca="1" si="99"/>
        <v>3</v>
      </c>
      <c r="CI172" s="29">
        <f t="shared" ca="1" si="99"/>
        <v>0</v>
      </c>
      <c r="CJ172" s="29">
        <f t="shared" ca="1" si="99"/>
        <v>2</v>
      </c>
      <c r="CK172" s="29">
        <f t="shared" ca="1" si="99"/>
        <v>1</v>
      </c>
      <c r="CL172" s="29">
        <f t="shared" ca="1" si="99"/>
        <v>1</v>
      </c>
      <c r="CM172" s="29">
        <f t="shared" ca="1" si="99"/>
        <v>1</v>
      </c>
      <c r="CN172" s="29">
        <f t="shared" ca="1" si="99"/>
        <v>2</v>
      </c>
      <c r="CO172" s="29">
        <f t="shared" ca="1" si="99"/>
        <v>1</v>
      </c>
      <c r="CP172" s="29">
        <f t="shared" ca="1" si="99"/>
        <v>2</v>
      </c>
      <c r="CQ172" s="29">
        <f t="shared" ca="1" si="98"/>
        <v>1</v>
      </c>
      <c r="CR172" s="29">
        <f t="shared" ca="1" si="98"/>
        <v>0</v>
      </c>
      <c r="CS172" s="29">
        <f t="shared" ca="1" si="98"/>
        <v>2</v>
      </c>
      <c r="CT172" s="29">
        <f t="shared" ca="1" si="98"/>
        <v>2</v>
      </c>
      <c r="CU172" s="29">
        <f t="shared" ca="1" si="98"/>
        <v>1</v>
      </c>
      <c r="CV172" s="29">
        <f t="shared" ca="1" si="98"/>
        <v>0</v>
      </c>
      <c r="CW172" s="29">
        <f t="shared" ca="1" si="98"/>
        <v>2</v>
      </c>
      <c r="CX172" s="29">
        <f t="shared" ca="1" si="98"/>
        <v>2</v>
      </c>
      <c r="CY172" s="29">
        <f t="shared" ca="1" si="98"/>
        <v>1</v>
      </c>
      <c r="CZ172" s="29">
        <f t="shared" ca="1" si="98"/>
        <v>1</v>
      </c>
      <c r="DA172" s="29">
        <f t="shared" ca="1" si="98"/>
        <v>3</v>
      </c>
      <c r="DB172" s="29">
        <f t="shared" ca="1" si="98"/>
        <v>1</v>
      </c>
      <c r="DC172" s="29">
        <f t="shared" ca="1" si="98"/>
        <v>0</v>
      </c>
      <c r="DD172" s="29">
        <f t="shared" ca="1" si="98"/>
        <v>1</v>
      </c>
      <c r="DE172" s="29">
        <f t="shared" ca="1" si="98"/>
        <v>3</v>
      </c>
      <c r="DF172" s="29">
        <f t="shared" ca="1" si="97"/>
        <v>4</v>
      </c>
      <c r="DG172" s="29">
        <f t="shared" ca="1" si="97"/>
        <v>2</v>
      </c>
      <c r="DH172" s="29">
        <f t="shared" ca="1" si="97"/>
        <v>0</v>
      </c>
      <c r="DI172" s="29">
        <f t="shared" ca="1" si="97"/>
        <v>1</v>
      </c>
      <c r="DJ172" s="29">
        <f t="shared" ca="1" si="97"/>
        <v>0</v>
      </c>
      <c r="DK172" s="29">
        <f t="shared" ca="1" si="97"/>
        <v>3</v>
      </c>
      <c r="DL172" s="29">
        <f t="shared" ca="1" si="97"/>
        <v>3</v>
      </c>
    </row>
    <row r="173" spans="1:116" ht="14.4" x14ac:dyDescent="0.3">
      <c r="A173" s="31">
        <v>546</v>
      </c>
      <c r="B173" s="28">
        <v>4.7</v>
      </c>
      <c r="C173" s="30">
        <v>25.75</v>
      </c>
      <c r="D173" s="28">
        <v>2.34</v>
      </c>
      <c r="E173" s="34">
        <f t="shared" si="77"/>
        <v>4.6799999999999994E-2</v>
      </c>
      <c r="F173" s="35">
        <f t="shared" si="78"/>
        <v>6.4375</v>
      </c>
      <c r="G173" s="34">
        <f t="shared" si="79"/>
        <v>58.5</v>
      </c>
      <c r="H173" s="33">
        <f t="shared" si="80"/>
        <v>11.077127659574467</v>
      </c>
      <c r="I173" s="28">
        <f t="shared" si="83"/>
        <v>449.68000000000018</v>
      </c>
      <c r="J173" s="32">
        <v>1</v>
      </c>
      <c r="K173" s="30">
        <f t="shared" si="81"/>
        <v>6.4375</v>
      </c>
      <c r="L173" s="30"/>
      <c r="M173" s="30"/>
      <c r="N173" s="30"/>
      <c r="O173" s="30"/>
      <c r="Q173" s="29">
        <f t="shared" ca="1" si="82"/>
        <v>3</v>
      </c>
      <c r="R173" s="29">
        <f t="shared" ca="1" si="101"/>
        <v>5</v>
      </c>
      <c r="S173" s="29">
        <f t="shared" ca="1" si="101"/>
        <v>1</v>
      </c>
      <c r="T173" s="29">
        <f t="shared" ca="1" si="101"/>
        <v>5</v>
      </c>
      <c r="U173" s="29">
        <f t="shared" ca="1" si="101"/>
        <v>2</v>
      </c>
      <c r="V173" s="29">
        <f t="shared" ca="1" si="101"/>
        <v>1</v>
      </c>
      <c r="W173" s="29">
        <f t="shared" ca="1" si="101"/>
        <v>2</v>
      </c>
      <c r="X173" s="29">
        <f t="shared" ca="1" si="101"/>
        <v>3</v>
      </c>
      <c r="Y173" s="29">
        <f t="shared" ca="1" si="101"/>
        <v>1</v>
      </c>
      <c r="Z173" s="29">
        <f t="shared" ca="1" si="101"/>
        <v>2</v>
      </c>
      <c r="AA173" s="29">
        <f t="shared" ca="1" si="101"/>
        <v>1</v>
      </c>
      <c r="AB173" s="29">
        <f t="shared" ca="1" si="101"/>
        <v>4</v>
      </c>
      <c r="AC173" s="29">
        <f t="shared" ca="1" si="101"/>
        <v>2</v>
      </c>
      <c r="AD173" s="29">
        <f t="shared" ca="1" si="101"/>
        <v>1</v>
      </c>
      <c r="AE173" s="29">
        <f t="shared" ca="1" si="101"/>
        <v>2</v>
      </c>
      <c r="AF173" s="29">
        <f t="shared" ca="1" si="101"/>
        <v>1</v>
      </c>
      <c r="AG173" s="29">
        <f t="shared" ca="1" si="100"/>
        <v>3</v>
      </c>
      <c r="AH173" s="29">
        <f t="shared" ca="1" si="100"/>
        <v>0</v>
      </c>
      <c r="AI173" s="29">
        <f t="shared" ca="1" si="100"/>
        <v>3</v>
      </c>
      <c r="AJ173" s="29">
        <f t="shared" ca="1" si="100"/>
        <v>2</v>
      </c>
      <c r="AK173" s="29">
        <f t="shared" ca="1" si="100"/>
        <v>1</v>
      </c>
      <c r="AL173" s="29">
        <f t="shared" ca="1" si="100"/>
        <v>2</v>
      </c>
      <c r="AM173" s="29">
        <f t="shared" ca="1" si="100"/>
        <v>4</v>
      </c>
      <c r="AN173" s="29">
        <f t="shared" ca="1" si="100"/>
        <v>1</v>
      </c>
      <c r="AO173" s="29">
        <f t="shared" ca="1" si="100"/>
        <v>1</v>
      </c>
      <c r="AP173" s="29">
        <f t="shared" ca="1" si="100"/>
        <v>2</v>
      </c>
      <c r="AQ173" s="29">
        <f t="shared" ca="1" si="100"/>
        <v>3</v>
      </c>
      <c r="AR173" s="29">
        <f t="shared" ca="1" si="100"/>
        <v>1</v>
      </c>
      <c r="AS173" s="29">
        <f t="shared" ca="1" si="100"/>
        <v>3</v>
      </c>
      <c r="AT173" s="29">
        <f t="shared" ca="1" si="100"/>
        <v>1</v>
      </c>
      <c r="AU173" s="29">
        <f t="shared" ca="1" si="100"/>
        <v>0</v>
      </c>
      <c r="AV173" s="29">
        <f t="shared" ref="AV173:BK188" ca="1" si="103">_xlfn.BINOM.INV(50,$E173,RAND())</f>
        <v>1</v>
      </c>
      <c r="AW173" s="29">
        <f t="shared" ca="1" si="103"/>
        <v>4</v>
      </c>
      <c r="AX173" s="29">
        <f t="shared" ca="1" si="103"/>
        <v>2</v>
      </c>
      <c r="AY173" s="29">
        <f t="shared" ca="1" si="103"/>
        <v>6</v>
      </c>
      <c r="AZ173" s="29">
        <f t="shared" ca="1" si="103"/>
        <v>1</v>
      </c>
      <c r="BA173" s="29">
        <f t="shared" ca="1" si="103"/>
        <v>4</v>
      </c>
      <c r="BB173" s="29">
        <f t="shared" ca="1" si="103"/>
        <v>1</v>
      </c>
      <c r="BC173" s="29">
        <f t="shared" ca="1" si="103"/>
        <v>9</v>
      </c>
      <c r="BD173" s="29">
        <f t="shared" ca="1" si="103"/>
        <v>1</v>
      </c>
      <c r="BE173" s="29">
        <f t="shared" ca="1" si="103"/>
        <v>3</v>
      </c>
      <c r="BF173" s="29">
        <f t="shared" ca="1" si="103"/>
        <v>0</v>
      </c>
      <c r="BG173" s="29">
        <f t="shared" ca="1" si="103"/>
        <v>5</v>
      </c>
      <c r="BH173" s="29">
        <f t="shared" ca="1" si="103"/>
        <v>2</v>
      </c>
      <c r="BI173" s="29">
        <f t="shared" ca="1" si="103"/>
        <v>3</v>
      </c>
      <c r="BJ173" s="29">
        <f t="shared" ca="1" si="103"/>
        <v>2</v>
      </c>
      <c r="BK173" s="29">
        <f t="shared" ca="1" si="103"/>
        <v>5</v>
      </c>
      <c r="BL173" s="29">
        <f t="shared" ca="1" si="102"/>
        <v>1</v>
      </c>
      <c r="BM173" s="29">
        <f t="shared" ca="1" si="102"/>
        <v>2</v>
      </c>
      <c r="BN173" s="29">
        <f t="shared" ca="1" si="102"/>
        <v>2</v>
      </c>
      <c r="BO173" s="29">
        <f t="shared" ca="1" si="102"/>
        <v>0</v>
      </c>
      <c r="BP173" s="29">
        <f t="shared" ca="1" si="102"/>
        <v>2</v>
      </c>
      <c r="BQ173" s="29">
        <f t="shared" ca="1" si="102"/>
        <v>2</v>
      </c>
      <c r="BR173" s="29">
        <f t="shared" ca="1" si="102"/>
        <v>2</v>
      </c>
      <c r="BS173" s="29">
        <f t="shared" ca="1" si="102"/>
        <v>1</v>
      </c>
      <c r="BT173" s="29">
        <f t="shared" ca="1" si="102"/>
        <v>2</v>
      </c>
      <c r="BU173" s="29">
        <f t="shared" ca="1" si="102"/>
        <v>1</v>
      </c>
      <c r="BV173" s="29">
        <f t="shared" ca="1" si="102"/>
        <v>1</v>
      </c>
      <c r="BW173" s="29">
        <f t="shared" ca="1" si="102"/>
        <v>3</v>
      </c>
      <c r="BX173" s="29">
        <f t="shared" ca="1" si="102"/>
        <v>2</v>
      </c>
      <c r="BY173" s="29">
        <f t="shared" ca="1" si="102"/>
        <v>0</v>
      </c>
      <c r="BZ173" s="29">
        <f t="shared" ca="1" si="102"/>
        <v>1</v>
      </c>
      <c r="CA173" s="29">
        <f t="shared" ca="1" si="99"/>
        <v>1</v>
      </c>
      <c r="CB173" s="29">
        <f t="shared" ca="1" si="99"/>
        <v>1</v>
      </c>
      <c r="CC173" s="29">
        <f t="shared" ca="1" si="99"/>
        <v>2</v>
      </c>
      <c r="CD173" s="29">
        <f t="shared" ca="1" si="99"/>
        <v>2</v>
      </c>
      <c r="CE173" s="29">
        <f t="shared" ca="1" si="99"/>
        <v>2</v>
      </c>
      <c r="CF173" s="29">
        <f t="shared" ca="1" si="99"/>
        <v>1</v>
      </c>
      <c r="CG173" s="29">
        <f t="shared" ca="1" si="99"/>
        <v>3</v>
      </c>
      <c r="CH173" s="29">
        <f t="shared" ca="1" si="99"/>
        <v>1</v>
      </c>
      <c r="CI173" s="29">
        <f t="shared" ca="1" si="99"/>
        <v>2</v>
      </c>
      <c r="CJ173" s="29">
        <f t="shared" ca="1" si="99"/>
        <v>4</v>
      </c>
      <c r="CK173" s="29">
        <f t="shared" ca="1" si="99"/>
        <v>0</v>
      </c>
      <c r="CL173" s="29">
        <f t="shared" ca="1" si="99"/>
        <v>3</v>
      </c>
      <c r="CM173" s="29">
        <f t="shared" ca="1" si="99"/>
        <v>3</v>
      </c>
      <c r="CN173" s="29">
        <f t="shared" ca="1" si="99"/>
        <v>2</v>
      </c>
      <c r="CO173" s="29">
        <f t="shared" ca="1" si="99"/>
        <v>1</v>
      </c>
      <c r="CP173" s="29">
        <f t="shared" ca="1" si="99"/>
        <v>1</v>
      </c>
      <c r="CQ173" s="29">
        <f t="shared" ca="1" si="98"/>
        <v>0</v>
      </c>
      <c r="CR173" s="29">
        <f t="shared" ca="1" si="98"/>
        <v>1</v>
      </c>
      <c r="CS173" s="29">
        <f t="shared" ca="1" si="98"/>
        <v>2</v>
      </c>
      <c r="CT173" s="29">
        <f t="shared" ca="1" si="98"/>
        <v>4</v>
      </c>
      <c r="CU173" s="29">
        <f t="shared" ca="1" si="98"/>
        <v>1</v>
      </c>
      <c r="CV173" s="29">
        <f t="shared" ca="1" si="98"/>
        <v>2</v>
      </c>
      <c r="CW173" s="29">
        <f t="shared" ca="1" si="98"/>
        <v>2</v>
      </c>
      <c r="CX173" s="29">
        <f t="shared" ca="1" si="98"/>
        <v>5</v>
      </c>
      <c r="CY173" s="29">
        <f t="shared" ca="1" si="98"/>
        <v>5</v>
      </c>
      <c r="CZ173" s="29">
        <f t="shared" ca="1" si="98"/>
        <v>1</v>
      </c>
      <c r="DA173" s="29">
        <f t="shared" ca="1" si="98"/>
        <v>4</v>
      </c>
      <c r="DB173" s="29">
        <f t="shared" ca="1" si="98"/>
        <v>3</v>
      </c>
      <c r="DC173" s="29">
        <f t="shared" ca="1" si="98"/>
        <v>0</v>
      </c>
      <c r="DD173" s="29">
        <f t="shared" ca="1" si="98"/>
        <v>1</v>
      </c>
      <c r="DE173" s="29">
        <f t="shared" ca="1" si="98"/>
        <v>5</v>
      </c>
      <c r="DF173" s="29">
        <f t="shared" ca="1" si="97"/>
        <v>2</v>
      </c>
      <c r="DG173" s="29">
        <f t="shared" ca="1" si="97"/>
        <v>3</v>
      </c>
      <c r="DH173" s="29">
        <f t="shared" ca="1" si="97"/>
        <v>3</v>
      </c>
      <c r="DI173" s="29">
        <f t="shared" ca="1" si="97"/>
        <v>2</v>
      </c>
      <c r="DJ173" s="29">
        <f t="shared" ca="1" si="97"/>
        <v>4</v>
      </c>
      <c r="DK173" s="29">
        <f t="shared" ca="1" si="97"/>
        <v>0</v>
      </c>
      <c r="DL173" s="29">
        <f t="shared" ca="1" si="97"/>
        <v>0</v>
      </c>
    </row>
    <row r="174" spans="1:116" ht="14.4" x14ac:dyDescent="0.3">
      <c r="A174" s="31">
        <v>684</v>
      </c>
      <c r="B174" s="28">
        <v>2.3199999999999998</v>
      </c>
      <c r="C174" s="30">
        <v>52.21</v>
      </c>
      <c r="D174" s="28">
        <v>1.55</v>
      </c>
      <c r="E174" s="34">
        <f t="shared" si="77"/>
        <v>3.1E-2</v>
      </c>
      <c r="F174" s="35">
        <f t="shared" si="78"/>
        <v>13.0525</v>
      </c>
      <c r="G174" s="34">
        <f t="shared" si="79"/>
        <v>38.75</v>
      </c>
      <c r="H174" s="33">
        <f t="shared" si="80"/>
        <v>11.076508620689655</v>
      </c>
      <c r="I174" s="28">
        <f t="shared" si="83"/>
        <v>452.00000000000017</v>
      </c>
      <c r="J174" s="32">
        <v>1</v>
      </c>
      <c r="K174" s="30">
        <f t="shared" si="81"/>
        <v>13.0525</v>
      </c>
      <c r="L174" s="30"/>
      <c r="M174" s="30"/>
      <c r="N174" s="30"/>
      <c r="O174" s="30"/>
      <c r="Q174" s="29">
        <f t="shared" ca="1" si="82"/>
        <v>1</v>
      </c>
      <c r="R174" s="29">
        <f t="shared" ca="1" si="101"/>
        <v>2</v>
      </c>
      <c r="S174" s="29">
        <f t="shared" ca="1" si="101"/>
        <v>0</v>
      </c>
      <c r="T174" s="29">
        <f t="shared" ca="1" si="101"/>
        <v>0</v>
      </c>
      <c r="U174" s="29">
        <f t="shared" ca="1" si="101"/>
        <v>2</v>
      </c>
      <c r="V174" s="29">
        <f t="shared" ca="1" si="101"/>
        <v>0</v>
      </c>
      <c r="W174" s="29">
        <f t="shared" ca="1" si="101"/>
        <v>0</v>
      </c>
      <c r="X174" s="29">
        <f t="shared" ca="1" si="101"/>
        <v>0</v>
      </c>
      <c r="Y174" s="29">
        <f t="shared" ca="1" si="101"/>
        <v>1</v>
      </c>
      <c r="Z174" s="29">
        <f t="shared" ca="1" si="101"/>
        <v>1</v>
      </c>
      <c r="AA174" s="29">
        <f t="shared" ca="1" si="101"/>
        <v>3</v>
      </c>
      <c r="AB174" s="29">
        <f t="shared" ca="1" si="101"/>
        <v>0</v>
      </c>
      <c r="AC174" s="29">
        <f t="shared" ca="1" si="101"/>
        <v>0</v>
      </c>
      <c r="AD174" s="29">
        <f t="shared" ca="1" si="101"/>
        <v>2</v>
      </c>
      <c r="AE174" s="29">
        <f t="shared" ca="1" si="101"/>
        <v>1</v>
      </c>
      <c r="AF174" s="29">
        <f t="shared" ca="1" si="101"/>
        <v>1</v>
      </c>
      <c r="AG174" s="29">
        <f t="shared" ca="1" si="100"/>
        <v>1</v>
      </c>
      <c r="AH174" s="29">
        <f t="shared" ca="1" si="100"/>
        <v>2</v>
      </c>
      <c r="AI174" s="29">
        <f t="shared" ca="1" si="100"/>
        <v>0</v>
      </c>
      <c r="AJ174" s="29">
        <f t="shared" ca="1" si="100"/>
        <v>2</v>
      </c>
      <c r="AK174" s="29">
        <f t="shared" ca="1" si="100"/>
        <v>0</v>
      </c>
      <c r="AL174" s="29">
        <f t="shared" ca="1" si="100"/>
        <v>3</v>
      </c>
      <c r="AM174" s="29">
        <f t="shared" ca="1" si="100"/>
        <v>2</v>
      </c>
      <c r="AN174" s="29">
        <f t="shared" ca="1" si="100"/>
        <v>0</v>
      </c>
      <c r="AO174" s="29">
        <f t="shared" ca="1" si="100"/>
        <v>2</v>
      </c>
      <c r="AP174" s="29">
        <f t="shared" ca="1" si="100"/>
        <v>2</v>
      </c>
      <c r="AQ174" s="29">
        <f t="shared" ca="1" si="100"/>
        <v>0</v>
      </c>
      <c r="AR174" s="29">
        <f t="shared" ca="1" si="100"/>
        <v>2</v>
      </c>
      <c r="AS174" s="29">
        <f t="shared" ca="1" si="100"/>
        <v>2</v>
      </c>
      <c r="AT174" s="29">
        <f t="shared" ca="1" si="100"/>
        <v>0</v>
      </c>
      <c r="AU174" s="29">
        <f t="shared" ca="1" si="100"/>
        <v>4</v>
      </c>
      <c r="AV174" s="29">
        <f t="shared" ca="1" si="103"/>
        <v>0</v>
      </c>
      <c r="AW174" s="29">
        <f t="shared" ca="1" si="103"/>
        <v>0</v>
      </c>
      <c r="AX174" s="29">
        <f t="shared" ca="1" si="103"/>
        <v>3</v>
      </c>
      <c r="AY174" s="29">
        <f t="shared" ca="1" si="103"/>
        <v>0</v>
      </c>
      <c r="AZ174" s="29">
        <f t="shared" ca="1" si="103"/>
        <v>0</v>
      </c>
      <c r="BA174" s="29">
        <f t="shared" ca="1" si="103"/>
        <v>2</v>
      </c>
      <c r="BB174" s="29">
        <f t="shared" ca="1" si="103"/>
        <v>3</v>
      </c>
      <c r="BC174" s="29">
        <f t="shared" ca="1" si="103"/>
        <v>1</v>
      </c>
      <c r="BD174" s="29">
        <f t="shared" ca="1" si="103"/>
        <v>0</v>
      </c>
      <c r="BE174" s="29">
        <f t="shared" ca="1" si="103"/>
        <v>1</v>
      </c>
      <c r="BF174" s="29">
        <f t="shared" ca="1" si="103"/>
        <v>1</v>
      </c>
      <c r="BG174" s="29">
        <f t="shared" ca="1" si="103"/>
        <v>1</v>
      </c>
      <c r="BH174" s="29">
        <f t="shared" ca="1" si="103"/>
        <v>0</v>
      </c>
      <c r="BI174" s="29">
        <f t="shared" ca="1" si="103"/>
        <v>2</v>
      </c>
      <c r="BJ174" s="29">
        <f t="shared" ca="1" si="103"/>
        <v>3</v>
      </c>
      <c r="BK174" s="29">
        <f t="shared" ca="1" si="103"/>
        <v>3</v>
      </c>
      <c r="BL174" s="29">
        <f t="shared" ca="1" si="102"/>
        <v>6</v>
      </c>
      <c r="BM174" s="29">
        <f t="shared" ca="1" si="102"/>
        <v>2</v>
      </c>
      <c r="BN174" s="29">
        <f t="shared" ca="1" si="102"/>
        <v>1</v>
      </c>
      <c r="BO174" s="29">
        <f t="shared" ca="1" si="102"/>
        <v>2</v>
      </c>
      <c r="BP174" s="29">
        <f t="shared" ca="1" si="102"/>
        <v>1</v>
      </c>
      <c r="BQ174" s="29">
        <f t="shared" ca="1" si="102"/>
        <v>4</v>
      </c>
      <c r="BR174" s="29">
        <f t="shared" ca="1" si="102"/>
        <v>1</v>
      </c>
      <c r="BS174" s="29">
        <f t="shared" ca="1" si="102"/>
        <v>1</v>
      </c>
      <c r="BT174" s="29">
        <f t="shared" ca="1" si="102"/>
        <v>3</v>
      </c>
      <c r="BU174" s="29">
        <f t="shared" ca="1" si="102"/>
        <v>2</v>
      </c>
      <c r="BV174" s="29">
        <f t="shared" ca="1" si="102"/>
        <v>0</v>
      </c>
      <c r="BW174" s="29">
        <f t="shared" ca="1" si="102"/>
        <v>0</v>
      </c>
      <c r="BX174" s="29">
        <f t="shared" ca="1" si="102"/>
        <v>2</v>
      </c>
      <c r="BY174" s="29">
        <f t="shared" ca="1" si="102"/>
        <v>2</v>
      </c>
      <c r="BZ174" s="29">
        <f t="shared" ca="1" si="102"/>
        <v>1</v>
      </c>
      <c r="CA174" s="29">
        <f t="shared" ca="1" si="99"/>
        <v>1</v>
      </c>
      <c r="CB174" s="29">
        <f t="shared" ca="1" si="99"/>
        <v>4</v>
      </c>
      <c r="CC174" s="29">
        <f t="shared" ca="1" si="99"/>
        <v>1</v>
      </c>
      <c r="CD174" s="29">
        <f t="shared" ca="1" si="99"/>
        <v>1</v>
      </c>
      <c r="CE174" s="29">
        <f t="shared" ca="1" si="99"/>
        <v>1</v>
      </c>
      <c r="CF174" s="29">
        <f t="shared" ca="1" si="99"/>
        <v>1</v>
      </c>
      <c r="CG174" s="29">
        <f t="shared" ca="1" si="99"/>
        <v>3</v>
      </c>
      <c r="CH174" s="29">
        <f t="shared" ca="1" si="99"/>
        <v>2</v>
      </c>
      <c r="CI174" s="29">
        <f t="shared" ca="1" si="99"/>
        <v>6</v>
      </c>
      <c r="CJ174" s="29">
        <f t="shared" ca="1" si="99"/>
        <v>2</v>
      </c>
      <c r="CK174" s="29">
        <f t="shared" ca="1" si="99"/>
        <v>2</v>
      </c>
      <c r="CL174" s="29">
        <f t="shared" ca="1" si="99"/>
        <v>0</v>
      </c>
      <c r="CM174" s="29">
        <f t="shared" ca="1" si="99"/>
        <v>1</v>
      </c>
      <c r="CN174" s="29">
        <f t="shared" ca="1" si="99"/>
        <v>2</v>
      </c>
      <c r="CO174" s="29">
        <f t="shared" ca="1" si="99"/>
        <v>1</v>
      </c>
      <c r="CP174" s="29">
        <f t="shared" ca="1" si="99"/>
        <v>2</v>
      </c>
      <c r="CQ174" s="29">
        <f t="shared" ca="1" si="98"/>
        <v>3</v>
      </c>
      <c r="CR174" s="29">
        <f t="shared" ca="1" si="98"/>
        <v>1</v>
      </c>
      <c r="CS174" s="29">
        <f t="shared" ca="1" si="98"/>
        <v>2</v>
      </c>
      <c r="CT174" s="29">
        <f t="shared" ca="1" si="98"/>
        <v>0</v>
      </c>
      <c r="CU174" s="29">
        <f t="shared" ca="1" si="98"/>
        <v>2</v>
      </c>
      <c r="CV174" s="29">
        <f t="shared" ca="1" si="98"/>
        <v>3</v>
      </c>
      <c r="CW174" s="29">
        <f t="shared" ca="1" si="98"/>
        <v>1</v>
      </c>
      <c r="CX174" s="29">
        <f t="shared" ca="1" si="98"/>
        <v>3</v>
      </c>
      <c r="CY174" s="29">
        <f t="shared" ca="1" si="98"/>
        <v>2</v>
      </c>
      <c r="CZ174" s="29">
        <f t="shared" ca="1" si="98"/>
        <v>2</v>
      </c>
      <c r="DA174" s="29">
        <f t="shared" ca="1" si="98"/>
        <v>2</v>
      </c>
      <c r="DB174" s="29">
        <f t="shared" ca="1" si="98"/>
        <v>1</v>
      </c>
      <c r="DC174" s="29">
        <f t="shared" ca="1" si="98"/>
        <v>2</v>
      </c>
      <c r="DD174" s="29">
        <f t="shared" ca="1" si="98"/>
        <v>3</v>
      </c>
      <c r="DE174" s="29">
        <f t="shared" ca="1" si="98"/>
        <v>2</v>
      </c>
      <c r="DF174" s="29">
        <f t="shared" ca="1" si="97"/>
        <v>1</v>
      </c>
      <c r="DG174" s="29">
        <f t="shared" ca="1" si="97"/>
        <v>0</v>
      </c>
      <c r="DH174" s="29">
        <f t="shared" ca="1" si="97"/>
        <v>2</v>
      </c>
      <c r="DI174" s="29">
        <f t="shared" ca="1" si="97"/>
        <v>1</v>
      </c>
      <c r="DJ174" s="29">
        <f t="shared" ca="1" si="97"/>
        <v>0</v>
      </c>
      <c r="DK174" s="29">
        <f t="shared" ca="1" si="97"/>
        <v>1</v>
      </c>
      <c r="DL174" s="29">
        <f t="shared" ca="1" si="97"/>
        <v>1</v>
      </c>
    </row>
    <row r="175" spans="1:116" ht="14.4" x14ac:dyDescent="0.3">
      <c r="A175" s="31">
        <v>977</v>
      </c>
      <c r="B175" s="28">
        <v>2.25</v>
      </c>
      <c r="C175" s="30">
        <v>28.34</v>
      </c>
      <c r="D175" s="28">
        <v>1.28</v>
      </c>
      <c r="E175" s="34">
        <f t="shared" si="77"/>
        <v>2.5600000000000001E-2</v>
      </c>
      <c r="F175" s="35">
        <f t="shared" si="78"/>
        <v>7.085</v>
      </c>
      <c r="G175" s="34">
        <f t="shared" si="79"/>
        <v>32</v>
      </c>
      <c r="H175" s="33">
        <f t="shared" si="80"/>
        <v>11.073333333333332</v>
      </c>
      <c r="I175" s="28">
        <f t="shared" si="83"/>
        <v>454.25000000000017</v>
      </c>
      <c r="J175" s="32">
        <v>1</v>
      </c>
      <c r="K175" s="30">
        <f t="shared" si="81"/>
        <v>7.085</v>
      </c>
      <c r="L175" s="30"/>
      <c r="M175" s="30"/>
      <c r="N175" s="30"/>
      <c r="O175" s="30"/>
      <c r="Q175" s="29">
        <f t="shared" ca="1" si="82"/>
        <v>6</v>
      </c>
      <c r="R175" s="29">
        <f t="shared" ca="1" si="101"/>
        <v>2</v>
      </c>
      <c r="S175" s="29">
        <f t="shared" ca="1" si="101"/>
        <v>1</v>
      </c>
      <c r="T175" s="29">
        <f t="shared" ca="1" si="101"/>
        <v>1</v>
      </c>
      <c r="U175" s="29">
        <f t="shared" ca="1" si="101"/>
        <v>3</v>
      </c>
      <c r="V175" s="29">
        <f t="shared" ca="1" si="101"/>
        <v>1</v>
      </c>
      <c r="W175" s="29">
        <f t="shared" ca="1" si="101"/>
        <v>3</v>
      </c>
      <c r="X175" s="29">
        <f t="shared" ca="1" si="101"/>
        <v>3</v>
      </c>
      <c r="Y175" s="29">
        <f t="shared" ca="1" si="101"/>
        <v>1</v>
      </c>
      <c r="Z175" s="29">
        <f t="shared" ca="1" si="101"/>
        <v>1</v>
      </c>
      <c r="AA175" s="29">
        <f t="shared" ca="1" si="101"/>
        <v>0</v>
      </c>
      <c r="AB175" s="29">
        <f t="shared" ca="1" si="101"/>
        <v>2</v>
      </c>
      <c r="AC175" s="29">
        <f t="shared" ca="1" si="101"/>
        <v>0</v>
      </c>
      <c r="AD175" s="29">
        <f t="shared" ca="1" si="101"/>
        <v>1</v>
      </c>
      <c r="AE175" s="29">
        <f t="shared" ca="1" si="101"/>
        <v>2</v>
      </c>
      <c r="AF175" s="29">
        <f t="shared" ca="1" si="101"/>
        <v>0</v>
      </c>
      <c r="AG175" s="29">
        <f t="shared" ca="1" si="100"/>
        <v>1</v>
      </c>
      <c r="AH175" s="29">
        <f t="shared" ca="1" si="100"/>
        <v>1</v>
      </c>
      <c r="AI175" s="29">
        <f t="shared" ca="1" si="100"/>
        <v>3</v>
      </c>
      <c r="AJ175" s="29">
        <f t="shared" ca="1" si="100"/>
        <v>0</v>
      </c>
      <c r="AK175" s="29">
        <f t="shared" ca="1" si="100"/>
        <v>0</v>
      </c>
      <c r="AL175" s="29">
        <f t="shared" ca="1" si="100"/>
        <v>3</v>
      </c>
      <c r="AM175" s="29">
        <f t="shared" ca="1" si="100"/>
        <v>2</v>
      </c>
      <c r="AN175" s="29">
        <f t="shared" ca="1" si="100"/>
        <v>0</v>
      </c>
      <c r="AO175" s="29">
        <f t="shared" ca="1" si="100"/>
        <v>1</v>
      </c>
      <c r="AP175" s="29">
        <f t="shared" ca="1" si="100"/>
        <v>1</v>
      </c>
      <c r="AQ175" s="29">
        <f t="shared" ca="1" si="100"/>
        <v>1</v>
      </c>
      <c r="AR175" s="29">
        <f t="shared" ca="1" si="100"/>
        <v>0</v>
      </c>
      <c r="AS175" s="29">
        <f t="shared" ca="1" si="100"/>
        <v>3</v>
      </c>
      <c r="AT175" s="29">
        <f t="shared" ca="1" si="100"/>
        <v>2</v>
      </c>
      <c r="AU175" s="29">
        <f t="shared" ca="1" si="100"/>
        <v>1</v>
      </c>
      <c r="AV175" s="29">
        <f t="shared" ca="1" si="103"/>
        <v>1</v>
      </c>
      <c r="AW175" s="29">
        <f t="shared" ca="1" si="103"/>
        <v>3</v>
      </c>
      <c r="AX175" s="29">
        <f t="shared" ca="1" si="103"/>
        <v>2</v>
      </c>
      <c r="AY175" s="29">
        <f t="shared" ca="1" si="103"/>
        <v>2</v>
      </c>
      <c r="AZ175" s="29">
        <f t="shared" ca="1" si="103"/>
        <v>1</v>
      </c>
      <c r="BA175" s="29">
        <f t="shared" ca="1" si="103"/>
        <v>2</v>
      </c>
      <c r="BB175" s="29">
        <f t="shared" ca="1" si="103"/>
        <v>2</v>
      </c>
      <c r="BC175" s="29">
        <f t="shared" ca="1" si="103"/>
        <v>0</v>
      </c>
      <c r="BD175" s="29">
        <f t="shared" ca="1" si="103"/>
        <v>2</v>
      </c>
      <c r="BE175" s="29">
        <f t="shared" ca="1" si="103"/>
        <v>1</v>
      </c>
      <c r="BF175" s="29">
        <f t="shared" ca="1" si="103"/>
        <v>1</v>
      </c>
      <c r="BG175" s="29">
        <f t="shared" ca="1" si="103"/>
        <v>1</v>
      </c>
      <c r="BH175" s="29">
        <f t="shared" ca="1" si="103"/>
        <v>1</v>
      </c>
      <c r="BI175" s="29">
        <f t="shared" ca="1" si="103"/>
        <v>2</v>
      </c>
      <c r="BJ175" s="29">
        <f t="shared" ca="1" si="103"/>
        <v>1</v>
      </c>
      <c r="BK175" s="29">
        <f t="shared" ca="1" si="103"/>
        <v>1</v>
      </c>
      <c r="BL175" s="29">
        <f t="shared" ca="1" si="102"/>
        <v>0</v>
      </c>
      <c r="BM175" s="29">
        <f t="shared" ca="1" si="102"/>
        <v>1</v>
      </c>
      <c r="BN175" s="29">
        <f t="shared" ca="1" si="102"/>
        <v>1</v>
      </c>
      <c r="BO175" s="29">
        <f t="shared" ca="1" si="102"/>
        <v>0</v>
      </c>
      <c r="BP175" s="29">
        <f t="shared" ca="1" si="102"/>
        <v>1</v>
      </c>
      <c r="BQ175" s="29">
        <f t="shared" ca="1" si="102"/>
        <v>1</v>
      </c>
      <c r="BR175" s="29">
        <f t="shared" ca="1" si="102"/>
        <v>1</v>
      </c>
      <c r="BS175" s="29">
        <f t="shared" ca="1" si="102"/>
        <v>0</v>
      </c>
      <c r="BT175" s="29">
        <f t="shared" ca="1" si="102"/>
        <v>2</v>
      </c>
      <c r="BU175" s="29">
        <f t="shared" ca="1" si="102"/>
        <v>1</v>
      </c>
      <c r="BV175" s="29">
        <f t="shared" ca="1" si="102"/>
        <v>2</v>
      </c>
      <c r="BW175" s="29">
        <f t="shared" ca="1" si="102"/>
        <v>4</v>
      </c>
      <c r="BX175" s="29">
        <f t="shared" ca="1" si="102"/>
        <v>0</v>
      </c>
      <c r="BY175" s="29">
        <f t="shared" ca="1" si="102"/>
        <v>2</v>
      </c>
      <c r="BZ175" s="29">
        <f t="shared" ca="1" si="102"/>
        <v>3</v>
      </c>
      <c r="CA175" s="29">
        <f t="shared" ca="1" si="99"/>
        <v>1</v>
      </c>
      <c r="CB175" s="29">
        <f t="shared" ca="1" si="99"/>
        <v>1</v>
      </c>
      <c r="CC175" s="29">
        <f t="shared" ca="1" si="99"/>
        <v>1</v>
      </c>
      <c r="CD175" s="29">
        <f t="shared" ca="1" si="99"/>
        <v>1</v>
      </c>
      <c r="CE175" s="29">
        <f t="shared" ca="1" si="99"/>
        <v>1</v>
      </c>
      <c r="CF175" s="29">
        <f t="shared" ca="1" si="99"/>
        <v>2</v>
      </c>
      <c r="CG175" s="29">
        <f t="shared" ca="1" si="99"/>
        <v>1</v>
      </c>
      <c r="CH175" s="29">
        <f t="shared" ca="1" si="99"/>
        <v>1</v>
      </c>
      <c r="CI175" s="29">
        <f t="shared" ca="1" si="99"/>
        <v>2</v>
      </c>
      <c r="CJ175" s="29">
        <f t="shared" ca="1" si="99"/>
        <v>4</v>
      </c>
      <c r="CK175" s="29">
        <f t="shared" ca="1" si="99"/>
        <v>2</v>
      </c>
      <c r="CL175" s="29">
        <f t="shared" ca="1" si="99"/>
        <v>1</v>
      </c>
      <c r="CM175" s="29">
        <f t="shared" ca="1" si="99"/>
        <v>1</v>
      </c>
      <c r="CN175" s="29">
        <f t="shared" ca="1" si="99"/>
        <v>1</v>
      </c>
      <c r="CO175" s="29">
        <f t="shared" ca="1" si="99"/>
        <v>1</v>
      </c>
      <c r="CP175" s="29">
        <f t="shared" ca="1" si="99"/>
        <v>1</v>
      </c>
      <c r="CQ175" s="29">
        <f t="shared" ca="1" si="98"/>
        <v>1</v>
      </c>
      <c r="CR175" s="29">
        <f t="shared" ca="1" si="98"/>
        <v>1</v>
      </c>
      <c r="CS175" s="29">
        <f t="shared" ca="1" si="98"/>
        <v>1</v>
      </c>
      <c r="CT175" s="29">
        <f t="shared" ca="1" si="98"/>
        <v>1</v>
      </c>
      <c r="CU175" s="29">
        <f t="shared" ca="1" si="98"/>
        <v>1</v>
      </c>
      <c r="CV175" s="29">
        <f t="shared" ca="1" si="98"/>
        <v>0</v>
      </c>
      <c r="CW175" s="29">
        <f t="shared" ca="1" si="98"/>
        <v>0</v>
      </c>
      <c r="CX175" s="29">
        <f t="shared" ca="1" si="98"/>
        <v>1</v>
      </c>
      <c r="CY175" s="29">
        <f t="shared" ca="1" si="98"/>
        <v>1</v>
      </c>
      <c r="CZ175" s="29">
        <f t="shared" ca="1" si="98"/>
        <v>1</v>
      </c>
      <c r="DA175" s="29">
        <f t="shared" ca="1" si="98"/>
        <v>1</v>
      </c>
      <c r="DB175" s="29">
        <f t="shared" ca="1" si="98"/>
        <v>2</v>
      </c>
      <c r="DC175" s="29">
        <f t="shared" ca="1" si="98"/>
        <v>0</v>
      </c>
      <c r="DD175" s="29">
        <f t="shared" ca="1" si="98"/>
        <v>1</v>
      </c>
      <c r="DE175" s="29">
        <f t="shared" ca="1" si="98"/>
        <v>0</v>
      </c>
      <c r="DF175" s="29">
        <f t="shared" ca="1" si="97"/>
        <v>1</v>
      </c>
      <c r="DG175" s="29">
        <f t="shared" ca="1" si="97"/>
        <v>0</v>
      </c>
      <c r="DH175" s="29">
        <f t="shared" ca="1" si="97"/>
        <v>1</v>
      </c>
      <c r="DI175" s="29">
        <f t="shared" ca="1" si="97"/>
        <v>3</v>
      </c>
      <c r="DJ175" s="29">
        <f t="shared" ca="1" si="97"/>
        <v>0</v>
      </c>
      <c r="DK175" s="29">
        <f t="shared" ca="1" si="97"/>
        <v>0</v>
      </c>
      <c r="DL175" s="29">
        <f t="shared" ca="1" si="97"/>
        <v>1</v>
      </c>
    </row>
    <row r="176" spans="1:116" ht="14.4" x14ac:dyDescent="0.3">
      <c r="A176" s="31">
        <v>98</v>
      </c>
      <c r="B176" s="28">
        <v>6.33</v>
      </c>
      <c r="C176" s="30">
        <v>16</v>
      </c>
      <c r="D176" s="28">
        <v>2.96</v>
      </c>
      <c r="E176" s="34">
        <f t="shared" si="77"/>
        <v>5.9200000000000003E-2</v>
      </c>
      <c r="F176" s="35">
        <f t="shared" si="78"/>
        <v>4</v>
      </c>
      <c r="G176" s="34">
        <f t="shared" si="79"/>
        <v>74</v>
      </c>
      <c r="H176" s="33">
        <f t="shared" si="80"/>
        <v>11.058451816745656</v>
      </c>
      <c r="I176" s="28">
        <f t="shared" si="83"/>
        <v>460.58000000000015</v>
      </c>
      <c r="J176" s="32">
        <v>1</v>
      </c>
      <c r="K176" s="30">
        <f t="shared" si="81"/>
        <v>4</v>
      </c>
      <c r="L176" s="30"/>
      <c r="M176" s="30"/>
      <c r="N176" s="30"/>
      <c r="O176" s="30"/>
      <c r="Q176" s="29">
        <f t="shared" ca="1" si="82"/>
        <v>4</v>
      </c>
      <c r="R176" s="29">
        <f t="shared" ca="1" si="101"/>
        <v>3</v>
      </c>
      <c r="S176" s="29">
        <f t="shared" ca="1" si="101"/>
        <v>2</v>
      </c>
      <c r="T176" s="29">
        <f t="shared" ca="1" si="101"/>
        <v>3</v>
      </c>
      <c r="U176" s="29">
        <f t="shared" ca="1" si="101"/>
        <v>4</v>
      </c>
      <c r="V176" s="29">
        <f t="shared" ca="1" si="101"/>
        <v>1</v>
      </c>
      <c r="W176" s="29">
        <f t="shared" ca="1" si="101"/>
        <v>6</v>
      </c>
      <c r="X176" s="29">
        <f t="shared" ca="1" si="101"/>
        <v>4</v>
      </c>
      <c r="Y176" s="29">
        <f t="shared" ca="1" si="101"/>
        <v>5</v>
      </c>
      <c r="Z176" s="29">
        <f t="shared" ca="1" si="101"/>
        <v>0</v>
      </c>
      <c r="AA176" s="29">
        <f t="shared" ca="1" si="101"/>
        <v>4</v>
      </c>
      <c r="AB176" s="29">
        <f t="shared" ca="1" si="101"/>
        <v>1</v>
      </c>
      <c r="AC176" s="29">
        <f t="shared" ca="1" si="101"/>
        <v>1</v>
      </c>
      <c r="AD176" s="29">
        <f t="shared" ca="1" si="101"/>
        <v>1</v>
      </c>
      <c r="AE176" s="29">
        <f t="shared" ca="1" si="101"/>
        <v>5</v>
      </c>
      <c r="AF176" s="29">
        <f t="shared" ca="1" si="101"/>
        <v>2</v>
      </c>
      <c r="AG176" s="29">
        <f t="shared" ca="1" si="100"/>
        <v>4</v>
      </c>
      <c r="AH176" s="29">
        <f t="shared" ca="1" si="100"/>
        <v>2</v>
      </c>
      <c r="AI176" s="29">
        <f t="shared" ca="1" si="100"/>
        <v>2</v>
      </c>
      <c r="AJ176" s="29">
        <f t="shared" ca="1" si="100"/>
        <v>3</v>
      </c>
      <c r="AK176" s="29">
        <f t="shared" ca="1" si="100"/>
        <v>4</v>
      </c>
      <c r="AL176" s="29">
        <f t="shared" ca="1" si="100"/>
        <v>6</v>
      </c>
      <c r="AM176" s="29">
        <f t="shared" ca="1" si="100"/>
        <v>4</v>
      </c>
      <c r="AN176" s="29">
        <f t="shared" ca="1" si="100"/>
        <v>1</v>
      </c>
      <c r="AO176" s="29">
        <f t="shared" ca="1" si="100"/>
        <v>3</v>
      </c>
      <c r="AP176" s="29">
        <f t="shared" ca="1" si="100"/>
        <v>7</v>
      </c>
      <c r="AQ176" s="29">
        <f t="shared" ca="1" si="100"/>
        <v>1</v>
      </c>
      <c r="AR176" s="29">
        <f t="shared" ca="1" si="100"/>
        <v>2</v>
      </c>
      <c r="AS176" s="29">
        <f t="shared" ca="1" si="100"/>
        <v>2</v>
      </c>
      <c r="AT176" s="29">
        <f t="shared" ca="1" si="100"/>
        <v>2</v>
      </c>
      <c r="AU176" s="29">
        <f t="shared" ca="1" si="100"/>
        <v>2</v>
      </c>
      <c r="AV176" s="29">
        <f t="shared" ca="1" si="103"/>
        <v>5</v>
      </c>
      <c r="AW176" s="29">
        <f t="shared" ca="1" si="103"/>
        <v>3</v>
      </c>
      <c r="AX176" s="29">
        <f t="shared" ca="1" si="103"/>
        <v>2</v>
      </c>
      <c r="AY176" s="29">
        <f t="shared" ca="1" si="103"/>
        <v>1</v>
      </c>
      <c r="AZ176" s="29">
        <f t="shared" ca="1" si="103"/>
        <v>1</v>
      </c>
      <c r="BA176" s="29">
        <f t="shared" ca="1" si="103"/>
        <v>3</v>
      </c>
      <c r="BB176" s="29">
        <f t="shared" ca="1" si="103"/>
        <v>1</v>
      </c>
      <c r="BC176" s="29">
        <f t="shared" ca="1" si="103"/>
        <v>3</v>
      </c>
      <c r="BD176" s="29">
        <f t="shared" ca="1" si="103"/>
        <v>4</v>
      </c>
      <c r="BE176" s="29">
        <f t="shared" ca="1" si="103"/>
        <v>2</v>
      </c>
      <c r="BF176" s="29">
        <f t="shared" ca="1" si="103"/>
        <v>6</v>
      </c>
      <c r="BG176" s="29">
        <f t="shared" ca="1" si="103"/>
        <v>1</v>
      </c>
      <c r="BH176" s="29">
        <f t="shared" ca="1" si="103"/>
        <v>5</v>
      </c>
      <c r="BI176" s="29">
        <f t="shared" ca="1" si="103"/>
        <v>3</v>
      </c>
      <c r="BJ176" s="29">
        <f t="shared" ca="1" si="103"/>
        <v>4</v>
      </c>
      <c r="BK176" s="29">
        <f t="shared" ca="1" si="103"/>
        <v>5</v>
      </c>
      <c r="BL176" s="29">
        <f t="shared" ca="1" si="102"/>
        <v>4</v>
      </c>
      <c r="BM176" s="29">
        <f t="shared" ca="1" si="102"/>
        <v>2</v>
      </c>
      <c r="BN176" s="29">
        <f t="shared" ca="1" si="102"/>
        <v>2</v>
      </c>
      <c r="BO176" s="29">
        <f t="shared" ca="1" si="102"/>
        <v>2</v>
      </c>
      <c r="BP176" s="29">
        <f t="shared" ca="1" si="102"/>
        <v>3</v>
      </c>
      <c r="BQ176" s="29">
        <f t="shared" ca="1" si="102"/>
        <v>0</v>
      </c>
      <c r="BR176" s="29">
        <f t="shared" ca="1" si="102"/>
        <v>4</v>
      </c>
      <c r="BS176" s="29">
        <f t="shared" ca="1" si="102"/>
        <v>3</v>
      </c>
      <c r="BT176" s="29">
        <f t="shared" ca="1" si="102"/>
        <v>2</v>
      </c>
      <c r="BU176" s="29">
        <f t="shared" ca="1" si="102"/>
        <v>5</v>
      </c>
      <c r="BV176" s="29">
        <f t="shared" ca="1" si="102"/>
        <v>6</v>
      </c>
      <c r="BW176" s="29">
        <f t="shared" ca="1" si="102"/>
        <v>4</v>
      </c>
      <c r="BX176" s="29">
        <f t="shared" ca="1" si="102"/>
        <v>1</v>
      </c>
      <c r="BY176" s="29">
        <f t="shared" ca="1" si="102"/>
        <v>4</v>
      </c>
      <c r="BZ176" s="29">
        <f t="shared" ca="1" si="102"/>
        <v>2</v>
      </c>
      <c r="CA176" s="29">
        <f t="shared" ca="1" si="99"/>
        <v>2</v>
      </c>
      <c r="CB176" s="29">
        <f t="shared" ca="1" si="99"/>
        <v>5</v>
      </c>
      <c r="CC176" s="29">
        <f t="shared" ca="1" si="99"/>
        <v>4</v>
      </c>
      <c r="CD176" s="29">
        <f t="shared" ca="1" si="99"/>
        <v>2</v>
      </c>
      <c r="CE176" s="29">
        <f t="shared" ca="1" si="99"/>
        <v>5</v>
      </c>
      <c r="CF176" s="29">
        <f t="shared" ca="1" si="99"/>
        <v>3</v>
      </c>
      <c r="CG176" s="29">
        <f t="shared" ca="1" si="99"/>
        <v>1</v>
      </c>
      <c r="CH176" s="29">
        <f t="shared" ca="1" si="99"/>
        <v>3</v>
      </c>
      <c r="CI176" s="29">
        <f t="shared" ca="1" si="99"/>
        <v>3</v>
      </c>
      <c r="CJ176" s="29">
        <f t="shared" ca="1" si="99"/>
        <v>4</v>
      </c>
      <c r="CK176" s="29">
        <f t="shared" ca="1" si="99"/>
        <v>2</v>
      </c>
      <c r="CL176" s="29">
        <f t="shared" ca="1" si="99"/>
        <v>4</v>
      </c>
      <c r="CM176" s="29">
        <f t="shared" ca="1" si="99"/>
        <v>4</v>
      </c>
      <c r="CN176" s="29">
        <f t="shared" ca="1" si="99"/>
        <v>2</v>
      </c>
      <c r="CO176" s="29">
        <f t="shared" ca="1" si="99"/>
        <v>2</v>
      </c>
      <c r="CP176" s="29">
        <f t="shared" ca="1" si="99"/>
        <v>3</v>
      </c>
      <c r="CQ176" s="29">
        <f t="shared" ca="1" si="98"/>
        <v>2</v>
      </c>
      <c r="CR176" s="29">
        <f t="shared" ca="1" si="98"/>
        <v>2</v>
      </c>
      <c r="CS176" s="29">
        <f t="shared" ca="1" si="98"/>
        <v>6</v>
      </c>
      <c r="CT176" s="29">
        <f t="shared" ca="1" si="98"/>
        <v>0</v>
      </c>
      <c r="CU176" s="29">
        <f t="shared" ca="1" si="98"/>
        <v>4</v>
      </c>
      <c r="CV176" s="29">
        <f t="shared" ca="1" si="98"/>
        <v>2</v>
      </c>
      <c r="CW176" s="29">
        <f t="shared" ca="1" si="98"/>
        <v>2</v>
      </c>
      <c r="CX176" s="29">
        <f t="shared" ca="1" si="98"/>
        <v>3</v>
      </c>
      <c r="CY176" s="29">
        <f t="shared" ca="1" si="98"/>
        <v>1</v>
      </c>
      <c r="CZ176" s="29">
        <f t="shared" ca="1" si="98"/>
        <v>2</v>
      </c>
      <c r="DA176" s="29">
        <f t="shared" ca="1" si="98"/>
        <v>5</v>
      </c>
      <c r="DB176" s="29">
        <f t="shared" ca="1" si="98"/>
        <v>4</v>
      </c>
      <c r="DC176" s="29">
        <f t="shared" ca="1" si="98"/>
        <v>2</v>
      </c>
      <c r="DD176" s="29">
        <f t="shared" ca="1" si="98"/>
        <v>3</v>
      </c>
      <c r="DE176" s="29">
        <f t="shared" ca="1" si="98"/>
        <v>3</v>
      </c>
      <c r="DF176" s="29">
        <f t="shared" ca="1" si="97"/>
        <v>4</v>
      </c>
      <c r="DG176" s="29">
        <f t="shared" ca="1" si="97"/>
        <v>5</v>
      </c>
      <c r="DH176" s="29">
        <f t="shared" ca="1" si="97"/>
        <v>1</v>
      </c>
      <c r="DI176" s="29">
        <f t="shared" ca="1" si="97"/>
        <v>0</v>
      </c>
      <c r="DJ176" s="29">
        <f t="shared" ca="1" si="97"/>
        <v>3</v>
      </c>
      <c r="DK176" s="29">
        <f t="shared" ca="1" si="97"/>
        <v>7</v>
      </c>
      <c r="DL176" s="29">
        <f t="shared" ca="1" si="97"/>
        <v>2</v>
      </c>
    </row>
    <row r="177" spans="1:116" ht="14.4" x14ac:dyDescent="0.3">
      <c r="A177" s="31">
        <v>148</v>
      </c>
      <c r="B177" s="28">
        <v>5.94</v>
      </c>
      <c r="C177" s="30">
        <v>7.93</v>
      </c>
      <c r="D177" s="28">
        <v>2.7</v>
      </c>
      <c r="E177" s="34">
        <f t="shared" si="77"/>
        <v>5.4000000000000006E-2</v>
      </c>
      <c r="F177" s="35">
        <f t="shared" si="78"/>
        <v>1.9824999999999999</v>
      </c>
      <c r="G177" s="34">
        <f t="shared" si="79"/>
        <v>67.5</v>
      </c>
      <c r="H177" s="33">
        <f t="shared" si="80"/>
        <v>11.029882154882154</v>
      </c>
      <c r="I177" s="28">
        <f t="shared" si="83"/>
        <v>466.52000000000015</v>
      </c>
      <c r="J177" s="32">
        <v>1</v>
      </c>
      <c r="K177" s="30">
        <f t="shared" si="81"/>
        <v>1.9824999999999999</v>
      </c>
      <c r="L177" s="30"/>
      <c r="M177" s="30"/>
      <c r="N177" s="30"/>
      <c r="O177" s="30"/>
      <c r="Q177" s="29">
        <f t="shared" ca="1" si="82"/>
        <v>2</v>
      </c>
      <c r="R177" s="29">
        <f t="shared" ca="1" si="101"/>
        <v>0</v>
      </c>
      <c r="S177" s="29">
        <f t="shared" ca="1" si="101"/>
        <v>2</v>
      </c>
      <c r="T177" s="29">
        <f t="shared" ca="1" si="101"/>
        <v>5</v>
      </c>
      <c r="U177" s="29">
        <f t="shared" ca="1" si="101"/>
        <v>4</v>
      </c>
      <c r="V177" s="29">
        <f t="shared" ca="1" si="101"/>
        <v>4</v>
      </c>
      <c r="W177" s="29">
        <f t="shared" ca="1" si="101"/>
        <v>4</v>
      </c>
      <c r="X177" s="29">
        <f t="shared" ca="1" si="101"/>
        <v>2</v>
      </c>
      <c r="Y177" s="29">
        <f t="shared" ca="1" si="101"/>
        <v>4</v>
      </c>
      <c r="Z177" s="29">
        <f t="shared" ca="1" si="101"/>
        <v>4</v>
      </c>
      <c r="AA177" s="29">
        <f t="shared" ca="1" si="101"/>
        <v>5</v>
      </c>
      <c r="AB177" s="29">
        <f t="shared" ca="1" si="101"/>
        <v>2</v>
      </c>
      <c r="AC177" s="29">
        <f t="shared" ca="1" si="101"/>
        <v>1</v>
      </c>
      <c r="AD177" s="29">
        <f t="shared" ca="1" si="101"/>
        <v>5</v>
      </c>
      <c r="AE177" s="29">
        <f t="shared" ca="1" si="101"/>
        <v>1</v>
      </c>
      <c r="AF177" s="29">
        <f t="shared" ca="1" si="101"/>
        <v>3</v>
      </c>
      <c r="AG177" s="29">
        <f t="shared" ca="1" si="100"/>
        <v>1</v>
      </c>
      <c r="AH177" s="29">
        <f t="shared" ca="1" si="100"/>
        <v>5</v>
      </c>
      <c r="AI177" s="29">
        <f t="shared" ca="1" si="100"/>
        <v>3</v>
      </c>
      <c r="AJ177" s="29">
        <f t="shared" ca="1" si="100"/>
        <v>4</v>
      </c>
      <c r="AK177" s="29">
        <f t="shared" ca="1" si="100"/>
        <v>0</v>
      </c>
      <c r="AL177" s="29">
        <f t="shared" ca="1" si="100"/>
        <v>2</v>
      </c>
      <c r="AM177" s="29">
        <f t="shared" ca="1" si="100"/>
        <v>1</v>
      </c>
      <c r="AN177" s="29">
        <f t="shared" ca="1" si="100"/>
        <v>2</v>
      </c>
      <c r="AO177" s="29">
        <f t="shared" ca="1" si="100"/>
        <v>6</v>
      </c>
      <c r="AP177" s="29">
        <f t="shared" ca="1" si="100"/>
        <v>6</v>
      </c>
      <c r="AQ177" s="29">
        <f t="shared" ca="1" si="100"/>
        <v>0</v>
      </c>
      <c r="AR177" s="29">
        <f t="shared" ca="1" si="100"/>
        <v>4</v>
      </c>
      <c r="AS177" s="29">
        <f t="shared" ca="1" si="100"/>
        <v>6</v>
      </c>
      <c r="AT177" s="29">
        <f t="shared" ca="1" si="100"/>
        <v>2</v>
      </c>
      <c r="AU177" s="29">
        <f t="shared" ca="1" si="100"/>
        <v>1</v>
      </c>
      <c r="AV177" s="29">
        <f t="shared" ca="1" si="103"/>
        <v>4</v>
      </c>
      <c r="AW177" s="29">
        <f t="shared" ca="1" si="103"/>
        <v>2</v>
      </c>
      <c r="AX177" s="29">
        <f t="shared" ca="1" si="103"/>
        <v>2</v>
      </c>
      <c r="AY177" s="29">
        <f t="shared" ca="1" si="103"/>
        <v>2</v>
      </c>
      <c r="AZ177" s="29">
        <f t="shared" ca="1" si="103"/>
        <v>5</v>
      </c>
      <c r="BA177" s="29">
        <f t="shared" ca="1" si="103"/>
        <v>3</v>
      </c>
      <c r="BB177" s="29">
        <f t="shared" ca="1" si="103"/>
        <v>4</v>
      </c>
      <c r="BC177" s="29">
        <f t="shared" ca="1" si="103"/>
        <v>2</v>
      </c>
      <c r="BD177" s="29">
        <f t="shared" ca="1" si="103"/>
        <v>2</v>
      </c>
      <c r="BE177" s="29">
        <f t="shared" ca="1" si="103"/>
        <v>2</v>
      </c>
      <c r="BF177" s="29">
        <f t="shared" ca="1" si="103"/>
        <v>3</v>
      </c>
      <c r="BG177" s="29">
        <f t="shared" ca="1" si="103"/>
        <v>1</v>
      </c>
      <c r="BH177" s="29">
        <f t="shared" ca="1" si="103"/>
        <v>3</v>
      </c>
      <c r="BI177" s="29">
        <f t="shared" ca="1" si="103"/>
        <v>1</v>
      </c>
      <c r="BJ177" s="29">
        <f t="shared" ca="1" si="103"/>
        <v>1</v>
      </c>
      <c r="BK177" s="29">
        <f t="shared" ca="1" si="103"/>
        <v>1</v>
      </c>
      <c r="BL177" s="29">
        <f t="shared" ca="1" si="102"/>
        <v>0</v>
      </c>
      <c r="BM177" s="29">
        <f t="shared" ca="1" si="102"/>
        <v>5</v>
      </c>
      <c r="BN177" s="29">
        <f t="shared" ca="1" si="102"/>
        <v>4</v>
      </c>
      <c r="BO177" s="29">
        <f t="shared" ca="1" si="102"/>
        <v>5</v>
      </c>
      <c r="BP177" s="29">
        <f t="shared" ca="1" si="102"/>
        <v>1</v>
      </c>
      <c r="BQ177" s="29">
        <f t="shared" ca="1" si="102"/>
        <v>2</v>
      </c>
      <c r="BR177" s="29">
        <f t="shared" ca="1" si="102"/>
        <v>4</v>
      </c>
      <c r="BS177" s="29">
        <f t="shared" ca="1" si="102"/>
        <v>1</v>
      </c>
      <c r="BT177" s="29">
        <f t="shared" ca="1" si="102"/>
        <v>6</v>
      </c>
      <c r="BU177" s="29">
        <f t="shared" ca="1" si="102"/>
        <v>0</v>
      </c>
      <c r="BV177" s="29">
        <f t="shared" ca="1" si="102"/>
        <v>4</v>
      </c>
      <c r="BW177" s="29">
        <f t="shared" ca="1" si="102"/>
        <v>3</v>
      </c>
      <c r="BX177" s="29">
        <f t="shared" ca="1" si="102"/>
        <v>1</v>
      </c>
      <c r="BY177" s="29">
        <f t="shared" ca="1" si="102"/>
        <v>2</v>
      </c>
      <c r="BZ177" s="29">
        <f t="shared" ca="1" si="102"/>
        <v>5</v>
      </c>
      <c r="CA177" s="29">
        <f t="shared" ca="1" si="99"/>
        <v>0</v>
      </c>
      <c r="CB177" s="29">
        <f t="shared" ca="1" si="99"/>
        <v>4</v>
      </c>
      <c r="CC177" s="29">
        <f t="shared" ca="1" si="99"/>
        <v>0</v>
      </c>
      <c r="CD177" s="29">
        <f t="shared" ca="1" si="99"/>
        <v>2</v>
      </c>
      <c r="CE177" s="29">
        <f t="shared" ca="1" si="99"/>
        <v>3</v>
      </c>
      <c r="CF177" s="29">
        <f t="shared" ca="1" si="99"/>
        <v>2</v>
      </c>
      <c r="CG177" s="29">
        <f t="shared" ca="1" si="99"/>
        <v>3</v>
      </c>
      <c r="CH177" s="29">
        <f t="shared" ca="1" si="99"/>
        <v>2</v>
      </c>
      <c r="CI177" s="29">
        <f t="shared" ca="1" si="99"/>
        <v>4</v>
      </c>
      <c r="CJ177" s="29">
        <f t="shared" ca="1" si="99"/>
        <v>1</v>
      </c>
      <c r="CK177" s="29">
        <f t="shared" ca="1" si="99"/>
        <v>2</v>
      </c>
      <c r="CL177" s="29">
        <f t="shared" ca="1" si="99"/>
        <v>3</v>
      </c>
      <c r="CM177" s="29">
        <f t="shared" ca="1" si="99"/>
        <v>3</v>
      </c>
      <c r="CN177" s="29">
        <f t="shared" ca="1" si="99"/>
        <v>2</v>
      </c>
      <c r="CO177" s="29">
        <f t="shared" ca="1" si="99"/>
        <v>5</v>
      </c>
      <c r="CP177" s="29">
        <f t="shared" ca="1" si="99"/>
        <v>4</v>
      </c>
      <c r="CQ177" s="29">
        <f t="shared" ca="1" si="98"/>
        <v>0</v>
      </c>
      <c r="CR177" s="29">
        <f t="shared" ca="1" si="98"/>
        <v>2</v>
      </c>
      <c r="CS177" s="29">
        <f t="shared" ca="1" si="98"/>
        <v>2</v>
      </c>
      <c r="CT177" s="29">
        <f t="shared" ca="1" si="98"/>
        <v>4</v>
      </c>
      <c r="CU177" s="29">
        <f t="shared" ca="1" si="98"/>
        <v>4</v>
      </c>
      <c r="CV177" s="29">
        <f t="shared" ca="1" si="98"/>
        <v>3</v>
      </c>
      <c r="CW177" s="29">
        <f t="shared" ca="1" si="98"/>
        <v>3</v>
      </c>
      <c r="CX177" s="29">
        <f t="shared" ca="1" si="98"/>
        <v>4</v>
      </c>
      <c r="CY177" s="29">
        <f t="shared" ca="1" si="98"/>
        <v>1</v>
      </c>
      <c r="CZ177" s="29">
        <f t="shared" ca="1" si="98"/>
        <v>3</v>
      </c>
      <c r="DA177" s="29">
        <f t="shared" ca="1" si="98"/>
        <v>1</v>
      </c>
      <c r="DB177" s="29">
        <f t="shared" ca="1" si="98"/>
        <v>4</v>
      </c>
      <c r="DC177" s="29">
        <f t="shared" ca="1" si="98"/>
        <v>0</v>
      </c>
      <c r="DD177" s="29">
        <f t="shared" ca="1" si="98"/>
        <v>6</v>
      </c>
      <c r="DE177" s="29">
        <f t="shared" ca="1" si="98"/>
        <v>2</v>
      </c>
      <c r="DF177" s="29">
        <f t="shared" ca="1" si="97"/>
        <v>2</v>
      </c>
      <c r="DG177" s="29">
        <f t="shared" ca="1" si="97"/>
        <v>1</v>
      </c>
      <c r="DH177" s="29">
        <f t="shared" ca="1" si="97"/>
        <v>1</v>
      </c>
      <c r="DI177" s="29">
        <f t="shared" ca="1" si="97"/>
        <v>4</v>
      </c>
      <c r="DJ177" s="29">
        <f t="shared" ca="1" si="97"/>
        <v>2</v>
      </c>
      <c r="DK177" s="29">
        <f t="shared" ca="1" si="97"/>
        <v>1</v>
      </c>
      <c r="DL177" s="29">
        <f t="shared" ca="1" si="97"/>
        <v>2</v>
      </c>
    </row>
    <row r="178" spans="1:116" ht="14.4" x14ac:dyDescent="0.3">
      <c r="A178" s="31">
        <v>1047</v>
      </c>
      <c r="B178" s="28">
        <v>2.29</v>
      </c>
      <c r="C178" s="30">
        <v>57.06</v>
      </c>
      <c r="D178" s="28">
        <v>1.58</v>
      </c>
      <c r="E178" s="34">
        <f t="shared" si="77"/>
        <v>3.1600000000000003E-2</v>
      </c>
      <c r="F178" s="35">
        <f t="shared" si="78"/>
        <v>14.265000000000001</v>
      </c>
      <c r="G178" s="34">
        <f t="shared" si="79"/>
        <v>39.5</v>
      </c>
      <c r="H178" s="33">
        <f t="shared" si="80"/>
        <v>11.019650655021834</v>
      </c>
      <c r="I178" s="28">
        <f t="shared" si="83"/>
        <v>468.81000000000017</v>
      </c>
      <c r="J178" s="32">
        <v>1</v>
      </c>
      <c r="K178" s="30">
        <f t="shared" si="81"/>
        <v>14.265000000000001</v>
      </c>
      <c r="L178" s="30"/>
      <c r="M178" s="30"/>
      <c r="N178" s="30"/>
      <c r="O178" s="30"/>
      <c r="Q178" s="29">
        <f t="shared" ca="1" si="82"/>
        <v>0</v>
      </c>
      <c r="R178" s="29">
        <f t="shared" ca="1" si="101"/>
        <v>2</v>
      </c>
      <c r="S178" s="29">
        <f t="shared" ca="1" si="101"/>
        <v>0</v>
      </c>
      <c r="T178" s="29">
        <f t="shared" ca="1" si="101"/>
        <v>0</v>
      </c>
      <c r="U178" s="29">
        <f t="shared" ca="1" si="101"/>
        <v>0</v>
      </c>
      <c r="V178" s="29">
        <f t="shared" ca="1" si="101"/>
        <v>3</v>
      </c>
      <c r="W178" s="29">
        <f t="shared" ca="1" si="101"/>
        <v>3</v>
      </c>
      <c r="X178" s="29">
        <f t="shared" ca="1" si="101"/>
        <v>1</v>
      </c>
      <c r="Y178" s="29">
        <f t="shared" ca="1" si="101"/>
        <v>1</v>
      </c>
      <c r="Z178" s="29">
        <f t="shared" ca="1" si="101"/>
        <v>5</v>
      </c>
      <c r="AA178" s="29">
        <f t="shared" ca="1" si="101"/>
        <v>2</v>
      </c>
      <c r="AB178" s="29">
        <f t="shared" ca="1" si="101"/>
        <v>2</v>
      </c>
      <c r="AC178" s="29">
        <f t="shared" ca="1" si="101"/>
        <v>1</v>
      </c>
      <c r="AD178" s="29">
        <f t="shared" ca="1" si="101"/>
        <v>1</v>
      </c>
      <c r="AE178" s="29">
        <f t="shared" ca="1" si="101"/>
        <v>3</v>
      </c>
      <c r="AF178" s="29">
        <f t="shared" ca="1" si="101"/>
        <v>3</v>
      </c>
      <c r="AG178" s="29">
        <f t="shared" ca="1" si="100"/>
        <v>2</v>
      </c>
      <c r="AH178" s="29">
        <f t="shared" ca="1" si="100"/>
        <v>4</v>
      </c>
      <c r="AI178" s="29">
        <f t="shared" ca="1" si="100"/>
        <v>1</v>
      </c>
      <c r="AJ178" s="29">
        <f t="shared" ca="1" si="100"/>
        <v>2</v>
      </c>
      <c r="AK178" s="29">
        <f t="shared" ca="1" si="100"/>
        <v>1</v>
      </c>
      <c r="AL178" s="29">
        <f t="shared" ca="1" si="100"/>
        <v>1</v>
      </c>
      <c r="AM178" s="29">
        <f t="shared" ca="1" si="100"/>
        <v>1</v>
      </c>
      <c r="AN178" s="29">
        <f t="shared" ca="1" si="100"/>
        <v>1</v>
      </c>
      <c r="AO178" s="29">
        <f t="shared" ca="1" si="100"/>
        <v>1</v>
      </c>
      <c r="AP178" s="29">
        <f t="shared" ca="1" si="100"/>
        <v>4</v>
      </c>
      <c r="AQ178" s="29">
        <f t="shared" ca="1" si="100"/>
        <v>4</v>
      </c>
      <c r="AR178" s="29">
        <f t="shared" ca="1" si="100"/>
        <v>2</v>
      </c>
      <c r="AS178" s="29">
        <f t="shared" ca="1" si="100"/>
        <v>2</v>
      </c>
      <c r="AT178" s="29">
        <f t="shared" ca="1" si="100"/>
        <v>2</v>
      </c>
      <c r="AU178" s="29">
        <f t="shared" ca="1" si="100"/>
        <v>0</v>
      </c>
      <c r="AV178" s="29">
        <f t="shared" ca="1" si="103"/>
        <v>1</v>
      </c>
      <c r="AW178" s="29">
        <f t="shared" ca="1" si="103"/>
        <v>1</v>
      </c>
      <c r="AX178" s="29">
        <f t="shared" ca="1" si="103"/>
        <v>3</v>
      </c>
      <c r="AY178" s="29">
        <f t="shared" ca="1" si="103"/>
        <v>1</v>
      </c>
      <c r="AZ178" s="29">
        <f t="shared" ca="1" si="103"/>
        <v>1</v>
      </c>
      <c r="BA178" s="29">
        <f t="shared" ca="1" si="103"/>
        <v>3</v>
      </c>
      <c r="BB178" s="29">
        <f t="shared" ca="1" si="103"/>
        <v>3</v>
      </c>
      <c r="BC178" s="29">
        <f t="shared" ca="1" si="103"/>
        <v>2</v>
      </c>
      <c r="BD178" s="29">
        <f t="shared" ca="1" si="103"/>
        <v>0</v>
      </c>
      <c r="BE178" s="29">
        <f t="shared" ca="1" si="103"/>
        <v>4</v>
      </c>
      <c r="BF178" s="29">
        <f t="shared" ca="1" si="103"/>
        <v>1</v>
      </c>
      <c r="BG178" s="29">
        <f t="shared" ca="1" si="103"/>
        <v>3</v>
      </c>
      <c r="BH178" s="29">
        <f t="shared" ca="1" si="103"/>
        <v>1</v>
      </c>
      <c r="BI178" s="29">
        <f t="shared" ca="1" si="103"/>
        <v>1</v>
      </c>
      <c r="BJ178" s="29">
        <f t="shared" ca="1" si="103"/>
        <v>5</v>
      </c>
      <c r="BK178" s="29">
        <f t="shared" ca="1" si="103"/>
        <v>1</v>
      </c>
      <c r="BL178" s="29">
        <f t="shared" ca="1" si="102"/>
        <v>1</v>
      </c>
      <c r="BM178" s="29">
        <f t="shared" ca="1" si="102"/>
        <v>1</v>
      </c>
      <c r="BN178" s="29">
        <f t="shared" ca="1" si="102"/>
        <v>1</v>
      </c>
      <c r="BO178" s="29">
        <f t="shared" ca="1" si="102"/>
        <v>2</v>
      </c>
      <c r="BP178" s="29">
        <f t="shared" ca="1" si="102"/>
        <v>1</v>
      </c>
      <c r="BQ178" s="29">
        <f t="shared" ca="1" si="102"/>
        <v>3</v>
      </c>
      <c r="BR178" s="29">
        <f t="shared" ca="1" si="102"/>
        <v>1</v>
      </c>
      <c r="BS178" s="29">
        <f t="shared" ca="1" si="102"/>
        <v>4</v>
      </c>
      <c r="BT178" s="29">
        <f t="shared" ca="1" si="102"/>
        <v>1</v>
      </c>
      <c r="BU178" s="29">
        <f t="shared" ca="1" si="102"/>
        <v>0</v>
      </c>
      <c r="BV178" s="29">
        <f t="shared" ca="1" si="102"/>
        <v>1</v>
      </c>
      <c r="BW178" s="29">
        <f t="shared" ca="1" si="102"/>
        <v>1</v>
      </c>
      <c r="BX178" s="29">
        <f t="shared" ca="1" si="102"/>
        <v>1</v>
      </c>
      <c r="BY178" s="29">
        <f t="shared" ca="1" si="102"/>
        <v>0</v>
      </c>
      <c r="BZ178" s="29">
        <f t="shared" ca="1" si="102"/>
        <v>0</v>
      </c>
      <c r="CA178" s="29">
        <f t="shared" ca="1" si="99"/>
        <v>1</v>
      </c>
      <c r="CB178" s="29">
        <f t="shared" ca="1" si="99"/>
        <v>0</v>
      </c>
      <c r="CC178" s="29">
        <f t="shared" ca="1" si="99"/>
        <v>2</v>
      </c>
      <c r="CD178" s="29">
        <f t="shared" ca="1" si="99"/>
        <v>0</v>
      </c>
      <c r="CE178" s="29">
        <f t="shared" ca="1" si="99"/>
        <v>1</v>
      </c>
      <c r="CF178" s="29">
        <f t="shared" ca="1" si="99"/>
        <v>1</v>
      </c>
      <c r="CG178" s="29">
        <f t="shared" ca="1" si="99"/>
        <v>1</v>
      </c>
      <c r="CH178" s="29">
        <f t="shared" ca="1" si="99"/>
        <v>2</v>
      </c>
      <c r="CI178" s="29">
        <f t="shared" ca="1" si="99"/>
        <v>1</v>
      </c>
      <c r="CJ178" s="29">
        <f t="shared" ca="1" si="99"/>
        <v>1</v>
      </c>
      <c r="CK178" s="29">
        <f t="shared" ca="1" si="99"/>
        <v>2</v>
      </c>
      <c r="CL178" s="29">
        <f t="shared" ca="1" si="99"/>
        <v>1</v>
      </c>
      <c r="CM178" s="29">
        <f t="shared" ca="1" si="99"/>
        <v>4</v>
      </c>
      <c r="CN178" s="29">
        <f t="shared" ca="1" si="99"/>
        <v>2</v>
      </c>
      <c r="CO178" s="29">
        <f t="shared" ca="1" si="99"/>
        <v>1</v>
      </c>
      <c r="CP178" s="29">
        <f t="shared" ca="1" si="99"/>
        <v>0</v>
      </c>
      <c r="CQ178" s="29">
        <f t="shared" ca="1" si="98"/>
        <v>4</v>
      </c>
      <c r="CR178" s="29">
        <f t="shared" ca="1" si="98"/>
        <v>0</v>
      </c>
      <c r="CS178" s="29">
        <f t="shared" ca="1" si="98"/>
        <v>4</v>
      </c>
      <c r="CT178" s="29">
        <f t="shared" ca="1" si="98"/>
        <v>3</v>
      </c>
      <c r="CU178" s="29">
        <f t="shared" ca="1" si="98"/>
        <v>1</v>
      </c>
      <c r="CV178" s="29">
        <f t="shared" ca="1" si="98"/>
        <v>2</v>
      </c>
      <c r="CW178" s="29">
        <f t="shared" ca="1" si="98"/>
        <v>0</v>
      </c>
      <c r="CX178" s="29">
        <f t="shared" ca="1" si="98"/>
        <v>2</v>
      </c>
      <c r="CY178" s="29">
        <f t="shared" ca="1" si="98"/>
        <v>2</v>
      </c>
      <c r="CZ178" s="29">
        <f t="shared" ca="1" si="98"/>
        <v>0</v>
      </c>
      <c r="DA178" s="29">
        <f t="shared" ca="1" si="98"/>
        <v>5</v>
      </c>
      <c r="DB178" s="29">
        <f t="shared" ca="1" si="98"/>
        <v>1</v>
      </c>
      <c r="DC178" s="29">
        <f t="shared" ca="1" si="98"/>
        <v>0</v>
      </c>
      <c r="DD178" s="29">
        <f t="shared" ca="1" si="98"/>
        <v>3</v>
      </c>
      <c r="DE178" s="29">
        <f t="shared" ca="1" si="98"/>
        <v>3</v>
      </c>
      <c r="DF178" s="29">
        <f t="shared" ca="1" si="97"/>
        <v>3</v>
      </c>
      <c r="DG178" s="29">
        <f t="shared" ca="1" si="97"/>
        <v>0</v>
      </c>
      <c r="DH178" s="29">
        <f t="shared" ca="1" si="97"/>
        <v>1</v>
      </c>
      <c r="DI178" s="29">
        <f t="shared" ca="1" si="97"/>
        <v>4</v>
      </c>
      <c r="DJ178" s="29">
        <f t="shared" ca="1" si="97"/>
        <v>2</v>
      </c>
      <c r="DK178" s="29">
        <f t="shared" ca="1" si="97"/>
        <v>1</v>
      </c>
      <c r="DL178" s="29">
        <f t="shared" ca="1" si="97"/>
        <v>1</v>
      </c>
    </row>
    <row r="179" spans="1:116" ht="14.4" x14ac:dyDescent="0.3">
      <c r="A179" s="31">
        <v>651</v>
      </c>
      <c r="B179" s="28">
        <v>4.37</v>
      </c>
      <c r="C179" s="30">
        <v>57.54</v>
      </c>
      <c r="D179" s="28">
        <v>2.5</v>
      </c>
      <c r="E179" s="34">
        <f t="shared" si="77"/>
        <v>0.05</v>
      </c>
      <c r="F179" s="35">
        <f t="shared" si="78"/>
        <v>14.385</v>
      </c>
      <c r="G179" s="34">
        <f t="shared" si="79"/>
        <v>62.5</v>
      </c>
      <c r="H179" s="33">
        <f t="shared" si="80"/>
        <v>11.01029748283753</v>
      </c>
      <c r="I179" s="28">
        <f t="shared" si="83"/>
        <v>473.18000000000018</v>
      </c>
      <c r="J179" s="32">
        <v>1</v>
      </c>
      <c r="K179" s="30">
        <f t="shared" si="81"/>
        <v>14.385</v>
      </c>
      <c r="L179" s="30"/>
      <c r="M179" s="30"/>
      <c r="N179" s="30"/>
      <c r="O179" s="30"/>
      <c r="Q179" s="29">
        <f t="shared" ca="1" si="82"/>
        <v>3</v>
      </c>
      <c r="R179" s="29">
        <f t="shared" ca="1" si="101"/>
        <v>3</v>
      </c>
      <c r="S179" s="29">
        <f t="shared" ca="1" si="101"/>
        <v>2</v>
      </c>
      <c r="T179" s="29">
        <f t="shared" ca="1" si="101"/>
        <v>1</v>
      </c>
      <c r="U179" s="29">
        <f t="shared" ca="1" si="101"/>
        <v>2</v>
      </c>
      <c r="V179" s="29">
        <f t="shared" ca="1" si="101"/>
        <v>1</v>
      </c>
      <c r="W179" s="29">
        <f t="shared" ca="1" si="101"/>
        <v>3</v>
      </c>
      <c r="X179" s="29">
        <f t="shared" ca="1" si="101"/>
        <v>1</v>
      </c>
      <c r="Y179" s="29">
        <f t="shared" ca="1" si="101"/>
        <v>2</v>
      </c>
      <c r="Z179" s="29">
        <f t="shared" ca="1" si="101"/>
        <v>1</v>
      </c>
      <c r="AA179" s="29">
        <f t="shared" ca="1" si="101"/>
        <v>2</v>
      </c>
      <c r="AB179" s="29">
        <f t="shared" ca="1" si="101"/>
        <v>4</v>
      </c>
      <c r="AC179" s="29">
        <f t="shared" ca="1" si="101"/>
        <v>4</v>
      </c>
      <c r="AD179" s="29">
        <f t="shared" ca="1" si="101"/>
        <v>3</v>
      </c>
      <c r="AE179" s="29">
        <f t="shared" ca="1" si="101"/>
        <v>1</v>
      </c>
      <c r="AF179" s="29">
        <f t="shared" ca="1" si="101"/>
        <v>2</v>
      </c>
      <c r="AG179" s="29">
        <f t="shared" ca="1" si="100"/>
        <v>1</v>
      </c>
      <c r="AH179" s="29">
        <f t="shared" ca="1" si="100"/>
        <v>3</v>
      </c>
      <c r="AI179" s="29">
        <f t="shared" ca="1" si="100"/>
        <v>3</v>
      </c>
      <c r="AJ179" s="29">
        <f t="shared" ca="1" si="100"/>
        <v>2</v>
      </c>
      <c r="AK179" s="29">
        <f t="shared" ca="1" si="100"/>
        <v>0</v>
      </c>
      <c r="AL179" s="29">
        <f t="shared" ca="1" si="100"/>
        <v>1</v>
      </c>
      <c r="AM179" s="29">
        <f t="shared" ca="1" si="100"/>
        <v>1</v>
      </c>
      <c r="AN179" s="29">
        <f t="shared" ca="1" si="100"/>
        <v>2</v>
      </c>
      <c r="AO179" s="29">
        <f t="shared" ca="1" si="100"/>
        <v>3</v>
      </c>
      <c r="AP179" s="29">
        <f t="shared" ca="1" si="100"/>
        <v>3</v>
      </c>
      <c r="AQ179" s="29">
        <f t="shared" ca="1" si="100"/>
        <v>1</v>
      </c>
      <c r="AR179" s="29">
        <f t="shared" ca="1" si="100"/>
        <v>0</v>
      </c>
      <c r="AS179" s="29">
        <f t="shared" ca="1" si="100"/>
        <v>4</v>
      </c>
      <c r="AT179" s="29">
        <f t="shared" ca="1" si="100"/>
        <v>2</v>
      </c>
      <c r="AU179" s="29">
        <f t="shared" ca="1" si="100"/>
        <v>1</v>
      </c>
      <c r="AV179" s="29">
        <f t="shared" ca="1" si="103"/>
        <v>4</v>
      </c>
      <c r="AW179" s="29">
        <f t="shared" ca="1" si="103"/>
        <v>5</v>
      </c>
      <c r="AX179" s="29">
        <f t="shared" ca="1" si="103"/>
        <v>0</v>
      </c>
      <c r="AY179" s="29">
        <f t="shared" ca="1" si="103"/>
        <v>2</v>
      </c>
      <c r="AZ179" s="29">
        <f t="shared" ca="1" si="103"/>
        <v>1</v>
      </c>
      <c r="BA179" s="29">
        <f t="shared" ca="1" si="103"/>
        <v>3</v>
      </c>
      <c r="BB179" s="29">
        <f t="shared" ca="1" si="103"/>
        <v>2</v>
      </c>
      <c r="BC179" s="29">
        <f t="shared" ca="1" si="103"/>
        <v>1</v>
      </c>
      <c r="BD179" s="29">
        <f t="shared" ca="1" si="103"/>
        <v>0</v>
      </c>
      <c r="BE179" s="29">
        <f t="shared" ca="1" si="103"/>
        <v>2</v>
      </c>
      <c r="BF179" s="29">
        <f t="shared" ca="1" si="103"/>
        <v>2</v>
      </c>
      <c r="BG179" s="29">
        <f t="shared" ca="1" si="103"/>
        <v>1</v>
      </c>
      <c r="BH179" s="29">
        <f t="shared" ca="1" si="103"/>
        <v>2</v>
      </c>
      <c r="BI179" s="29">
        <f t="shared" ca="1" si="103"/>
        <v>3</v>
      </c>
      <c r="BJ179" s="29">
        <f t="shared" ca="1" si="103"/>
        <v>1</v>
      </c>
      <c r="BK179" s="29">
        <f t="shared" ca="1" si="103"/>
        <v>3</v>
      </c>
      <c r="BL179" s="29">
        <f t="shared" ca="1" si="102"/>
        <v>2</v>
      </c>
      <c r="BM179" s="29">
        <f t="shared" ca="1" si="102"/>
        <v>4</v>
      </c>
      <c r="BN179" s="29">
        <f t="shared" ca="1" si="102"/>
        <v>4</v>
      </c>
      <c r="BO179" s="29">
        <f t="shared" ca="1" si="102"/>
        <v>0</v>
      </c>
      <c r="BP179" s="29">
        <f t="shared" ca="1" si="102"/>
        <v>4</v>
      </c>
      <c r="BQ179" s="29">
        <f t="shared" ca="1" si="102"/>
        <v>3</v>
      </c>
      <c r="BR179" s="29">
        <f t="shared" ca="1" si="102"/>
        <v>3</v>
      </c>
      <c r="BS179" s="29">
        <f t="shared" ca="1" si="102"/>
        <v>1</v>
      </c>
      <c r="BT179" s="29">
        <f t="shared" ca="1" si="102"/>
        <v>0</v>
      </c>
      <c r="BU179" s="29">
        <f t="shared" ca="1" si="102"/>
        <v>2</v>
      </c>
      <c r="BV179" s="29">
        <f t="shared" ca="1" si="102"/>
        <v>2</v>
      </c>
      <c r="BW179" s="29">
        <f t="shared" ca="1" si="102"/>
        <v>3</v>
      </c>
      <c r="BX179" s="29">
        <f t="shared" ca="1" si="102"/>
        <v>4</v>
      </c>
      <c r="BY179" s="29">
        <f t="shared" ca="1" si="102"/>
        <v>2</v>
      </c>
      <c r="BZ179" s="29">
        <f t="shared" ca="1" si="102"/>
        <v>3</v>
      </c>
      <c r="CA179" s="29">
        <f t="shared" ca="1" si="99"/>
        <v>2</v>
      </c>
      <c r="CB179" s="29">
        <f t="shared" ca="1" si="99"/>
        <v>4</v>
      </c>
      <c r="CC179" s="29">
        <f t="shared" ca="1" si="99"/>
        <v>2</v>
      </c>
      <c r="CD179" s="29">
        <f t="shared" ca="1" si="99"/>
        <v>2</v>
      </c>
      <c r="CE179" s="29">
        <f t="shared" ca="1" si="99"/>
        <v>3</v>
      </c>
      <c r="CF179" s="29">
        <f t="shared" ca="1" si="99"/>
        <v>4</v>
      </c>
      <c r="CG179" s="29">
        <f t="shared" ca="1" si="99"/>
        <v>3</v>
      </c>
      <c r="CH179" s="29">
        <f t="shared" ca="1" si="99"/>
        <v>1</v>
      </c>
      <c r="CI179" s="29">
        <f t="shared" ca="1" si="99"/>
        <v>1</v>
      </c>
      <c r="CJ179" s="29">
        <f t="shared" ca="1" si="99"/>
        <v>3</v>
      </c>
      <c r="CK179" s="29">
        <f t="shared" ca="1" si="99"/>
        <v>1</v>
      </c>
      <c r="CL179" s="29">
        <f t="shared" ca="1" si="99"/>
        <v>5</v>
      </c>
      <c r="CM179" s="29">
        <f t="shared" ca="1" si="99"/>
        <v>5</v>
      </c>
      <c r="CN179" s="29">
        <f t="shared" ca="1" si="99"/>
        <v>2</v>
      </c>
      <c r="CO179" s="29">
        <f t="shared" ca="1" si="99"/>
        <v>6</v>
      </c>
      <c r="CP179" s="29">
        <f t="shared" ca="1" si="99"/>
        <v>3</v>
      </c>
      <c r="CQ179" s="29">
        <f t="shared" ca="1" si="98"/>
        <v>1</v>
      </c>
      <c r="CR179" s="29">
        <f t="shared" ca="1" si="98"/>
        <v>1</v>
      </c>
      <c r="CS179" s="29">
        <f t="shared" ca="1" si="98"/>
        <v>1</v>
      </c>
      <c r="CT179" s="29">
        <f t="shared" ca="1" si="98"/>
        <v>0</v>
      </c>
      <c r="CU179" s="29">
        <f t="shared" ca="1" si="98"/>
        <v>4</v>
      </c>
      <c r="CV179" s="29">
        <f t="shared" ca="1" si="98"/>
        <v>3</v>
      </c>
      <c r="CW179" s="29">
        <f t="shared" ca="1" si="98"/>
        <v>1</v>
      </c>
      <c r="CX179" s="29">
        <f t="shared" ca="1" si="98"/>
        <v>1</v>
      </c>
      <c r="CY179" s="29">
        <f t="shared" ca="1" si="98"/>
        <v>0</v>
      </c>
      <c r="CZ179" s="29">
        <f t="shared" ca="1" si="98"/>
        <v>2</v>
      </c>
      <c r="DA179" s="29">
        <f t="shared" ca="1" si="98"/>
        <v>3</v>
      </c>
      <c r="DB179" s="29">
        <f t="shared" ca="1" si="98"/>
        <v>3</v>
      </c>
      <c r="DC179" s="29">
        <f t="shared" ca="1" si="98"/>
        <v>5</v>
      </c>
      <c r="DD179" s="29">
        <f t="shared" ca="1" si="98"/>
        <v>3</v>
      </c>
      <c r="DE179" s="29">
        <f t="shared" ca="1" si="98"/>
        <v>2</v>
      </c>
      <c r="DF179" s="29">
        <f t="shared" ca="1" si="97"/>
        <v>3</v>
      </c>
      <c r="DG179" s="29">
        <f t="shared" ca="1" si="97"/>
        <v>3</v>
      </c>
      <c r="DH179" s="29">
        <f t="shared" ca="1" si="97"/>
        <v>4</v>
      </c>
      <c r="DI179" s="29">
        <f t="shared" ca="1" si="97"/>
        <v>4</v>
      </c>
      <c r="DJ179" s="29">
        <f t="shared" ca="1" si="97"/>
        <v>2</v>
      </c>
      <c r="DK179" s="29">
        <f t="shared" ca="1" si="97"/>
        <v>4</v>
      </c>
      <c r="DL179" s="29">
        <f t="shared" ca="1" si="97"/>
        <v>4</v>
      </c>
    </row>
    <row r="180" spans="1:116" ht="14.4" x14ac:dyDescent="0.3">
      <c r="A180" s="31">
        <v>1087</v>
      </c>
      <c r="B180" s="28">
        <v>1.68</v>
      </c>
      <c r="C180" s="30">
        <v>17.54</v>
      </c>
      <c r="D180" s="28">
        <v>0.91</v>
      </c>
      <c r="E180" s="34">
        <f t="shared" si="77"/>
        <v>1.8200000000000001E-2</v>
      </c>
      <c r="F180" s="35">
        <f t="shared" si="78"/>
        <v>4.3849999999999998</v>
      </c>
      <c r="G180" s="34">
        <f t="shared" si="79"/>
        <v>22.75</v>
      </c>
      <c r="H180" s="33">
        <f t="shared" si="80"/>
        <v>10.93154761904762</v>
      </c>
      <c r="I180" s="28">
        <f t="shared" si="83"/>
        <v>474.86000000000018</v>
      </c>
      <c r="J180" s="32">
        <v>1</v>
      </c>
      <c r="K180" s="30">
        <f t="shared" si="81"/>
        <v>4.3849999999999998</v>
      </c>
      <c r="L180" s="30"/>
      <c r="M180" s="30"/>
      <c r="N180" s="30"/>
      <c r="O180" s="30"/>
      <c r="Q180" s="29">
        <f t="shared" ca="1" si="82"/>
        <v>1</v>
      </c>
      <c r="R180" s="29">
        <f t="shared" ca="1" si="101"/>
        <v>1</v>
      </c>
      <c r="S180" s="29">
        <f t="shared" ca="1" si="101"/>
        <v>0</v>
      </c>
      <c r="T180" s="29">
        <f t="shared" ca="1" si="101"/>
        <v>1</v>
      </c>
      <c r="U180" s="29">
        <f t="shared" ca="1" si="101"/>
        <v>1</v>
      </c>
      <c r="V180" s="29">
        <f t="shared" ca="1" si="101"/>
        <v>0</v>
      </c>
      <c r="W180" s="29">
        <f t="shared" ca="1" si="101"/>
        <v>4</v>
      </c>
      <c r="X180" s="29">
        <f t="shared" ca="1" si="101"/>
        <v>0</v>
      </c>
      <c r="Y180" s="29">
        <f t="shared" ca="1" si="101"/>
        <v>0</v>
      </c>
      <c r="Z180" s="29">
        <f t="shared" ca="1" si="101"/>
        <v>1</v>
      </c>
      <c r="AA180" s="29">
        <f t="shared" ca="1" si="101"/>
        <v>0</v>
      </c>
      <c r="AB180" s="29">
        <f t="shared" ca="1" si="101"/>
        <v>2</v>
      </c>
      <c r="AC180" s="29">
        <f t="shared" ca="1" si="101"/>
        <v>2</v>
      </c>
      <c r="AD180" s="29">
        <f t="shared" ca="1" si="101"/>
        <v>3</v>
      </c>
      <c r="AE180" s="29">
        <f t="shared" ca="1" si="101"/>
        <v>1</v>
      </c>
      <c r="AF180" s="29">
        <f t="shared" ca="1" si="101"/>
        <v>4</v>
      </c>
      <c r="AG180" s="29">
        <f t="shared" ca="1" si="100"/>
        <v>1</v>
      </c>
      <c r="AH180" s="29">
        <f t="shared" ca="1" si="100"/>
        <v>1</v>
      </c>
      <c r="AI180" s="29">
        <f t="shared" ca="1" si="100"/>
        <v>0</v>
      </c>
      <c r="AJ180" s="29">
        <f t="shared" ca="1" si="100"/>
        <v>0</v>
      </c>
      <c r="AK180" s="29">
        <f t="shared" ca="1" si="100"/>
        <v>0</v>
      </c>
      <c r="AL180" s="29">
        <f t="shared" ca="1" si="100"/>
        <v>1</v>
      </c>
      <c r="AM180" s="29">
        <f t="shared" ca="1" si="100"/>
        <v>0</v>
      </c>
      <c r="AN180" s="29">
        <f t="shared" ca="1" si="100"/>
        <v>2</v>
      </c>
      <c r="AO180" s="29">
        <f t="shared" ca="1" si="100"/>
        <v>0</v>
      </c>
      <c r="AP180" s="29">
        <f t="shared" ca="1" si="100"/>
        <v>0</v>
      </c>
      <c r="AQ180" s="29">
        <f t="shared" ca="1" si="100"/>
        <v>0</v>
      </c>
      <c r="AR180" s="29">
        <f t="shared" ca="1" si="100"/>
        <v>1</v>
      </c>
      <c r="AS180" s="29">
        <f t="shared" ca="1" si="100"/>
        <v>2</v>
      </c>
      <c r="AT180" s="29">
        <f t="shared" ca="1" si="100"/>
        <v>1</v>
      </c>
      <c r="AU180" s="29">
        <f t="shared" ca="1" si="100"/>
        <v>1</v>
      </c>
      <c r="AV180" s="29">
        <f t="shared" ca="1" si="103"/>
        <v>3</v>
      </c>
      <c r="AW180" s="29">
        <f t="shared" ca="1" si="103"/>
        <v>0</v>
      </c>
      <c r="AX180" s="29">
        <f t="shared" ca="1" si="103"/>
        <v>2</v>
      </c>
      <c r="AY180" s="29">
        <f t="shared" ca="1" si="103"/>
        <v>1</v>
      </c>
      <c r="AZ180" s="29">
        <f t="shared" ca="1" si="103"/>
        <v>0</v>
      </c>
      <c r="BA180" s="29">
        <f t="shared" ca="1" si="103"/>
        <v>0</v>
      </c>
      <c r="BB180" s="29">
        <f t="shared" ca="1" si="103"/>
        <v>1</v>
      </c>
      <c r="BC180" s="29">
        <f t="shared" ca="1" si="103"/>
        <v>0</v>
      </c>
      <c r="BD180" s="29">
        <f t="shared" ca="1" si="103"/>
        <v>0</v>
      </c>
      <c r="BE180" s="29">
        <f t="shared" ca="1" si="103"/>
        <v>0</v>
      </c>
      <c r="BF180" s="29">
        <f t="shared" ca="1" si="103"/>
        <v>0</v>
      </c>
      <c r="BG180" s="29">
        <f t="shared" ca="1" si="103"/>
        <v>2</v>
      </c>
      <c r="BH180" s="29">
        <f t="shared" ca="1" si="103"/>
        <v>1</v>
      </c>
      <c r="BI180" s="29">
        <f t="shared" ca="1" si="103"/>
        <v>1</v>
      </c>
      <c r="BJ180" s="29">
        <f t="shared" ca="1" si="103"/>
        <v>2</v>
      </c>
      <c r="BK180" s="29">
        <f t="shared" ca="1" si="103"/>
        <v>1</v>
      </c>
      <c r="BL180" s="29">
        <f t="shared" ca="1" si="102"/>
        <v>0</v>
      </c>
      <c r="BM180" s="29">
        <f t="shared" ca="1" si="102"/>
        <v>0</v>
      </c>
      <c r="BN180" s="29">
        <f t="shared" ca="1" si="102"/>
        <v>1</v>
      </c>
      <c r="BO180" s="29">
        <f t="shared" ca="1" si="102"/>
        <v>1</v>
      </c>
      <c r="BP180" s="29">
        <f t="shared" ca="1" si="102"/>
        <v>0</v>
      </c>
      <c r="BQ180" s="29">
        <f t="shared" ca="1" si="102"/>
        <v>0</v>
      </c>
      <c r="BR180" s="29">
        <f t="shared" ca="1" si="102"/>
        <v>3</v>
      </c>
      <c r="BS180" s="29">
        <f t="shared" ca="1" si="102"/>
        <v>1</v>
      </c>
      <c r="BT180" s="29">
        <f t="shared" ca="1" si="102"/>
        <v>2</v>
      </c>
      <c r="BU180" s="29">
        <f t="shared" ca="1" si="102"/>
        <v>1</v>
      </c>
      <c r="BV180" s="29">
        <f t="shared" ca="1" si="102"/>
        <v>0</v>
      </c>
      <c r="BW180" s="29">
        <f t="shared" ca="1" si="102"/>
        <v>0</v>
      </c>
      <c r="BX180" s="29">
        <f t="shared" ca="1" si="102"/>
        <v>0</v>
      </c>
      <c r="BY180" s="29">
        <f t="shared" ca="1" si="102"/>
        <v>1</v>
      </c>
      <c r="BZ180" s="29">
        <f t="shared" ca="1" si="102"/>
        <v>0</v>
      </c>
      <c r="CA180" s="29">
        <f t="shared" ca="1" si="99"/>
        <v>0</v>
      </c>
      <c r="CB180" s="29">
        <f t="shared" ca="1" si="99"/>
        <v>0</v>
      </c>
      <c r="CC180" s="29">
        <f t="shared" ca="1" si="99"/>
        <v>1</v>
      </c>
      <c r="CD180" s="29">
        <f t="shared" ca="1" si="99"/>
        <v>1</v>
      </c>
      <c r="CE180" s="29">
        <f t="shared" ca="1" si="99"/>
        <v>1</v>
      </c>
      <c r="CF180" s="29">
        <f t="shared" ca="1" si="99"/>
        <v>0</v>
      </c>
      <c r="CG180" s="29">
        <f t="shared" ca="1" si="99"/>
        <v>2</v>
      </c>
      <c r="CH180" s="29">
        <f t="shared" ca="1" si="99"/>
        <v>0</v>
      </c>
      <c r="CI180" s="29">
        <f t="shared" ca="1" si="99"/>
        <v>1</v>
      </c>
      <c r="CJ180" s="29">
        <f t="shared" ca="1" si="99"/>
        <v>0</v>
      </c>
      <c r="CK180" s="29">
        <f t="shared" ca="1" si="99"/>
        <v>1</v>
      </c>
      <c r="CL180" s="29">
        <f t="shared" ca="1" si="99"/>
        <v>2</v>
      </c>
      <c r="CM180" s="29">
        <f t="shared" ca="1" si="99"/>
        <v>3</v>
      </c>
      <c r="CN180" s="29">
        <f t="shared" ca="1" si="99"/>
        <v>2</v>
      </c>
      <c r="CO180" s="29">
        <f t="shared" ca="1" si="99"/>
        <v>0</v>
      </c>
      <c r="CP180" s="29">
        <f t="shared" ref="CP180:DE195" ca="1" si="104">_xlfn.BINOM.INV(50,$E180,RAND())</f>
        <v>0</v>
      </c>
      <c r="CQ180" s="29">
        <f t="shared" ca="1" si="104"/>
        <v>2</v>
      </c>
      <c r="CR180" s="29">
        <f t="shared" ca="1" si="104"/>
        <v>1</v>
      </c>
      <c r="CS180" s="29">
        <f t="shared" ca="1" si="104"/>
        <v>0</v>
      </c>
      <c r="CT180" s="29">
        <f t="shared" ca="1" si="104"/>
        <v>0</v>
      </c>
      <c r="CU180" s="29">
        <f t="shared" ca="1" si="104"/>
        <v>2</v>
      </c>
      <c r="CV180" s="29">
        <f t="shared" ca="1" si="104"/>
        <v>0</v>
      </c>
      <c r="CW180" s="29">
        <f t="shared" ca="1" si="104"/>
        <v>0</v>
      </c>
      <c r="CX180" s="29">
        <f t="shared" ca="1" si="104"/>
        <v>1</v>
      </c>
      <c r="CY180" s="29">
        <f t="shared" ca="1" si="104"/>
        <v>0</v>
      </c>
      <c r="CZ180" s="29">
        <f t="shared" ca="1" si="104"/>
        <v>0</v>
      </c>
      <c r="DA180" s="29">
        <f t="shared" ca="1" si="104"/>
        <v>1</v>
      </c>
      <c r="DB180" s="29">
        <f t="shared" ca="1" si="104"/>
        <v>0</v>
      </c>
      <c r="DC180" s="29">
        <f t="shared" ca="1" si="104"/>
        <v>1</v>
      </c>
      <c r="DD180" s="29">
        <f t="shared" ca="1" si="104"/>
        <v>0</v>
      </c>
      <c r="DE180" s="29">
        <f t="shared" ca="1" si="104"/>
        <v>2</v>
      </c>
      <c r="DF180" s="29">
        <f t="shared" ca="1" si="97"/>
        <v>2</v>
      </c>
      <c r="DG180" s="29">
        <f t="shared" ca="1" si="97"/>
        <v>0</v>
      </c>
      <c r="DH180" s="29">
        <f t="shared" ca="1" si="97"/>
        <v>0</v>
      </c>
      <c r="DI180" s="29">
        <f t="shared" ca="1" si="97"/>
        <v>0</v>
      </c>
      <c r="DJ180" s="29">
        <f t="shared" ca="1" si="97"/>
        <v>0</v>
      </c>
      <c r="DK180" s="29">
        <f t="shared" ca="1" si="97"/>
        <v>1</v>
      </c>
      <c r="DL180" s="29">
        <f t="shared" ca="1" si="97"/>
        <v>0</v>
      </c>
    </row>
    <row r="181" spans="1:116" ht="14.4" x14ac:dyDescent="0.3">
      <c r="A181" s="31">
        <v>542</v>
      </c>
      <c r="B181" s="28">
        <v>3.43</v>
      </c>
      <c r="C181" s="30">
        <v>96.18</v>
      </c>
      <c r="D181" s="28">
        <v>2.4500000000000002</v>
      </c>
      <c r="E181" s="34">
        <f t="shared" si="77"/>
        <v>4.9000000000000002E-2</v>
      </c>
      <c r="F181" s="35">
        <f t="shared" si="78"/>
        <v>24.045000000000002</v>
      </c>
      <c r="G181" s="34">
        <f t="shared" si="79"/>
        <v>61.250000000000007</v>
      </c>
      <c r="H181" s="33">
        <f t="shared" si="80"/>
        <v>10.846938775510205</v>
      </c>
      <c r="I181" s="28">
        <f t="shared" si="83"/>
        <v>478.29000000000019</v>
      </c>
      <c r="J181" s="32">
        <v>1</v>
      </c>
      <c r="K181" s="30">
        <f t="shared" si="81"/>
        <v>24.045000000000002</v>
      </c>
      <c r="L181" s="30"/>
      <c r="M181" s="30"/>
      <c r="N181" s="30"/>
      <c r="O181" s="30"/>
      <c r="Q181" s="29">
        <f t="shared" ca="1" si="82"/>
        <v>2</v>
      </c>
      <c r="R181" s="29">
        <f t="shared" ca="1" si="101"/>
        <v>1</v>
      </c>
      <c r="S181" s="29">
        <f t="shared" ca="1" si="101"/>
        <v>2</v>
      </c>
      <c r="T181" s="29">
        <f t="shared" ca="1" si="101"/>
        <v>4</v>
      </c>
      <c r="U181" s="29">
        <f t="shared" ca="1" si="101"/>
        <v>3</v>
      </c>
      <c r="V181" s="29">
        <f t="shared" ca="1" si="101"/>
        <v>4</v>
      </c>
      <c r="W181" s="29">
        <f t="shared" ca="1" si="101"/>
        <v>0</v>
      </c>
      <c r="X181" s="29">
        <f t="shared" ca="1" si="101"/>
        <v>2</v>
      </c>
      <c r="Y181" s="29">
        <f t="shared" ca="1" si="101"/>
        <v>4</v>
      </c>
      <c r="Z181" s="29">
        <f t="shared" ca="1" si="101"/>
        <v>3</v>
      </c>
      <c r="AA181" s="29">
        <f t="shared" ca="1" si="101"/>
        <v>3</v>
      </c>
      <c r="AB181" s="29">
        <f t="shared" ca="1" si="101"/>
        <v>0</v>
      </c>
      <c r="AC181" s="29">
        <f t="shared" ca="1" si="101"/>
        <v>2</v>
      </c>
      <c r="AD181" s="29">
        <f t="shared" ca="1" si="101"/>
        <v>2</v>
      </c>
      <c r="AE181" s="29">
        <f t="shared" ca="1" si="101"/>
        <v>4</v>
      </c>
      <c r="AF181" s="29">
        <f t="shared" ca="1" si="101"/>
        <v>2</v>
      </c>
      <c r="AG181" s="29">
        <f t="shared" ca="1" si="100"/>
        <v>1</v>
      </c>
      <c r="AH181" s="29">
        <f t="shared" ca="1" si="100"/>
        <v>2</v>
      </c>
      <c r="AI181" s="29">
        <f t="shared" ca="1" si="100"/>
        <v>2</v>
      </c>
      <c r="AJ181" s="29">
        <f t="shared" ca="1" si="100"/>
        <v>2</v>
      </c>
      <c r="AK181" s="29">
        <f t="shared" ca="1" si="100"/>
        <v>3</v>
      </c>
      <c r="AL181" s="29">
        <f t="shared" ca="1" si="100"/>
        <v>1</v>
      </c>
      <c r="AM181" s="29">
        <f t="shared" ca="1" si="100"/>
        <v>1</v>
      </c>
      <c r="AN181" s="29">
        <f t="shared" ca="1" si="100"/>
        <v>2</v>
      </c>
      <c r="AO181" s="29">
        <f t="shared" ca="1" si="100"/>
        <v>1</v>
      </c>
      <c r="AP181" s="29">
        <f t="shared" ca="1" si="100"/>
        <v>3</v>
      </c>
      <c r="AQ181" s="29">
        <f t="shared" ca="1" si="100"/>
        <v>2</v>
      </c>
      <c r="AR181" s="29">
        <f t="shared" ca="1" si="100"/>
        <v>1</v>
      </c>
      <c r="AS181" s="29">
        <f t="shared" ca="1" si="100"/>
        <v>0</v>
      </c>
      <c r="AT181" s="29">
        <f t="shared" ca="1" si="100"/>
        <v>0</v>
      </c>
      <c r="AU181" s="29">
        <f t="shared" ca="1" si="100"/>
        <v>4</v>
      </c>
      <c r="AV181" s="29">
        <f t="shared" ca="1" si="103"/>
        <v>4</v>
      </c>
      <c r="AW181" s="29">
        <f t="shared" ca="1" si="103"/>
        <v>4</v>
      </c>
      <c r="AX181" s="29">
        <f t="shared" ca="1" si="103"/>
        <v>3</v>
      </c>
      <c r="AY181" s="29">
        <f t="shared" ca="1" si="103"/>
        <v>1</v>
      </c>
      <c r="AZ181" s="29">
        <f t="shared" ca="1" si="103"/>
        <v>3</v>
      </c>
      <c r="BA181" s="29">
        <f t="shared" ca="1" si="103"/>
        <v>2</v>
      </c>
      <c r="BB181" s="29">
        <f t="shared" ca="1" si="103"/>
        <v>1</v>
      </c>
      <c r="BC181" s="29">
        <f t="shared" ca="1" si="103"/>
        <v>0</v>
      </c>
      <c r="BD181" s="29">
        <f t="shared" ca="1" si="103"/>
        <v>5</v>
      </c>
      <c r="BE181" s="29">
        <f t="shared" ca="1" si="103"/>
        <v>1</v>
      </c>
      <c r="BF181" s="29">
        <f t="shared" ca="1" si="103"/>
        <v>2</v>
      </c>
      <c r="BG181" s="29">
        <f t="shared" ca="1" si="103"/>
        <v>1</v>
      </c>
      <c r="BH181" s="29">
        <f t="shared" ca="1" si="103"/>
        <v>1</v>
      </c>
      <c r="BI181" s="29">
        <f t="shared" ca="1" si="103"/>
        <v>2</v>
      </c>
      <c r="BJ181" s="29">
        <f t="shared" ca="1" si="103"/>
        <v>1</v>
      </c>
      <c r="BK181" s="29">
        <f t="shared" ca="1" si="103"/>
        <v>0</v>
      </c>
      <c r="BL181" s="29">
        <f t="shared" ca="1" si="102"/>
        <v>0</v>
      </c>
      <c r="BM181" s="29">
        <f t="shared" ca="1" si="102"/>
        <v>2</v>
      </c>
      <c r="BN181" s="29">
        <f t="shared" ca="1" si="102"/>
        <v>2</v>
      </c>
      <c r="BO181" s="29">
        <f t="shared" ca="1" si="102"/>
        <v>3</v>
      </c>
      <c r="BP181" s="29">
        <f t="shared" ca="1" si="102"/>
        <v>6</v>
      </c>
      <c r="BQ181" s="29">
        <f t="shared" ca="1" si="102"/>
        <v>2</v>
      </c>
      <c r="BR181" s="29">
        <f t="shared" ca="1" si="102"/>
        <v>2</v>
      </c>
      <c r="BS181" s="29">
        <f t="shared" ca="1" si="102"/>
        <v>3</v>
      </c>
      <c r="BT181" s="29">
        <f t="shared" ca="1" si="102"/>
        <v>1</v>
      </c>
      <c r="BU181" s="29">
        <f t="shared" ca="1" si="102"/>
        <v>3</v>
      </c>
      <c r="BV181" s="29">
        <f t="shared" ca="1" si="102"/>
        <v>2</v>
      </c>
      <c r="BW181" s="29">
        <f t="shared" ca="1" si="102"/>
        <v>2</v>
      </c>
      <c r="BX181" s="29">
        <f t="shared" ca="1" si="102"/>
        <v>4</v>
      </c>
      <c r="BY181" s="29">
        <f t="shared" ca="1" si="102"/>
        <v>1</v>
      </c>
      <c r="BZ181" s="29">
        <f t="shared" ca="1" si="102"/>
        <v>3</v>
      </c>
      <c r="CA181" s="29">
        <f t="shared" ref="CA181:CP196" ca="1" si="105">_xlfn.BINOM.INV(50,$E181,RAND())</f>
        <v>1</v>
      </c>
      <c r="CB181" s="29">
        <f t="shared" ca="1" si="105"/>
        <v>4</v>
      </c>
      <c r="CC181" s="29">
        <f t="shared" ca="1" si="105"/>
        <v>2</v>
      </c>
      <c r="CD181" s="29">
        <f t="shared" ca="1" si="105"/>
        <v>1</v>
      </c>
      <c r="CE181" s="29">
        <f t="shared" ca="1" si="105"/>
        <v>2</v>
      </c>
      <c r="CF181" s="29">
        <f t="shared" ca="1" si="105"/>
        <v>5</v>
      </c>
      <c r="CG181" s="29">
        <f t="shared" ca="1" si="105"/>
        <v>2</v>
      </c>
      <c r="CH181" s="29">
        <f t="shared" ca="1" si="105"/>
        <v>1</v>
      </c>
      <c r="CI181" s="29">
        <f t="shared" ca="1" si="105"/>
        <v>9</v>
      </c>
      <c r="CJ181" s="29">
        <f t="shared" ca="1" si="105"/>
        <v>2</v>
      </c>
      <c r="CK181" s="29">
        <f t="shared" ca="1" si="105"/>
        <v>2</v>
      </c>
      <c r="CL181" s="29">
        <f t="shared" ca="1" si="105"/>
        <v>1</v>
      </c>
      <c r="CM181" s="29">
        <f t="shared" ca="1" si="105"/>
        <v>3</v>
      </c>
      <c r="CN181" s="29">
        <f t="shared" ca="1" si="105"/>
        <v>3</v>
      </c>
      <c r="CO181" s="29">
        <f t="shared" ca="1" si="105"/>
        <v>4</v>
      </c>
      <c r="CP181" s="29">
        <f t="shared" ca="1" si="105"/>
        <v>2</v>
      </c>
      <c r="CQ181" s="29">
        <f t="shared" ca="1" si="104"/>
        <v>2</v>
      </c>
      <c r="CR181" s="29">
        <f t="shared" ca="1" si="104"/>
        <v>4</v>
      </c>
      <c r="CS181" s="29">
        <f t="shared" ca="1" si="104"/>
        <v>3</v>
      </c>
      <c r="CT181" s="29">
        <f t="shared" ca="1" si="104"/>
        <v>1</v>
      </c>
      <c r="CU181" s="29">
        <f t="shared" ca="1" si="104"/>
        <v>3</v>
      </c>
      <c r="CV181" s="29">
        <f t="shared" ca="1" si="104"/>
        <v>2</v>
      </c>
      <c r="CW181" s="29">
        <f t="shared" ca="1" si="104"/>
        <v>1</v>
      </c>
      <c r="CX181" s="29">
        <f t="shared" ca="1" si="104"/>
        <v>3</v>
      </c>
      <c r="CY181" s="29">
        <f t="shared" ca="1" si="104"/>
        <v>2</v>
      </c>
      <c r="CZ181" s="29">
        <f t="shared" ca="1" si="104"/>
        <v>3</v>
      </c>
      <c r="DA181" s="29">
        <f t="shared" ca="1" si="104"/>
        <v>1</v>
      </c>
      <c r="DB181" s="29">
        <f t="shared" ca="1" si="104"/>
        <v>2</v>
      </c>
      <c r="DC181" s="29">
        <f t="shared" ca="1" si="104"/>
        <v>2</v>
      </c>
      <c r="DD181" s="29">
        <f t="shared" ca="1" si="104"/>
        <v>3</v>
      </c>
      <c r="DE181" s="29">
        <f t="shared" ca="1" si="104"/>
        <v>3</v>
      </c>
      <c r="DF181" s="29">
        <f t="shared" ca="1" si="97"/>
        <v>4</v>
      </c>
      <c r="DG181" s="29">
        <f t="shared" ca="1" si="97"/>
        <v>4</v>
      </c>
      <c r="DH181" s="29">
        <f t="shared" ca="1" si="97"/>
        <v>2</v>
      </c>
      <c r="DI181" s="29">
        <f t="shared" ca="1" si="97"/>
        <v>0</v>
      </c>
      <c r="DJ181" s="29">
        <f t="shared" ca="1" si="97"/>
        <v>3</v>
      </c>
      <c r="DK181" s="29">
        <f t="shared" ca="1" si="97"/>
        <v>0</v>
      </c>
      <c r="DL181" s="29">
        <f t="shared" ca="1" si="97"/>
        <v>2</v>
      </c>
    </row>
    <row r="182" spans="1:116" ht="14.4" x14ac:dyDescent="0.3">
      <c r="A182" s="31">
        <v>525</v>
      </c>
      <c r="B182" s="28">
        <v>1.9</v>
      </c>
      <c r="C182" s="30">
        <v>21.78</v>
      </c>
      <c r="D182" s="28">
        <v>1.04</v>
      </c>
      <c r="E182" s="34">
        <f t="shared" si="77"/>
        <v>2.0799999999999999E-2</v>
      </c>
      <c r="F182" s="35">
        <f t="shared" si="78"/>
        <v>5.4450000000000003</v>
      </c>
      <c r="G182" s="34">
        <f t="shared" si="79"/>
        <v>26</v>
      </c>
      <c r="H182" s="33">
        <f t="shared" si="80"/>
        <v>10.81842105263158</v>
      </c>
      <c r="I182" s="28">
        <f t="shared" si="83"/>
        <v>480.19000000000017</v>
      </c>
      <c r="J182" s="32">
        <v>1</v>
      </c>
      <c r="K182" s="30">
        <f t="shared" si="81"/>
        <v>5.4450000000000003</v>
      </c>
      <c r="L182" s="30"/>
      <c r="M182" s="30"/>
      <c r="N182" s="30"/>
      <c r="O182" s="30"/>
      <c r="Q182" s="29">
        <f t="shared" ca="1" si="82"/>
        <v>0</v>
      </c>
      <c r="R182" s="29">
        <f t="shared" ca="1" si="101"/>
        <v>0</v>
      </c>
      <c r="S182" s="29">
        <f t="shared" ca="1" si="101"/>
        <v>1</v>
      </c>
      <c r="T182" s="29">
        <f t="shared" ca="1" si="101"/>
        <v>0</v>
      </c>
      <c r="U182" s="29">
        <f t="shared" ca="1" si="101"/>
        <v>0</v>
      </c>
      <c r="V182" s="29">
        <f t="shared" ca="1" si="101"/>
        <v>0</v>
      </c>
      <c r="W182" s="29">
        <f t="shared" ca="1" si="101"/>
        <v>2</v>
      </c>
      <c r="X182" s="29">
        <f t="shared" ca="1" si="101"/>
        <v>0</v>
      </c>
      <c r="Y182" s="29">
        <f t="shared" ca="1" si="101"/>
        <v>2</v>
      </c>
      <c r="Z182" s="29">
        <f t="shared" ca="1" si="101"/>
        <v>1</v>
      </c>
      <c r="AA182" s="29">
        <f t="shared" ca="1" si="101"/>
        <v>3</v>
      </c>
      <c r="AB182" s="29">
        <f t="shared" ca="1" si="101"/>
        <v>2</v>
      </c>
      <c r="AC182" s="29">
        <f t="shared" ca="1" si="101"/>
        <v>1</v>
      </c>
      <c r="AD182" s="29">
        <f t="shared" ca="1" si="101"/>
        <v>2</v>
      </c>
      <c r="AE182" s="29">
        <f t="shared" ca="1" si="101"/>
        <v>1</v>
      </c>
      <c r="AF182" s="29">
        <f t="shared" ca="1" si="101"/>
        <v>2</v>
      </c>
      <c r="AG182" s="29">
        <f t="shared" ca="1" si="100"/>
        <v>2</v>
      </c>
      <c r="AH182" s="29">
        <f t="shared" ca="1" si="100"/>
        <v>1</v>
      </c>
      <c r="AI182" s="29">
        <f t="shared" ca="1" si="100"/>
        <v>0</v>
      </c>
      <c r="AJ182" s="29">
        <f t="shared" ca="1" si="100"/>
        <v>1</v>
      </c>
      <c r="AK182" s="29">
        <f t="shared" ca="1" si="100"/>
        <v>1</v>
      </c>
      <c r="AL182" s="29">
        <f t="shared" ca="1" si="100"/>
        <v>2</v>
      </c>
      <c r="AM182" s="29">
        <f t="shared" ca="1" si="100"/>
        <v>1</v>
      </c>
      <c r="AN182" s="29">
        <f t="shared" ca="1" si="100"/>
        <v>0</v>
      </c>
      <c r="AO182" s="29">
        <f t="shared" ca="1" si="100"/>
        <v>1</v>
      </c>
      <c r="AP182" s="29">
        <f t="shared" ca="1" si="100"/>
        <v>0</v>
      </c>
      <c r="AQ182" s="29">
        <f t="shared" ca="1" si="100"/>
        <v>2</v>
      </c>
      <c r="AR182" s="29">
        <f t="shared" ca="1" si="100"/>
        <v>2</v>
      </c>
      <c r="AS182" s="29">
        <f t="shared" ca="1" si="100"/>
        <v>1</v>
      </c>
      <c r="AT182" s="29">
        <f t="shared" ca="1" si="100"/>
        <v>2</v>
      </c>
      <c r="AU182" s="29">
        <f t="shared" ca="1" si="100"/>
        <v>1</v>
      </c>
      <c r="AV182" s="29">
        <f t="shared" ca="1" si="103"/>
        <v>1</v>
      </c>
      <c r="AW182" s="29">
        <f t="shared" ca="1" si="103"/>
        <v>1</v>
      </c>
      <c r="AX182" s="29">
        <f t="shared" ca="1" si="103"/>
        <v>0</v>
      </c>
      <c r="AY182" s="29">
        <f t="shared" ca="1" si="103"/>
        <v>2</v>
      </c>
      <c r="AZ182" s="29">
        <f t="shared" ca="1" si="103"/>
        <v>2</v>
      </c>
      <c r="BA182" s="29">
        <f t="shared" ca="1" si="103"/>
        <v>1</v>
      </c>
      <c r="BB182" s="29">
        <f t="shared" ca="1" si="103"/>
        <v>1</v>
      </c>
      <c r="BC182" s="29">
        <f t="shared" ca="1" si="103"/>
        <v>4</v>
      </c>
      <c r="BD182" s="29">
        <f t="shared" ca="1" si="103"/>
        <v>2</v>
      </c>
      <c r="BE182" s="29">
        <f t="shared" ca="1" si="103"/>
        <v>1</v>
      </c>
      <c r="BF182" s="29">
        <f t="shared" ca="1" si="103"/>
        <v>1</v>
      </c>
      <c r="BG182" s="29">
        <f t="shared" ca="1" si="103"/>
        <v>0</v>
      </c>
      <c r="BH182" s="29">
        <f t="shared" ca="1" si="103"/>
        <v>1</v>
      </c>
      <c r="BI182" s="29">
        <f t="shared" ca="1" si="103"/>
        <v>1</v>
      </c>
      <c r="BJ182" s="29">
        <f t="shared" ca="1" si="103"/>
        <v>2</v>
      </c>
      <c r="BK182" s="29">
        <f t="shared" ca="1" si="103"/>
        <v>1</v>
      </c>
      <c r="BL182" s="29">
        <f t="shared" ca="1" si="102"/>
        <v>0</v>
      </c>
      <c r="BM182" s="29">
        <f t="shared" ca="1" si="102"/>
        <v>2</v>
      </c>
      <c r="BN182" s="29">
        <f t="shared" ca="1" si="102"/>
        <v>1</v>
      </c>
      <c r="BO182" s="29">
        <f t="shared" ca="1" si="102"/>
        <v>0</v>
      </c>
      <c r="BP182" s="29">
        <f t="shared" ca="1" si="102"/>
        <v>0</v>
      </c>
      <c r="BQ182" s="29">
        <f t="shared" ca="1" si="102"/>
        <v>0</v>
      </c>
      <c r="BR182" s="29">
        <f t="shared" ca="1" si="102"/>
        <v>0</v>
      </c>
      <c r="BS182" s="29">
        <f t="shared" ca="1" si="102"/>
        <v>2</v>
      </c>
      <c r="BT182" s="29">
        <f t="shared" ca="1" si="102"/>
        <v>0</v>
      </c>
      <c r="BU182" s="29">
        <f t="shared" ca="1" si="102"/>
        <v>2</v>
      </c>
      <c r="BV182" s="29">
        <f t="shared" ca="1" si="102"/>
        <v>1</v>
      </c>
      <c r="BW182" s="29">
        <f t="shared" ca="1" si="102"/>
        <v>2</v>
      </c>
      <c r="BX182" s="29">
        <f t="shared" ca="1" si="102"/>
        <v>0</v>
      </c>
      <c r="BY182" s="29">
        <f t="shared" ca="1" si="102"/>
        <v>2</v>
      </c>
      <c r="BZ182" s="29">
        <f t="shared" ca="1" si="102"/>
        <v>1</v>
      </c>
      <c r="CA182" s="29">
        <f t="shared" ca="1" si="105"/>
        <v>1</v>
      </c>
      <c r="CB182" s="29">
        <f t="shared" ca="1" si="105"/>
        <v>0</v>
      </c>
      <c r="CC182" s="29">
        <f t="shared" ca="1" si="105"/>
        <v>0</v>
      </c>
      <c r="CD182" s="29">
        <f t="shared" ca="1" si="105"/>
        <v>1</v>
      </c>
      <c r="CE182" s="29">
        <f t="shared" ca="1" si="105"/>
        <v>2</v>
      </c>
      <c r="CF182" s="29">
        <f t="shared" ca="1" si="105"/>
        <v>1</v>
      </c>
      <c r="CG182" s="29">
        <f t="shared" ca="1" si="105"/>
        <v>1</v>
      </c>
      <c r="CH182" s="29">
        <f t="shared" ca="1" si="105"/>
        <v>1</v>
      </c>
      <c r="CI182" s="29">
        <f t="shared" ca="1" si="105"/>
        <v>1</v>
      </c>
      <c r="CJ182" s="29">
        <f t="shared" ca="1" si="105"/>
        <v>2</v>
      </c>
      <c r="CK182" s="29">
        <f t="shared" ca="1" si="105"/>
        <v>0</v>
      </c>
      <c r="CL182" s="29">
        <f t="shared" ca="1" si="105"/>
        <v>1</v>
      </c>
      <c r="CM182" s="29">
        <f t="shared" ca="1" si="105"/>
        <v>3</v>
      </c>
      <c r="CN182" s="29">
        <f t="shared" ca="1" si="105"/>
        <v>2</v>
      </c>
      <c r="CO182" s="29">
        <f t="shared" ca="1" si="105"/>
        <v>1</v>
      </c>
      <c r="CP182" s="29">
        <f t="shared" ca="1" si="105"/>
        <v>0</v>
      </c>
      <c r="CQ182" s="29">
        <f t="shared" ca="1" si="104"/>
        <v>3</v>
      </c>
      <c r="CR182" s="29">
        <f t="shared" ca="1" si="104"/>
        <v>0</v>
      </c>
      <c r="CS182" s="29">
        <f t="shared" ca="1" si="104"/>
        <v>0</v>
      </c>
      <c r="CT182" s="29">
        <f t="shared" ca="1" si="104"/>
        <v>1</v>
      </c>
      <c r="CU182" s="29">
        <f t="shared" ca="1" si="104"/>
        <v>1</v>
      </c>
      <c r="CV182" s="29">
        <f t="shared" ca="1" si="104"/>
        <v>0</v>
      </c>
      <c r="CW182" s="29">
        <f t="shared" ca="1" si="104"/>
        <v>2</v>
      </c>
      <c r="CX182" s="29">
        <f t="shared" ca="1" si="104"/>
        <v>0</v>
      </c>
      <c r="CY182" s="29">
        <f t="shared" ca="1" si="104"/>
        <v>0</v>
      </c>
      <c r="CZ182" s="29">
        <f t="shared" ca="1" si="104"/>
        <v>3</v>
      </c>
      <c r="DA182" s="29">
        <f t="shared" ca="1" si="104"/>
        <v>2</v>
      </c>
      <c r="DB182" s="29">
        <f t="shared" ca="1" si="104"/>
        <v>3</v>
      </c>
      <c r="DC182" s="29">
        <f t="shared" ca="1" si="104"/>
        <v>3</v>
      </c>
      <c r="DD182" s="29">
        <f t="shared" ca="1" si="104"/>
        <v>0</v>
      </c>
      <c r="DE182" s="29">
        <f t="shared" ca="1" si="104"/>
        <v>0</v>
      </c>
      <c r="DF182" s="29">
        <f t="shared" ca="1" si="97"/>
        <v>2</v>
      </c>
      <c r="DG182" s="29">
        <f t="shared" ca="1" si="97"/>
        <v>1</v>
      </c>
      <c r="DH182" s="29">
        <f t="shared" ca="1" si="97"/>
        <v>0</v>
      </c>
      <c r="DI182" s="29">
        <f t="shared" ca="1" si="97"/>
        <v>0</v>
      </c>
      <c r="DJ182" s="29">
        <f t="shared" ca="1" si="97"/>
        <v>0</v>
      </c>
      <c r="DK182" s="29">
        <f t="shared" ca="1" si="97"/>
        <v>1</v>
      </c>
      <c r="DL182" s="29">
        <f t="shared" ca="1" si="97"/>
        <v>1</v>
      </c>
    </row>
    <row r="183" spans="1:116" ht="14.4" x14ac:dyDescent="0.3">
      <c r="A183" s="31">
        <v>318</v>
      </c>
      <c r="B183" s="28">
        <v>4.3</v>
      </c>
      <c r="C183" s="30">
        <v>99.22</v>
      </c>
      <c r="D183" s="28">
        <v>2.84</v>
      </c>
      <c r="E183" s="34">
        <f t="shared" si="77"/>
        <v>5.6799999999999996E-2</v>
      </c>
      <c r="F183" s="35">
        <f t="shared" si="78"/>
        <v>24.805</v>
      </c>
      <c r="G183" s="34">
        <f t="shared" si="79"/>
        <v>71</v>
      </c>
      <c r="H183" s="33">
        <f t="shared" si="80"/>
        <v>10.743023255813954</v>
      </c>
      <c r="I183" s="28">
        <f t="shared" si="83"/>
        <v>484.49000000000018</v>
      </c>
      <c r="J183" s="32">
        <v>1</v>
      </c>
      <c r="K183" s="30">
        <f t="shared" si="81"/>
        <v>24.805</v>
      </c>
      <c r="L183" s="30"/>
      <c r="M183" s="30"/>
      <c r="N183" s="30"/>
      <c r="O183" s="30"/>
      <c r="Q183" s="29">
        <f t="shared" ca="1" si="82"/>
        <v>4</v>
      </c>
      <c r="R183" s="29">
        <f t="shared" ca="1" si="101"/>
        <v>3</v>
      </c>
      <c r="S183" s="29">
        <f t="shared" ca="1" si="101"/>
        <v>2</v>
      </c>
      <c r="T183" s="29">
        <f t="shared" ca="1" si="101"/>
        <v>3</v>
      </c>
      <c r="U183" s="29">
        <f t="shared" ca="1" si="101"/>
        <v>3</v>
      </c>
      <c r="V183" s="29">
        <f t="shared" ca="1" si="101"/>
        <v>3</v>
      </c>
      <c r="W183" s="29">
        <f t="shared" ca="1" si="101"/>
        <v>3</v>
      </c>
      <c r="X183" s="29">
        <f t="shared" ca="1" si="101"/>
        <v>6</v>
      </c>
      <c r="Y183" s="29">
        <f t="shared" ca="1" si="101"/>
        <v>3</v>
      </c>
      <c r="Z183" s="29">
        <f t="shared" ca="1" si="101"/>
        <v>1</v>
      </c>
      <c r="AA183" s="29">
        <f t="shared" ca="1" si="101"/>
        <v>0</v>
      </c>
      <c r="AB183" s="29">
        <f t="shared" ca="1" si="101"/>
        <v>2</v>
      </c>
      <c r="AC183" s="29">
        <f t="shared" ca="1" si="101"/>
        <v>4</v>
      </c>
      <c r="AD183" s="29">
        <f t="shared" ca="1" si="101"/>
        <v>2</v>
      </c>
      <c r="AE183" s="29">
        <f t="shared" ca="1" si="101"/>
        <v>3</v>
      </c>
      <c r="AF183" s="29">
        <f t="shared" ca="1" si="101"/>
        <v>4</v>
      </c>
      <c r="AG183" s="29">
        <f t="shared" ca="1" si="100"/>
        <v>2</v>
      </c>
      <c r="AH183" s="29">
        <f t="shared" ca="1" si="100"/>
        <v>2</v>
      </c>
      <c r="AI183" s="29">
        <f t="shared" ca="1" si="100"/>
        <v>2</v>
      </c>
      <c r="AJ183" s="29">
        <f t="shared" ca="1" si="100"/>
        <v>1</v>
      </c>
      <c r="AK183" s="29">
        <f t="shared" ca="1" si="100"/>
        <v>5</v>
      </c>
      <c r="AL183" s="29">
        <f t="shared" ca="1" si="100"/>
        <v>3</v>
      </c>
      <c r="AM183" s="29">
        <f t="shared" ca="1" si="100"/>
        <v>3</v>
      </c>
      <c r="AN183" s="29">
        <f t="shared" ca="1" si="100"/>
        <v>0</v>
      </c>
      <c r="AO183" s="29">
        <f t="shared" ca="1" si="100"/>
        <v>2</v>
      </c>
      <c r="AP183" s="29">
        <f t="shared" ca="1" si="100"/>
        <v>4</v>
      </c>
      <c r="AQ183" s="29">
        <f t="shared" ca="1" si="100"/>
        <v>6</v>
      </c>
      <c r="AR183" s="29">
        <f t="shared" ca="1" si="100"/>
        <v>4</v>
      </c>
      <c r="AS183" s="29">
        <f t="shared" ca="1" si="100"/>
        <v>1</v>
      </c>
      <c r="AT183" s="29">
        <f t="shared" ca="1" si="100"/>
        <v>4</v>
      </c>
      <c r="AU183" s="29">
        <f t="shared" ca="1" si="100"/>
        <v>2</v>
      </c>
      <c r="AV183" s="29">
        <f t="shared" ca="1" si="103"/>
        <v>1</v>
      </c>
      <c r="AW183" s="29">
        <f t="shared" ca="1" si="103"/>
        <v>4</v>
      </c>
      <c r="AX183" s="29">
        <f t="shared" ca="1" si="103"/>
        <v>2</v>
      </c>
      <c r="AY183" s="29">
        <f t="shared" ca="1" si="103"/>
        <v>2</v>
      </c>
      <c r="AZ183" s="29">
        <f t="shared" ca="1" si="103"/>
        <v>5</v>
      </c>
      <c r="BA183" s="29">
        <f t="shared" ca="1" si="103"/>
        <v>1</v>
      </c>
      <c r="BB183" s="29">
        <f t="shared" ca="1" si="103"/>
        <v>4</v>
      </c>
      <c r="BC183" s="29">
        <f t="shared" ca="1" si="103"/>
        <v>6</v>
      </c>
      <c r="BD183" s="29">
        <f t="shared" ca="1" si="103"/>
        <v>3</v>
      </c>
      <c r="BE183" s="29">
        <f t="shared" ca="1" si="103"/>
        <v>3</v>
      </c>
      <c r="BF183" s="29">
        <f t="shared" ca="1" si="103"/>
        <v>2</v>
      </c>
      <c r="BG183" s="29">
        <f t="shared" ca="1" si="103"/>
        <v>4</v>
      </c>
      <c r="BH183" s="29">
        <f t="shared" ca="1" si="103"/>
        <v>2</v>
      </c>
      <c r="BI183" s="29">
        <f t="shared" ca="1" si="103"/>
        <v>2</v>
      </c>
      <c r="BJ183" s="29">
        <f t="shared" ca="1" si="103"/>
        <v>8</v>
      </c>
      <c r="BK183" s="29">
        <f t="shared" ca="1" si="103"/>
        <v>4</v>
      </c>
      <c r="BL183" s="29">
        <f t="shared" ca="1" si="102"/>
        <v>3</v>
      </c>
      <c r="BM183" s="29">
        <f t="shared" ca="1" si="102"/>
        <v>5</v>
      </c>
      <c r="BN183" s="29">
        <f t="shared" ca="1" si="102"/>
        <v>4</v>
      </c>
      <c r="BO183" s="29">
        <f t="shared" ca="1" si="102"/>
        <v>2</v>
      </c>
      <c r="BP183" s="29">
        <f t="shared" ca="1" si="102"/>
        <v>4</v>
      </c>
      <c r="BQ183" s="29">
        <f t="shared" ca="1" si="102"/>
        <v>2</v>
      </c>
      <c r="BR183" s="29">
        <f t="shared" ca="1" si="102"/>
        <v>0</v>
      </c>
      <c r="BS183" s="29">
        <f t="shared" ca="1" si="102"/>
        <v>8</v>
      </c>
      <c r="BT183" s="29">
        <f t="shared" ca="1" si="102"/>
        <v>4</v>
      </c>
      <c r="BU183" s="29">
        <f t="shared" ca="1" si="102"/>
        <v>3</v>
      </c>
      <c r="BV183" s="29">
        <f t="shared" ca="1" si="102"/>
        <v>2</v>
      </c>
      <c r="BW183" s="29">
        <f t="shared" ca="1" si="102"/>
        <v>3</v>
      </c>
      <c r="BX183" s="29">
        <f t="shared" ca="1" si="102"/>
        <v>3</v>
      </c>
      <c r="BY183" s="29">
        <f t="shared" ca="1" si="102"/>
        <v>3</v>
      </c>
      <c r="BZ183" s="29">
        <f t="shared" ca="1" si="102"/>
        <v>4</v>
      </c>
      <c r="CA183" s="29">
        <f t="shared" ca="1" si="105"/>
        <v>2</v>
      </c>
      <c r="CB183" s="29">
        <f t="shared" ca="1" si="105"/>
        <v>3</v>
      </c>
      <c r="CC183" s="29">
        <f t="shared" ca="1" si="105"/>
        <v>4</v>
      </c>
      <c r="CD183" s="29">
        <f t="shared" ca="1" si="105"/>
        <v>0</v>
      </c>
      <c r="CE183" s="29">
        <f t="shared" ca="1" si="105"/>
        <v>6</v>
      </c>
      <c r="CF183" s="29">
        <f t="shared" ca="1" si="105"/>
        <v>3</v>
      </c>
      <c r="CG183" s="29">
        <f t="shared" ca="1" si="105"/>
        <v>3</v>
      </c>
      <c r="CH183" s="29">
        <f t="shared" ca="1" si="105"/>
        <v>3</v>
      </c>
      <c r="CI183" s="29">
        <f t="shared" ca="1" si="105"/>
        <v>4</v>
      </c>
      <c r="CJ183" s="29">
        <f t="shared" ca="1" si="105"/>
        <v>0</v>
      </c>
      <c r="CK183" s="29">
        <f t="shared" ca="1" si="105"/>
        <v>0</v>
      </c>
      <c r="CL183" s="29">
        <f t="shared" ca="1" si="105"/>
        <v>5</v>
      </c>
      <c r="CM183" s="29">
        <f t="shared" ca="1" si="105"/>
        <v>3</v>
      </c>
      <c r="CN183" s="29">
        <f t="shared" ca="1" si="105"/>
        <v>2</v>
      </c>
      <c r="CO183" s="29">
        <f t="shared" ca="1" si="105"/>
        <v>6</v>
      </c>
      <c r="CP183" s="29">
        <f t="shared" ca="1" si="105"/>
        <v>6</v>
      </c>
      <c r="CQ183" s="29">
        <f t="shared" ca="1" si="104"/>
        <v>3</v>
      </c>
      <c r="CR183" s="29">
        <f t="shared" ca="1" si="104"/>
        <v>0</v>
      </c>
      <c r="CS183" s="29">
        <f t="shared" ca="1" si="104"/>
        <v>5</v>
      </c>
      <c r="CT183" s="29">
        <f t="shared" ca="1" si="104"/>
        <v>4</v>
      </c>
      <c r="CU183" s="29">
        <f t="shared" ca="1" si="104"/>
        <v>2</v>
      </c>
      <c r="CV183" s="29">
        <f t="shared" ca="1" si="104"/>
        <v>2</v>
      </c>
      <c r="CW183" s="29">
        <f t="shared" ca="1" si="104"/>
        <v>3</v>
      </c>
      <c r="CX183" s="29">
        <f t="shared" ca="1" si="104"/>
        <v>3</v>
      </c>
      <c r="CY183" s="29">
        <f t="shared" ca="1" si="104"/>
        <v>1</v>
      </c>
      <c r="CZ183" s="29">
        <f t="shared" ca="1" si="104"/>
        <v>3</v>
      </c>
      <c r="DA183" s="29">
        <f t="shared" ca="1" si="104"/>
        <v>5</v>
      </c>
      <c r="DB183" s="29">
        <f t="shared" ca="1" si="104"/>
        <v>1</v>
      </c>
      <c r="DC183" s="29">
        <f t="shared" ca="1" si="104"/>
        <v>2</v>
      </c>
      <c r="DD183" s="29">
        <f t="shared" ca="1" si="104"/>
        <v>5</v>
      </c>
      <c r="DE183" s="29">
        <f t="shared" ca="1" si="104"/>
        <v>3</v>
      </c>
      <c r="DF183" s="29">
        <f t="shared" ca="1" si="97"/>
        <v>3</v>
      </c>
      <c r="DG183" s="29">
        <f t="shared" ca="1" si="97"/>
        <v>3</v>
      </c>
      <c r="DH183" s="29">
        <f t="shared" ca="1" si="97"/>
        <v>2</v>
      </c>
      <c r="DI183" s="29">
        <f t="shared" ca="1" si="97"/>
        <v>3</v>
      </c>
      <c r="DJ183" s="29">
        <f t="shared" ca="1" si="97"/>
        <v>2</v>
      </c>
      <c r="DK183" s="29">
        <f t="shared" ca="1" si="97"/>
        <v>3</v>
      </c>
      <c r="DL183" s="29">
        <f t="shared" ca="1" si="97"/>
        <v>2</v>
      </c>
    </row>
    <row r="184" spans="1:116" ht="14.4" x14ac:dyDescent="0.3">
      <c r="A184" s="31">
        <v>961</v>
      </c>
      <c r="B184" s="28">
        <v>3.91</v>
      </c>
      <c r="C184" s="30">
        <v>84.9</v>
      </c>
      <c r="D184" s="28">
        <v>2.52</v>
      </c>
      <c r="E184" s="34">
        <f t="shared" si="77"/>
        <v>5.04E-2</v>
      </c>
      <c r="F184" s="35">
        <f t="shared" si="78"/>
        <v>21.225000000000001</v>
      </c>
      <c r="G184" s="34">
        <f t="shared" si="79"/>
        <v>63</v>
      </c>
      <c r="H184" s="33">
        <f t="shared" si="80"/>
        <v>10.684143222506393</v>
      </c>
      <c r="I184" s="28">
        <f t="shared" si="83"/>
        <v>488.4000000000002</v>
      </c>
      <c r="J184" s="32">
        <v>1</v>
      </c>
      <c r="K184" s="30">
        <f t="shared" si="81"/>
        <v>21.225000000000001</v>
      </c>
      <c r="L184" s="30"/>
      <c r="M184" s="30"/>
      <c r="N184" s="30"/>
      <c r="O184" s="30"/>
      <c r="Q184" s="29">
        <f t="shared" ca="1" si="82"/>
        <v>6</v>
      </c>
      <c r="R184" s="29">
        <f t="shared" ca="1" si="101"/>
        <v>8</v>
      </c>
      <c r="S184" s="29">
        <f t="shared" ca="1" si="101"/>
        <v>3</v>
      </c>
      <c r="T184" s="29">
        <f t="shared" ca="1" si="101"/>
        <v>5</v>
      </c>
      <c r="U184" s="29">
        <f t="shared" ca="1" si="101"/>
        <v>2</v>
      </c>
      <c r="V184" s="29">
        <f t="shared" ca="1" si="101"/>
        <v>5</v>
      </c>
      <c r="W184" s="29">
        <f t="shared" ca="1" si="101"/>
        <v>5</v>
      </c>
      <c r="X184" s="29">
        <f t="shared" ca="1" si="101"/>
        <v>4</v>
      </c>
      <c r="Y184" s="29">
        <f t="shared" ca="1" si="101"/>
        <v>2</v>
      </c>
      <c r="Z184" s="29">
        <f t="shared" ca="1" si="101"/>
        <v>4</v>
      </c>
      <c r="AA184" s="29">
        <f t="shared" ca="1" si="101"/>
        <v>4</v>
      </c>
      <c r="AB184" s="29">
        <f t="shared" ca="1" si="101"/>
        <v>4</v>
      </c>
      <c r="AC184" s="29">
        <f t="shared" ca="1" si="101"/>
        <v>2</v>
      </c>
      <c r="AD184" s="29">
        <f t="shared" ca="1" si="101"/>
        <v>5</v>
      </c>
      <c r="AE184" s="29">
        <f t="shared" ca="1" si="101"/>
        <v>3</v>
      </c>
      <c r="AF184" s="29">
        <f t="shared" ca="1" si="101"/>
        <v>2</v>
      </c>
      <c r="AG184" s="29">
        <f t="shared" ca="1" si="100"/>
        <v>4</v>
      </c>
      <c r="AH184" s="29">
        <f t="shared" ca="1" si="100"/>
        <v>1</v>
      </c>
      <c r="AI184" s="29">
        <f t="shared" ca="1" si="100"/>
        <v>5</v>
      </c>
      <c r="AJ184" s="29">
        <f t="shared" ca="1" si="100"/>
        <v>6</v>
      </c>
      <c r="AK184" s="29">
        <f t="shared" ca="1" si="100"/>
        <v>4</v>
      </c>
      <c r="AL184" s="29">
        <f t="shared" ca="1" si="100"/>
        <v>4</v>
      </c>
      <c r="AM184" s="29">
        <f t="shared" ca="1" si="100"/>
        <v>2</v>
      </c>
      <c r="AN184" s="29">
        <f t="shared" ca="1" si="100"/>
        <v>3</v>
      </c>
      <c r="AO184" s="29">
        <f t="shared" ca="1" si="100"/>
        <v>3</v>
      </c>
      <c r="AP184" s="29">
        <f t="shared" ca="1" si="100"/>
        <v>4</v>
      </c>
      <c r="AQ184" s="29">
        <f t="shared" ca="1" si="100"/>
        <v>3</v>
      </c>
      <c r="AR184" s="29">
        <f t="shared" ca="1" si="100"/>
        <v>2</v>
      </c>
      <c r="AS184" s="29">
        <f t="shared" ca="1" si="100"/>
        <v>3</v>
      </c>
      <c r="AT184" s="29">
        <f t="shared" ca="1" si="100"/>
        <v>2</v>
      </c>
      <c r="AU184" s="29">
        <f t="shared" ca="1" si="100"/>
        <v>0</v>
      </c>
      <c r="AV184" s="29">
        <f t="shared" ca="1" si="103"/>
        <v>3</v>
      </c>
      <c r="AW184" s="29">
        <f t="shared" ca="1" si="103"/>
        <v>2</v>
      </c>
      <c r="AX184" s="29">
        <f t="shared" ca="1" si="103"/>
        <v>2</v>
      </c>
      <c r="AY184" s="29">
        <f t="shared" ca="1" si="103"/>
        <v>2</v>
      </c>
      <c r="AZ184" s="29">
        <f t="shared" ca="1" si="103"/>
        <v>2</v>
      </c>
      <c r="BA184" s="29">
        <f t="shared" ca="1" si="103"/>
        <v>1</v>
      </c>
      <c r="BB184" s="29">
        <f t="shared" ca="1" si="103"/>
        <v>5</v>
      </c>
      <c r="BC184" s="29">
        <f t="shared" ca="1" si="103"/>
        <v>2</v>
      </c>
      <c r="BD184" s="29">
        <f t="shared" ca="1" si="103"/>
        <v>3</v>
      </c>
      <c r="BE184" s="29">
        <f t="shared" ca="1" si="103"/>
        <v>1</v>
      </c>
      <c r="BF184" s="29">
        <f t="shared" ca="1" si="103"/>
        <v>2</v>
      </c>
      <c r="BG184" s="29">
        <f t="shared" ca="1" si="103"/>
        <v>3</v>
      </c>
      <c r="BH184" s="29">
        <f t="shared" ca="1" si="103"/>
        <v>1</v>
      </c>
      <c r="BI184" s="29">
        <f t="shared" ca="1" si="103"/>
        <v>2</v>
      </c>
      <c r="BJ184" s="29">
        <f t="shared" ca="1" si="103"/>
        <v>2</v>
      </c>
      <c r="BK184" s="29">
        <f t="shared" ca="1" si="103"/>
        <v>3</v>
      </c>
      <c r="BL184" s="29">
        <f t="shared" ca="1" si="102"/>
        <v>2</v>
      </c>
      <c r="BM184" s="29">
        <f t="shared" ca="1" si="102"/>
        <v>2</v>
      </c>
      <c r="BN184" s="29">
        <f t="shared" ca="1" si="102"/>
        <v>3</v>
      </c>
      <c r="BO184" s="29">
        <f t="shared" ca="1" si="102"/>
        <v>3</v>
      </c>
      <c r="BP184" s="29">
        <f t="shared" ca="1" si="102"/>
        <v>1</v>
      </c>
      <c r="BQ184" s="29">
        <f t="shared" ca="1" si="102"/>
        <v>3</v>
      </c>
      <c r="BR184" s="29">
        <f t="shared" ca="1" si="102"/>
        <v>3</v>
      </c>
      <c r="BS184" s="29">
        <f t="shared" ca="1" si="102"/>
        <v>2</v>
      </c>
      <c r="BT184" s="29">
        <f t="shared" ca="1" si="102"/>
        <v>2</v>
      </c>
      <c r="BU184" s="29">
        <f t="shared" ca="1" si="102"/>
        <v>4</v>
      </c>
      <c r="BV184" s="29">
        <f t="shared" ca="1" si="102"/>
        <v>1</v>
      </c>
      <c r="BW184" s="29">
        <f t="shared" ca="1" si="102"/>
        <v>3</v>
      </c>
      <c r="BX184" s="29">
        <f t="shared" ca="1" si="102"/>
        <v>0</v>
      </c>
      <c r="BY184" s="29">
        <f t="shared" ca="1" si="102"/>
        <v>4</v>
      </c>
      <c r="BZ184" s="29">
        <f t="shared" ca="1" si="102"/>
        <v>1</v>
      </c>
      <c r="CA184" s="29">
        <f t="shared" ca="1" si="105"/>
        <v>1</v>
      </c>
      <c r="CB184" s="29">
        <f t="shared" ca="1" si="105"/>
        <v>3</v>
      </c>
      <c r="CC184" s="29">
        <f t="shared" ca="1" si="105"/>
        <v>0</v>
      </c>
      <c r="CD184" s="29">
        <f t="shared" ca="1" si="105"/>
        <v>2</v>
      </c>
      <c r="CE184" s="29">
        <f t="shared" ca="1" si="105"/>
        <v>2</v>
      </c>
      <c r="CF184" s="29">
        <f t="shared" ca="1" si="105"/>
        <v>2</v>
      </c>
      <c r="CG184" s="29">
        <f t="shared" ca="1" si="105"/>
        <v>3</v>
      </c>
      <c r="CH184" s="29">
        <f t="shared" ca="1" si="105"/>
        <v>3</v>
      </c>
      <c r="CI184" s="29">
        <f t="shared" ca="1" si="105"/>
        <v>3</v>
      </c>
      <c r="CJ184" s="29">
        <f t="shared" ca="1" si="105"/>
        <v>0</v>
      </c>
      <c r="CK184" s="29">
        <f t="shared" ca="1" si="105"/>
        <v>2</v>
      </c>
      <c r="CL184" s="29">
        <f t="shared" ca="1" si="105"/>
        <v>2</v>
      </c>
      <c r="CM184" s="29">
        <f t="shared" ca="1" si="105"/>
        <v>4</v>
      </c>
      <c r="CN184" s="29">
        <f t="shared" ca="1" si="105"/>
        <v>2</v>
      </c>
      <c r="CO184" s="29">
        <f t="shared" ca="1" si="105"/>
        <v>1</v>
      </c>
      <c r="CP184" s="29">
        <f t="shared" ca="1" si="105"/>
        <v>2</v>
      </c>
      <c r="CQ184" s="29">
        <f t="shared" ca="1" si="104"/>
        <v>2</v>
      </c>
      <c r="CR184" s="29">
        <f t="shared" ca="1" si="104"/>
        <v>1</v>
      </c>
      <c r="CS184" s="29">
        <f t="shared" ca="1" si="104"/>
        <v>1</v>
      </c>
      <c r="CT184" s="29">
        <f t="shared" ca="1" si="104"/>
        <v>3</v>
      </c>
      <c r="CU184" s="29">
        <f t="shared" ca="1" si="104"/>
        <v>7</v>
      </c>
      <c r="CV184" s="29">
        <f t="shared" ca="1" si="104"/>
        <v>3</v>
      </c>
      <c r="CW184" s="29">
        <f t="shared" ca="1" si="104"/>
        <v>3</v>
      </c>
      <c r="CX184" s="29">
        <f t="shared" ca="1" si="104"/>
        <v>1</v>
      </c>
      <c r="CY184" s="29">
        <f t="shared" ca="1" si="104"/>
        <v>3</v>
      </c>
      <c r="CZ184" s="29">
        <f t="shared" ca="1" si="104"/>
        <v>0</v>
      </c>
      <c r="DA184" s="29">
        <f t="shared" ca="1" si="104"/>
        <v>1</v>
      </c>
      <c r="DB184" s="29">
        <f t="shared" ca="1" si="104"/>
        <v>0</v>
      </c>
      <c r="DC184" s="29">
        <f t="shared" ca="1" si="104"/>
        <v>4</v>
      </c>
      <c r="DD184" s="29">
        <f t="shared" ca="1" si="104"/>
        <v>4</v>
      </c>
      <c r="DE184" s="29">
        <f t="shared" ca="1" si="104"/>
        <v>1</v>
      </c>
      <c r="DF184" s="29">
        <f t="shared" ca="1" si="97"/>
        <v>0</v>
      </c>
      <c r="DG184" s="29">
        <f t="shared" ca="1" si="97"/>
        <v>4</v>
      </c>
      <c r="DH184" s="29">
        <f t="shared" ca="1" si="97"/>
        <v>2</v>
      </c>
      <c r="DI184" s="29">
        <f t="shared" ca="1" si="97"/>
        <v>5</v>
      </c>
      <c r="DJ184" s="29">
        <f t="shared" ca="1" si="97"/>
        <v>1</v>
      </c>
      <c r="DK184" s="29">
        <f t="shared" ca="1" si="97"/>
        <v>2</v>
      </c>
      <c r="DL184" s="29">
        <f t="shared" ca="1" si="97"/>
        <v>3</v>
      </c>
    </row>
    <row r="185" spans="1:116" ht="14.4" x14ac:dyDescent="0.3">
      <c r="A185" s="31">
        <v>582</v>
      </c>
      <c r="B185" s="28">
        <v>5.69</v>
      </c>
      <c r="C185" s="30">
        <v>56.42</v>
      </c>
      <c r="D185" s="28">
        <v>2.99</v>
      </c>
      <c r="E185" s="34">
        <f t="shared" si="77"/>
        <v>5.9800000000000006E-2</v>
      </c>
      <c r="F185" s="35">
        <f t="shared" si="78"/>
        <v>14.105</v>
      </c>
      <c r="G185" s="34">
        <f t="shared" si="79"/>
        <v>74.75</v>
      </c>
      <c r="H185" s="33">
        <f t="shared" si="80"/>
        <v>10.658172231985938</v>
      </c>
      <c r="I185" s="28">
        <f t="shared" si="83"/>
        <v>494.0900000000002</v>
      </c>
      <c r="J185" s="32">
        <v>1</v>
      </c>
      <c r="K185" s="30">
        <f t="shared" si="81"/>
        <v>14.105</v>
      </c>
      <c r="L185" s="30"/>
      <c r="M185" s="30"/>
      <c r="N185" s="30"/>
      <c r="O185" s="30"/>
      <c r="Q185" s="29">
        <f t="shared" ca="1" si="82"/>
        <v>6</v>
      </c>
      <c r="R185" s="29">
        <f t="shared" ca="1" si="101"/>
        <v>0</v>
      </c>
      <c r="S185" s="29">
        <f t="shared" ca="1" si="101"/>
        <v>3</v>
      </c>
      <c r="T185" s="29">
        <f t="shared" ca="1" si="101"/>
        <v>4</v>
      </c>
      <c r="U185" s="29">
        <f t="shared" ca="1" si="101"/>
        <v>0</v>
      </c>
      <c r="V185" s="29">
        <f t="shared" ca="1" si="101"/>
        <v>1</v>
      </c>
      <c r="W185" s="29">
        <f t="shared" ca="1" si="101"/>
        <v>0</v>
      </c>
      <c r="X185" s="29">
        <f t="shared" ca="1" si="101"/>
        <v>0</v>
      </c>
      <c r="Y185" s="29">
        <f t="shared" ca="1" si="101"/>
        <v>2</v>
      </c>
      <c r="Z185" s="29">
        <f t="shared" ca="1" si="101"/>
        <v>2</v>
      </c>
      <c r="AA185" s="29">
        <f t="shared" ca="1" si="101"/>
        <v>6</v>
      </c>
      <c r="AB185" s="29">
        <f t="shared" ca="1" si="101"/>
        <v>2</v>
      </c>
      <c r="AC185" s="29">
        <f t="shared" ca="1" si="101"/>
        <v>4</v>
      </c>
      <c r="AD185" s="29">
        <f t="shared" ca="1" si="101"/>
        <v>2</v>
      </c>
      <c r="AE185" s="29">
        <f t="shared" ca="1" si="101"/>
        <v>5</v>
      </c>
      <c r="AF185" s="29">
        <f t="shared" ref="AF185:AU200" ca="1" si="106">_xlfn.BINOM.INV(50,$E185,RAND())</f>
        <v>3</v>
      </c>
      <c r="AG185" s="29">
        <f t="shared" ca="1" si="106"/>
        <v>3</v>
      </c>
      <c r="AH185" s="29">
        <f t="shared" ca="1" si="106"/>
        <v>2</v>
      </c>
      <c r="AI185" s="29">
        <f t="shared" ca="1" si="106"/>
        <v>0</v>
      </c>
      <c r="AJ185" s="29">
        <f t="shared" ca="1" si="106"/>
        <v>4</v>
      </c>
      <c r="AK185" s="29">
        <f t="shared" ca="1" si="106"/>
        <v>4</v>
      </c>
      <c r="AL185" s="29">
        <f t="shared" ca="1" si="106"/>
        <v>1</v>
      </c>
      <c r="AM185" s="29">
        <f t="shared" ca="1" si="106"/>
        <v>3</v>
      </c>
      <c r="AN185" s="29">
        <f t="shared" ca="1" si="106"/>
        <v>5</v>
      </c>
      <c r="AO185" s="29">
        <f t="shared" ca="1" si="106"/>
        <v>4</v>
      </c>
      <c r="AP185" s="29">
        <f t="shared" ca="1" si="106"/>
        <v>7</v>
      </c>
      <c r="AQ185" s="29">
        <f t="shared" ca="1" si="106"/>
        <v>3</v>
      </c>
      <c r="AR185" s="29">
        <f t="shared" ca="1" si="106"/>
        <v>1</v>
      </c>
      <c r="AS185" s="29">
        <f t="shared" ca="1" si="106"/>
        <v>6</v>
      </c>
      <c r="AT185" s="29">
        <f t="shared" ca="1" si="106"/>
        <v>4</v>
      </c>
      <c r="AU185" s="29">
        <f t="shared" ca="1" si="106"/>
        <v>5</v>
      </c>
      <c r="AV185" s="29">
        <f t="shared" ca="1" si="103"/>
        <v>4</v>
      </c>
      <c r="AW185" s="29">
        <f t="shared" ca="1" si="103"/>
        <v>4</v>
      </c>
      <c r="AX185" s="29">
        <f t="shared" ca="1" si="103"/>
        <v>1</v>
      </c>
      <c r="AY185" s="29">
        <f t="shared" ca="1" si="103"/>
        <v>3</v>
      </c>
      <c r="AZ185" s="29">
        <f t="shared" ca="1" si="103"/>
        <v>0</v>
      </c>
      <c r="BA185" s="29">
        <f t="shared" ca="1" si="103"/>
        <v>3</v>
      </c>
      <c r="BB185" s="29">
        <f t="shared" ca="1" si="103"/>
        <v>5</v>
      </c>
      <c r="BC185" s="29">
        <f t="shared" ca="1" si="103"/>
        <v>3</v>
      </c>
      <c r="BD185" s="29">
        <f t="shared" ca="1" si="103"/>
        <v>6</v>
      </c>
      <c r="BE185" s="29">
        <f t="shared" ca="1" si="103"/>
        <v>3</v>
      </c>
      <c r="BF185" s="29">
        <f t="shared" ca="1" si="103"/>
        <v>2</v>
      </c>
      <c r="BG185" s="29">
        <f t="shared" ca="1" si="103"/>
        <v>4</v>
      </c>
      <c r="BH185" s="29">
        <f t="shared" ca="1" si="103"/>
        <v>3</v>
      </c>
      <c r="BI185" s="29">
        <f t="shared" ca="1" si="103"/>
        <v>2</v>
      </c>
      <c r="BJ185" s="29">
        <f t="shared" ca="1" si="103"/>
        <v>3</v>
      </c>
      <c r="BK185" s="29">
        <f t="shared" ca="1" si="103"/>
        <v>4</v>
      </c>
      <c r="BL185" s="29">
        <f t="shared" ca="1" si="102"/>
        <v>6</v>
      </c>
      <c r="BM185" s="29">
        <f t="shared" ca="1" si="102"/>
        <v>2</v>
      </c>
      <c r="BN185" s="29">
        <f t="shared" ca="1" si="102"/>
        <v>5</v>
      </c>
      <c r="BO185" s="29">
        <f t="shared" ca="1" si="102"/>
        <v>2</v>
      </c>
      <c r="BP185" s="29">
        <f t="shared" ca="1" si="102"/>
        <v>3</v>
      </c>
      <c r="BQ185" s="29">
        <f t="shared" ca="1" si="102"/>
        <v>2</v>
      </c>
      <c r="BR185" s="29">
        <f t="shared" ca="1" si="102"/>
        <v>4</v>
      </c>
      <c r="BS185" s="29">
        <f t="shared" ca="1" si="102"/>
        <v>3</v>
      </c>
      <c r="BT185" s="29">
        <f t="shared" ca="1" si="102"/>
        <v>2</v>
      </c>
      <c r="BU185" s="29">
        <f t="shared" ca="1" si="102"/>
        <v>7</v>
      </c>
      <c r="BV185" s="29">
        <f t="shared" ca="1" si="102"/>
        <v>3</v>
      </c>
      <c r="BW185" s="29">
        <f t="shared" ca="1" si="102"/>
        <v>3</v>
      </c>
      <c r="BX185" s="29">
        <f t="shared" ca="1" si="102"/>
        <v>4</v>
      </c>
      <c r="BY185" s="29">
        <f t="shared" ca="1" si="102"/>
        <v>5</v>
      </c>
      <c r="BZ185" s="29">
        <f t="shared" ca="1" si="102"/>
        <v>4</v>
      </c>
      <c r="CA185" s="29">
        <f t="shared" ca="1" si="105"/>
        <v>5</v>
      </c>
      <c r="CB185" s="29">
        <f t="shared" ca="1" si="105"/>
        <v>2</v>
      </c>
      <c r="CC185" s="29">
        <f t="shared" ca="1" si="105"/>
        <v>1</v>
      </c>
      <c r="CD185" s="29">
        <f t="shared" ca="1" si="105"/>
        <v>1</v>
      </c>
      <c r="CE185" s="29">
        <f t="shared" ca="1" si="105"/>
        <v>3</v>
      </c>
      <c r="CF185" s="29">
        <f t="shared" ca="1" si="105"/>
        <v>1</v>
      </c>
      <c r="CG185" s="29">
        <f t="shared" ca="1" si="105"/>
        <v>4</v>
      </c>
      <c r="CH185" s="29">
        <f t="shared" ca="1" si="105"/>
        <v>5</v>
      </c>
      <c r="CI185" s="29">
        <f t="shared" ca="1" si="105"/>
        <v>3</v>
      </c>
      <c r="CJ185" s="29">
        <f t="shared" ca="1" si="105"/>
        <v>2</v>
      </c>
      <c r="CK185" s="29">
        <f t="shared" ca="1" si="105"/>
        <v>1</v>
      </c>
      <c r="CL185" s="29">
        <f t="shared" ca="1" si="105"/>
        <v>2</v>
      </c>
      <c r="CM185" s="29">
        <f t="shared" ca="1" si="105"/>
        <v>0</v>
      </c>
      <c r="CN185" s="29">
        <f t="shared" ca="1" si="105"/>
        <v>1</v>
      </c>
      <c r="CO185" s="29">
        <f t="shared" ca="1" si="105"/>
        <v>5</v>
      </c>
      <c r="CP185" s="29">
        <f t="shared" ca="1" si="105"/>
        <v>7</v>
      </c>
      <c r="CQ185" s="29">
        <f t="shared" ca="1" si="104"/>
        <v>3</v>
      </c>
      <c r="CR185" s="29">
        <f t="shared" ca="1" si="104"/>
        <v>2</v>
      </c>
      <c r="CS185" s="29">
        <f t="shared" ca="1" si="104"/>
        <v>0</v>
      </c>
      <c r="CT185" s="29">
        <f t="shared" ca="1" si="104"/>
        <v>1</v>
      </c>
      <c r="CU185" s="29">
        <f t="shared" ca="1" si="104"/>
        <v>1</v>
      </c>
      <c r="CV185" s="29">
        <f t="shared" ca="1" si="104"/>
        <v>2</v>
      </c>
      <c r="CW185" s="29">
        <f t="shared" ca="1" si="104"/>
        <v>1</v>
      </c>
      <c r="CX185" s="29">
        <f t="shared" ca="1" si="104"/>
        <v>2</v>
      </c>
      <c r="CY185" s="29">
        <f t="shared" ca="1" si="104"/>
        <v>1</v>
      </c>
      <c r="CZ185" s="29">
        <f t="shared" ca="1" si="104"/>
        <v>3</v>
      </c>
      <c r="DA185" s="29">
        <f t="shared" ca="1" si="104"/>
        <v>3</v>
      </c>
      <c r="DB185" s="29">
        <f t="shared" ca="1" si="104"/>
        <v>2</v>
      </c>
      <c r="DC185" s="29">
        <f t="shared" ca="1" si="104"/>
        <v>2</v>
      </c>
      <c r="DD185" s="29">
        <f t="shared" ca="1" si="104"/>
        <v>3</v>
      </c>
      <c r="DE185" s="29">
        <f t="shared" ca="1" si="104"/>
        <v>2</v>
      </c>
      <c r="DF185" s="29">
        <f t="shared" ca="1" si="97"/>
        <v>4</v>
      </c>
      <c r="DG185" s="29">
        <f t="shared" ca="1" si="97"/>
        <v>2</v>
      </c>
      <c r="DH185" s="29">
        <f t="shared" ca="1" si="97"/>
        <v>4</v>
      </c>
      <c r="DI185" s="29">
        <f t="shared" ca="1" si="97"/>
        <v>4</v>
      </c>
      <c r="DJ185" s="29">
        <f t="shared" ca="1" si="97"/>
        <v>2</v>
      </c>
      <c r="DK185" s="29">
        <f t="shared" ca="1" si="97"/>
        <v>2</v>
      </c>
      <c r="DL185" s="29">
        <f t="shared" ca="1" si="97"/>
        <v>3</v>
      </c>
    </row>
    <row r="186" spans="1:116" ht="14.4" x14ac:dyDescent="0.3">
      <c r="A186" s="31">
        <v>147</v>
      </c>
      <c r="B186" s="28">
        <v>3.42</v>
      </c>
      <c r="C186" s="30">
        <v>84.46</v>
      </c>
      <c r="D186" s="28">
        <v>2.2999999999999998</v>
      </c>
      <c r="E186" s="34">
        <f t="shared" si="77"/>
        <v>4.5999999999999999E-2</v>
      </c>
      <c r="F186" s="35">
        <f t="shared" si="78"/>
        <v>21.114999999999998</v>
      </c>
      <c r="G186" s="34">
        <f t="shared" si="79"/>
        <v>57.499999999999993</v>
      </c>
      <c r="H186" s="33">
        <f t="shared" si="80"/>
        <v>10.638888888888886</v>
      </c>
      <c r="I186" s="28">
        <f t="shared" si="83"/>
        <v>497.51000000000022</v>
      </c>
      <c r="J186" s="32">
        <v>1</v>
      </c>
      <c r="K186" s="30">
        <f t="shared" si="81"/>
        <v>21.114999999999998</v>
      </c>
      <c r="L186" s="30"/>
      <c r="M186" s="30"/>
      <c r="N186" s="30"/>
      <c r="O186" s="30"/>
      <c r="Q186" s="29">
        <f t="shared" ca="1" si="82"/>
        <v>1</v>
      </c>
      <c r="R186" s="29">
        <f t="shared" ref="R186:AF201" ca="1" si="107">_xlfn.BINOM.INV(50,$E186,RAND())</f>
        <v>4</v>
      </c>
      <c r="S186" s="29">
        <f t="shared" ca="1" si="107"/>
        <v>2</v>
      </c>
      <c r="T186" s="29">
        <f t="shared" ca="1" si="107"/>
        <v>1</v>
      </c>
      <c r="U186" s="29">
        <f t="shared" ca="1" si="107"/>
        <v>1</v>
      </c>
      <c r="V186" s="29">
        <f t="shared" ca="1" si="107"/>
        <v>3</v>
      </c>
      <c r="W186" s="29">
        <f t="shared" ca="1" si="107"/>
        <v>1</v>
      </c>
      <c r="X186" s="29">
        <f t="shared" ca="1" si="107"/>
        <v>2</v>
      </c>
      <c r="Y186" s="29">
        <f t="shared" ca="1" si="107"/>
        <v>2</v>
      </c>
      <c r="Z186" s="29">
        <f t="shared" ca="1" si="107"/>
        <v>2</v>
      </c>
      <c r="AA186" s="29">
        <f t="shared" ca="1" si="107"/>
        <v>2</v>
      </c>
      <c r="AB186" s="29">
        <f t="shared" ca="1" si="107"/>
        <v>2</v>
      </c>
      <c r="AC186" s="29">
        <f t="shared" ca="1" si="107"/>
        <v>1</v>
      </c>
      <c r="AD186" s="29">
        <f t="shared" ca="1" si="107"/>
        <v>3</v>
      </c>
      <c r="AE186" s="29">
        <f t="shared" ca="1" si="107"/>
        <v>3</v>
      </c>
      <c r="AF186" s="29">
        <f t="shared" ca="1" si="107"/>
        <v>2</v>
      </c>
      <c r="AG186" s="29">
        <f t="shared" ca="1" si="106"/>
        <v>1</v>
      </c>
      <c r="AH186" s="29">
        <f t="shared" ca="1" si="106"/>
        <v>6</v>
      </c>
      <c r="AI186" s="29">
        <f t="shared" ca="1" si="106"/>
        <v>2</v>
      </c>
      <c r="AJ186" s="29">
        <f t="shared" ca="1" si="106"/>
        <v>4</v>
      </c>
      <c r="AK186" s="29">
        <f t="shared" ca="1" si="106"/>
        <v>4</v>
      </c>
      <c r="AL186" s="29">
        <f t="shared" ca="1" si="106"/>
        <v>3</v>
      </c>
      <c r="AM186" s="29">
        <f t="shared" ca="1" si="106"/>
        <v>2</v>
      </c>
      <c r="AN186" s="29">
        <f t="shared" ca="1" si="106"/>
        <v>2</v>
      </c>
      <c r="AO186" s="29">
        <f t="shared" ca="1" si="106"/>
        <v>5</v>
      </c>
      <c r="AP186" s="29">
        <f t="shared" ca="1" si="106"/>
        <v>4</v>
      </c>
      <c r="AQ186" s="29">
        <f t="shared" ca="1" si="106"/>
        <v>1</v>
      </c>
      <c r="AR186" s="29">
        <f t="shared" ca="1" si="106"/>
        <v>1</v>
      </c>
      <c r="AS186" s="29">
        <f t="shared" ca="1" si="106"/>
        <v>1</v>
      </c>
      <c r="AT186" s="29">
        <f t="shared" ca="1" si="106"/>
        <v>2</v>
      </c>
      <c r="AU186" s="29">
        <f t="shared" ca="1" si="106"/>
        <v>3</v>
      </c>
      <c r="AV186" s="29">
        <f t="shared" ca="1" si="103"/>
        <v>2</v>
      </c>
      <c r="AW186" s="29">
        <f t="shared" ca="1" si="103"/>
        <v>4</v>
      </c>
      <c r="AX186" s="29">
        <f t="shared" ca="1" si="103"/>
        <v>2</v>
      </c>
      <c r="AY186" s="29">
        <f t="shared" ca="1" si="103"/>
        <v>1</v>
      </c>
      <c r="AZ186" s="29">
        <f t="shared" ca="1" si="103"/>
        <v>2</v>
      </c>
      <c r="BA186" s="29">
        <f t="shared" ca="1" si="103"/>
        <v>2</v>
      </c>
      <c r="BB186" s="29">
        <f t="shared" ca="1" si="103"/>
        <v>4</v>
      </c>
      <c r="BC186" s="29">
        <f t="shared" ca="1" si="103"/>
        <v>1</v>
      </c>
      <c r="BD186" s="29">
        <f t="shared" ca="1" si="103"/>
        <v>3</v>
      </c>
      <c r="BE186" s="29">
        <f t="shared" ca="1" si="103"/>
        <v>0</v>
      </c>
      <c r="BF186" s="29">
        <f t="shared" ca="1" si="103"/>
        <v>1</v>
      </c>
      <c r="BG186" s="29">
        <f t="shared" ca="1" si="103"/>
        <v>3</v>
      </c>
      <c r="BH186" s="29">
        <f t="shared" ca="1" si="103"/>
        <v>1</v>
      </c>
      <c r="BI186" s="29">
        <f t="shared" ca="1" si="103"/>
        <v>1</v>
      </c>
      <c r="BJ186" s="29">
        <f t="shared" ca="1" si="103"/>
        <v>1</v>
      </c>
      <c r="BK186" s="29">
        <f t="shared" ca="1" si="103"/>
        <v>3</v>
      </c>
      <c r="BL186" s="29">
        <f t="shared" ca="1" si="102"/>
        <v>4</v>
      </c>
      <c r="BM186" s="29">
        <f t="shared" ca="1" si="102"/>
        <v>1</v>
      </c>
      <c r="BN186" s="29">
        <f t="shared" ca="1" si="102"/>
        <v>1</v>
      </c>
      <c r="BO186" s="29">
        <f t="shared" ca="1" si="102"/>
        <v>5</v>
      </c>
      <c r="BP186" s="29">
        <f t="shared" ca="1" si="102"/>
        <v>2</v>
      </c>
      <c r="BQ186" s="29">
        <f t="shared" ca="1" si="102"/>
        <v>3</v>
      </c>
      <c r="BR186" s="29">
        <f t="shared" ca="1" si="102"/>
        <v>0</v>
      </c>
      <c r="BS186" s="29">
        <f t="shared" ca="1" si="102"/>
        <v>0</v>
      </c>
      <c r="BT186" s="29">
        <f t="shared" ca="1" si="102"/>
        <v>3</v>
      </c>
      <c r="BU186" s="29">
        <f t="shared" ca="1" si="102"/>
        <v>3</v>
      </c>
      <c r="BV186" s="29">
        <f t="shared" ca="1" si="102"/>
        <v>3</v>
      </c>
      <c r="BW186" s="29">
        <f t="shared" ca="1" si="102"/>
        <v>4</v>
      </c>
      <c r="BX186" s="29">
        <f t="shared" ca="1" si="102"/>
        <v>2</v>
      </c>
      <c r="BY186" s="29">
        <f t="shared" ca="1" si="102"/>
        <v>1</v>
      </c>
      <c r="BZ186" s="29">
        <f t="shared" ca="1" si="102"/>
        <v>1</v>
      </c>
      <c r="CA186" s="29">
        <f t="shared" ca="1" si="105"/>
        <v>2</v>
      </c>
      <c r="CB186" s="29">
        <f t="shared" ca="1" si="105"/>
        <v>1</v>
      </c>
      <c r="CC186" s="29">
        <f t="shared" ca="1" si="105"/>
        <v>6</v>
      </c>
      <c r="CD186" s="29">
        <f t="shared" ca="1" si="105"/>
        <v>3</v>
      </c>
      <c r="CE186" s="29">
        <f t="shared" ca="1" si="105"/>
        <v>2</v>
      </c>
      <c r="CF186" s="29">
        <f t="shared" ca="1" si="105"/>
        <v>6</v>
      </c>
      <c r="CG186" s="29">
        <f t="shared" ca="1" si="105"/>
        <v>2</v>
      </c>
      <c r="CH186" s="29">
        <f t="shared" ca="1" si="105"/>
        <v>2</v>
      </c>
      <c r="CI186" s="29">
        <f t="shared" ca="1" si="105"/>
        <v>1</v>
      </c>
      <c r="CJ186" s="29">
        <f t="shared" ca="1" si="105"/>
        <v>2</v>
      </c>
      <c r="CK186" s="29">
        <f t="shared" ca="1" si="105"/>
        <v>2</v>
      </c>
      <c r="CL186" s="29">
        <f t="shared" ca="1" si="105"/>
        <v>2</v>
      </c>
      <c r="CM186" s="29">
        <f t="shared" ca="1" si="105"/>
        <v>3</v>
      </c>
      <c r="CN186" s="29">
        <f t="shared" ca="1" si="105"/>
        <v>2</v>
      </c>
      <c r="CO186" s="29">
        <f t="shared" ca="1" si="105"/>
        <v>0</v>
      </c>
      <c r="CP186" s="29">
        <f t="shared" ca="1" si="105"/>
        <v>2</v>
      </c>
      <c r="CQ186" s="29">
        <f t="shared" ca="1" si="104"/>
        <v>1</v>
      </c>
      <c r="CR186" s="29">
        <f t="shared" ca="1" si="104"/>
        <v>1</v>
      </c>
      <c r="CS186" s="29">
        <f t="shared" ca="1" si="104"/>
        <v>0</v>
      </c>
      <c r="CT186" s="29">
        <f t="shared" ca="1" si="104"/>
        <v>2</v>
      </c>
      <c r="CU186" s="29">
        <f t="shared" ca="1" si="104"/>
        <v>3</v>
      </c>
      <c r="CV186" s="29">
        <f t="shared" ca="1" si="104"/>
        <v>3</v>
      </c>
      <c r="CW186" s="29">
        <f t="shared" ca="1" si="104"/>
        <v>0</v>
      </c>
      <c r="CX186" s="29">
        <f t="shared" ca="1" si="104"/>
        <v>1</v>
      </c>
      <c r="CY186" s="29">
        <f t="shared" ca="1" si="104"/>
        <v>2</v>
      </c>
      <c r="CZ186" s="29">
        <f t="shared" ca="1" si="104"/>
        <v>2</v>
      </c>
      <c r="DA186" s="29">
        <f t="shared" ca="1" si="104"/>
        <v>1</v>
      </c>
      <c r="DB186" s="29">
        <f t="shared" ca="1" si="104"/>
        <v>1</v>
      </c>
      <c r="DC186" s="29">
        <f t="shared" ca="1" si="104"/>
        <v>3</v>
      </c>
      <c r="DD186" s="29">
        <f t="shared" ca="1" si="104"/>
        <v>1</v>
      </c>
      <c r="DE186" s="29">
        <f t="shared" ca="1" si="104"/>
        <v>3</v>
      </c>
      <c r="DF186" s="29">
        <f t="shared" ca="1" si="97"/>
        <v>2</v>
      </c>
      <c r="DG186" s="29">
        <f t="shared" ca="1" si="97"/>
        <v>2</v>
      </c>
      <c r="DH186" s="29">
        <f t="shared" ca="1" si="97"/>
        <v>3</v>
      </c>
      <c r="DI186" s="29">
        <f t="shared" ca="1" si="97"/>
        <v>5</v>
      </c>
      <c r="DJ186" s="29">
        <f t="shared" ca="1" si="97"/>
        <v>2</v>
      </c>
      <c r="DK186" s="29">
        <f t="shared" ca="1" si="97"/>
        <v>1</v>
      </c>
      <c r="DL186" s="29">
        <f t="shared" ca="1" si="97"/>
        <v>1</v>
      </c>
    </row>
    <row r="187" spans="1:116" ht="14.4" x14ac:dyDescent="0.3">
      <c r="A187" s="31">
        <v>299</v>
      </c>
      <c r="B187" s="28">
        <v>3.33</v>
      </c>
      <c r="C187" s="30">
        <v>2.52</v>
      </c>
      <c r="D187" s="28">
        <v>1.44</v>
      </c>
      <c r="E187" s="34">
        <f t="shared" si="77"/>
        <v>2.8799999999999999E-2</v>
      </c>
      <c r="F187" s="35">
        <f t="shared" si="78"/>
        <v>0.63</v>
      </c>
      <c r="G187" s="34">
        <f t="shared" si="79"/>
        <v>36</v>
      </c>
      <c r="H187" s="33">
        <f t="shared" si="80"/>
        <v>10.621621621621621</v>
      </c>
      <c r="I187" s="28">
        <f t="shared" si="83"/>
        <v>500.8400000000002</v>
      </c>
      <c r="J187" s="32">
        <v>0</v>
      </c>
      <c r="K187" s="30">
        <f t="shared" si="81"/>
        <v>36</v>
      </c>
      <c r="L187" s="30"/>
      <c r="M187" s="30"/>
      <c r="N187" s="30"/>
      <c r="O187" s="30"/>
      <c r="Q187" s="29">
        <f t="shared" ca="1" si="82"/>
        <v>0</v>
      </c>
      <c r="R187" s="29">
        <f t="shared" ca="1" si="107"/>
        <v>0</v>
      </c>
      <c r="S187" s="29">
        <f t="shared" ca="1" si="107"/>
        <v>1</v>
      </c>
      <c r="T187" s="29">
        <f t="shared" ca="1" si="107"/>
        <v>3</v>
      </c>
      <c r="U187" s="29">
        <f t="shared" ca="1" si="107"/>
        <v>2</v>
      </c>
      <c r="V187" s="29">
        <f t="shared" ca="1" si="107"/>
        <v>0</v>
      </c>
      <c r="W187" s="29">
        <f t="shared" ca="1" si="107"/>
        <v>1</v>
      </c>
      <c r="X187" s="29">
        <f t="shared" ca="1" si="107"/>
        <v>3</v>
      </c>
      <c r="Y187" s="29">
        <f t="shared" ca="1" si="107"/>
        <v>2</v>
      </c>
      <c r="Z187" s="29">
        <f t="shared" ca="1" si="107"/>
        <v>0</v>
      </c>
      <c r="AA187" s="29">
        <f t="shared" ca="1" si="107"/>
        <v>0</v>
      </c>
      <c r="AB187" s="29">
        <f t="shared" ca="1" si="107"/>
        <v>2</v>
      </c>
      <c r="AC187" s="29">
        <f t="shared" ca="1" si="107"/>
        <v>1</v>
      </c>
      <c r="AD187" s="29">
        <f t="shared" ca="1" si="107"/>
        <v>0</v>
      </c>
      <c r="AE187" s="29">
        <f t="shared" ca="1" si="107"/>
        <v>2</v>
      </c>
      <c r="AF187" s="29">
        <f t="shared" ca="1" si="107"/>
        <v>1</v>
      </c>
      <c r="AG187" s="29">
        <f t="shared" ca="1" si="106"/>
        <v>2</v>
      </c>
      <c r="AH187" s="29">
        <f t="shared" ca="1" si="106"/>
        <v>1</v>
      </c>
      <c r="AI187" s="29">
        <f t="shared" ca="1" si="106"/>
        <v>2</v>
      </c>
      <c r="AJ187" s="29">
        <f t="shared" ca="1" si="106"/>
        <v>0</v>
      </c>
      <c r="AK187" s="29">
        <f t="shared" ca="1" si="106"/>
        <v>0</v>
      </c>
      <c r="AL187" s="29">
        <f t="shared" ca="1" si="106"/>
        <v>5</v>
      </c>
      <c r="AM187" s="29">
        <f t="shared" ca="1" si="106"/>
        <v>1</v>
      </c>
      <c r="AN187" s="29">
        <f t="shared" ca="1" si="106"/>
        <v>1</v>
      </c>
      <c r="AO187" s="29">
        <f t="shared" ca="1" si="106"/>
        <v>2</v>
      </c>
      <c r="AP187" s="29">
        <f t="shared" ca="1" si="106"/>
        <v>0</v>
      </c>
      <c r="AQ187" s="29">
        <f t="shared" ca="1" si="106"/>
        <v>1</v>
      </c>
      <c r="AR187" s="29">
        <f t="shared" ca="1" si="106"/>
        <v>0</v>
      </c>
      <c r="AS187" s="29">
        <f t="shared" ca="1" si="106"/>
        <v>1</v>
      </c>
      <c r="AT187" s="29">
        <f t="shared" ca="1" si="106"/>
        <v>3</v>
      </c>
      <c r="AU187" s="29">
        <f t="shared" ca="1" si="106"/>
        <v>1</v>
      </c>
      <c r="AV187" s="29">
        <f t="shared" ca="1" si="103"/>
        <v>2</v>
      </c>
      <c r="AW187" s="29">
        <f t="shared" ca="1" si="103"/>
        <v>1</v>
      </c>
      <c r="AX187" s="29">
        <f t="shared" ca="1" si="103"/>
        <v>1</v>
      </c>
      <c r="AY187" s="29">
        <f t="shared" ca="1" si="103"/>
        <v>0</v>
      </c>
      <c r="AZ187" s="29">
        <f t="shared" ca="1" si="103"/>
        <v>3</v>
      </c>
      <c r="BA187" s="29">
        <f t="shared" ca="1" si="103"/>
        <v>3</v>
      </c>
      <c r="BB187" s="29">
        <f t="shared" ca="1" si="103"/>
        <v>1</v>
      </c>
      <c r="BC187" s="29">
        <f t="shared" ca="1" si="103"/>
        <v>1</v>
      </c>
      <c r="BD187" s="29">
        <f t="shared" ca="1" si="103"/>
        <v>4</v>
      </c>
      <c r="BE187" s="29">
        <f t="shared" ca="1" si="103"/>
        <v>4</v>
      </c>
      <c r="BF187" s="29">
        <f t="shared" ca="1" si="103"/>
        <v>4</v>
      </c>
      <c r="BG187" s="29">
        <f t="shared" ca="1" si="103"/>
        <v>1</v>
      </c>
      <c r="BH187" s="29">
        <f t="shared" ca="1" si="103"/>
        <v>1</v>
      </c>
      <c r="BI187" s="29">
        <f t="shared" ca="1" si="103"/>
        <v>0</v>
      </c>
      <c r="BJ187" s="29">
        <f t="shared" ca="1" si="103"/>
        <v>1</v>
      </c>
      <c r="BK187" s="29">
        <f t="shared" ca="1" si="103"/>
        <v>2</v>
      </c>
      <c r="BL187" s="29">
        <f t="shared" ca="1" si="102"/>
        <v>4</v>
      </c>
      <c r="BM187" s="29">
        <f t="shared" ca="1" si="102"/>
        <v>1</v>
      </c>
      <c r="BN187" s="29">
        <f t="shared" ca="1" si="102"/>
        <v>2</v>
      </c>
      <c r="BO187" s="29">
        <f t="shared" ca="1" si="102"/>
        <v>0</v>
      </c>
      <c r="BP187" s="29">
        <f t="shared" ca="1" si="102"/>
        <v>2</v>
      </c>
      <c r="BQ187" s="29">
        <f t="shared" ca="1" si="102"/>
        <v>0</v>
      </c>
      <c r="BR187" s="29">
        <f t="shared" ca="1" si="102"/>
        <v>2</v>
      </c>
      <c r="BS187" s="29">
        <f t="shared" ca="1" si="102"/>
        <v>2</v>
      </c>
      <c r="BT187" s="29">
        <f t="shared" ca="1" si="102"/>
        <v>4</v>
      </c>
      <c r="BU187" s="29">
        <f t="shared" ca="1" si="102"/>
        <v>2</v>
      </c>
      <c r="BV187" s="29">
        <f t="shared" ca="1" si="102"/>
        <v>3</v>
      </c>
      <c r="BW187" s="29">
        <f t="shared" ca="1" si="102"/>
        <v>1</v>
      </c>
      <c r="BX187" s="29">
        <f t="shared" ca="1" si="102"/>
        <v>4</v>
      </c>
      <c r="BY187" s="29">
        <f t="shared" ca="1" si="102"/>
        <v>0</v>
      </c>
      <c r="BZ187" s="29">
        <f t="shared" ca="1" si="102"/>
        <v>3</v>
      </c>
      <c r="CA187" s="29">
        <f t="shared" ca="1" si="105"/>
        <v>2</v>
      </c>
      <c r="CB187" s="29">
        <f t="shared" ca="1" si="105"/>
        <v>0</v>
      </c>
      <c r="CC187" s="29">
        <f t="shared" ca="1" si="105"/>
        <v>1</v>
      </c>
      <c r="CD187" s="29">
        <f t="shared" ca="1" si="105"/>
        <v>2</v>
      </c>
      <c r="CE187" s="29">
        <f t="shared" ca="1" si="105"/>
        <v>4</v>
      </c>
      <c r="CF187" s="29">
        <f t="shared" ca="1" si="105"/>
        <v>3</v>
      </c>
      <c r="CG187" s="29">
        <f t="shared" ca="1" si="105"/>
        <v>2</v>
      </c>
      <c r="CH187" s="29">
        <f t="shared" ca="1" si="105"/>
        <v>2</v>
      </c>
      <c r="CI187" s="29">
        <f t="shared" ca="1" si="105"/>
        <v>2</v>
      </c>
      <c r="CJ187" s="29">
        <f t="shared" ca="1" si="105"/>
        <v>1</v>
      </c>
      <c r="CK187" s="29">
        <f t="shared" ca="1" si="105"/>
        <v>0</v>
      </c>
      <c r="CL187" s="29">
        <f t="shared" ca="1" si="105"/>
        <v>0</v>
      </c>
      <c r="CM187" s="29">
        <f t="shared" ca="1" si="105"/>
        <v>2</v>
      </c>
      <c r="CN187" s="29">
        <f t="shared" ca="1" si="105"/>
        <v>0</v>
      </c>
      <c r="CO187" s="29">
        <f t="shared" ca="1" si="105"/>
        <v>5</v>
      </c>
      <c r="CP187" s="29">
        <f t="shared" ca="1" si="105"/>
        <v>0</v>
      </c>
      <c r="CQ187" s="29">
        <f t="shared" ca="1" si="104"/>
        <v>1</v>
      </c>
      <c r="CR187" s="29">
        <f t="shared" ca="1" si="104"/>
        <v>2</v>
      </c>
      <c r="CS187" s="29">
        <f t="shared" ca="1" si="104"/>
        <v>1</v>
      </c>
      <c r="CT187" s="29">
        <f t="shared" ca="1" si="104"/>
        <v>1</v>
      </c>
      <c r="CU187" s="29">
        <f t="shared" ca="1" si="104"/>
        <v>2</v>
      </c>
      <c r="CV187" s="29">
        <f t="shared" ca="1" si="104"/>
        <v>1</v>
      </c>
      <c r="CW187" s="29">
        <f t="shared" ca="1" si="104"/>
        <v>1</v>
      </c>
      <c r="CX187" s="29">
        <f t="shared" ca="1" si="104"/>
        <v>0</v>
      </c>
      <c r="CY187" s="29">
        <f t="shared" ca="1" si="104"/>
        <v>0</v>
      </c>
      <c r="CZ187" s="29">
        <f t="shared" ca="1" si="104"/>
        <v>0</v>
      </c>
      <c r="DA187" s="29">
        <f t="shared" ca="1" si="104"/>
        <v>5</v>
      </c>
      <c r="DB187" s="29">
        <f t="shared" ca="1" si="104"/>
        <v>1</v>
      </c>
      <c r="DC187" s="29">
        <f t="shared" ca="1" si="104"/>
        <v>0</v>
      </c>
      <c r="DD187" s="29">
        <f t="shared" ca="1" si="104"/>
        <v>2</v>
      </c>
      <c r="DE187" s="29">
        <f t="shared" ca="1" si="104"/>
        <v>0</v>
      </c>
      <c r="DF187" s="29">
        <f t="shared" ca="1" si="97"/>
        <v>3</v>
      </c>
      <c r="DG187" s="29">
        <f t="shared" ca="1" si="97"/>
        <v>1</v>
      </c>
      <c r="DH187" s="29">
        <f t="shared" ca="1" si="97"/>
        <v>0</v>
      </c>
      <c r="DI187" s="29">
        <f t="shared" ca="1" si="97"/>
        <v>2</v>
      </c>
      <c r="DJ187" s="29">
        <f t="shared" ca="1" si="97"/>
        <v>2</v>
      </c>
      <c r="DK187" s="29">
        <f t="shared" ca="1" si="97"/>
        <v>1</v>
      </c>
      <c r="DL187" s="29">
        <f t="shared" ca="1" si="97"/>
        <v>3</v>
      </c>
    </row>
    <row r="188" spans="1:116" ht="14.4" x14ac:dyDescent="0.3">
      <c r="A188" s="31">
        <v>88</v>
      </c>
      <c r="B188" s="28">
        <v>6.95</v>
      </c>
      <c r="C188" s="30">
        <v>8.8699999999999992</v>
      </c>
      <c r="D188" s="28">
        <v>3.03</v>
      </c>
      <c r="E188" s="34">
        <f t="shared" si="77"/>
        <v>6.0599999999999994E-2</v>
      </c>
      <c r="F188" s="35">
        <f t="shared" si="78"/>
        <v>2.2174999999999998</v>
      </c>
      <c r="G188" s="34">
        <f t="shared" si="79"/>
        <v>75.75</v>
      </c>
      <c r="H188" s="33">
        <f t="shared" si="80"/>
        <v>10.580215827338129</v>
      </c>
      <c r="I188" s="28">
        <f t="shared" si="83"/>
        <v>507.79000000000019</v>
      </c>
      <c r="J188" s="32">
        <v>0</v>
      </c>
      <c r="K188" s="30">
        <f t="shared" si="81"/>
        <v>75.75</v>
      </c>
      <c r="L188" s="30"/>
      <c r="M188" s="30"/>
      <c r="N188" s="30"/>
      <c r="O188" s="30"/>
      <c r="Q188" s="29">
        <f t="shared" ca="1" si="82"/>
        <v>5</v>
      </c>
      <c r="R188" s="29">
        <f t="shared" ca="1" si="107"/>
        <v>2</v>
      </c>
      <c r="S188" s="29">
        <f t="shared" ca="1" si="107"/>
        <v>6</v>
      </c>
      <c r="T188" s="29">
        <f t="shared" ca="1" si="107"/>
        <v>0</v>
      </c>
      <c r="U188" s="29">
        <f t="shared" ca="1" si="107"/>
        <v>2</v>
      </c>
      <c r="V188" s="29">
        <f t="shared" ca="1" si="107"/>
        <v>2</v>
      </c>
      <c r="W188" s="29">
        <f t="shared" ca="1" si="107"/>
        <v>4</v>
      </c>
      <c r="X188" s="29">
        <f t="shared" ca="1" si="107"/>
        <v>4</v>
      </c>
      <c r="Y188" s="29">
        <f t="shared" ca="1" si="107"/>
        <v>5</v>
      </c>
      <c r="Z188" s="29">
        <f t="shared" ca="1" si="107"/>
        <v>3</v>
      </c>
      <c r="AA188" s="29">
        <f t="shared" ca="1" si="107"/>
        <v>4</v>
      </c>
      <c r="AB188" s="29">
        <f t="shared" ca="1" si="107"/>
        <v>3</v>
      </c>
      <c r="AC188" s="29">
        <f t="shared" ca="1" si="107"/>
        <v>4</v>
      </c>
      <c r="AD188" s="29">
        <f t="shared" ca="1" si="107"/>
        <v>4</v>
      </c>
      <c r="AE188" s="29">
        <f t="shared" ca="1" si="107"/>
        <v>3</v>
      </c>
      <c r="AF188" s="29">
        <f t="shared" ca="1" si="107"/>
        <v>4</v>
      </c>
      <c r="AG188" s="29">
        <f t="shared" ca="1" si="106"/>
        <v>3</v>
      </c>
      <c r="AH188" s="29">
        <f t="shared" ca="1" si="106"/>
        <v>5</v>
      </c>
      <c r="AI188" s="29">
        <f t="shared" ca="1" si="106"/>
        <v>3</v>
      </c>
      <c r="AJ188" s="29">
        <f t="shared" ca="1" si="106"/>
        <v>2</v>
      </c>
      <c r="AK188" s="29">
        <f t="shared" ca="1" si="106"/>
        <v>4</v>
      </c>
      <c r="AL188" s="29">
        <f t="shared" ca="1" si="106"/>
        <v>3</v>
      </c>
      <c r="AM188" s="29">
        <f t="shared" ca="1" si="106"/>
        <v>3</v>
      </c>
      <c r="AN188" s="29">
        <f t="shared" ca="1" si="106"/>
        <v>6</v>
      </c>
      <c r="AO188" s="29">
        <f t="shared" ca="1" si="106"/>
        <v>4</v>
      </c>
      <c r="AP188" s="29">
        <f t="shared" ca="1" si="106"/>
        <v>2</v>
      </c>
      <c r="AQ188" s="29">
        <f t="shared" ca="1" si="106"/>
        <v>4</v>
      </c>
      <c r="AR188" s="29">
        <f t="shared" ca="1" si="106"/>
        <v>2</v>
      </c>
      <c r="AS188" s="29">
        <f t="shared" ca="1" si="106"/>
        <v>4</v>
      </c>
      <c r="AT188" s="29">
        <f t="shared" ca="1" si="106"/>
        <v>2</v>
      </c>
      <c r="AU188" s="29">
        <f t="shared" ca="1" si="106"/>
        <v>3</v>
      </c>
      <c r="AV188" s="29">
        <f t="shared" ca="1" si="103"/>
        <v>3</v>
      </c>
      <c r="AW188" s="29">
        <f t="shared" ca="1" si="103"/>
        <v>4</v>
      </c>
      <c r="AX188" s="29">
        <f t="shared" ca="1" si="103"/>
        <v>5</v>
      </c>
      <c r="AY188" s="29">
        <f t="shared" ca="1" si="103"/>
        <v>6</v>
      </c>
      <c r="AZ188" s="29">
        <f t="shared" ca="1" si="103"/>
        <v>3</v>
      </c>
      <c r="BA188" s="29">
        <f t="shared" ca="1" si="103"/>
        <v>4</v>
      </c>
      <c r="BB188" s="29">
        <f t="shared" ca="1" si="103"/>
        <v>4</v>
      </c>
      <c r="BC188" s="29">
        <f t="shared" ca="1" si="103"/>
        <v>3</v>
      </c>
      <c r="BD188" s="29">
        <f t="shared" ca="1" si="103"/>
        <v>2</v>
      </c>
      <c r="BE188" s="29">
        <f t="shared" ca="1" si="103"/>
        <v>2</v>
      </c>
      <c r="BF188" s="29">
        <f t="shared" ca="1" si="103"/>
        <v>3</v>
      </c>
      <c r="BG188" s="29">
        <f t="shared" ca="1" si="103"/>
        <v>2</v>
      </c>
      <c r="BH188" s="29">
        <f t="shared" ca="1" si="103"/>
        <v>4</v>
      </c>
      <c r="BI188" s="29">
        <f t="shared" ca="1" si="103"/>
        <v>5</v>
      </c>
      <c r="BJ188" s="29">
        <f t="shared" ca="1" si="103"/>
        <v>2</v>
      </c>
      <c r="BK188" s="29">
        <f t="shared" ref="BK188:BZ203" ca="1" si="108">_xlfn.BINOM.INV(50,$E188,RAND())</f>
        <v>3</v>
      </c>
      <c r="BL188" s="29">
        <f t="shared" ca="1" si="108"/>
        <v>3</v>
      </c>
      <c r="BM188" s="29">
        <f t="shared" ca="1" si="108"/>
        <v>4</v>
      </c>
      <c r="BN188" s="29">
        <f t="shared" ca="1" si="108"/>
        <v>3</v>
      </c>
      <c r="BO188" s="29">
        <f t="shared" ca="1" si="108"/>
        <v>3</v>
      </c>
      <c r="BP188" s="29">
        <f t="shared" ca="1" si="108"/>
        <v>8</v>
      </c>
      <c r="BQ188" s="29">
        <f t="shared" ca="1" si="108"/>
        <v>2</v>
      </c>
      <c r="BR188" s="29">
        <f t="shared" ca="1" si="108"/>
        <v>3</v>
      </c>
      <c r="BS188" s="29">
        <f t="shared" ca="1" si="108"/>
        <v>5</v>
      </c>
      <c r="BT188" s="29">
        <f t="shared" ca="1" si="108"/>
        <v>3</v>
      </c>
      <c r="BU188" s="29">
        <f t="shared" ca="1" si="108"/>
        <v>6</v>
      </c>
      <c r="BV188" s="29">
        <f t="shared" ca="1" si="108"/>
        <v>2</v>
      </c>
      <c r="BW188" s="29">
        <f t="shared" ca="1" si="108"/>
        <v>2</v>
      </c>
      <c r="BX188" s="29">
        <f t="shared" ca="1" si="108"/>
        <v>2</v>
      </c>
      <c r="BY188" s="29">
        <f t="shared" ca="1" si="108"/>
        <v>5</v>
      </c>
      <c r="BZ188" s="29">
        <f t="shared" ca="1" si="108"/>
        <v>4</v>
      </c>
      <c r="CA188" s="29">
        <f t="shared" ca="1" si="105"/>
        <v>5</v>
      </c>
      <c r="CB188" s="29">
        <f t="shared" ca="1" si="105"/>
        <v>2</v>
      </c>
      <c r="CC188" s="29">
        <f t="shared" ca="1" si="105"/>
        <v>2</v>
      </c>
      <c r="CD188" s="29">
        <f t="shared" ca="1" si="105"/>
        <v>5</v>
      </c>
      <c r="CE188" s="29">
        <f t="shared" ca="1" si="105"/>
        <v>7</v>
      </c>
      <c r="CF188" s="29">
        <f t="shared" ca="1" si="105"/>
        <v>4</v>
      </c>
      <c r="CG188" s="29">
        <f t="shared" ca="1" si="105"/>
        <v>3</v>
      </c>
      <c r="CH188" s="29">
        <f t="shared" ca="1" si="105"/>
        <v>3</v>
      </c>
      <c r="CI188" s="29">
        <f t="shared" ca="1" si="105"/>
        <v>5</v>
      </c>
      <c r="CJ188" s="29">
        <f t="shared" ca="1" si="105"/>
        <v>1</v>
      </c>
      <c r="CK188" s="29">
        <f t="shared" ca="1" si="105"/>
        <v>4</v>
      </c>
      <c r="CL188" s="29">
        <f t="shared" ca="1" si="105"/>
        <v>3</v>
      </c>
      <c r="CM188" s="29">
        <f t="shared" ca="1" si="105"/>
        <v>2</v>
      </c>
      <c r="CN188" s="29">
        <f t="shared" ca="1" si="105"/>
        <v>2</v>
      </c>
      <c r="CO188" s="29">
        <f t="shared" ca="1" si="105"/>
        <v>4</v>
      </c>
      <c r="CP188" s="29">
        <f t="shared" ca="1" si="105"/>
        <v>4</v>
      </c>
      <c r="CQ188" s="29">
        <f t="shared" ca="1" si="104"/>
        <v>4</v>
      </c>
      <c r="CR188" s="29">
        <f t="shared" ca="1" si="104"/>
        <v>5</v>
      </c>
      <c r="CS188" s="29">
        <f t="shared" ca="1" si="104"/>
        <v>3</v>
      </c>
      <c r="CT188" s="29">
        <f t="shared" ca="1" si="104"/>
        <v>3</v>
      </c>
      <c r="CU188" s="29">
        <f t="shared" ca="1" si="104"/>
        <v>4</v>
      </c>
      <c r="CV188" s="29">
        <f t="shared" ca="1" si="104"/>
        <v>0</v>
      </c>
      <c r="CW188" s="29">
        <f t="shared" ca="1" si="104"/>
        <v>3</v>
      </c>
      <c r="CX188" s="29">
        <f t="shared" ca="1" si="104"/>
        <v>4</v>
      </c>
      <c r="CY188" s="29">
        <f t="shared" ca="1" si="104"/>
        <v>3</v>
      </c>
      <c r="CZ188" s="29">
        <f t="shared" ca="1" si="104"/>
        <v>2</v>
      </c>
      <c r="DA188" s="29">
        <f t="shared" ca="1" si="104"/>
        <v>0</v>
      </c>
      <c r="DB188" s="29">
        <f t="shared" ca="1" si="104"/>
        <v>1</v>
      </c>
      <c r="DC188" s="29">
        <f t="shared" ca="1" si="104"/>
        <v>0</v>
      </c>
      <c r="DD188" s="29">
        <f t="shared" ca="1" si="104"/>
        <v>2</v>
      </c>
      <c r="DE188" s="29">
        <f t="shared" ca="1" si="104"/>
        <v>3</v>
      </c>
      <c r="DF188" s="29">
        <f t="shared" ca="1" si="97"/>
        <v>3</v>
      </c>
      <c r="DG188" s="29">
        <f t="shared" ca="1" si="97"/>
        <v>6</v>
      </c>
      <c r="DH188" s="29">
        <f t="shared" ca="1" si="97"/>
        <v>2</v>
      </c>
      <c r="DI188" s="29">
        <f t="shared" ca="1" si="97"/>
        <v>3</v>
      </c>
      <c r="DJ188" s="29">
        <f t="shared" ca="1" si="97"/>
        <v>2</v>
      </c>
      <c r="DK188" s="29">
        <f t="shared" ca="1" si="97"/>
        <v>5</v>
      </c>
      <c r="DL188" s="29">
        <f t="shared" ca="1" si="97"/>
        <v>1</v>
      </c>
    </row>
    <row r="189" spans="1:116" ht="14.4" x14ac:dyDescent="0.3">
      <c r="A189" s="31">
        <v>807</v>
      </c>
      <c r="B189" s="28">
        <v>5.24</v>
      </c>
      <c r="C189" s="30">
        <v>57.87</v>
      </c>
      <c r="D189" s="28">
        <v>2.79</v>
      </c>
      <c r="E189" s="34">
        <f t="shared" si="77"/>
        <v>5.5800000000000002E-2</v>
      </c>
      <c r="F189" s="35">
        <f t="shared" si="78"/>
        <v>14.467499999999999</v>
      </c>
      <c r="G189" s="34">
        <f t="shared" si="79"/>
        <v>69.75</v>
      </c>
      <c r="H189" s="33">
        <f t="shared" si="80"/>
        <v>10.550095419847327</v>
      </c>
      <c r="I189" s="28">
        <f t="shared" si="83"/>
        <v>513.0300000000002</v>
      </c>
      <c r="J189" s="32">
        <v>0</v>
      </c>
      <c r="K189" s="30">
        <f t="shared" si="81"/>
        <v>69.75</v>
      </c>
      <c r="L189" s="30"/>
      <c r="M189" s="30"/>
      <c r="N189" s="30"/>
      <c r="O189" s="30"/>
      <c r="Q189" s="29">
        <f t="shared" ca="1" si="82"/>
        <v>4</v>
      </c>
      <c r="R189" s="29">
        <f t="shared" ca="1" si="107"/>
        <v>2</v>
      </c>
      <c r="S189" s="29">
        <f t="shared" ca="1" si="107"/>
        <v>1</v>
      </c>
      <c r="T189" s="29">
        <f t="shared" ca="1" si="107"/>
        <v>3</v>
      </c>
      <c r="U189" s="29">
        <f t="shared" ca="1" si="107"/>
        <v>5</v>
      </c>
      <c r="V189" s="29">
        <f t="shared" ca="1" si="107"/>
        <v>4</v>
      </c>
      <c r="W189" s="29">
        <f t="shared" ca="1" si="107"/>
        <v>5</v>
      </c>
      <c r="X189" s="29">
        <f t="shared" ca="1" si="107"/>
        <v>3</v>
      </c>
      <c r="Y189" s="29">
        <f t="shared" ca="1" si="107"/>
        <v>1</v>
      </c>
      <c r="Z189" s="29">
        <f t="shared" ca="1" si="107"/>
        <v>2</v>
      </c>
      <c r="AA189" s="29">
        <f t="shared" ca="1" si="107"/>
        <v>4</v>
      </c>
      <c r="AB189" s="29">
        <f t="shared" ca="1" si="107"/>
        <v>2</v>
      </c>
      <c r="AC189" s="29">
        <f t="shared" ca="1" si="107"/>
        <v>1</v>
      </c>
      <c r="AD189" s="29">
        <f t="shared" ca="1" si="107"/>
        <v>2</v>
      </c>
      <c r="AE189" s="29">
        <f t="shared" ca="1" si="107"/>
        <v>2</v>
      </c>
      <c r="AF189" s="29">
        <f t="shared" ca="1" si="107"/>
        <v>3</v>
      </c>
      <c r="AG189" s="29">
        <f t="shared" ca="1" si="106"/>
        <v>2</v>
      </c>
      <c r="AH189" s="29">
        <f t="shared" ca="1" si="106"/>
        <v>0</v>
      </c>
      <c r="AI189" s="29">
        <f t="shared" ca="1" si="106"/>
        <v>3</v>
      </c>
      <c r="AJ189" s="29">
        <f t="shared" ca="1" si="106"/>
        <v>4</v>
      </c>
      <c r="AK189" s="29">
        <f t="shared" ca="1" si="106"/>
        <v>6</v>
      </c>
      <c r="AL189" s="29">
        <f t="shared" ca="1" si="106"/>
        <v>1</v>
      </c>
      <c r="AM189" s="29">
        <f t="shared" ca="1" si="106"/>
        <v>2</v>
      </c>
      <c r="AN189" s="29">
        <f t="shared" ca="1" si="106"/>
        <v>6</v>
      </c>
      <c r="AO189" s="29">
        <f t="shared" ca="1" si="106"/>
        <v>4</v>
      </c>
      <c r="AP189" s="29">
        <f t="shared" ca="1" si="106"/>
        <v>1</v>
      </c>
      <c r="AQ189" s="29">
        <f t="shared" ca="1" si="106"/>
        <v>4</v>
      </c>
      <c r="AR189" s="29">
        <f t="shared" ca="1" si="106"/>
        <v>2</v>
      </c>
      <c r="AS189" s="29">
        <f t="shared" ca="1" si="106"/>
        <v>0</v>
      </c>
      <c r="AT189" s="29">
        <f t="shared" ca="1" si="106"/>
        <v>4</v>
      </c>
      <c r="AU189" s="29">
        <f t="shared" ca="1" si="106"/>
        <v>2</v>
      </c>
      <c r="AV189" s="29">
        <f t="shared" ref="AV189:BK204" ca="1" si="109">_xlfn.BINOM.INV(50,$E189,RAND())</f>
        <v>3</v>
      </c>
      <c r="AW189" s="29">
        <f t="shared" ca="1" si="109"/>
        <v>5</v>
      </c>
      <c r="AX189" s="29">
        <f t="shared" ca="1" si="109"/>
        <v>5</v>
      </c>
      <c r="AY189" s="29">
        <f t="shared" ca="1" si="109"/>
        <v>2</v>
      </c>
      <c r="AZ189" s="29">
        <f t="shared" ca="1" si="109"/>
        <v>0</v>
      </c>
      <c r="BA189" s="29">
        <f t="shared" ca="1" si="109"/>
        <v>1</v>
      </c>
      <c r="BB189" s="29">
        <f t="shared" ca="1" si="109"/>
        <v>3</v>
      </c>
      <c r="BC189" s="29">
        <f t="shared" ca="1" si="109"/>
        <v>1</v>
      </c>
      <c r="BD189" s="29">
        <f t="shared" ca="1" si="109"/>
        <v>1</v>
      </c>
      <c r="BE189" s="29">
        <f t="shared" ca="1" si="109"/>
        <v>5</v>
      </c>
      <c r="BF189" s="29">
        <f t="shared" ca="1" si="109"/>
        <v>0</v>
      </c>
      <c r="BG189" s="29">
        <f t="shared" ca="1" si="109"/>
        <v>6</v>
      </c>
      <c r="BH189" s="29">
        <f t="shared" ca="1" si="109"/>
        <v>2</v>
      </c>
      <c r="BI189" s="29">
        <f t="shared" ca="1" si="109"/>
        <v>3</v>
      </c>
      <c r="BJ189" s="29">
        <f t="shared" ca="1" si="109"/>
        <v>4</v>
      </c>
      <c r="BK189" s="29">
        <f t="shared" ca="1" si="109"/>
        <v>3</v>
      </c>
      <c r="BL189" s="29">
        <f t="shared" ca="1" si="108"/>
        <v>1</v>
      </c>
      <c r="BM189" s="29">
        <f t="shared" ca="1" si="108"/>
        <v>6</v>
      </c>
      <c r="BN189" s="29">
        <f t="shared" ca="1" si="108"/>
        <v>2</v>
      </c>
      <c r="BO189" s="29">
        <f t="shared" ca="1" si="108"/>
        <v>4</v>
      </c>
      <c r="BP189" s="29">
        <f t="shared" ca="1" si="108"/>
        <v>1</v>
      </c>
      <c r="BQ189" s="29">
        <f t="shared" ca="1" si="108"/>
        <v>5</v>
      </c>
      <c r="BR189" s="29">
        <f t="shared" ca="1" si="108"/>
        <v>3</v>
      </c>
      <c r="BS189" s="29">
        <f t="shared" ca="1" si="108"/>
        <v>2</v>
      </c>
      <c r="BT189" s="29">
        <f t="shared" ca="1" si="108"/>
        <v>1</v>
      </c>
      <c r="BU189" s="29">
        <f t="shared" ca="1" si="108"/>
        <v>4</v>
      </c>
      <c r="BV189" s="29">
        <f t="shared" ca="1" si="108"/>
        <v>2</v>
      </c>
      <c r="BW189" s="29">
        <f t="shared" ca="1" si="108"/>
        <v>1</v>
      </c>
      <c r="BX189" s="29">
        <f t="shared" ca="1" si="108"/>
        <v>1</v>
      </c>
      <c r="BY189" s="29">
        <f t="shared" ca="1" si="108"/>
        <v>2</v>
      </c>
      <c r="BZ189" s="29">
        <f t="shared" ca="1" si="108"/>
        <v>1</v>
      </c>
      <c r="CA189" s="29">
        <f t="shared" ca="1" si="105"/>
        <v>3</v>
      </c>
      <c r="CB189" s="29">
        <f t="shared" ca="1" si="105"/>
        <v>0</v>
      </c>
      <c r="CC189" s="29">
        <f t="shared" ca="1" si="105"/>
        <v>6</v>
      </c>
      <c r="CD189" s="29">
        <f t="shared" ca="1" si="105"/>
        <v>3</v>
      </c>
      <c r="CE189" s="29">
        <f t="shared" ca="1" si="105"/>
        <v>0</v>
      </c>
      <c r="CF189" s="29">
        <f t="shared" ca="1" si="105"/>
        <v>5</v>
      </c>
      <c r="CG189" s="29">
        <f t="shared" ca="1" si="105"/>
        <v>2</v>
      </c>
      <c r="CH189" s="29">
        <f t="shared" ca="1" si="105"/>
        <v>7</v>
      </c>
      <c r="CI189" s="29">
        <f t="shared" ca="1" si="105"/>
        <v>3</v>
      </c>
      <c r="CJ189" s="29">
        <f t="shared" ca="1" si="105"/>
        <v>0</v>
      </c>
      <c r="CK189" s="29">
        <f t="shared" ca="1" si="105"/>
        <v>2</v>
      </c>
      <c r="CL189" s="29">
        <f t="shared" ca="1" si="105"/>
        <v>3</v>
      </c>
      <c r="CM189" s="29">
        <f t="shared" ca="1" si="105"/>
        <v>2</v>
      </c>
      <c r="CN189" s="29">
        <f t="shared" ca="1" si="105"/>
        <v>2</v>
      </c>
      <c r="CO189" s="29">
        <f t="shared" ca="1" si="105"/>
        <v>2</v>
      </c>
      <c r="CP189" s="29">
        <f t="shared" ca="1" si="105"/>
        <v>4</v>
      </c>
      <c r="CQ189" s="29">
        <f t="shared" ca="1" si="104"/>
        <v>3</v>
      </c>
      <c r="CR189" s="29">
        <f t="shared" ca="1" si="104"/>
        <v>2</v>
      </c>
      <c r="CS189" s="29">
        <f t="shared" ca="1" si="104"/>
        <v>5</v>
      </c>
      <c r="CT189" s="29">
        <f t="shared" ca="1" si="104"/>
        <v>6</v>
      </c>
      <c r="CU189" s="29">
        <f t="shared" ca="1" si="104"/>
        <v>3</v>
      </c>
      <c r="CV189" s="29">
        <f t="shared" ca="1" si="104"/>
        <v>2</v>
      </c>
      <c r="CW189" s="29">
        <f t="shared" ca="1" si="104"/>
        <v>1</v>
      </c>
      <c r="CX189" s="29">
        <f t="shared" ca="1" si="104"/>
        <v>3</v>
      </c>
      <c r="CY189" s="29">
        <f t="shared" ca="1" si="104"/>
        <v>2</v>
      </c>
      <c r="CZ189" s="29">
        <f t="shared" ca="1" si="104"/>
        <v>2</v>
      </c>
      <c r="DA189" s="29">
        <f t="shared" ca="1" si="104"/>
        <v>2</v>
      </c>
      <c r="DB189" s="29">
        <f t="shared" ca="1" si="104"/>
        <v>3</v>
      </c>
      <c r="DC189" s="29">
        <f t="shared" ca="1" si="104"/>
        <v>5</v>
      </c>
      <c r="DD189" s="29">
        <f t="shared" ca="1" si="104"/>
        <v>3</v>
      </c>
      <c r="DE189" s="29">
        <f t="shared" ca="1" si="104"/>
        <v>2</v>
      </c>
      <c r="DF189" s="29">
        <f t="shared" ca="1" si="97"/>
        <v>3</v>
      </c>
      <c r="DG189" s="29">
        <f t="shared" ca="1" si="97"/>
        <v>2</v>
      </c>
      <c r="DH189" s="29">
        <f t="shared" ca="1" si="97"/>
        <v>4</v>
      </c>
      <c r="DI189" s="29">
        <f t="shared" ca="1" si="97"/>
        <v>3</v>
      </c>
      <c r="DJ189" s="29">
        <f t="shared" ca="1" si="97"/>
        <v>1</v>
      </c>
      <c r="DK189" s="29">
        <f t="shared" ca="1" si="97"/>
        <v>2</v>
      </c>
      <c r="DL189" s="29">
        <f t="shared" ca="1" si="97"/>
        <v>2</v>
      </c>
    </row>
    <row r="190" spans="1:116" ht="14.4" x14ac:dyDescent="0.3">
      <c r="A190" s="31">
        <v>555</v>
      </c>
      <c r="B190" s="28">
        <v>5.75</v>
      </c>
      <c r="C190" s="30">
        <v>52.73</v>
      </c>
      <c r="D190" s="28">
        <v>2.93</v>
      </c>
      <c r="E190" s="34">
        <f t="shared" si="77"/>
        <v>5.8600000000000006E-2</v>
      </c>
      <c r="F190" s="35">
        <f t="shared" si="78"/>
        <v>13.182499999999999</v>
      </c>
      <c r="G190" s="34">
        <f t="shared" si="79"/>
        <v>73.25</v>
      </c>
      <c r="H190" s="33">
        <f t="shared" si="80"/>
        <v>10.446521739130436</v>
      </c>
      <c r="I190" s="28">
        <f t="shared" si="83"/>
        <v>518.7800000000002</v>
      </c>
      <c r="J190" s="32">
        <v>0</v>
      </c>
      <c r="K190" s="30">
        <f t="shared" si="81"/>
        <v>73.25</v>
      </c>
      <c r="L190" s="30"/>
      <c r="M190" s="30"/>
      <c r="N190" s="30"/>
      <c r="O190" s="30"/>
      <c r="Q190" s="29">
        <f t="shared" ca="1" si="82"/>
        <v>2</v>
      </c>
      <c r="R190" s="29">
        <f t="shared" ca="1" si="107"/>
        <v>4</v>
      </c>
      <c r="S190" s="29">
        <f t="shared" ca="1" si="107"/>
        <v>2</v>
      </c>
      <c r="T190" s="29">
        <f t="shared" ca="1" si="107"/>
        <v>2</v>
      </c>
      <c r="U190" s="29">
        <f t="shared" ca="1" si="107"/>
        <v>4</v>
      </c>
      <c r="V190" s="29">
        <f t="shared" ca="1" si="107"/>
        <v>2</v>
      </c>
      <c r="W190" s="29">
        <f t="shared" ca="1" si="107"/>
        <v>0</v>
      </c>
      <c r="X190" s="29">
        <f t="shared" ca="1" si="107"/>
        <v>0</v>
      </c>
      <c r="Y190" s="29">
        <f t="shared" ca="1" si="107"/>
        <v>1</v>
      </c>
      <c r="Z190" s="29">
        <f t="shared" ca="1" si="107"/>
        <v>1</v>
      </c>
      <c r="AA190" s="29">
        <f t="shared" ca="1" si="107"/>
        <v>3</v>
      </c>
      <c r="AB190" s="29">
        <f t="shared" ca="1" si="107"/>
        <v>6</v>
      </c>
      <c r="AC190" s="29">
        <f t="shared" ca="1" si="107"/>
        <v>0</v>
      </c>
      <c r="AD190" s="29">
        <f t="shared" ca="1" si="107"/>
        <v>4</v>
      </c>
      <c r="AE190" s="29">
        <f t="shared" ca="1" si="107"/>
        <v>2</v>
      </c>
      <c r="AF190" s="29">
        <f t="shared" ca="1" si="107"/>
        <v>5</v>
      </c>
      <c r="AG190" s="29">
        <f t="shared" ca="1" si="106"/>
        <v>2</v>
      </c>
      <c r="AH190" s="29">
        <f t="shared" ca="1" si="106"/>
        <v>3</v>
      </c>
      <c r="AI190" s="29">
        <f t="shared" ca="1" si="106"/>
        <v>1</v>
      </c>
      <c r="AJ190" s="29">
        <f t="shared" ca="1" si="106"/>
        <v>1</v>
      </c>
      <c r="AK190" s="29">
        <f t="shared" ca="1" si="106"/>
        <v>8</v>
      </c>
      <c r="AL190" s="29">
        <f t="shared" ca="1" si="106"/>
        <v>1</v>
      </c>
      <c r="AM190" s="29">
        <f t="shared" ca="1" si="106"/>
        <v>6</v>
      </c>
      <c r="AN190" s="29">
        <f t="shared" ca="1" si="106"/>
        <v>4</v>
      </c>
      <c r="AO190" s="29">
        <f t="shared" ca="1" si="106"/>
        <v>4</v>
      </c>
      <c r="AP190" s="29">
        <f t="shared" ca="1" si="106"/>
        <v>2</v>
      </c>
      <c r="AQ190" s="29">
        <f t="shared" ca="1" si="106"/>
        <v>3</v>
      </c>
      <c r="AR190" s="29">
        <f t="shared" ca="1" si="106"/>
        <v>4</v>
      </c>
      <c r="AS190" s="29">
        <f t="shared" ca="1" si="106"/>
        <v>3</v>
      </c>
      <c r="AT190" s="29">
        <f t="shared" ca="1" si="106"/>
        <v>4</v>
      </c>
      <c r="AU190" s="29">
        <f t="shared" ca="1" si="106"/>
        <v>4</v>
      </c>
      <c r="AV190" s="29">
        <f t="shared" ca="1" si="109"/>
        <v>3</v>
      </c>
      <c r="AW190" s="29">
        <f t="shared" ca="1" si="109"/>
        <v>2</v>
      </c>
      <c r="AX190" s="29">
        <f t="shared" ca="1" si="109"/>
        <v>5</v>
      </c>
      <c r="AY190" s="29">
        <f t="shared" ca="1" si="109"/>
        <v>2</v>
      </c>
      <c r="AZ190" s="29">
        <f t="shared" ca="1" si="109"/>
        <v>3</v>
      </c>
      <c r="BA190" s="29">
        <f t="shared" ca="1" si="109"/>
        <v>4</v>
      </c>
      <c r="BB190" s="29">
        <f t="shared" ca="1" si="109"/>
        <v>4</v>
      </c>
      <c r="BC190" s="29">
        <f t="shared" ca="1" si="109"/>
        <v>3</v>
      </c>
      <c r="BD190" s="29">
        <f t="shared" ca="1" si="109"/>
        <v>2</v>
      </c>
      <c r="BE190" s="29">
        <f t="shared" ca="1" si="109"/>
        <v>4</v>
      </c>
      <c r="BF190" s="29">
        <f t="shared" ca="1" si="109"/>
        <v>1</v>
      </c>
      <c r="BG190" s="29">
        <f t="shared" ca="1" si="109"/>
        <v>0</v>
      </c>
      <c r="BH190" s="29">
        <f t="shared" ca="1" si="109"/>
        <v>1</v>
      </c>
      <c r="BI190" s="29">
        <f t="shared" ca="1" si="109"/>
        <v>3</v>
      </c>
      <c r="BJ190" s="29">
        <f t="shared" ca="1" si="109"/>
        <v>2</v>
      </c>
      <c r="BK190" s="29">
        <f t="shared" ca="1" si="109"/>
        <v>2</v>
      </c>
      <c r="BL190" s="29">
        <f t="shared" ca="1" si="108"/>
        <v>3</v>
      </c>
      <c r="BM190" s="29">
        <f t="shared" ca="1" si="108"/>
        <v>1</v>
      </c>
      <c r="BN190" s="29">
        <f t="shared" ca="1" si="108"/>
        <v>3</v>
      </c>
      <c r="BO190" s="29">
        <f t="shared" ca="1" si="108"/>
        <v>0</v>
      </c>
      <c r="BP190" s="29">
        <f t="shared" ca="1" si="108"/>
        <v>2</v>
      </c>
      <c r="BQ190" s="29">
        <f t="shared" ca="1" si="108"/>
        <v>4</v>
      </c>
      <c r="BR190" s="29">
        <f t="shared" ca="1" si="108"/>
        <v>5</v>
      </c>
      <c r="BS190" s="29">
        <f t="shared" ca="1" si="108"/>
        <v>0</v>
      </c>
      <c r="BT190" s="29">
        <f t="shared" ca="1" si="108"/>
        <v>0</v>
      </c>
      <c r="BU190" s="29">
        <f t="shared" ca="1" si="108"/>
        <v>3</v>
      </c>
      <c r="BV190" s="29">
        <f t="shared" ca="1" si="108"/>
        <v>4</v>
      </c>
      <c r="BW190" s="29">
        <f t="shared" ca="1" si="108"/>
        <v>3</v>
      </c>
      <c r="BX190" s="29">
        <f t="shared" ca="1" si="108"/>
        <v>5</v>
      </c>
      <c r="BY190" s="29">
        <f t="shared" ca="1" si="108"/>
        <v>3</v>
      </c>
      <c r="BZ190" s="29">
        <f t="shared" ca="1" si="108"/>
        <v>1</v>
      </c>
      <c r="CA190" s="29">
        <f t="shared" ca="1" si="105"/>
        <v>4</v>
      </c>
      <c r="CB190" s="29">
        <f t="shared" ca="1" si="105"/>
        <v>1</v>
      </c>
      <c r="CC190" s="29">
        <f t="shared" ca="1" si="105"/>
        <v>4</v>
      </c>
      <c r="CD190" s="29">
        <f t="shared" ca="1" si="105"/>
        <v>7</v>
      </c>
      <c r="CE190" s="29">
        <f t="shared" ca="1" si="105"/>
        <v>5</v>
      </c>
      <c r="CF190" s="29">
        <f t="shared" ca="1" si="105"/>
        <v>5</v>
      </c>
      <c r="CG190" s="29">
        <f t="shared" ca="1" si="105"/>
        <v>3</v>
      </c>
      <c r="CH190" s="29">
        <f t="shared" ca="1" si="105"/>
        <v>2</v>
      </c>
      <c r="CI190" s="29">
        <f t="shared" ca="1" si="105"/>
        <v>1</v>
      </c>
      <c r="CJ190" s="29">
        <f t="shared" ca="1" si="105"/>
        <v>2</v>
      </c>
      <c r="CK190" s="29">
        <f t="shared" ca="1" si="105"/>
        <v>1</v>
      </c>
      <c r="CL190" s="29">
        <f t="shared" ca="1" si="105"/>
        <v>4</v>
      </c>
      <c r="CM190" s="29">
        <f t="shared" ca="1" si="105"/>
        <v>1</v>
      </c>
      <c r="CN190" s="29">
        <f t="shared" ca="1" si="105"/>
        <v>3</v>
      </c>
      <c r="CO190" s="29">
        <f t="shared" ca="1" si="105"/>
        <v>4</v>
      </c>
      <c r="CP190" s="29">
        <f t="shared" ca="1" si="105"/>
        <v>4</v>
      </c>
      <c r="CQ190" s="29">
        <f t="shared" ca="1" si="104"/>
        <v>4</v>
      </c>
      <c r="CR190" s="29">
        <f t="shared" ca="1" si="104"/>
        <v>1</v>
      </c>
      <c r="CS190" s="29">
        <f t="shared" ca="1" si="104"/>
        <v>1</v>
      </c>
      <c r="CT190" s="29">
        <f t="shared" ca="1" si="104"/>
        <v>2</v>
      </c>
      <c r="CU190" s="29">
        <f t="shared" ca="1" si="104"/>
        <v>4</v>
      </c>
      <c r="CV190" s="29">
        <f t="shared" ca="1" si="104"/>
        <v>4</v>
      </c>
      <c r="CW190" s="29">
        <f t="shared" ca="1" si="104"/>
        <v>5</v>
      </c>
      <c r="CX190" s="29">
        <f t="shared" ca="1" si="104"/>
        <v>2</v>
      </c>
      <c r="CY190" s="29">
        <f t="shared" ca="1" si="104"/>
        <v>5</v>
      </c>
      <c r="CZ190" s="29">
        <f t="shared" ca="1" si="104"/>
        <v>4</v>
      </c>
      <c r="DA190" s="29">
        <f t="shared" ca="1" si="104"/>
        <v>3</v>
      </c>
      <c r="DB190" s="29">
        <f t="shared" ca="1" si="104"/>
        <v>1</v>
      </c>
      <c r="DC190" s="29">
        <f t="shared" ca="1" si="104"/>
        <v>4</v>
      </c>
      <c r="DD190" s="29">
        <f t="shared" ca="1" si="104"/>
        <v>0</v>
      </c>
      <c r="DE190" s="29">
        <f t="shared" ca="1" si="104"/>
        <v>3</v>
      </c>
      <c r="DF190" s="29">
        <f t="shared" ca="1" si="97"/>
        <v>1</v>
      </c>
      <c r="DG190" s="29">
        <f t="shared" ca="1" si="97"/>
        <v>4</v>
      </c>
      <c r="DH190" s="29">
        <f t="shared" ca="1" si="97"/>
        <v>2</v>
      </c>
      <c r="DI190" s="29">
        <f t="shared" ca="1" si="97"/>
        <v>4</v>
      </c>
      <c r="DJ190" s="29">
        <f t="shared" ca="1" si="97"/>
        <v>4</v>
      </c>
      <c r="DK190" s="29">
        <f t="shared" ca="1" si="97"/>
        <v>2</v>
      </c>
      <c r="DL190" s="29">
        <f t="shared" ca="1" si="97"/>
        <v>4</v>
      </c>
    </row>
    <row r="191" spans="1:116" ht="14.4" x14ac:dyDescent="0.3">
      <c r="A191" s="31">
        <v>671</v>
      </c>
      <c r="B191" s="28">
        <v>5.61</v>
      </c>
      <c r="C191" s="30">
        <v>62.24</v>
      </c>
      <c r="D191" s="28">
        <v>2.95</v>
      </c>
      <c r="E191" s="34">
        <f t="shared" si="77"/>
        <v>5.9000000000000004E-2</v>
      </c>
      <c r="F191" s="35">
        <f t="shared" si="78"/>
        <v>15.56</v>
      </c>
      <c r="G191" s="34">
        <f t="shared" si="79"/>
        <v>73.75</v>
      </c>
      <c r="H191" s="33">
        <f t="shared" si="80"/>
        <v>10.372549019607842</v>
      </c>
      <c r="I191" s="28">
        <f t="shared" si="83"/>
        <v>524.39000000000021</v>
      </c>
      <c r="J191" s="32">
        <v>0</v>
      </c>
      <c r="K191" s="30">
        <f t="shared" si="81"/>
        <v>73.75</v>
      </c>
      <c r="L191" s="30"/>
      <c r="M191" s="30"/>
      <c r="N191" s="30"/>
      <c r="O191" s="30"/>
      <c r="Q191" s="29">
        <f t="shared" ca="1" si="82"/>
        <v>1</v>
      </c>
      <c r="R191" s="29">
        <f t="shared" ca="1" si="107"/>
        <v>2</v>
      </c>
      <c r="S191" s="29">
        <f t="shared" ca="1" si="107"/>
        <v>1</v>
      </c>
      <c r="T191" s="29">
        <f t="shared" ca="1" si="107"/>
        <v>6</v>
      </c>
      <c r="U191" s="29">
        <f t="shared" ca="1" si="107"/>
        <v>5</v>
      </c>
      <c r="V191" s="29">
        <f t="shared" ca="1" si="107"/>
        <v>2</v>
      </c>
      <c r="W191" s="29">
        <f t="shared" ca="1" si="107"/>
        <v>2</v>
      </c>
      <c r="X191" s="29">
        <f t="shared" ca="1" si="107"/>
        <v>2</v>
      </c>
      <c r="Y191" s="29">
        <f t="shared" ca="1" si="107"/>
        <v>2</v>
      </c>
      <c r="Z191" s="29">
        <f t="shared" ca="1" si="107"/>
        <v>4</v>
      </c>
      <c r="AA191" s="29">
        <f t="shared" ca="1" si="107"/>
        <v>3</v>
      </c>
      <c r="AB191" s="29">
        <f t="shared" ca="1" si="107"/>
        <v>3</v>
      </c>
      <c r="AC191" s="29">
        <f t="shared" ca="1" si="107"/>
        <v>5</v>
      </c>
      <c r="AD191" s="29">
        <f t="shared" ca="1" si="107"/>
        <v>6</v>
      </c>
      <c r="AE191" s="29">
        <f t="shared" ca="1" si="107"/>
        <v>4</v>
      </c>
      <c r="AF191" s="29">
        <f t="shared" ca="1" si="107"/>
        <v>1</v>
      </c>
      <c r="AG191" s="29">
        <f t="shared" ca="1" si="106"/>
        <v>6</v>
      </c>
      <c r="AH191" s="29">
        <f t="shared" ca="1" si="106"/>
        <v>4</v>
      </c>
      <c r="AI191" s="29">
        <f t="shared" ca="1" si="106"/>
        <v>2</v>
      </c>
      <c r="AJ191" s="29">
        <f t="shared" ca="1" si="106"/>
        <v>5</v>
      </c>
      <c r="AK191" s="29">
        <f t="shared" ca="1" si="106"/>
        <v>3</v>
      </c>
      <c r="AL191" s="29">
        <f t="shared" ca="1" si="106"/>
        <v>4</v>
      </c>
      <c r="AM191" s="29">
        <f t="shared" ca="1" si="106"/>
        <v>3</v>
      </c>
      <c r="AN191" s="29">
        <f t="shared" ca="1" si="106"/>
        <v>1</v>
      </c>
      <c r="AO191" s="29">
        <f t="shared" ca="1" si="106"/>
        <v>3</v>
      </c>
      <c r="AP191" s="29">
        <f t="shared" ca="1" si="106"/>
        <v>4</v>
      </c>
      <c r="AQ191" s="29">
        <f t="shared" ca="1" si="106"/>
        <v>4</v>
      </c>
      <c r="AR191" s="29">
        <f t="shared" ca="1" si="106"/>
        <v>1</v>
      </c>
      <c r="AS191" s="29">
        <f t="shared" ca="1" si="106"/>
        <v>3</v>
      </c>
      <c r="AT191" s="29">
        <f t="shared" ca="1" si="106"/>
        <v>5</v>
      </c>
      <c r="AU191" s="29">
        <f t="shared" ca="1" si="106"/>
        <v>2</v>
      </c>
      <c r="AV191" s="29">
        <f t="shared" ca="1" si="109"/>
        <v>7</v>
      </c>
      <c r="AW191" s="29">
        <f t="shared" ca="1" si="109"/>
        <v>4</v>
      </c>
      <c r="AX191" s="29">
        <f t="shared" ca="1" si="109"/>
        <v>4</v>
      </c>
      <c r="AY191" s="29">
        <f t="shared" ca="1" si="109"/>
        <v>3</v>
      </c>
      <c r="AZ191" s="29">
        <f t="shared" ca="1" si="109"/>
        <v>6</v>
      </c>
      <c r="BA191" s="29">
        <f t="shared" ca="1" si="109"/>
        <v>3</v>
      </c>
      <c r="BB191" s="29">
        <f t="shared" ca="1" si="109"/>
        <v>2</v>
      </c>
      <c r="BC191" s="29">
        <f t="shared" ca="1" si="109"/>
        <v>5</v>
      </c>
      <c r="BD191" s="29">
        <f t="shared" ca="1" si="109"/>
        <v>2</v>
      </c>
      <c r="BE191" s="29">
        <f t="shared" ca="1" si="109"/>
        <v>4</v>
      </c>
      <c r="BF191" s="29">
        <f t="shared" ca="1" si="109"/>
        <v>2</v>
      </c>
      <c r="BG191" s="29">
        <f t="shared" ca="1" si="109"/>
        <v>6</v>
      </c>
      <c r="BH191" s="29">
        <f t="shared" ca="1" si="109"/>
        <v>0</v>
      </c>
      <c r="BI191" s="29">
        <f t="shared" ca="1" si="109"/>
        <v>2</v>
      </c>
      <c r="BJ191" s="29">
        <f t="shared" ca="1" si="109"/>
        <v>4</v>
      </c>
      <c r="BK191" s="29">
        <f t="shared" ca="1" si="109"/>
        <v>5</v>
      </c>
      <c r="BL191" s="29">
        <f t="shared" ca="1" si="108"/>
        <v>1</v>
      </c>
      <c r="BM191" s="29">
        <f t="shared" ca="1" si="108"/>
        <v>7</v>
      </c>
      <c r="BN191" s="29">
        <f t="shared" ca="1" si="108"/>
        <v>4</v>
      </c>
      <c r="BO191" s="29">
        <f t="shared" ca="1" si="108"/>
        <v>4</v>
      </c>
      <c r="BP191" s="29">
        <f t="shared" ca="1" si="108"/>
        <v>1</v>
      </c>
      <c r="BQ191" s="29">
        <f t="shared" ca="1" si="108"/>
        <v>2</v>
      </c>
      <c r="BR191" s="29">
        <f t="shared" ca="1" si="108"/>
        <v>5</v>
      </c>
      <c r="BS191" s="29">
        <f t="shared" ca="1" si="108"/>
        <v>5</v>
      </c>
      <c r="BT191" s="29">
        <f t="shared" ca="1" si="108"/>
        <v>4</v>
      </c>
      <c r="BU191" s="29">
        <f t="shared" ca="1" si="108"/>
        <v>1</v>
      </c>
      <c r="BV191" s="29">
        <f t="shared" ca="1" si="108"/>
        <v>0</v>
      </c>
      <c r="BW191" s="29">
        <f t="shared" ca="1" si="108"/>
        <v>1</v>
      </c>
      <c r="BX191" s="29">
        <f t="shared" ca="1" si="108"/>
        <v>1</v>
      </c>
      <c r="BY191" s="29">
        <f t="shared" ca="1" si="108"/>
        <v>5</v>
      </c>
      <c r="BZ191" s="29">
        <f t="shared" ca="1" si="108"/>
        <v>3</v>
      </c>
      <c r="CA191" s="29">
        <f t="shared" ca="1" si="105"/>
        <v>3</v>
      </c>
      <c r="CB191" s="29">
        <f t="shared" ca="1" si="105"/>
        <v>5</v>
      </c>
      <c r="CC191" s="29">
        <f t="shared" ca="1" si="105"/>
        <v>2</v>
      </c>
      <c r="CD191" s="29">
        <f t="shared" ca="1" si="105"/>
        <v>1</v>
      </c>
      <c r="CE191" s="29">
        <f t="shared" ca="1" si="105"/>
        <v>3</v>
      </c>
      <c r="CF191" s="29">
        <f t="shared" ca="1" si="105"/>
        <v>2</v>
      </c>
      <c r="CG191" s="29">
        <f t="shared" ca="1" si="105"/>
        <v>3</v>
      </c>
      <c r="CH191" s="29">
        <f t="shared" ca="1" si="105"/>
        <v>4</v>
      </c>
      <c r="CI191" s="29">
        <f t="shared" ca="1" si="105"/>
        <v>2</v>
      </c>
      <c r="CJ191" s="29">
        <f t="shared" ca="1" si="105"/>
        <v>3</v>
      </c>
      <c r="CK191" s="29">
        <f t="shared" ca="1" si="105"/>
        <v>3</v>
      </c>
      <c r="CL191" s="29">
        <f t="shared" ca="1" si="105"/>
        <v>5</v>
      </c>
      <c r="CM191" s="29">
        <f t="shared" ca="1" si="105"/>
        <v>1</v>
      </c>
      <c r="CN191" s="29">
        <f t="shared" ca="1" si="105"/>
        <v>2</v>
      </c>
      <c r="CO191" s="29">
        <f t="shared" ca="1" si="105"/>
        <v>4</v>
      </c>
      <c r="CP191" s="29">
        <f t="shared" ca="1" si="105"/>
        <v>4</v>
      </c>
      <c r="CQ191" s="29">
        <f t="shared" ca="1" si="104"/>
        <v>6</v>
      </c>
      <c r="CR191" s="29">
        <f t="shared" ca="1" si="104"/>
        <v>3</v>
      </c>
      <c r="CS191" s="29">
        <f t="shared" ca="1" si="104"/>
        <v>2</v>
      </c>
      <c r="CT191" s="29">
        <f t="shared" ca="1" si="104"/>
        <v>2</v>
      </c>
      <c r="CU191" s="29">
        <f t="shared" ca="1" si="104"/>
        <v>4</v>
      </c>
      <c r="CV191" s="29">
        <f t="shared" ca="1" si="104"/>
        <v>4</v>
      </c>
      <c r="CW191" s="29">
        <f t="shared" ca="1" si="104"/>
        <v>3</v>
      </c>
      <c r="CX191" s="29">
        <f t="shared" ca="1" si="104"/>
        <v>0</v>
      </c>
      <c r="CY191" s="29">
        <f t="shared" ca="1" si="104"/>
        <v>3</v>
      </c>
      <c r="CZ191" s="29">
        <f t="shared" ca="1" si="104"/>
        <v>4</v>
      </c>
      <c r="DA191" s="29">
        <f t="shared" ca="1" si="104"/>
        <v>5</v>
      </c>
      <c r="DB191" s="29">
        <f t="shared" ca="1" si="104"/>
        <v>0</v>
      </c>
      <c r="DC191" s="29">
        <f t="shared" ca="1" si="104"/>
        <v>2</v>
      </c>
      <c r="DD191" s="29">
        <f t="shared" ca="1" si="104"/>
        <v>0</v>
      </c>
      <c r="DE191" s="29">
        <f t="shared" ca="1" si="104"/>
        <v>0</v>
      </c>
      <c r="DF191" s="29">
        <f t="shared" ca="1" si="97"/>
        <v>3</v>
      </c>
      <c r="DG191" s="29">
        <f t="shared" ca="1" si="97"/>
        <v>3</v>
      </c>
      <c r="DH191" s="29">
        <f t="shared" ca="1" si="97"/>
        <v>3</v>
      </c>
      <c r="DI191" s="29">
        <f t="shared" ca="1" si="97"/>
        <v>1</v>
      </c>
      <c r="DJ191" s="29">
        <f t="shared" ca="1" si="97"/>
        <v>1</v>
      </c>
      <c r="DK191" s="29">
        <f t="shared" ca="1" si="97"/>
        <v>4</v>
      </c>
      <c r="DL191" s="29">
        <f t="shared" ca="1" si="97"/>
        <v>5</v>
      </c>
    </row>
    <row r="192" spans="1:116" ht="14.4" x14ac:dyDescent="0.3">
      <c r="A192" s="31">
        <v>898</v>
      </c>
      <c r="B192" s="28">
        <v>6.85</v>
      </c>
      <c r="C192" s="30">
        <v>3.92</v>
      </c>
      <c r="D192" s="28">
        <v>2.88</v>
      </c>
      <c r="E192" s="34">
        <f t="shared" si="77"/>
        <v>5.7599999999999998E-2</v>
      </c>
      <c r="F192" s="35">
        <f t="shared" si="78"/>
        <v>0.98</v>
      </c>
      <c r="G192" s="34">
        <f t="shared" si="79"/>
        <v>72</v>
      </c>
      <c r="H192" s="33">
        <f t="shared" si="80"/>
        <v>10.367883211678832</v>
      </c>
      <c r="I192" s="28">
        <f t="shared" si="83"/>
        <v>531.24000000000024</v>
      </c>
      <c r="J192" s="32">
        <v>0</v>
      </c>
      <c r="K192" s="30">
        <f t="shared" si="81"/>
        <v>72</v>
      </c>
      <c r="L192" s="30"/>
      <c r="M192" s="30"/>
      <c r="N192" s="30"/>
      <c r="O192" s="30"/>
      <c r="Q192" s="29">
        <f t="shared" ca="1" si="82"/>
        <v>4</v>
      </c>
      <c r="R192" s="29">
        <f t="shared" ca="1" si="107"/>
        <v>3</v>
      </c>
      <c r="S192" s="29">
        <f t="shared" ca="1" si="107"/>
        <v>1</v>
      </c>
      <c r="T192" s="29">
        <f t="shared" ca="1" si="107"/>
        <v>0</v>
      </c>
      <c r="U192" s="29">
        <f t="shared" ca="1" si="107"/>
        <v>3</v>
      </c>
      <c r="V192" s="29">
        <f t="shared" ca="1" si="107"/>
        <v>6</v>
      </c>
      <c r="W192" s="29">
        <f t="shared" ca="1" si="107"/>
        <v>2</v>
      </c>
      <c r="X192" s="29">
        <f t="shared" ca="1" si="107"/>
        <v>3</v>
      </c>
      <c r="Y192" s="29">
        <f t="shared" ca="1" si="107"/>
        <v>4</v>
      </c>
      <c r="Z192" s="29">
        <f t="shared" ca="1" si="107"/>
        <v>3</v>
      </c>
      <c r="AA192" s="29">
        <f t="shared" ca="1" si="107"/>
        <v>1</v>
      </c>
      <c r="AB192" s="29">
        <f t="shared" ca="1" si="107"/>
        <v>2</v>
      </c>
      <c r="AC192" s="29">
        <f t="shared" ca="1" si="107"/>
        <v>1</v>
      </c>
      <c r="AD192" s="29">
        <f t="shared" ca="1" si="107"/>
        <v>3</v>
      </c>
      <c r="AE192" s="29">
        <f t="shared" ca="1" si="107"/>
        <v>2</v>
      </c>
      <c r="AF192" s="29">
        <f t="shared" ca="1" si="107"/>
        <v>2</v>
      </c>
      <c r="AG192" s="29">
        <f t="shared" ca="1" si="106"/>
        <v>0</v>
      </c>
      <c r="AH192" s="29">
        <f t="shared" ca="1" si="106"/>
        <v>5</v>
      </c>
      <c r="AI192" s="29">
        <f t="shared" ca="1" si="106"/>
        <v>3</v>
      </c>
      <c r="AJ192" s="29">
        <f t="shared" ca="1" si="106"/>
        <v>1</v>
      </c>
      <c r="AK192" s="29">
        <f t="shared" ca="1" si="106"/>
        <v>4</v>
      </c>
      <c r="AL192" s="29">
        <f t="shared" ca="1" si="106"/>
        <v>2</v>
      </c>
      <c r="AM192" s="29">
        <f t="shared" ca="1" si="106"/>
        <v>5</v>
      </c>
      <c r="AN192" s="29">
        <f t="shared" ca="1" si="106"/>
        <v>4</v>
      </c>
      <c r="AO192" s="29">
        <f t="shared" ca="1" si="106"/>
        <v>0</v>
      </c>
      <c r="AP192" s="29">
        <f t="shared" ca="1" si="106"/>
        <v>4</v>
      </c>
      <c r="AQ192" s="29">
        <f t="shared" ca="1" si="106"/>
        <v>3</v>
      </c>
      <c r="AR192" s="29">
        <f t="shared" ca="1" si="106"/>
        <v>2</v>
      </c>
      <c r="AS192" s="29">
        <f t="shared" ca="1" si="106"/>
        <v>1</v>
      </c>
      <c r="AT192" s="29">
        <f t="shared" ca="1" si="106"/>
        <v>2</v>
      </c>
      <c r="AU192" s="29">
        <f t="shared" ca="1" si="106"/>
        <v>3</v>
      </c>
      <c r="AV192" s="29">
        <f t="shared" ca="1" si="109"/>
        <v>2</v>
      </c>
      <c r="AW192" s="29">
        <f t="shared" ca="1" si="109"/>
        <v>4</v>
      </c>
      <c r="AX192" s="29">
        <f t="shared" ca="1" si="109"/>
        <v>3</v>
      </c>
      <c r="AY192" s="29">
        <f t="shared" ca="1" si="109"/>
        <v>3</v>
      </c>
      <c r="AZ192" s="29">
        <f t="shared" ca="1" si="109"/>
        <v>4</v>
      </c>
      <c r="BA192" s="29">
        <f t="shared" ca="1" si="109"/>
        <v>6</v>
      </c>
      <c r="BB192" s="29">
        <f t="shared" ca="1" si="109"/>
        <v>5</v>
      </c>
      <c r="BC192" s="29">
        <f t="shared" ca="1" si="109"/>
        <v>3</v>
      </c>
      <c r="BD192" s="29">
        <f t="shared" ca="1" si="109"/>
        <v>3</v>
      </c>
      <c r="BE192" s="29">
        <f t="shared" ca="1" si="109"/>
        <v>5</v>
      </c>
      <c r="BF192" s="29">
        <f t="shared" ca="1" si="109"/>
        <v>4</v>
      </c>
      <c r="BG192" s="29">
        <f t="shared" ca="1" si="109"/>
        <v>4</v>
      </c>
      <c r="BH192" s="29">
        <f t="shared" ca="1" si="109"/>
        <v>4</v>
      </c>
      <c r="BI192" s="29">
        <f t="shared" ca="1" si="109"/>
        <v>3</v>
      </c>
      <c r="BJ192" s="29">
        <f t="shared" ca="1" si="109"/>
        <v>4</v>
      </c>
      <c r="BK192" s="29">
        <f t="shared" ca="1" si="109"/>
        <v>1</v>
      </c>
      <c r="BL192" s="29">
        <f t="shared" ca="1" si="108"/>
        <v>2</v>
      </c>
      <c r="BM192" s="29">
        <f t="shared" ca="1" si="108"/>
        <v>3</v>
      </c>
      <c r="BN192" s="29">
        <f t="shared" ca="1" si="108"/>
        <v>1</v>
      </c>
      <c r="BO192" s="29">
        <f t="shared" ca="1" si="108"/>
        <v>1</v>
      </c>
      <c r="BP192" s="29">
        <f t="shared" ca="1" si="108"/>
        <v>2</v>
      </c>
      <c r="BQ192" s="29">
        <f t="shared" ca="1" si="108"/>
        <v>1</v>
      </c>
      <c r="BR192" s="29">
        <f t="shared" ca="1" si="108"/>
        <v>5</v>
      </c>
      <c r="BS192" s="29">
        <f t="shared" ca="1" si="108"/>
        <v>3</v>
      </c>
      <c r="BT192" s="29">
        <f t="shared" ca="1" si="108"/>
        <v>3</v>
      </c>
      <c r="BU192" s="29">
        <f t="shared" ca="1" si="108"/>
        <v>0</v>
      </c>
      <c r="BV192" s="29">
        <f t="shared" ca="1" si="108"/>
        <v>3</v>
      </c>
      <c r="BW192" s="29">
        <f t="shared" ca="1" si="108"/>
        <v>1</v>
      </c>
      <c r="BX192" s="29">
        <f t="shared" ca="1" si="108"/>
        <v>3</v>
      </c>
      <c r="BY192" s="29">
        <f t="shared" ca="1" si="108"/>
        <v>6</v>
      </c>
      <c r="BZ192" s="29">
        <f t="shared" ca="1" si="108"/>
        <v>2</v>
      </c>
      <c r="CA192" s="29">
        <f t="shared" ca="1" si="105"/>
        <v>4</v>
      </c>
      <c r="CB192" s="29">
        <f t="shared" ca="1" si="105"/>
        <v>1</v>
      </c>
      <c r="CC192" s="29">
        <f t="shared" ca="1" si="105"/>
        <v>2</v>
      </c>
      <c r="CD192" s="29">
        <f t="shared" ca="1" si="105"/>
        <v>4</v>
      </c>
      <c r="CE192" s="29">
        <f t="shared" ca="1" si="105"/>
        <v>4</v>
      </c>
      <c r="CF192" s="29">
        <f t="shared" ca="1" si="105"/>
        <v>1</v>
      </c>
      <c r="CG192" s="29">
        <f t="shared" ca="1" si="105"/>
        <v>2</v>
      </c>
      <c r="CH192" s="29">
        <f t="shared" ca="1" si="105"/>
        <v>4</v>
      </c>
      <c r="CI192" s="29">
        <f t="shared" ca="1" si="105"/>
        <v>3</v>
      </c>
      <c r="CJ192" s="29">
        <f t="shared" ca="1" si="105"/>
        <v>4</v>
      </c>
      <c r="CK192" s="29">
        <f t="shared" ca="1" si="105"/>
        <v>1</v>
      </c>
      <c r="CL192" s="29">
        <f t="shared" ca="1" si="105"/>
        <v>2</v>
      </c>
      <c r="CM192" s="29">
        <f t="shared" ca="1" si="105"/>
        <v>1</v>
      </c>
      <c r="CN192" s="29">
        <f t="shared" ca="1" si="105"/>
        <v>4</v>
      </c>
      <c r="CO192" s="29">
        <f t="shared" ca="1" si="105"/>
        <v>5</v>
      </c>
      <c r="CP192" s="29">
        <f t="shared" ca="1" si="105"/>
        <v>2</v>
      </c>
      <c r="CQ192" s="29">
        <f t="shared" ca="1" si="104"/>
        <v>1</v>
      </c>
      <c r="CR192" s="29">
        <f t="shared" ca="1" si="104"/>
        <v>3</v>
      </c>
      <c r="CS192" s="29">
        <f t="shared" ca="1" si="104"/>
        <v>5</v>
      </c>
      <c r="CT192" s="29">
        <f t="shared" ca="1" si="104"/>
        <v>3</v>
      </c>
      <c r="CU192" s="29">
        <f t="shared" ca="1" si="104"/>
        <v>2</v>
      </c>
      <c r="CV192" s="29">
        <f t="shared" ca="1" si="104"/>
        <v>5</v>
      </c>
      <c r="CW192" s="29">
        <f t="shared" ca="1" si="104"/>
        <v>3</v>
      </c>
      <c r="CX192" s="29">
        <f t="shared" ca="1" si="104"/>
        <v>5</v>
      </c>
      <c r="CY192" s="29">
        <f t="shared" ca="1" si="104"/>
        <v>1</v>
      </c>
      <c r="CZ192" s="29">
        <f t="shared" ca="1" si="104"/>
        <v>2</v>
      </c>
      <c r="DA192" s="29">
        <f t="shared" ca="1" si="104"/>
        <v>1</v>
      </c>
      <c r="DB192" s="29">
        <f t="shared" ca="1" si="104"/>
        <v>3</v>
      </c>
      <c r="DC192" s="29">
        <f t="shared" ca="1" si="104"/>
        <v>6</v>
      </c>
      <c r="DD192" s="29">
        <f t="shared" ca="1" si="104"/>
        <v>2</v>
      </c>
      <c r="DE192" s="29">
        <f t="shared" ca="1" si="104"/>
        <v>5</v>
      </c>
      <c r="DF192" s="29">
        <f t="shared" ca="1" si="97"/>
        <v>3</v>
      </c>
      <c r="DG192" s="29">
        <f t="shared" ca="1" si="97"/>
        <v>7</v>
      </c>
      <c r="DH192" s="29">
        <f t="shared" ca="1" si="97"/>
        <v>3</v>
      </c>
      <c r="DI192" s="29">
        <f t="shared" ca="1" si="97"/>
        <v>8</v>
      </c>
      <c r="DJ192" s="29">
        <f t="shared" ca="1" si="97"/>
        <v>3</v>
      </c>
      <c r="DK192" s="29">
        <f t="shared" ca="1" si="97"/>
        <v>4</v>
      </c>
      <c r="DL192" s="29">
        <f t="shared" ca="1" si="97"/>
        <v>3</v>
      </c>
    </row>
    <row r="193" spans="1:116" ht="14.4" x14ac:dyDescent="0.3">
      <c r="A193" s="31">
        <v>330</v>
      </c>
      <c r="B193" s="28">
        <v>3.67</v>
      </c>
      <c r="C193" s="30">
        <v>64.86</v>
      </c>
      <c r="D193" s="28">
        <v>2.17</v>
      </c>
      <c r="E193" s="34">
        <f t="shared" si="77"/>
        <v>4.3400000000000001E-2</v>
      </c>
      <c r="F193" s="35">
        <f t="shared" si="78"/>
        <v>16.215</v>
      </c>
      <c r="G193" s="34">
        <f t="shared" si="79"/>
        <v>54.25</v>
      </c>
      <c r="H193" s="33">
        <f t="shared" si="80"/>
        <v>10.36376021798365</v>
      </c>
      <c r="I193" s="28">
        <f t="shared" si="83"/>
        <v>534.9100000000002</v>
      </c>
      <c r="J193" s="32">
        <v>0</v>
      </c>
      <c r="K193" s="30">
        <f t="shared" si="81"/>
        <v>54.25</v>
      </c>
      <c r="L193" s="30"/>
      <c r="M193" s="30"/>
      <c r="N193" s="30"/>
      <c r="O193" s="30"/>
      <c r="Q193" s="29">
        <f t="shared" ca="1" si="82"/>
        <v>1</v>
      </c>
      <c r="R193" s="29">
        <f t="shared" ca="1" si="107"/>
        <v>3</v>
      </c>
      <c r="S193" s="29">
        <f t="shared" ca="1" si="107"/>
        <v>4</v>
      </c>
      <c r="T193" s="29">
        <f t="shared" ca="1" si="107"/>
        <v>0</v>
      </c>
      <c r="U193" s="29">
        <f t="shared" ca="1" si="107"/>
        <v>2</v>
      </c>
      <c r="V193" s="29">
        <f t="shared" ca="1" si="107"/>
        <v>2</v>
      </c>
      <c r="W193" s="29">
        <f t="shared" ca="1" si="107"/>
        <v>3</v>
      </c>
      <c r="X193" s="29">
        <f t="shared" ca="1" si="107"/>
        <v>0</v>
      </c>
      <c r="Y193" s="29">
        <f t="shared" ca="1" si="107"/>
        <v>2</v>
      </c>
      <c r="Z193" s="29">
        <f t="shared" ca="1" si="107"/>
        <v>3</v>
      </c>
      <c r="AA193" s="29">
        <f t="shared" ca="1" si="107"/>
        <v>5</v>
      </c>
      <c r="AB193" s="29">
        <f t="shared" ca="1" si="107"/>
        <v>2</v>
      </c>
      <c r="AC193" s="29">
        <f t="shared" ca="1" si="107"/>
        <v>0</v>
      </c>
      <c r="AD193" s="29">
        <f t="shared" ca="1" si="107"/>
        <v>3</v>
      </c>
      <c r="AE193" s="29">
        <f t="shared" ca="1" si="107"/>
        <v>2</v>
      </c>
      <c r="AF193" s="29">
        <f t="shared" ca="1" si="107"/>
        <v>2</v>
      </c>
      <c r="AG193" s="29">
        <f t="shared" ca="1" si="106"/>
        <v>3</v>
      </c>
      <c r="AH193" s="29">
        <f t="shared" ca="1" si="106"/>
        <v>3</v>
      </c>
      <c r="AI193" s="29">
        <f t="shared" ca="1" si="106"/>
        <v>2</v>
      </c>
      <c r="AJ193" s="29">
        <f t="shared" ca="1" si="106"/>
        <v>2</v>
      </c>
      <c r="AK193" s="29">
        <f t="shared" ca="1" si="106"/>
        <v>1</v>
      </c>
      <c r="AL193" s="29">
        <f t="shared" ca="1" si="106"/>
        <v>1</v>
      </c>
      <c r="AM193" s="29">
        <f t="shared" ca="1" si="106"/>
        <v>1</v>
      </c>
      <c r="AN193" s="29">
        <f t="shared" ca="1" si="106"/>
        <v>2</v>
      </c>
      <c r="AO193" s="29">
        <f t="shared" ca="1" si="106"/>
        <v>1</v>
      </c>
      <c r="AP193" s="29">
        <f t="shared" ca="1" si="106"/>
        <v>0</v>
      </c>
      <c r="AQ193" s="29">
        <f t="shared" ca="1" si="106"/>
        <v>0</v>
      </c>
      <c r="AR193" s="29">
        <f t="shared" ca="1" si="106"/>
        <v>1</v>
      </c>
      <c r="AS193" s="29">
        <f t="shared" ca="1" si="106"/>
        <v>4</v>
      </c>
      <c r="AT193" s="29">
        <f t="shared" ca="1" si="106"/>
        <v>2</v>
      </c>
      <c r="AU193" s="29">
        <f t="shared" ca="1" si="106"/>
        <v>1</v>
      </c>
      <c r="AV193" s="29">
        <f t="shared" ca="1" si="109"/>
        <v>3</v>
      </c>
      <c r="AW193" s="29">
        <f t="shared" ca="1" si="109"/>
        <v>1</v>
      </c>
      <c r="AX193" s="29">
        <f t="shared" ca="1" si="109"/>
        <v>2</v>
      </c>
      <c r="AY193" s="29">
        <f t="shared" ca="1" si="109"/>
        <v>2</v>
      </c>
      <c r="AZ193" s="29">
        <f t="shared" ca="1" si="109"/>
        <v>3</v>
      </c>
      <c r="BA193" s="29">
        <f t="shared" ca="1" si="109"/>
        <v>3</v>
      </c>
      <c r="BB193" s="29">
        <f t="shared" ca="1" si="109"/>
        <v>3</v>
      </c>
      <c r="BC193" s="29">
        <f t="shared" ca="1" si="109"/>
        <v>3</v>
      </c>
      <c r="BD193" s="29">
        <f t="shared" ca="1" si="109"/>
        <v>4</v>
      </c>
      <c r="BE193" s="29">
        <f t="shared" ca="1" si="109"/>
        <v>5</v>
      </c>
      <c r="BF193" s="29">
        <f t="shared" ca="1" si="109"/>
        <v>2</v>
      </c>
      <c r="BG193" s="29">
        <f t="shared" ca="1" si="109"/>
        <v>1</v>
      </c>
      <c r="BH193" s="29">
        <f t="shared" ca="1" si="109"/>
        <v>1</v>
      </c>
      <c r="BI193" s="29">
        <f t="shared" ca="1" si="109"/>
        <v>4</v>
      </c>
      <c r="BJ193" s="29">
        <f t="shared" ca="1" si="109"/>
        <v>6</v>
      </c>
      <c r="BK193" s="29">
        <f t="shared" ca="1" si="109"/>
        <v>1</v>
      </c>
      <c r="BL193" s="29">
        <f t="shared" ca="1" si="108"/>
        <v>1</v>
      </c>
      <c r="BM193" s="29">
        <f t="shared" ca="1" si="108"/>
        <v>1</v>
      </c>
      <c r="BN193" s="29">
        <f t="shared" ca="1" si="108"/>
        <v>3</v>
      </c>
      <c r="BO193" s="29">
        <f t="shared" ca="1" si="108"/>
        <v>1</v>
      </c>
      <c r="BP193" s="29">
        <f t="shared" ca="1" si="108"/>
        <v>1</v>
      </c>
      <c r="BQ193" s="29">
        <f t="shared" ca="1" si="108"/>
        <v>2</v>
      </c>
      <c r="BR193" s="29">
        <f t="shared" ca="1" si="108"/>
        <v>2</v>
      </c>
      <c r="BS193" s="29">
        <f t="shared" ca="1" si="108"/>
        <v>1</v>
      </c>
      <c r="BT193" s="29">
        <f t="shared" ca="1" si="108"/>
        <v>2</v>
      </c>
      <c r="BU193" s="29">
        <f t="shared" ca="1" si="108"/>
        <v>4</v>
      </c>
      <c r="BV193" s="29">
        <f t="shared" ca="1" si="108"/>
        <v>3</v>
      </c>
      <c r="BW193" s="29">
        <f t="shared" ca="1" si="108"/>
        <v>4</v>
      </c>
      <c r="BX193" s="29">
        <f t="shared" ca="1" si="108"/>
        <v>1</v>
      </c>
      <c r="BY193" s="29">
        <f t="shared" ca="1" si="108"/>
        <v>4</v>
      </c>
      <c r="BZ193" s="29">
        <f t="shared" ca="1" si="108"/>
        <v>2</v>
      </c>
      <c r="CA193" s="29">
        <f t="shared" ca="1" si="105"/>
        <v>3</v>
      </c>
      <c r="CB193" s="29">
        <f t="shared" ca="1" si="105"/>
        <v>1</v>
      </c>
      <c r="CC193" s="29">
        <f t="shared" ca="1" si="105"/>
        <v>0</v>
      </c>
      <c r="CD193" s="29">
        <f t="shared" ca="1" si="105"/>
        <v>4</v>
      </c>
      <c r="CE193" s="29">
        <f t="shared" ca="1" si="105"/>
        <v>1</v>
      </c>
      <c r="CF193" s="29">
        <f t="shared" ca="1" si="105"/>
        <v>1</v>
      </c>
      <c r="CG193" s="29">
        <f t="shared" ca="1" si="105"/>
        <v>1</v>
      </c>
      <c r="CH193" s="29">
        <f t="shared" ca="1" si="105"/>
        <v>3</v>
      </c>
      <c r="CI193" s="29">
        <f t="shared" ca="1" si="105"/>
        <v>1</v>
      </c>
      <c r="CJ193" s="29">
        <f t="shared" ca="1" si="105"/>
        <v>0</v>
      </c>
      <c r="CK193" s="29">
        <f t="shared" ca="1" si="105"/>
        <v>4</v>
      </c>
      <c r="CL193" s="29">
        <f t="shared" ca="1" si="105"/>
        <v>1</v>
      </c>
      <c r="CM193" s="29">
        <f t="shared" ca="1" si="105"/>
        <v>2</v>
      </c>
      <c r="CN193" s="29">
        <f t="shared" ca="1" si="105"/>
        <v>3</v>
      </c>
      <c r="CO193" s="29">
        <f t="shared" ca="1" si="105"/>
        <v>0</v>
      </c>
      <c r="CP193" s="29">
        <f t="shared" ca="1" si="105"/>
        <v>2</v>
      </c>
      <c r="CQ193" s="29">
        <f t="shared" ca="1" si="104"/>
        <v>1</v>
      </c>
      <c r="CR193" s="29">
        <f t="shared" ca="1" si="104"/>
        <v>2</v>
      </c>
      <c r="CS193" s="29">
        <f t="shared" ca="1" si="104"/>
        <v>4</v>
      </c>
      <c r="CT193" s="29">
        <f t="shared" ca="1" si="104"/>
        <v>6</v>
      </c>
      <c r="CU193" s="29">
        <f t="shared" ca="1" si="104"/>
        <v>3</v>
      </c>
      <c r="CV193" s="29">
        <f t="shared" ca="1" si="104"/>
        <v>3</v>
      </c>
      <c r="CW193" s="29">
        <f t="shared" ca="1" si="104"/>
        <v>3</v>
      </c>
      <c r="CX193" s="29">
        <f t="shared" ca="1" si="104"/>
        <v>4</v>
      </c>
      <c r="CY193" s="29">
        <f t="shared" ca="1" si="104"/>
        <v>2</v>
      </c>
      <c r="CZ193" s="29">
        <f t="shared" ca="1" si="104"/>
        <v>4</v>
      </c>
      <c r="DA193" s="29">
        <f t="shared" ca="1" si="104"/>
        <v>2</v>
      </c>
      <c r="DB193" s="29">
        <f t="shared" ca="1" si="104"/>
        <v>3</v>
      </c>
      <c r="DC193" s="29">
        <f t="shared" ca="1" si="104"/>
        <v>3</v>
      </c>
      <c r="DD193" s="29">
        <f t="shared" ca="1" si="104"/>
        <v>2</v>
      </c>
      <c r="DE193" s="29">
        <f t="shared" ca="1" si="104"/>
        <v>2</v>
      </c>
      <c r="DF193" s="29">
        <f t="shared" ca="1" si="97"/>
        <v>6</v>
      </c>
      <c r="DG193" s="29">
        <f t="shared" ca="1" si="97"/>
        <v>3</v>
      </c>
      <c r="DH193" s="29">
        <f t="shared" ca="1" si="97"/>
        <v>1</v>
      </c>
      <c r="DI193" s="29">
        <f t="shared" ca="1" si="97"/>
        <v>1</v>
      </c>
      <c r="DJ193" s="29">
        <f t="shared" ca="1" si="97"/>
        <v>0</v>
      </c>
      <c r="DK193" s="29">
        <f t="shared" ca="1" si="97"/>
        <v>2</v>
      </c>
      <c r="DL193" s="29">
        <f t="shared" ca="1" si="97"/>
        <v>2</v>
      </c>
    </row>
    <row r="194" spans="1:116" ht="14.4" x14ac:dyDescent="0.3">
      <c r="A194" s="31">
        <v>757</v>
      </c>
      <c r="B194" s="28">
        <v>4.6399999999999997</v>
      </c>
      <c r="C194" s="30">
        <v>0.74</v>
      </c>
      <c r="D194" s="28">
        <v>1.93</v>
      </c>
      <c r="E194" s="34">
        <f t="shared" ref="E194:E257" si="110">D194/50</f>
        <v>3.8599999999999995E-2</v>
      </c>
      <c r="F194" s="35">
        <f t="shared" ref="F194:F257" si="111">0.25*C194</f>
        <v>0.185</v>
      </c>
      <c r="G194" s="34">
        <f t="shared" ref="G194:G257" si="112">25*D194</f>
        <v>48.25</v>
      </c>
      <c r="H194" s="33">
        <f t="shared" ref="H194:H257" si="113">(G194-F194)/B194</f>
        <v>10.358836206896552</v>
      </c>
      <c r="I194" s="28">
        <f t="shared" si="83"/>
        <v>539.55000000000018</v>
      </c>
      <c r="J194" s="32">
        <v>0</v>
      </c>
      <c r="K194" s="30">
        <f t="shared" ref="K194:K257" si="114">J194*F194+(1-J194)*G194</f>
        <v>48.25</v>
      </c>
      <c r="L194" s="30"/>
      <c r="M194" s="30"/>
      <c r="N194" s="30"/>
      <c r="O194" s="30"/>
      <c r="Q194" s="29">
        <f t="shared" ref="Q194:Q257" ca="1" si="115">_xlfn.BINOM.INV(50,$E194,RAND())</f>
        <v>0</v>
      </c>
      <c r="R194" s="29">
        <f t="shared" ca="1" si="107"/>
        <v>1</v>
      </c>
      <c r="S194" s="29">
        <f t="shared" ca="1" si="107"/>
        <v>3</v>
      </c>
      <c r="T194" s="29">
        <f t="shared" ca="1" si="107"/>
        <v>5</v>
      </c>
      <c r="U194" s="29">
        <f t="shared" ca="1" si="107"/>
        <v>1</v>
      </c>
      <c r="V194" s="29">
        <f t="shared" ca="1" si="107"/>
        <v>1</v>
      </c>
      <c r="W194" s="29">
        <f t="shared" ca="1" si="107"/>
        <v>0</v>
      </c>
      <c r="X194" s="29">
        <f t="shared" ca="1" si="107"/>
        <v>1</v>
      </c>
      <c r="Y194" s="29">
        <f t="shared" ca="1" si="107"/>
        <v>2</v>
      </c>
      <c r="Z194" s="29">
        <f t="shared" ca="1" si="107"/>
        <v>2</v>
      </c>
      <c r="AA194" s="29">
        <f t="shared" ca="1" si="107"/>
        <v>0</v>
      </c>
      <c r="AB194" s="29">
        <f t="shared" ca="1" si="107"/>
        <v>2</v>
      </c>
      <c r="AC194" s="29">
        <f t="shared" ca="1" si="107"/>
        <v>1</v>
      </c>
      <c r="AD194" s="29">
        <f t="shared" ca="1" si="107"/>
        <v>1</v>
      </c>
      <c r="AE194" s="29">
        <f t="shared" ca="1" si="107"/>
        <v>1</v>
      </c>
      <c r="AF194" s="29">
        <f t="shared" ca="1" si="107"/>
        <v>6</v>
      </c>
      <c r="AG194" s="29">
        <f t="shared" ca="1" si="106"/>
        <v>1</v>
      </c>
      <c r="AH194" s="29">
        <f t="shared" ca="1" si="106"/>
        <v>2</v>
      </c>
      <c r="AI194" s="29">
        <f t="shared" ca="1" si="106"/>
        <v>0</v>
      </c>
      <c r="AJ194" s="29">
        <f t="shared" ca="1" si="106"/>
        <v>4</v>
      </c>
      <c r="AK194" s="29">
        <f t="shared" ca="1" si="106"/>
        <v>1</v>
      </c>
      <c r="AL194" s="29">
        <f t="shared" ca="1" si="106"/>
        <v>1</v>
      </c>
      <c r="AM194" s="29">
        <f t="shared" ca="1" si="106"/>
        <v>5</v>
      </c>
      <c r="AN194" s="29">
        <f t="shared" ca="1" si="106"/>
        <v>1</v>
      </c>
      <c r="AO194" s="29">
        <f t="shared" ca="1" si="106"/>
        <v>1</v>
      </c>
      <c r="AP194" s="29">
        <f t="shared" ca="1" si="106"/>
        <v>0</v>
      </c>
      <c r="AQ194" s="29">
        <f t="shared" ca="1" si="106"/>
        <v>1</v>
      </c>
      <c r="AR194" s="29">
        <f t="shared" ca="1" si="106"/>
        <v>4</v>
      </c>
      <c r="AS194" s="29">
        <f t="shared" ca="1" si="106"/>
        <v>4</v>
      </c>
      <c r="AT194" s="29">
        <f t="shared" ca="1" si="106"/>
        <v>2</v>
      </c>
      <c r="AU194" s="29">
        <f t="shared" ca="1" si="106"/>
        <v>0</v>
      </c>
      <c r="AV194" s="29">
        <f t="shared" ca="1" si="109"/>
        <v>2</v>
      </c>
      <c r="AW194" s="29">
        <f t="shared" ca="1" si="109"/>
        <v>2</v>
      </c>
      <c r="AX194" s="29">
        <f t="shared" ca="1" si="109"/>
        <v>2</v>
      </c>
      <c r="AY194" s="29">
        <f t="shared" ca="1" si="109"/>
        <v>1</v>
      </c>
      <c r="AZ194" s="29">
        <f t="shared" ca="1" si="109"/>
        <v>2</v>
      </c>
      <c r="BA194" s="29">
        <f t="shared" ca="1" si="109"/>
        <v>2</v>
      </c>
      <c r="BB194" s="29">
        <f t="shared" ca="1" si="109"/>
        <v>1</v>
      </c>
      <c r="BC194" s="29">
        <f t="shared" ca="1" si="109"/>
        <v>2</v>
      </c>
      <c r="BD194" s="29">
        <f t="shared" ca="1" si="109"/>
        <v>4</v>
      </c>
      <c r="BE194" s="29">
        <f t="shared" ca="1" si="109"/>
        <v>0</v>
      </c>
      <c r="BF194" s="29">
        <f t="shared" ca="1" si="109"/>
        <v>1</v>
      </c>
      <c r="BG194" s="29">
        <f t="shared" ca="1" si="109"/>
        <v>2</v>
      </c>
      <c r="BH194" s="29">
        <f t="shared" ca="1" si="109"/>
        <v>1</v>
      </c>
      <c r="BI194" s="29">
        <f t="shared" ca="1" si="109"/>
        <v>3</v>
      </c>
      <c r="BJ194" s="29">
        <f t="shared" ca="1" si="109"/>
        <v>3</v>
      </c>
      <c r="BK194" s="29">
        <f t="shared" ca="1" si="109"/>
        <v>3</v>
      </c>
      <c r="BL194" s="29">
        <f t="shared" ca="1" si="108"/>
        <v>1</v>
      </c>
      <c r="BM194" s="29">
        <f t="shared" ca="1" si="108"/>
        <v>2</v>
      </c>
      <c r="BN194" s="29">
        <f t="shared" ca="1" si="108"/>
        <v>1</v>
      </c>
      <c r="BO194" s="29">
        <f t="shared" ca="1" si="108"/>
        <v>1</v>
      </c>
      <c r="BP194" s="29">
        <f t="shared" ca="1" si="108"/>
        <v>2</v>
      </c>
      <c r="BQ194" s="29">
        <f t="shared" ca="1" si="108"/>
        <v>1</v>
      </c>
      <c r="BR194" s="29">
        <f t="shared" ca="1" si="108"/>
        <v>0</v>
      </c>
      <c r="BS194" s="29">
        <f t="shared" ca="1" si="108"/>
        <v>3</v>
      </c>
      <c r="BT194" s="29">
        <f t="shared" ca="1" si="108"/>
        <v>1</v>
      </c>
      <c r="BU194" s="29">
        <f t="shared" ca="1" si="108"/>
        <v>5</v>
      </c>
      <c r="BV194" s="29">
        <f t="shared" ca="1" si="108"/>
        <v>3</v>
      </c>
      <c r="BW194" s="29">
        <f t="shared" ca="1" si="108"/>
        <v>5</v>
      </c>
      <c r="BX194" s="29">
        <f t="shared" ca="1" si="108"/>
        <v>2</v>
      </c>
      <c r="BY194" s="29">
        <f t="shared" ca="1" si="108"/>
        <v>2</v>
      </c>
      <c r="BZ194" s="29">
        <f t="shared" ca="1" si="108"/>
        <v>1</v>
      </c>
      <c r="CA194" s="29">
        <f t="shared" ca="1" si="105"/>
        <v>0</v>
      </c>
      <c r="CB194" s="29">
        <f t="shared" ca="1" si="105"/>
        <v>4</v>
      </c>
      <c r="CC194" s="29">
        <f t="shared" ca="1" si="105"/>
        <v>2</v>
      </c>
      <c r="CD194" s="29">
        <f t="shared" ca="1" si="105"/>
        <v>2</v>
      </c>
      <c r="CE194" s="29">
        <f t="shared" ca="1" si="105"/>
        <v>2</v>
      </c>
      <c r="CF194" s="29">
        <f t="shared" ca="1" si="105"/>
        <v>2</v>
      </c>
      <c r="CG194" s="29">
        <f t="shared" ca="1" si="105"/>
        <v>2</v>
      </c>
      <c r="CH194" s="29">
        <f t="shared" ca="1" si="105"/>
        <v>1</v>
      </c>
      <c r="CI194" s="29">
        <f t="shared" ca="1" si="105"/>
        <v>2</v>
      </c>
      <c r="CJ194" s="29">
        <f t="shared" ca="1" si="105"/>
        <v>1</v>
      </c>
      <c r="CK194" s="29">
        <f t="shared" ca="1" si="105"/>
        <v>1</v>
      </c>
      <c r="CL194" s="29">
        <f t="shared" ca="1" si="105"/>
        <v>2</v>
      </c>
      <c r="CM194" s="29">
        <f t="shared" ca="1" si="105"/>
        <v>1</v>
      </c>
      <c r="CN194" s="29">
        <f t="shared" ca="1" si="105"/>
        <v>2</v>
      </c>
      <c r="CO194" s="29">
        <f t="shared" ca="1" si="105"/>
        <v>3</v>
      </c>
      <c r="CP194" s="29">
        <f t="shared" ca="1" si="105"/>
        <v>4</v>
      </c>
      <c r="CQ194" s="29">
        <f t="shared" ca="1" si="104"/>
        <v>1</v>
      </c>
      <c r="CR194" s="29">
        <f t="shared" ca="1" si="104"/>
        <v>4</v>
      </c>
      <c r="CS194" s="29">
        <f t="shared" ca="1" si="104"/>
        <v>4</v>
      </c>
      <c r="CT194" s="29">
        <f t="shared" ca="1" si="104"/>
        <v>1</v>
      </c>
      <c r="CU194" s="29">
        <f t="shared" ca="1" si="104"/>
        <v>1</v>
      </c>
      <c r="CV194" s="29">
        <f t="shared" ca="1" si="104"/>
        <v>1</v>
      </c>
      <c r="CW194" s="29">
        <f t="shared" ca="1" si="104"/>
        <v>4</v>
      </c>
      <c r="CX194" s="29">
        <f t="shared" ca="1" si="104"/>
        <v>1</v>
      </c>
      <c r="CY194" s="29">
        <f t="shared" ca="1" si="104"/>
        <v>1</v>
      </c>
      <c r="CZ194" s="29">
        <f t="shared" ca="1" si="104"/>
        <v>0</v>
      </c>
      <c r="DA194" s="29">
        <f t="shared" ca="1" si="104"/>
        <v>2</v>
      </c>
      <c r="DB194" s="29">
        <f t="shared" ca="1" si="104"/>
        <v>0</v>
      </c>
      <c r="DC194" s="29">
        <f t="shared" ca="1" si="104"/>
        <v>4</v>
      </c>
      <c r="DD194" s="29">
        <f t="shared" ca="1" si="104"/>
        <v>3</v>
      </c>
      <c r="DE194" s="29">
        <f t="shared" ca="1" si="104"/>
        <v>2</v>
      </c>
      <c r="DF194" s="29">
        <f t="shared" ca="1" si="97"/>
        <v>4</v>
      </c>
      <c r="DG194" s="29">
        <f t="shared" ca="1" si="97"/>
        <v>0</v>
      </c>
      <c r="DH194" s="29">
        <f t="shared" ca="1" si="97"/>
        <v>3</v>
      </c>
      <c r="DI194" s="29">
        <f t="shared" ref="DI194:DL194" ca="1" si="116">_xlfn.BINOM.INV(50,$E194,RAND())</f>
        <v>1</v>
      </c>
      <c r="DJ194" s="29">
        <f t="shared" ca="1" si="116"/>
        <v>2</v>
      </c>
      <c r="DK194" s="29">
        <f t="shared" ca="1" si="116"/>
        <v>1</v>
      </c>
      <c r="DL194" s="29">
        <f t="shared" ca="1" si="116"/>
        <v>1</v>
      </c>
    </row>
    <row r="195" spans="1:116" ht="14.4" x14ac:dyDescent="0.3">
      <c r="A195" s="31">
        <v>957</v>
      </c>
      <c r="B195" s="28">
        <v>3.37</v>
      </c>
      <c r="C195" s="30">
        <v>48.39</v>
      </c>
      <c r="D195" s="28">
        <v>1.88</v>
      </c>
      <c r="E195" s="34">
        <f t="shared" si="110"/>
        <v>3.7599999999999995E-2</v>
      </c>
      <c r="F195" s="35">
        <f t="shared" si="111"/>
        <v>12.0975</v>
      </c>
      <c r="G195" s="34">
        <f t="shared" si="112"/>
        <v>47</v>
      </c>
      <c r="H195" s="33">
        <f t="shared" si="113"/>
        <v>10.356824925816024</v>
      </c>
      <c r="I195" s="28">
        <f t="shared" si="83"/>
        <v>542.92000000000019</v>
      </c>
      <c r="J195" s="32">
        <v>0</v>
      </c>
      <c r="K195" s="30">
        <f t="shared" si="114"/>
        <v>47</v>
      </c>
      <c r="L195" s="30"/>
      <c r="M195" s="30"/>
      <c r="N195" s="30"/>
      <c r="O195" s="30"/>
      <c r="Q195" s="29">
        <f t="shared" ca="1" si="115"/>
        <v>0</v>
      </c>
      <c r="R195" s="29">
        <f t="shared" ca="1" si="107"/>
        <v>0</v>
      </c>
      <c r="S195" s="29">
        <f t="shared" ca="1" si="107"/>
        <v>1</v>
      </c>
      <c r="T195" s="29">
        <f t="shared" ca="1" si="107"/>
        <v>2</v>
      </c>
      <c r="U195" s="29">
        <f t="shared" ca="1" si="107"/>
        <v>1</v>
      </c>
      <c r="V195" s="29">
        <f t="shared" ca="1" si="107"/>
        <v>1</v>
      </c>
      <c r="W195" s="29">
        <f t="shared" ca="1" si="107"/>
        <v>2</v>
      </c>
      <c r="X195" s="29">
        <f t="shared" ca="1" si="107"/>
        <v>2</v>
      </c>
      <c r="Y195" s="29">
        <f t="shared" ca="1" si="107"/>
        <v>0</v>
      </c>
      <c r="Z195" s="29">
        <f t="shared" ca="1" si="107"/>
        <v>4</v>
      </c>
      <c r="AA195" s="29">
        <f t="shared" ca="1" si="107"/>
        <v>1</v>
      </c>
      <c r="AB195" s="29">
        <f t="shared" ca="1" si="107"/>
        <v>3</v>
      </c>
      <c r="AC195" s="29">
        <f t="shared" ca="1" si="107"/>
        <v>0</v>
      </c>
      <c r="AD195" s="29">
        <f t="shared" ca="1" si="107"/>
        <v>3</v>
      </c>
      <c r="AE195" s="29">
        <f t="shared" ca="1" si="107"/>
        <v>1</v>
      </c>
      <c r="AF195" s="29">
        <f t="shared" ca="1" si="107"/>
        <v>1</v>
      </c>
      <c r="AG195" s="29">
        <f t="shared" ca="1" si="106"/>
        <v>2</v>
      </c>
      <c r="AH195" s="29">
        <f t="shared" ca="1" si="106"/>
        <v>2</v>
      </c>
      <c r="AI195" s="29">
        <f t="shared" ca="1" si="106"/>
        <v>4</v>
      </c>
      <c r="AJ195" s="29">
        <f t="shared" ca="1" si="106"/>
        <v>5</v>
      </c>
      <c r="AK195" s="29">
        <f t="shared" ca="1" si="106"/>
        <v>3</v>
      </c>
      <c r="AL195" s="29">
        <f t="shared" ca="1" si="106"/>
        <v>1</v>
      </c>
      <c r="AM195" s="29">
        <f t="shared" ca="1" si="106"/>
        <v>3</v>
      </c>
      <c r="AN195" s="29">
        <f t="shared" ca="1" si="106"/>
        <v>2</v>
      </c>
      <c r="AO195" s="29">
        <f t="shared" ca="1" si="106"/>
        <v>1</v>
      </c>
      <c r="AP195" s="29">
        <f t="shared" ca="1" si="106"/>
        <v>0</v>
      </c>
      <c r="AQ195" s="29">
        <f t="shared" ca="1" si="106"/>
        <v>1</v>
      </c>
      <c r="AR195" s="29">
        <f t="shared" ca="1" si="106"/>
        <v>1</v>
      </c>
      <c r="AS195" s="29">
        <f t="shared" ca="1" si="106"/>
        <v>1</v>
      </c>
      <c r="AT195" s="29">
        <f t="shared" ca="1" si="106"/>
        <v>0</v>
      </c>
      <c r="AU195" s="29">
        <f t="shared" ca="1" si="106"/>
        <v>0</v>
      </c>
      <c r="AV195" s="29">
        <f t="shared" ca="1" si="109"/>
        <v>3</v>
      </c>
      <c r="AW195" s="29">
        <f t="shared" ca="1" si="109"/>
        <v>2</v>
      </c>
      <c r="AX195" s="29">
        <f t="shared" ca="1" si="109"/>
        <v>2</v>
      </c>
      <c r="AY195" s="29">
        <f t="shared" ca="1" si="109"/>
        <v>4</v>
      </c>
      <c r="AZ195" s="29">
        <f t="shared" ca="1" si="109"/>
        <v>1</v>
      </c>
      <c r="BA195" s="29">
        <f t="shared" ca="1" si="109"/>
        <v>2</v>
      </c>
      <c r="BB195" s="29">
        <f t="shared" ca="1" si="109"/>
        <v>2</v>
      </c>
      <c r="BC195" s="29">
        <f t="shared" ca="1" si="109"/>
        <v>4</v>
      </c>
      <c r="BD195" s="29">
        <f t="shared" ca="1" si="109"/>
        <v>0</v>
      </c>
      <c r="BE195" s="29">
        <f t="shared" ca="1" si="109"/>
        <v>3</v>
      </c>
      <c r="BF195" s="29">
        <f t="shared" ca="1" si="109"/>
        <v>2</v>
      </c>
      <c r="BG195" s="29">
        <f t="shared" ca="1" si="109"/>
        <v>2</v>
      </c>
      <c r="BH195" s="29">
        <f t="shared" ca="1" si="109"/>
        <v>0</v>
      </c>
      <c r="BI195" s="29">
        <f t="shared" ca="1" si="109"/>
        <v>2</v>
      </c>
      <c r="BJ195" s="29">
        <f t="shared" ca="1" si="109"/>
        <v>2</v>
      </c>
      <c r="BK195" s="29">
        <f t="shared" ca="1" si="109"/>
        <v>1</v>
      </c>
      <c r="BL195" s="29">
        <f t="shared" ca="1" si="108"/>
        <v>2</v>
      </c>
      <c r="BM195" s="29">
        <f t="shared" ca="1" si="108"/>
        <v>1</v>
      </c>
      <c r="BN195" s="29">
        <f t="shared" ca="1" si="108"/>
        <v>2</v>
      </c>
      <c r="BO195" s="29">
        <f t="shared" ca="1" si="108"/>
        <v>2</v>
      </c>
      <c r="BP195" s="29">
        <f t="shared" ca="1" si="108"/>
        <v>2</v>
      </c>
      <c r="BQ195" s="29">
        <f t="shared" ca="1" si="108"/>
        <v>1</v>
      </c>
      <c r="BR195" s="29">
        <f t="shared" ca="1" si="108"/>
        <v>0</v>
      </c>
      <c r="BS195" s="29">
        <f t="shared" ca="1" si="108"/>
        <v>2</v>
      </c>
      <c r="BT195" s="29">
        <f t="shared" ca="1" si="108"/>
        <v>1</v>
      </c>
      <c r="BU195" s="29">
        <f t="shared" ca="1" si="108"/>
        <v>3</v>
      </c>
      <c r="BV195" s="29">
        <f t="shared" ca="1" si="108"/>
        <v>3</v>
      </c>
      <c r="BW195" s="29">
        <f t="shared" ca="1" si="108"/>
        <v>0</v>
      </c>
      <c r="BX195" s="29">
        <f t="shared" ca="1" si="108"/>
        <v>0</v>
      </c>
      <c r="BY195" s="29">
        <f t="shared" ca="1" si="108"/>
        <v>1</v>
      </c>
      <c r="BZ195" s="29">
        <f t="shared" ca="1" si="108"/>
        <v>0</v>
      </c>
      <c r="CA195" s="29">
        <f t="shared" ca="1" si="105"/>
        <v>3</v>
      </c>
      <c r="CB195" s="29">
        <f t="shared" ca="1" si="105"/>
        <v>2</v>
      </c>
      <c r="CC195" s="29">
        <f t="shared" ca="1" si="105"/>
        <v>2</v>
      </c>
      <c r="CD195" s="29">
        <f t="shared" ca="1" si="105"/>
        <v>2</v>
      </c>
      <c r="CE195" s="29">
        <f t="shared" ca="1" si="105"/>
        <v>1</v>
      </c>
      <c r="CF195" s="29">
        <f t="shared" ca="1" si="105"/>
        <v>1</v>
      </c>
      <c r="CG195" s="29">
        <f t="shared" ca="1" si="105"/>
        <v>2</v>
      </c>
      <c r="CH195" s="29">
        <f t="shared" ca="1" si="105"/>
        <v>0</v>
      </c>
      <c r="CI195" s="29">
        <f t="shared" ca="1" si="105"/>
        <v>0</v>
      </c>
      <c r="CJ195" s="29">
        <f t="shared" ca="1" si="105"/>
        <v>0</v>
      </c>
      <c r="CK195" s="29">
        <f t="shared" ca="1" si="105"/>
        <v>2</v>
      </c>
      <c r="CL195" s="29">
        <f t="shared" ca="1" si="105"/>
        <v>1</v>
      </c>
      <c r="CM195" s="29">
        <f t="shared" ca="1" si="105"/>
        <v>1</v>
      </c>
      <c r="CN195" s="29">
        <f t="shared" ca="1" si="105"/>
        <v>2</v>
      </c>
      <c r="CO195" s="29">
        <f t="shared" ca="1" si="105"/>
        <v>1</v>
      </c>
      <c r="CP195" s="29">
        <f t="shared" ca="1" si="105"/>
        <v>3</v>
      </c>
      <c r="CQ195" s="29">
        <f t="shared" ca="1" si="104"/>
        <v>0</v>
      </c>
      <c r="CR195" s="29">
        <f t="shared" ca="1" si="104"/>
        <v>1</v>
      </c>
      <c r="CS195" s="29">
        <f t="shared" ca="1" si="104"/>
        <v>3</v>
      </c>
      <c r="CT195" s="29">
        <f t="shared" ca="1" si="104"/>
        <v>1</v>
      </c>
      <c r="CU195" s="29">
        <f t="shared" ca="1" si="104"/>
        <v>1</v>
      </c>
      <c r="CV195" s="29">
        <f t="shared" ca="1" si="104"/>
        <v>2</v>
      </c>
      <c r="CW195" s="29">
        <f t="shared" ca="1" si="104"/>
        <v>1</v>
      </c>
      <c r="CX195" s="29">
        <f t="shared" ca="1" si="104"/>
        <v>5</v>
      </c>
      <c r="CY195" s="29">
        <f t="shared" ca="1" si="104"/>
        <v>2</v>
      </c>
      <c r="CZ195" s="29">
        <f t="shared" ca="1" si="104"/>
        <v>1</v>
      </c>
      <c r="DA195" s="29">
        <f t="shared" ca="1" si="104"/>
        <v>2</v>
      </c>
      <c r="DB195" s="29">
        <f t="shared" ca="1" si="104"/>
        <v>1</v>
      </c>
      <c r="DC195" s="29">
        <f t="shared" ca="1" si="104"/>
        <v>2</v>
      </c>
      <c r="DD195" s="29">
        <f t="shared" ca="1" si="104"/>
        <v>2</v>
      </c>
      <c r="DE195" s="29">
        <f t="shared" ca="1" si="104"/>
        <v>2</v>
      </c>
      <c r="DF195" s="29">
        <f t="shared" ref="DF195:DL231" ca="1" si="117">_xlfn.BINOM.INV(50,$E195,RAND())</f>
        <v>4</v>
      </c>
      <c r="DG195" s="29">
        <f t="shared" ca="1" si="117"/>
        <v>2</v>
      </c>
      <c r="DH195" s="29">
        <f t="shared" ca="1" si="117"/>
        <v>4</v>
      </c>
      <c r="DI195" s="29">
        <f t="shared" ca="1" si="117"/>
        <v>2</v>
      </c>
      <c r="DJ195" s="29">
        <f t="shared" ca="1" si="117"/>
        <v>3</v>
      </c>
      <c r="DK195" s="29">
        <f t="shared" ca="1" si="117"/>
        <v>1</v>
      </c>
      <c r="DL195" s="29">
        <f t="shared" ca="1" si="117"/>
        <v>1</v>
      </c>
    </row>
    <row r="196" spans="1:116" ht="14.4" x14ac:dyDescent="0.3">
      <c r="A196" s="31">
        <v>387</v>
      </c>
      <c r="B196" s="28">
        <v>2.4900000000000002</v>
      </c>
      <c r="C196" s="30">
        <v>83.54</v>
      </c>
      <c r="D196" s="28">
        <v>1.86</v>
      </c>
      <c r="E196" s="34">
        <f t="shared" si="110"/>
        <v>3.7200000000000004E-2</v>
      </c>
      <c r="F196" s="35">
        <f t="shared" si="111"/>
        <v>20.885000000000002</v>
      </c>
      <c r="G196" s="34">
        <f t="shared" si="112"/>
        <v>46.5</v>
      </c>
      <c r="H196" s="33">
        <f t="shared" si="113"/>
        <v>10.287148594377509</v>
      </c>
      <c r="I196" s="28">
        <f t="shared" ref="I196:I259" si="118">B196+I195</f>
        <v>545.4100000000002</v>
      </c>
      <c r="J196" s="32">
        <v>0</v>
      </c>
      <c r="K196" s="30">
        <f t="shared" si="114"/>
        <v>46.5</v>
      </c>
      <c r="L196" s="30"/>
      <c r="M196" s="30"/>
      <c r="N196" s="30"/>
      <c r="O196" s="30"/>
      <c r="Q196" s="29">
        <f t="shared" ca="1" si="115"/>
        <v>2</v>
      </c>
      <c r="R196" s="29">
        <f t="shared" ca="1" si="107"/>
        <v>1</v>
      </c>
      <c r="S196" s="29">
        <f t="shared" ca="1" si="107"/>
        <v>1</v>
      </c>
      <c r="T196" s="29">
        <f t="shared" ca="1" si="107"/>
        <v>2</v>
      </c>
      <c r="U196" s="29">
        <f t="shared" ca="1" si="107"/>
        <v>3</v>
      </c>
      <c r="V196" s="29">
        <f t="shared" ca="1" si="107"/>
        <v>1</v>
      </c>
      <c r="W196" s="29">
        <f t="shared" ca="1" si="107"/>
        <v>4</v>
      </c>
      <c r="X196" s="29">
        <f t="shared" ca="1" si="107"/>
        <v>1</v>
      </c>
      <c r="Y196" s="29">
        <f t="shared" ca="1" si="107"/>
        <v>3</v>
      </c>
      <c r="Z196" s="29">
        <f t="shared" ca="1" si="107"/>
        <v>0</v>
      </c>
      <c r="AA196" s="29">
        <f t="shared" ca="1" si="107"/>
        <v>0</v>
      </c>
      <c r="AB196" s="29">
        <f t="shared" ca="1" si="107"/>
        <v>2</v>
      </c>
      <c r="AC196" s="29">
        <f t="shared" ca="1" si="107"/>
        <v>0</v>
      </c>
      <c r="AD196" s="29">
        <f t="shared" ca="1" si="107"/>
        <v>1</v>
      </c>
      <c r="AE196" s="29">
        <f t="shared" ca="1" si="107"/>
        <v>3</v>
      </c>
      <c r="AF196" s="29">
        <f t="shared" ca="1" si="107"/>
        <v>2</v>
      </c>
      <c r="AG196" s="29">
        <f t="shared" ca="1" si="106"/>
        <v>3</v>
      </c>
      <c r="AH196" s="29">
        <f t="shared" ca="1" si="106"/>
        <v>0</v>
      </c>
      <c r="AI196" s="29">
        <f t="shared" ca="1" si="106"/>
        <v>2</v>
      </c>
      <c r="AJ196" s="29">
        <f t="shared" ca="1" si="106"/>
        <v>3</v>
      </c>
      <c r="AK196" s="29">
        <f t="shared" ca="1" si="106"/>
        <v>3</v>
      </c>
      <c r="AL196" s="29">
        <f t="shared" ca="1" si="106"/>
        <v>3</v>
      </c>
      <c r="AM196" s="29">
        <f t="shared" ca="1" si="106"/>
        <v>2</v>
      </c>
      <c r="AN196" s="29">
        <f t="shared" ca="1" si="106"/>
        <v>5</v>
      </c>
      <c r="AO196" s="29">
        <f t="shared" ca="1" si="106"/>
        <v>0</v>
      </c>
      <c r="AP196" s="29">
        <f t="shared" ca="1" si="106"/>
        <v>0</v>
      </c>
      <c r="AQ196" s="29">
        <f t="shared" ca="1" si="106"/>
        <v>1</v>
      </c>
      <c r="AR196" s="29">
        <f t="shared" ca="1" si="106"/>
        <v>0</v>
      </c>
      <c r="AS196" s="29">
        <f t="shared" ca="1" si="106"/>
        <v>1</v>
      </c>
      <c r="AT196" s="29">
        <f t="shared" ca="1" si="106"/>
        <v>1</v>
      </c>
      <c r="AU196" s="29">
        <f t="shared" ca="1" si="106"/>
        <v>1</v>
      </c>
      <c r="AV196" s="29">
        <f t="shared" ca="1" si="109"/>
        <v>2</v>
      </c>
      <c r="AW196" s="29">
        <f t="shared" ca="1" si="109"/>
        <v>2</v>
      </c>
      <c r="AX196" s="29">
        <f t="shared" ca="1" si="109"/>
        <v>2</v>
      </c>
      <c r="AY196" s="29">
        <f t="shared" ca="1" si="109"/>
        <v>3</v>
      </c>
      <c r="AZ196" s="29">
        <f t="shared" ca="1" si="109"/>
        <v>1</v>
      </c>
      <c r="BA196" s="29">
        <f t="shared" ca="1" si="109"/>
        <v>1</v>
      </c>
      <c r="BB196" s="29">
        <f t="shared" ca="1" si="109"/>
        <v>1</v>
      </c>
      <c r="BC196" s="29">
        <f t="shared" ca="1" si="109"/>
        <v>1</v>
      </c>
      <c r="BD196" s="29">
        <f t="shared" ca="1" si="109"/>
        <v>1</v>
      </c>
      <c r="BE196" s="29">
        <f t="shared" ca="1" si="109"/>
        <v>3</v>
      </c>
      <c r="BF196" s="29">
        <f t="shared" ca="1" si="109"/>
        <v>3</v>
      </c>
      <c r="BG196" s="29">
        <f t="shared" ca="1" si="109"/>
        <v>3</v>
      </c>
      <c r="BH196" s="29">
        <f t="shared" ca="1" si="109"/>
        <v>1</v>
      </c>
      <c r="BI196" s="29">
        <f t="shared" ca="1" si="109"/>
        <v>1</v>
      </c>
      <c r="BJ196" s="29">
        <f t="shared" ca="1" si="109"/>
        <v>3</v>
      </c>
      <c r="BK196" s="29">
        <f t="shared" ca="1" si="109"/>
        <v>0</v>
      </c>
      <c r="BL196" s="29">
        <f t="shared" ca="1" si="108"/>
        <v>4</v>
      </c>
      <c r="BM196" s="29">
        <f t="shared" ca="1" si="108"/>
        <v>1</v>
      </c>
      <c r="BN196" s="29">
        <f t="shared" ca="1" si="108"/>
        <v>0</v>
      </c>
      <c r="BO196" s="29">
        <f t="shared" ca="1" si="108"/>
        <v>4</v>
      </c>
      <c r="BP196" s="29">
        <f t="shared" ca="1" si="108"/>
        <v>3</v>
      </c>
      <c r="BQ196" s="29">
        <f t="shared" ca="1" si="108"/>
        <v>2</v>
      </c>
      <c r="BR196" s="29">
        <f t="shared" ca="1" si="108"/>
        <v>0</v>
      </c>
      <c r="BS196" s="29">
        <f t="shared" ca="1" si="108"/>
        <v>4</v>
      </c>
      <c r="BT196" s="29">
        <f t="shared" ca="1" si="108"/>
        <v>2</v>
      </c>
      <c r="BU196" s="29">
        <f t="shared" ca="1" si="108"/>
        <v>3</v>
      </c>
      <c r="BV196" s="29">
        <f t="shared" ca="1" si="108"/>
        <v>1</v>
      </c>
      <c r="BW196" s="29">
        <f t="shared" ca="1" si="108"/>
        <v>3</v>
      </c>
      <c r="BX196" s="29">
        <f t="shared" ca="1" si="108"/>
        <v>2</v>
      </c>
      <c r="BY196" s="29">
        <f t="shared" ca="1" si="108"/>
        <v>1</v>
      </c>
      <c r="BZ196" s="29">
        <f t="shared" ca="1" si="108"/>
        <v>3</v>
      </c>
      <c r="CA196" s="29">
        <f t="shared" ca="1" si="105"/>
        <v>0</v>
      </c>
      <c r="CB196" s="29">
        <f t="shared" ca="1" si="105"/>
        <v>2</v>
      </c>
      <c r="CC196" s="29">
        <f t="shared" ca="1" si="105"/>
        <v>1</v>
      </c>
      <c r="CD196" s="29">
        <f t="shared" ca="1" si="105"/>
        <v>0</v>
      </c>
      <c r="CE196" s="29">
        <f t="shared" ca="1" si="105"/>
        <v>1</v>
      </c>
      <c r="CF196" s="29">
        <f t="shared" ca="1" si="105"/>
        <v>3</v>
      </c>
      <c r="CG196" s="29">
        <f t="shared" ca="1" si="105"/>
        <v>3</v>
      </c>
      <c r="CH196" s="29">
        <f t="shared" ca="1" si="105"/>
        <v>0</v>
      </c>
      <c r="CI196" s="29">
        <f t="shared" ca="1" si="105"/>
        <v>3</v>
      </c>
      <c r="CJ196" s="29">
        <f t="shared" ca="1" si="105"/>
        <v>1</v>
      </c>
      <c r="CK196" s="29">
        <f t="shared" ca="1" si="105"/>
        <v>0</v>
      </c>
      <c r="CL196" s="29">
        <f t="shared" ca="1" si="105"/>
        <v>5</v>
      </c>
      <c r="CM196" s="29">
        <f t="shared" ca="1" si="105"/>
        <v>1</v>
      </c>
      <c r="CN196" s="29">
        <f t="shared" ca="1" si="105"/>
        <v>1</v>
      </c>
      <c r="CO196" s="29">
        <f t="shared" ca="1" si="105"/>
        <v>1</v>
      </c>
      <c r="CP196" s="29">
        <f t="shared" ref="CP196:DE211" ca="1" si="119">_xlfn.BINOM.INV(50,$E196,RAND())</f>
        <v>0</v>
      </c>
      <c r="CQ196" s="29">
        <f t="shared" ca="1" si="119"/>
        <v>1</v>
      </c>
      <c r="CR196" s="29">
        <f t="shared" ca="1" si="119"/>
        <v>3</v>
      </c>
      <c r="CS196" s="29">
        <f t="shared" ca="1" si="119"/>
        <v>0</v>
      </c>
      <c r="CT196" s="29">
        <f t="shared" ca="1" si="119"/>
        <v>2</v>
      </c>
      <c r="CU196" s="29">
        <f t="shared" ca="1" si="119"/>
        <v>2</v>
      </c>
      <c r="CV196" s="29">
        <f t="shared" ca="1" si="119"/>
        <v>0</v>
      </c>
      <c r="CW196" s="29">
        <f t="shared" ca="1" si="119"/>
        <v>0</v>
      </c>
      <c r="CX196" s="29">
        <f t="shared" ca="1" si="119"/>
        <v>2</v>
      </c>
      <c r="CY196" s="29">
        <f t="shared" ca="1" si="119"/>
        <v>0</v>
      </c>
      <c r="CZ196" s="29">
        <f t="shared" ca="1" si="119"/>
        <v>2</v>
      </c>
      <c r="DA196" s="29">
        <f t="shared" ca="1" si="119"/>
        <v>4</v>
      </c>
      <c r="DB196" s="29">
        <f t="shared" ca="1" si="119"/>
        <v>0</v>
      </c>
      <c r="DC196" s="29">
        <f t="shared" ca="1" si="119"/>
        <v>2</v>
      </c>
      <c r="DD196" s="29">
        <f t="shared" ca="1" si="119"/>
        <v>0</v>
      </c>
      <c r="DE196" s="29">
        <f t="shared" ca="1" si="119"/>
        <v>2</v>
      </c>
      <c r="DF196" s="29">
        <f t="shared" ca="1" si="117"/>
        <v>0</v>
      </c>
      <c r="DG196" s="29">
        <f t="shared" ca="1" si="117"/>
        <v>6</v>
      </c>
      <c r="DH196" s="29">
        <f t="shared" ca="1" si="117"/>
        <v>1</v>
      </c>
      <c r="DI196" s="29">
        <f t="shared" ca="1" si="117"/>
        <v>6</v>
      </c>
      <c r="DJ196" s="29">
        <f t="shared" ca="1" si="117"/>
        <v>3</v>
      </c>
      <c r="DK196" s="29">
        <f t="shared" ca="1" si="117"/>
        <v>4</v>
      </c>
      <c r="DL196" s="29">
        <f t="shared" ca="1" si="117"/>
        <v>3</v>
      </c>
    </row>
    <row r="197" spans="1:116" ht="14.4" x14ac:dyDescent="0.3">
      <c r="A197" s="31">
        <v>8</v>
      </c>
      <c r="B197" s="28">
        <v>4.7</v>
      </c>
      <c r="C197" s="30">
        <v>98.27</v>
      </c>
      <c r="D197" s="28">
        <v>2.91</v>
      </c>
      <c r="E197" s="34">
        <f t="shared" si="110"/>
        <v>5.8200000000000002E-2</v>
      </c>
      <c r="F197" s="35">
        <f t="shared" si="111"/>
        <v>24.567499999999999</v>
      </c>
      <c r="G197" s="34">
        <f t="shared" si="112"/>
        <v>72.75</v>
      </c>
      <c r="H197" s="33">
        <f t="shared" si="113"/>
        <v>10.251595744680852</v>
      </c>
      <c r="I197" s="28">
        <f t="shared" si="118"/>
        <v>550.11000000000024</v>
      </c>
      <c r="J197" s="32">
        <v>0</v>
      </c>
      <c r="K197" s="30">
        <f t="shared" si="114"/>
        <v>72.75</v>
      </c>
      <c r="L197" s="30"/>
      <c r="M197" s="30"/>
      <c r="N197" s="30"/>
      <c r="O197" s="30"/>
      <c r="Q197" s="29">
        <f t="shared" ca="1" si="115"/>
        <v>1</v>
      </c>
      <c r="R197" s="29">
        <f t="shared" ca="1" si="107"/>
        <v>4</v>
      </c>
      <c r="S197" s="29">
        <f t="shared" ca="1" si="107"/>
        <v>2</v>
      </c>
      <c r="T197" s="29">
        <f t="shared" ca="1" si="107"/>
        <v>0</v>
      </c>
      <c r="U197" s="29">
        <f t="shared" ca="1" si="107"/>
        <v>2</v>
      </c>
      <c r="V197" s="29">
        <f t="shared" ca="1" si="107"/>
        <v>2</v>
      </c>
      <c r="W197" s="29">
        <f t="shared" ca="1" si="107"/>
        <v>2</v>
      </c>
      <c r="X197" s="29">
        <f t="shared" ca="1" si="107"/>
        <v>5</v>
      </c>
      <c r="Y197" s="29">
        <f t="shared" ca="1" si="107"/>
        <v>4</v>
      </c>
      <c r="Z197" s="29">
        <f t="shared" ca="1" si="107"/>
        <v>5</v>
      </c>
      <c r="AA197" s="29">
        <f t="shared" ca="1" si="107"/>
        <v>1</v>
      </c>
      <c r="AB197" s="29">
        <f t="shared" ca="1" si="107"/>
        <v>5</v>
      </c>
      <c r="AC197" s="29">
        <f t="shared" ca="1" si="107"/>
        <v>2</v>
      </c>
      <c r="AD197" s="29">
        <f t="shared" ca="1" si="107"/>
        <v>2</v>
      </c>
      <c r="AE197" s="29">
        <f t="shared" ca="1" si="107"/>
        <v>4</v>
      </c>
      <c r="AF197" s="29">
        <f t="shared" ca="1" si="107"/>
        <v>2</v>
      </c>
      <c r="AG197" s="29">
        <f t="shared" ca="1" si="106"/>
        <v>1</v>
      </c>
      <c r="AH197" s="29">
        <f t="shared" ca="1" si="106"/>
        <v>4</v>
      </c>
      <c r="AI197" s="29">
        <f t="shared" ca="1" si="106"/>
        <v>1</v>
      </c>
      <c r="AJ197" s="29">
        <f t="shared" ca="1" si="106"/>
        <v>3</v>
      </c>
      <c r="AK197" s="29">
        <f t="shared" ca="1" si="106"/>
        <v>3</v>
      </c>
      <c r="AL197" s="29">
        <f t="shared" ca="1" si="106"/>
        <v>4</v>
      </c>
      <c r="AM197" s="29">
        <f t="shared" ca="1" si="106"/>
        <v>6</v>
      </c>
      <c r="AN197" s="29">
        <f t="shared" ca="1" si="106"/>
        <v>4</v>
      </c>
      <c r="AO197" s="29">
        <f t="shared" ca="1" si="106"/>
        <v>3</v>
      </c>
      <c r="AP197" s="29">
        <f t="shared" ca="1" si="106"/>
        <v>3</v>
      </c>
      <c r="AQ197" s="29">
        <f t="shared" ca="1" si="106"/>
        <v>4</v>
      </c>
      <c r="AR197" s="29">
        <f t="shared" ca="1" si="106"/>
        <v>5</v>
      </c>
      <c r="AS197" s="29">
        <f t="shared" ca="1" si="106"/>
        <v>3</v>
      </c>
      <c r="AT197" s="29">
        <f t="shared" ca="1" si="106"/>
        <v>3</v>
      </c>
      <c r="AU197" s="29">
        <f t="shared" ca="1" si="106"/>
        <v>3</v>
      </c>
      <c r="AV197" s="29">
        <f t="shared" ca="1" si="109"/>
        <v>1</v>
      </c>
      <c r="AW197" s="29">
        <f t="shared" ca="1" si="109"/>
        <v>3</v>
      </c>
      <c r="AX197" s="29">
        <f t="shared" ca="1" si="109"/>
        <v>1</v>
      </c>
      <c r="AY197" s="29">
        <f t="shared" ca="1" si="109"/>
        <v>1</v>
      </c>
      <c r="AZ197" s="29">
        <f t="shared" ca="1" si="109"/>
        <v>3</v>
      </c>
      <c r="BA197" s="29">
        <f t="shared" ca="1" si="109"/>
        <v>2</v>
      </c>
      <c r="BB197" s="29">
        <f t="shared" ca="1" si="109"/>
        <v>2</v>
      </c>
      <c r="BC197" s="29">
        <f t="shared" ca="1" si="109"/>
        <v>5</v>
      </c>
      <c r="BD197" s="29">
        <f t="shared" ca="1" si="109"/>
        <v>3</v>
      </c>
      <c r="BE197" s="29">
        <f t="shared" ca="1" si="109"/>
        <v>2</v>
      </c>
      <c r="BF197" s="29">
        <f t="shared" ca="1" si="109"/>
        <v>4</v>
      </c>
      <c r="BG197" s="29">
        <f t="shared" ca="1" si="109"/>
        <v>0</v>
      </c>
      <c r="BH197" s="29">
        <f t="shared" ca="1" si="109"/>
        <v>3</v>
      </c>
      <c r="BI197" s="29">
        <f t="shared" ca="1" si="109"/>
        <v>1</v>
      </c>
      <c r="BJ197" s="29">
        <f t="shared" ca="1" si="109"/>
        <v>4</v>
      </c>
      <c r="BK197" s="29">
        <f t="shared" ca="1" si="109"/>
        <v>1</v>
      </c>
      <c r="BL197" s="29">
        <f t="shared" ca="1" si="108"/>
        <v>1</v>
      </c>
      <c r="BM197" s="29">
        <f t="shared" ca="1" si="108"/>
        <v>4</v>
      </c>
      <c r="BN197" s="29">
        <f t="shared" ca="1" si="108"/>
        <v>2</v>
      </c>
      <c r="BO197" s="29">
        <f t="shared" ca="1" si="108"/>
        <v>4</v>
      </c>
      <c r="BP197" s="29">
        <f t="shared" ca="1" si="108"/>
        <v>4</v>
      </c>
      <c r="BQ197" s="29">
        <f t="shared" ca="1" si="108"/>
        <v>1</v>
      </c>
      <c r="BR197" s="29">
        <f t="shared" ca="1" si="108"/>
        <v>2</v>
      </c>
      <c r="BS197" s="29">
        <f t="shared" ca="1" si="108"/>
        <v>2</v>
      </c>
      <c r="BT197" s="29">
        <f t="shared" ca="1" si="108"/>
        <v>2</v>
      </c>
      <c r="BU197" s="29">
        <f t="shared" ca="1" si="108"/>
        <v>1</v>
      </c>
      <c r="BV197" s="29">
        <f t="shared" ca="1" si="108"/>
        <v>1</v>
      </c>
      <c r="BW197" s="29">
        <f t="shared" ca="1" si="108"/>
        <v>2</v>
      </c>
      <c r="BX197" s="29">
        <f t="shared" ca="1" si="108"/>
        <v>2</v>
      </c>
      <c r="BY197" s="29">
        <f t="shared" ca="1" si="108"/>
        <v>1</v>
      </c>
      <c r="BZ197" s="29">
        <f t="shared" ca="1" si="108"/>
        <v>1</v>
      </c>
      <c r="CA197" s="29">
        <f t="shared" ref="CA197:CP212" ca="1" si="120">_xlfn.BINOM.INV(50,$E197,RAND())</f>
        <v>2</v>
      </c>
      <c r="CB197" s="29">
        <f t="shared" ca="1" si="120"/>
        <v>2</v>
      </c>
      <c r="CC197" s="29">
        <f t="shared" ca="1" si="120"/>
        <v>5</v>
      </c>
      <c r="CD197" s="29">
        <f t="shared" ca="1" si="120"/>
        <v>2</v>
      </c>
      <c r="CE197" s="29">
        <f t="shared" ca="1" si="120"/>
        <v>3</v>
      </c>
      <c r="CF197" s="29">
        <f t="shared" ca="1" si="120"/>
        <v>5</v>
      </c>
      <c r="CG197" s="29">
        <f t="shared" ca="1" si="120"/>
        <v>1</v>
      </c>
      <c r="CH197" s="29">
        <f t="shared" ca="1" si="120"/>
        <v>2</v>
      </c>
      <c r="CI197" s="29">
        <f t="shared" ca="1" si="120"/>
        <v>1</v>
      </c>
      <c r="CJ197" s="29">
        <f t="shared" ca="1" si="120"/>
        <v>2</v>
      </c>
      <c r="CK197" s="29">
        <f t="shared" ca="1" si="120"/>
        <v>5</v>
      </c>
      <c r="CL197" s="29">
        <f t="shared" ca="1" si="120"/>
        <v>1</v>
      </c>
      <c r="CM197" s="29">
        <f t="shared" ca="1" si="120"/>
        <v>0</v>
      </c>
      <c r="CN197" s="29">
        <f t="shared" ca="1" si="120"/>
        <v>4</v>
      </c>
      <c r="CO197" s="29">
        <f t="shared" ca="1" si="120"/>
        <v>1</v>
      </c>
      <c r="CP197" s="29">
        <f t="shared" ca="1" si="120"/>
        <v>6</v>
      </c>
      <c r="CQ197" s="29">
        <f t="shared" ca="1" si="119"/>
        <v>0</v>
      </c>
      <c r="CR197" s="29">
        <f t="shared" ca="1" si="119"/>
        <v>8</v>
      </c>
      <c r="CS197" s="29">
        <f t="shared" ca="1" si="119"/>
        <v>2</v>
      </c>
      <c r="CT197" s="29">
        <f t="shared" ca="1" si="119"/>
        <v>1</v>
      </c>
      <c r="CU197" s="29">
        <f t="shared" ca="1" si="119"/>
        <v>1</v>
      </c>
      <c r="CV197" s="29">
        <f t="shared" ca="1" si="119"/>
        <v>7</v>
      </c>
      <c r="CW197" s="29">
        <f t="shared" ca="1" si="119"/>
        <v>4</v>
      </c>
      <c r="CX197" s="29">
        <f t="shared" ca="1" si="119"/>
        <v>4</v>
      </c>
      <c r="CY197" s="29">
        <f t="shared" ca="1" si="119"/>
        <v>5</v>
      </c>
      <c r="CZ197" s="29">
        <f t="shared" ca="1" si="119"/>
        <v>1</v>
      </c>
      <c r="DA197" s="29">
        <f t="shared" ca="1" si="119"/>
        <v>2</v>
      </c>
      <c r="DB197" s="29">
        <f t="shared" ca="1" si="119"/>
        <v>2</v>
      </c>
      <c r="DC197" s="29">
        <f t="shared" ca="1" si="119"/>
        <v>3</v>
      </c>
      <c r="DD197" s="29">
        <f t="shared" ca="1" si="119"/>
        <v>4</v>
      </c>
      <c r="DE197" s="29">
        <f t="shared" ca="1" si="119"/>
        <v>3</v>
      </c>
      <c r="DF197" s="29">
        <f t="shared" ca="1" si="117"/>
        <v>3</v>
      </c>
      <c r="DG197" s="29">
        <f t="shared" ca="1" si="117"/>
        <v>3</v>
      </c>
      <c r="DH197" s="29">
        <f t="shared" ca="1" si="117"/>
        <v>1</v>
      </c>
      <c r="DI197" s="29">
        <f t="shared" ca="1" si="117"/>
        <v>4</v>
      </c>
      <c r="DJ197" s="29">
        <f t="shared" ca="1" si="117"/>
        <v>1</v>
      </c>
      <c r="DK197" s="29">
        <f t="shared" ca="1" si="117"/>
        <v>6</v>
      </c>
      <c r="DL197" s="29">
        <f t="shared" ca="1" si="117"/>
        <v>1</v>
      </c>
    </row>
    <row r="198" spans="1:116" ht="14.4" x14ac:dyDescent="0.3">
      <c r="A198" s="31">
        <v>789</v>
      </c>
      <c r="B198" s="28">
        <v>3.44</v>
      </c>
      <c r="C198" s="30">
        <v>88.54</v>
      </c>
      <c r="D198" s="28">
        <v>2.29</v>
      </c>
      <c r="E198" s="34">
        <f t="shared" si="110"/>
        <v>4.58E-2</v>
      </c>
      <c r="F198" s="35">
        <f t="shared" si="111"/>
        <v>22.135000000000002</v>
      </c>
      <c r="G198" s="34">
        <f t="shared" si="112"/>
        <v>57.25</v>
      </c>
      <c r="H198" s="33">
        <f t="shared" si="113"/>
        <v>10.207848837209301</v>
      </c>
      <c r="I198" s="28">
        <f t="shared" si="118"/>
        <v>553.5500000000003</v>
      </c>
      <c r="J198" s="32">
        <v>0</v>
      </c>
      <c r="K198" s="30">
        <f t="shared" si="114"/>
        <v>57.25</v>
      </c>
      <c r="L198" s="30"/>
      <c r="M198" s="30"/>
      <c r="N198" s="30"/>
      <c r="O198" s="30"/>
      <c r="Q198" s="29">
        <f t="shared" ca="1" si="115"/>
        <v>2</v>
      </c>
      <c r="R198" s="29">
        <f t="shared" ca="1" si="107"/>
        <v>1</v>
      </c>
      <c r="S198" s="29">
        <f t="shared" ca="1" si="107"/>
        <v>4</v>
      </c>
      <c r="T198" s="29">
        <f t="shared" ca="1" si="107"/>
        <v>2</v>
      </c>
      <c r="U198" s="29">
        <f t="shared" ca="1" si="107"/>
        <v>2</v>
      </c>
      <c r="V198" s="29">
        <f t="shared" ca="1" si="107"/>
        <v>5</v>
      </c>
      <c r="W198" s="29">
        <f t="shared" ca="1" si="107"/>
        <v>1</v>
      </c>
      <c r="X198" s="29">
        <f t="shared" ca="1" si="107"/>
        <v>5</v>
      </c>
      <c r="Y198" s="29">
        <f t="shared" ca="1" si="107"/>
        <v>0</v>
      </c>
      <c r="Z198" s="29">
        <f t="shared" ca="1" si="107"/>
        <v>2</v>
      </c>
      <c r="AA198" s="29">
        <f t="shared" ca="1" si="107"/>
        <v>7</v>
      </c>
      <c r="AB198" s="29">
        <f t="shared" ca="1" si="107"/>
        <v>4</v>
      </c>
      <c r="AC198" s="29">
        <f t="shared" ca="1" si="107"/>
        <v>1</v>
      </c>
      <c r="AD198" s="29">
        <f t="shared" ca="1" si="107"/>
        <v>1</v>
      </c>
      <c r="AE198" s="29">
        <f t="shared" ca="1" si="107"/>
        <v>1</v>
      </c>
      <c r="AF198" s="29">
        <f t="shared" ca="1" si="107"/>
        <v>2</v>
      </c>
      <c r="AG198" s="29">
        <f t="shared" ca="1" si="106"/>
        <v>2</v>
      </c>
      <c r="AH198" s="29">
        <f t="shared" ca="1" si="106"/>
        <v>1</v>
      </c>
      <c r="AI198" s="29">
        <f t="shared" ca="1" si="106"/>
        <v>1</v>
      </c>
      <c r="AJ198" s="29">
        <f t="shared" ca="1" si="106"/>
        <v>3</v>
      </c>
      <c r="AK198" s="29">
        <f t="shared" ca="1" si="106"/>
        <v>1</v>
      </c>
      <c r="AL198" s="29">
        <f t="shared" ca="1" si="106"/>
        <v>0</v>
      </c>
      <c r="AM198" s="29">
        <f t="shared" ca="1" si="106"/>
        <v>4</v>
      </c>
      <c r="AN198" s="29">
        <f t="shared" ca="1" si="106"/>
        <v>6</v>
      </c>
      <c r="AO198" s="29">
        <f t="shared" ca="1" si="106"/>
        <v>3</v>
      </c>
      <c r="AP198" s="29">
        <f t="shared" ca="1" si="106"/>
        <v>1</v>
      </c>
      <c r="AQ198" s="29">
        <f t="shared" ca="1" si="106"/>
        <v>4</v>
      </c>
      <c r="AR198" s="29">
        <f t="shared" ca="1" si="106"/>
        <v>2</v>
      </c>
      <c r="AS198" s="29">
        <f t="shared" ca="1" si="106"/>
        <v>5</v>
      </c>
      <c r="AT198" s="29">
        <f t="shared" ca="1" si="106"/>
        <v>3</v>
      </c>
      <c r="AU198" s="29">
        <f t="shared" ca="1" si="106"/>
        <v>2</v>
      </c>
      <c r="AV198" s="29">
        <f t="shared" ca="1" si="109"/>
        <v>0</v>
      </c>
      <c r="AW198" s="29">
        <f t="shared" ca="1" si="109"/>
        <v>3</v>
      </c>
      <c r="AX198" s="29">
        <f t="shared" ca="1" si="109"/>
        <v>2</v>
      </c>
      <c r="AY198" s="29">
        <f t="shared" ca="1" si="109"/>
        <v>2</v>
      </c>
      <c r="AZ198" s="29">
        <f t="shared" ca="1" si="109"/>
        <v>3</v>
      </c>
      <c r="BA198" s="29">
        <f t="shared" ca="1" si="109"/>
        <v>3</v>
      </c>
      <c r="BB198" s="29">
        <f t="shared" ca="1" si="109"/>
        <v>2</v>
      </c>
      <c r="BC198" s="29">
        <f t="shared" ca="1" si="109"/>
        <v>2</v>
      </c>
      <c r="BD198" s="29">
        <f t="shared" ca="1" si="109"/>
        <v>3</v>
      </c>
      <c r="BE198" s="29">
        <f t="shared" ca="1" si="109"/>
        <v>2</v>
      </c>
      <c r="BF198" s="29">
        <f t="shared" ca="1" si="109"/>
        <v>1</v>
      </c>
      <c r="BG198" s="29">
        <f t="shared" ca="1" si="109"/>
        <v>0</v>
      </c>
      <c r="BH198" s="29">
        <f t="shared" ca="1" si="109"/>
        <v>2</v>
      </c>
      <c r="BI198" s="29">
        <f t="shared" ca="1" si="109"/>
        <v>3</v>
      </c>
      <c r="BJ198" s="29">
        <f t="shared" ca="1" si="109"/>
        <v>2</v>
      </c>
      <c r="BK198" s="29">
        <f t="shared" ca="1" si="109"/>
        <v>1</v>
      </c>
      <c r="BL198" s="29">
        <f t="shared" ca="1" si="108"/>
        <v>3</v>
      </c>
      <c r="BM198" s="29">
        <f t="shared" ca="1" si="108"/>
        <v>4</v>
      </c>
      <c r="BN198" s="29">
        <f t="shared" ca="1" si="108"/>
        <v>1</v>
      </c>
      <c r="BO198" s="29">
        <f t="shared" ca="1" si="108"/>
        <v>3</v>
      </c>
      <c r="BP198" s="29">
        <f t="shared" ca="1" si="108"/>
        <v>4</v>
      </c>
      <c r="BQ198" s="29">
        <f t="shared" ca="1" si="108"/>
        <v>1</v>
      </c>
      <c r="BR198" s="29">
        <f t="shared" ca="1" si="108"/>
        <v>0</v>
      </c>
      <c r="BS198" s="29">
        <f t="shared" ca="1" si="108"/>
        <v>1</v>
      </c>
      <c r="BT198" s="29">
        <f t="shared" ca="1" si="108"/>
        <v>0</v>
      </c>
      <c r="BU198" s="29">
        <f t="shared" ca="1" si="108"/>
        <v>3</v>
      </c>
      <c r="BV198" s="29">
        <f t="shared" ca="1" si="108"/>
        <v>1</v>
      </c>
      <c r="BW198" s="29">
        <f t="shared" ca="1" si="108"/>
        <v>2</v>
      </c>
      <c r="BX198" s="29">
        <f t="shared" ca="1" si="108"/>
        <v>1</v>
      </c>
      <c r="BY198" s="29">
        <f t="shared" ca="1" si="108"/>
        <v>2</v>
      </c>
      <c r="BZ198" s="29">
        <f t="shared" ca="1" si="108"/>
        <v>2</v>
      </c>
      <c r="CA198" s="29">
        <f t="shared" ca="1" si="120"/>
        <v>2</v>
      </c>
      <c r="CB198" s="29">
        <f t="shared" ca="1" si="120"/>
        <v>3</v>
      </c>
      <c r="CC198" s="29">
        <f t="shared" ca="1" si="120"/>
        <v>2</v>
      </c>
      <c r="CD198" s="29">
        <f t="shared" ca="1" si="120"/>
        <v>2</v>
      </c>
      <c r="CE198" s="29">
        <f t="shared" ca="1" si="120"/>
        <v>4</v>
      </c>
      <c r="CF198" s="29">
        <f t="shared" ca="1" si="120"/>
        <v>0</v>
      </c>
      <c r="CG198" s="29">
        <f t="shared" ca="1" si="120"/>
        <v>2</v>
      </c>
      <c r="CH198" s="29">
        <f t="shared" ca="1" si="120"/>
        <v>3</v>
      </c>
      <c r="CI198" s="29">
        <f t="shared" ca="1" si="120"/>
        <v>0</v>
      </c>
      <c r="CJ198" s="29">
        <f t="shared" ca="1" si="120"/>
        <v>1</v>
      </c>
      <c r="CK198" s="29">
        <f t="shared" ca="1" si="120"/>
        <v>1</v>
      </c>
      <c r="CL198" s="29">
        <f t="shared" ca="1" si="120"/>
        <v>4</v>
      </c>
      <c r="CM198" s="29">
        <f t="shared" ca="1" si="120"/>
        <v>4</v>
      </c>
      <c r="CN198" s="29">
        <f t="shared" ca="1" si="120"/>
        <v>1</v>
      </c>
      <c r="CO198" s="29">
        <f t="shared" ca="1" si="120"/>
        <v>4</v>
      </c>
      <c r="CP198" s="29">
        <f t="shared" ca="1" si="120"/>
        <v>1</v>
      </c>
      <c r="CQ198" s="29">
        <f t="shared" ca="1" si="119"/>
        <v>1</v>
      </c>
      <c r="CR198" s="29">
        <f t="shared" ca="1" si="119"/>
        <v>1</v>
      </c>
      <c r="CS198" s="29">
        <f t="shared" ca="1" si="119"/>
        <v>0</v>
      </c>
      <c r="CT198" s="29">
        <f t="shared" ca="1" si="119"/>
        <v>1</v>
      </c>
      <c r="CU198" s="29">
        <f t="shared" ca="1" si="119"/>
        <v>0</v>
      </c>
      <c r="CV198" s="29">
        <f t="shared" ca="1" si="119"/>
        <v>1</v>
      </c>
      <c r="CW198" s="29">
        <f t="shared" ca="1" si="119"/>
        <v>2</v>
      </c>
      <c r="CX198" s="29">
        <f t="shared" ca="1" si="119"/>
        <v>1</v>
      </c>
      <c r="CY198" s="29">
        <f t="shared" ca="1" si="119"/>
        <v>4</v>
      </c>
      <c r="CZ198" s="29">
        <f t="shared" ca="1" si="119"/>
        <v>2</v>
      </c>
      <c r="DA198" s="29">
        <f t="shared" ca="1" si="119"/>
        <v>0</v>
      </c>
      <c r="DB198" s="29">
        <f t="shared" ca="1" si="119"/>
        <v>6</v>
      </c>
      <c r="DC198" s="29">
        <f t="shared" ca="1" si="119"/>
        <v>4</v>
      </c>
      <c r="DD198" s="29">
        <f t="shared" ca="1" si="119"/>
        <v>2</v>
      </c>
      <c r="DE198" s="29">
        <f t="shared" ca="1" si="119"/>
        <v>0</v>
      </c>
      <c r="DF198" s="29">
        <f t="shared" ca="1" si="117"/>
        <v>0</v>
      </c>
      <c r="DG198" s="29">
        <f t="shared" ca="1" si="117"/>
        <v>4</v>
      </c>
      <c r="DH198" s="29">
        <f t="shared" ca="1" si="117"/>
        <v>5</v>
      </c>
      <c r="DI198" s="29">
        <f t="shared" ca="1" si="117"/>
        <v>1</v>
      </c>
      <c r="DJ198" s="29">
        <f t="shared" ca="1" si="117"/>
        <v>2</v>
      </c>
      <c r="DK198" s="29">
        <f t="shared" ca="1" si="117"/>
        <v>3</v>
      </c>
      <c r="DL198" s="29">
        <f t="shared" ca="1" si="117"/>
        <v>1</v>
      </c>
    </row>
    <row r="199" spans="1:116" ht="14.4" x14ac:dyDescent="0.3">
      <c r="A199" s="31">
        <v>616</v>
      </c>
      <c r="B199" s="28">
        <v>0.74</v>
      </c>
      <c r="C199" s="30">
        <v>78.8</v>
      </c>
      <c r="D199" s="28">
        <v>1.0900000000000001</v>
      </c>
      <c r="E199" s="34">
        <f t="shared" si="110"/>
        <v>2.18E-2</v>
      </c>
      <c r="F199" s="35">
        <f t="shared" si="111"/>
        <v>19.7</v>
      </c>
      <c r="G199" s="34">
        <f t="shared" si="112"/>
        <v>27.250000000000004</v>
      </c>
      <c r="H199" s="33">
        <f t="shared" si="113"/>
        <v>10.202702702702709</v>
      </c>
      <c r="I199" s="28">
        <f t="shared" si="118"/>
        <v>554.2900000000003</v>
      </c>
      <c r="J199" s="32">
        <v>0</v>
      </c>
      <c r="K199" s="30">
        <f t="shared" si="114"/>
        <v>27.250000000000004</v>
      </c>
      <c r="L199" s="30"/>
      <c r="M199" s="30"/>
      <c r="N199" s="30"/>
      <c r="O199" s="30"/>
      <c r="Q199" s="29">
        <f t="shared" ca="1" si="115"/>
        <v>2</v>
      </c>
      <c r="R199" s="29">
        <f t="shared" ca="1" si="107"/>
        <v>3</v>
      </c>
      <c r="S199" s="29">
        <f t="shared" ca="1" si="107"/>
        <v>1</v>
      </c>
      <c r="T199" s="29">
        <f t="shared" ca="1" si="107"/>
        <v>0</v>
      </c>
      <c r="U199" s="29">
        <f t="shared" ca="1" si="107"/>
        <v>0</v>
      </c>
      <c r="V199" s="29">
        <f t="shared" ca="1" si="107"/>
        <v>0</v>
      </c>
      <c r="W199" s="29">
        <f t="shared" ca="1" si="107"/>
        <v>0</v>
      </c>
      <c r="X199" s="29">
        <f t="shared" ca="1" si="107"/>
        <v>2</v>
      </c>
      <c r="Y199" s="29">
        <f t="shared" ca="1" si="107"/>
        <v>0</v>
      </c>
      <c r="Z199" s="29">
        <f t="shared" ca="1" si="107"/>
        <v>4</v>
      </c>
      <c r="AA199" s="29">
        <f t="shared" ca="1" si="107"/>
        <v>1</v>
      </c>
      <c r="AB199" s="29">
        <f t="shared" ca="1" si="107"/>
        <v>1</v>
      </c>
      <c r="AC199" s="29">
        <f t="shared" ca="1" si="107"/>
        <v>0</v>
      </c>
      <c r="AD199" s="29">
        <f t="shared" ca="1" si="107"/>
        <v>0</v>
      </c>
      <c r="AE199" s="29">
        <f t="shared" ca="1" si="107"/>
        <v>1</v>
      </c>
      <c r="AF199" s="29">
        <f t="shared" ca="1" si="107"/>
        <v>1</v>
      </c>
      <c r="AG199" s="29">
        <f t="shared" ca="1" si="106"/>
        <v>1</v>
      </c>
      <c r="AH199" s="29">
        <f t="shared" ca="1" si="106"/>
        <v>2</v>
      </c>
      <c r="AI199" s="29">
        <f t="shared" ca="1" si="106"/>
        <v>0</v>
      </c>
      <c r="AJ199" s="29">
        <f t="shared" ca="1" si="106"/>
        <v>1</v>
      </c>
      <c r="AK199" s="29">
        <f t="shared" ca="1" si="106"/>
        <v>1</v>
      </c>
      <c r="AL199" s="29">
        <f t="shared" ca="1" si="106"/>
        <v>1</v>
      </c>
      <c r="AM199" s="29">
        <f t="shared" ca="1" si="106"/>
        <v>0</v>
      </c>
      <c r="AN199" s="29">
        <f t="shared" ca="1" si="106"/>
        <v>1</v>
      </c>
      <c r="AO199" s="29">
        <f t="shared" ca="1" si="106"/>
        <v>0</v>
      </c>
      <c r="AP199" s="29">
        <f t="shared" ca="1" si="106"/>
        <v>2</v>
      </c>
      <c r="AQ199" s="29">
        <f t="shared" ca="1" si="106"/>
        <v>3</v>
      </c>
      <c r="AR199" s="29">
        <f t="shared" ca="1" si="106"/>
        <v>1</v>
      </c>
      <c r="AS199" s="29">
        <f t="shared" ca="1" si="106"/>
        <v>2</v>
      </c>
      <c r="AT199" s="29">
        <f t="shared" ca="1" si="106"/>
        <v>3</v>
      </c>
      <c r="AU199" s="29">
        <f t="shared" ca="1" si="106"/>
        <v>1</v>
      </c>
      <c r="AV199" s="29">
        <f t="shared" ca="1" si="109"/>
        <v>1</v>
      </c>
      <c r="AW199" s="29">
        <f t="shared" ca="1" si="109"/>
        <v>0</v>
      </c>
      <c r="AX199" s="29">
        <f t="shared" ca="1" si="109"/>
        <v>0</v>
      </c>
      <c r="AY199" s="29">
        <f t="shared" ca="1" si="109"/>
        <v>0</v>
      </c>
      <c r="AZ199" s="29">
        <f t="shared" ca="1" si="109"/>
        <v>0</v>
      </c>
      <c r="BA199" s="29">
        <f t="shared" ca="1" si="109"/>
        <v>2</v>
      </c>
      <c r="BB199" s="29">
        <f t="shared" ca="1" si="109"/>
        <v>1</v>
      </c>
      <c r="BC199" s="29">
        <f t="shared" ca="1" si="109"/>
        <v>0</v>
      </c>
      <c r="BD199" s="29">
        <f t="shared" ca="1" si="109"/>
        <v>1</v>
      </c>
      <c r="BE199" s="29">
        <f t="shared" ca="1" si="109"/>
        <v>2</v>
      </c>
      <c r="BF199" s="29">
        <f t="shared" ca="1" si="109"/>
        <v>2</v>
      </c>
      <c r="BG199" s="29">
        <f t="shared" ca="1" si="109"/>
        <v>0</v>
      </c>
      <c r="BH199" s="29">
        <f t="shared" ca="1" si="109"/>
        <v>0</v>
      </c>
      <c r="BI199" s="29">
        <f t="shared" ca="1" si="109"/>
        <v>2</v>
      </c>
      <c r="BJ199" s="29">
        <f t="shared" ca="1" si="109"/>
        <v>2</v>
      </c>
      <c r="BK199" s="29">
        <f t="shared" ca="1" si="109"/>
        <v>1</v>
      </c>
      <c r="BL199" s="29">
        <f t="shared" ca="1" si="108"/>
        <v>0</v>
      </c>
      <c r="BM199" s="29">
        <f t="shared" ca="1" si="108"/>
        <v>1</v>
      </c>
      <c r="BN199" s="29">
        <f t="shared" ca="1" si="108"/>
        <v>0</v>
      </c>
      <c r="BO199" s="29">
        <f t="shared" ca="1" si="108"/>
        <v>1</v>
      </c>
      <c r="BP199" s="29">
        <f t="shared" ca="1" si="108"/>
        <v>3</v>
      </c>
      <c r="BQ199" s="29">
        <f t="shared" ca="1" si="108"/>
        <v>2</v>
      </c>
      <c r="BR199" s="29">
        <f t="shared" ca="1" si="108"/>
        <v>1</v>
      </c>
      <c r="BS199" s="29">
        <f t="shared" ca="1" si="108"/>
        <v>4</v>
      </c>
      <c r="BT199" s="29">
        <f t="shared" ca="1" si="108"/>
        <v>0</v>
      </c>
      <c r="BU199" s="29">
        <f t="shared" ca="1" si="108"/>
        <v>1</v>
      </c>
      <c r="BV199" s="29">
        <f t="shared" ca="1" si="108"/>
        <v>1</v>
      </c>
      <c r="BW199" s="29">
        <f t="shared" ca="1" si="108"/>
        <v>1</v>
      </c>
      <c r="BX199" s="29">
        <f t="shared" ca="1" si="108"/>
        <v>0</v>
      </c>
      <c r="BY199" s="29">
        <f t="shared" ca="1" si="108"/>
        <v>1</v>
      </c>
      <c r="BZ199" s="29">
        <f t="shared" ca="1" si="108"/>
        <v>0</v>
      </c>
      <c r="CA199" s="29">
        <f t="shared" ca="1" si="120"/>
        <v>0</v>
      </c>
      <c r="CB199" s="29">
        <f t="shared" ca="1" si="120"/>
        <v>1</v>
      </c>
      <c r="CC199" s="29">
        <f t="shared" ca="1" si="120"/>
        <v>2</v>
      </c>
      <c r="CD199" s="29">
        <f t="shared" ca="1" si="120"/>
        <v>2</v>
      </c>
      <c r="CE199" s="29">
        <f t="shared" ca="1" si="120"/>
        <v>0</v>
      </c>
      <c r="CF199" s="29">
        <f t="shared" ca="1" si="120"/>
        <v>0</v>
      </c>
      <c r="CG199" s="29">
        <f t="shared" ca="1" si="120"/>
        <v>3</v>
      </c>
      <c r="CH199" s="29">
        <f t="shared" ca="1" si="120"/>
        <v>1</v>
      </c>
      <c r="CI199" s="29">
        <f t="shared" ca="1" si="120"/>
        <v>1</v>
      </c>
      <c r="CJ199" s="29">
        <f t="shared" ca="1" si="120"/>
        <v>0</v>
      </c>
      <c r="CK199" s="29">
        <f t="shared" ca="1" si="120"/>
        <v>2</v>
      </c>
      <c r="CL199" s="29">
        <f t="shared" ca="1" si="120"/>
        <v>0</v>
      </c>
      <c r="CM199" s="29">
        <f t="shared" ca="1" si="120"/>
        <v>1</v>
      </c>
      <c r="CN199" s="29">
        <f t="shared" ca="1" si="120"/>
        <v>3</v>
      </c>
      <c r="CO199" s="29">
        <f t="shared" ca="1" si="120"/>
        <v>0</v>
      </c>
      <c r="CP199" s="29">
        <f t="shared" ca="1" si="120"/>
        <v>2</v>
      </c>
      <c r="CQ199" s="29">
        <f t="shared" ca="1" si="119"/>
        <v>1</v>
      </c>
      <c r="CR199" s="29">
        <f t="shared" ca="1" si="119"/>
        <v>0</v>
      </c>
      <c r="CS199" s="29">
        <f t="shared" ca="1" si="119"/>
        <v>1</v>
      </c>
      <c r="CT199" s="29">
        <f t="shared" ca="1" si="119"/>
        <v>0</v>
      </c>
      <c r="CU199" s="29">
        <f t="shared" ca="1" si="119"/>
        <v>0</v>
      </c>
      <c r="CV199" s="29">
        <f t="shared" ca="1" si="119"/>
        <v>0</v>
      </c>
      <c r="CW199" s="29">
        <f t="shared" ca="1" si="119"/>
        <v>1</v>
      </c>
      <c r="CX199" s="29">
        <f t="shared" ca="1" si="119"/>
        <v>0</v>
      </c>
      <c r="CY199" s="29">
        <f t="shared" ca="1" si="119"/>
        <v>2</v>
      </c>
      <c r="CZ199" s="29">
        <f t="shared" ca="1" si="119"/>
        <v>1</v>
      </c>
      <c r="DA199" s="29">
        <f t="shared" ca="1" si="119"/>
        <v>3</v>
      </c>
      <c r="DB199" s="29">
        <f t="shared" ca="1" si="119"/>
        <v>2</v>
      </c>
      <c r="DC199" s="29">
        <f t="shared" ca="1" si="119"/>
        <v>0</v>
      </c>
      <c r="DD199" s="29">
        <f t="shared" ca="1" si="119"/>
        <v>1</v>
      </c>
      <c r="DE199" s="29">
        <f t="shared" ca="1" si="119"/>
        <v>0</v>
      </c>
      <c r="DF199" s="29">
        <f t="shared" ca="1" si="117"/>
        <v>0</v>
      </c>
      <c r="DG199" s="29">
        <f t="shared" ca="1" si="117"/>
        <v>1</v>
      </c>
      <c r="DH199" s="29">
        <f t="shared" ca="1" si="117"/>
        <v>1</v>
      </c>
      <c r="DI199" s="29">
        <f t="shared" ca="1" si="117"/>
        <v>0</v>
      </c>
      <c r="DJ199" s="29">
        <f t="shared" ca="1" si="117"/>
        <v>1</v>
      </c>
      <c r="DK199" s="29">
        <f t="shared" ca="1" si="117"/>
        <v>3</v>
      </c>
      <c r="DL199" s="29">
        <f t="shared" ca="1" si="117"/>
        <v>0</v>
      </c>
    </row>
    <row r="200" spans="1:116" ht="14.4" x14ac:dyDescent="0.3">
      <c r="A200" s="31">
        <v>1030</v>
      </c>
      <c r="B200" s="28">
        <v>6.07</v>
      </c>
      <c r="C200" s="30">
        <v>38.090000000000003</v>
      </c>
      <c r="D200" s="28">
        <v>2.84</v>
      </c>
      <c r="E200" s="34">
        <f t="shared" si="110"/>
        <v>5.6799999999999996E-2</v>
      </c>
      <c r="F200" s="35">
        <f t="shared" si="111"/>
        <v>9.5225000000000009</v>
      </c>
      <c r="G200" s="34">
        <f t="shared" si="112"/>
        <v>71</v>
      </c>
      <c r="H200" s="33">
        <f t="shared" si="113"/>
        <v>10.12808896210873</v>
      </c>
      <c r="I200" s="28">
        <f t="shared" si="118"/>
        <v>560.36000000000035</v>
      </c>
      <c r="J200" s="32">
        <v>0</v>
      </c>
      <c r="K200" s="30">
        <f t="shared" si="114"/>
        <v>71</v>
      </c>
      <c r="L200" s="30"/>
      <c r="M200" s="30"/>
      <c r="N200" s="30"/>
      <c r="O200" s="30"/>
      <c r="Q200" s="29">
        <f t="shared" ca="1" si="115"/>
        <v>3</v>
      </c>
      <c r="R200" s="29">
        <f t="shared" ca="1" si="107"/>
        <v>4</v>
      </c>
      <c r="S200" s="29">
        <f t="shared" ca="1" si="107"/>
        <v>2</v>
      </c>
      <c r="T200" s="29">
        <f t="shared" ca="1" si="107"/>
        <v>2</v>
      </c>
      <c r="U200" s="29">
        <f t="shared" ca="1" si="107"/>
        <v>1</v>
      </c>
      <c r="V200" s="29">
        <f t="shared" ca="1" si="107"/>
        <v>4</v>
      </c>
      <c r="W200" s="29">
        <f t="shared" ca="1" si="107"/>
        <v>2</v>
      </c>
      <c r="X200" s="29">
        <f t="shared" ca="1" si="107"/>
        <v>1</v>
      </c>
      <c r="Y200" s="29">
        <f t="shared" ca="1" si="107"/>
        <v>2</v>
      </c>
      <c r="Z200" s="29">
        <f t="shared" ca="1" si="107"/>
        <v>3</v>
      </c>
      <c r="AA200" s="29">
        <f t="shared" ca="1" si="107"/>
        <v>3</v>
      </c>
      <c r="AB200" s="29">
        <f t="shared" ca="1" si="107"/>
        <v>3</v>
      </c>
      <c r="AC200" s="29">
        <f t="shared" ca="1" si="107"/>
        <v>3</v>
      </c>
      <c r="AD200" s="29">
        <f t="shared" ca="1" si="107"/>
        <v>1</v>
      </c>
      <c r="AE200" s="29">
        <f t="shared" ca="1" si="107"/>
        <v>4</v>
      </c>
      <c r="AF200" s="29">
        <f t="shared" ca="1" si="107"/>
        <v>0</v>
      </c>
      <c r="AG200" s="29">
        <f t="shared" ca="1" si="106"/>
        <v>2</v>
      </c>
      <c r="AH200" s="29">
        <f t="shared" ca="1" si="106"/>
        <v>1</v>
      </c>
      <c r="AI200" s="29">
        <f t="shared" ca="1" si="106"/>
        <v>2</v>
      </c>
      <c r="AJ200" s="29">
        <f t="shared" ca="1" si="106"/>
        <v>5</v>
      </c>
      <c r="AK200" s="29">
        <f t="shared" ca="1" si="106"/>
        <v>3</v>
      </c>
      <c r="AL200" s="29">
        <f t="shared" ca="1" si="106"/>
        <v>3</v>
      </c>
      <c r="AM200" s="29">
        <f t="shared" ca="1" si="106"/>
        <v>4</v>
      </c>
      <c r="AN200" s="29">
        <f t="shared" ca="1" si="106"/>
        <v>5</v>
      </c>
      <c r="AO200" s="29">
        <f t="shared" ca="1" si="106"/>
        <v>6</v>
      </c>
      <c r="AP200" s="29">
        <f t="shared" ca="1" si="106"/>
        <v>1</v>
      </c>
      <c r="AQ200" s="29">
        <f t="shared" ca="1" si="106"/>
        <v>3</v>
      </c>
      <c r="AR200" s="29">
        <f t="shared" ca="1" si="106"/>
        <v>0</v>
      </c>
      <c r="AS200" s="29">
        <f t="shared" ca="1" si="106"/>
        <v>3</v>
      </c>
      <c r="AT200" s="29">
        <f t="shared" ca="1" si="106"/>
        <v>4</v>
      </c>
      <c r="AU200" s="29">
        <f t="shared" ca="1" si="106"/>
        <v>4</v>
      </c>
      <c r="AV200" s="29">
        <f t="shared" ca="1" si="109"/>
        <v>3</v>
      </c>
      <c r="AW200" s="29">
        <f t="shared" ca="1" si="109"/>
        <v>1</v>
      </c>
      <c r="AX200" s="29">
        <f t="shared" ca="1" si="109"/>
        <v>2</v>
      </c>
      <c r="AY200" s="29">
        <f t="shared" ca="1" si="109"/>
        <v>0</v>
      </c>
      <c r="AZ200" s="29">
        <f t="shared" ca="1" si="109"/>
        <v>1</v>
      </c>
      <c r="BA200" s="29">
        <f t="shared" ca="1" si="109"/>
        <v>1</v>
      </c>
      <c r="BB200" s="29">
        <f t="shared" ca="1" si="109"/>
        <v>3</v>
      </c>
      <c r="BC200" s="29">
        <f t="shared" ca="1" si="109"/>
        <v>6</v>
      </c>
      <c r="BD200" s="29">
        <f t="shared" ca="1" si="109"/>
        <v>1</v>
      </c>
      <c r="BE200" s="29">
        <f t="shared" ca="1" si="109"/>
        <v>3</v>
      </c>
      <c r="BF200" s="29">
        <f t="shared" ca="1" si="109"/>
        <v>2</v>
      </c>
      <c r="BG200" s="29">
        <f t="shared" ca="1" si="109"/>
        <v>1</v>
      </c>
      <c r="BH200" s="29">
        <f t="shared" ca="1" si="109"/>
        <v>3</v>
      </c>
      <c r="BI200" s="29">
        <f t="shared" ca="1" si="109"/>
        <v>2</v>
      </c>
      <c r="BJ200" s="29">
        <f t="shared" ca="1" si="109"/>
        <v>2</v>
      </c>
      <c r="BK200" s="29">
        <f t="shared" ca="1" si="109"/>
        <v>2</v>
      </c>
      <c r="BL200" s="29">
        <f t="shared" ca="1" si="108"/>
        <v>1</v>
      </c>
      <c r="BM200" s="29">
        <f t="shared" ca="1" si="108"/>
        <v>5</v>
      </c>
      <c r="BN200" s="29">
        <f t="shared" ca="1" si="108"/>
        <v>1</v>
      </c>
      <c r="BO200" s="29">
        <f t="shared" ca="1" si="108"/>
        <v>3</v>
      </c>
      <c r="BP200" s="29">
        <f t="shared" ca="1" si="108"/>
        <v>1</v>
      </c>
      <c r="BQ200" s="29">
        <f t="shared" ca="1" si="108"/>
        <v>5</v>
      </c>
      <c r="BR200" s="29">
        <f t="shared" ca="1" si="108"/>
        <v>4</v>
      </c>
      <c r="BS200" s="29">
        <f t="shared" ca="1" si="108"/>
        <v>2</v>
      </c>
      <c r="BT200" s="29">
        <f t="shared" ca="1" si="108"/>
        <v>2</v>
      </c>
      <c r="BU200" s="29">
        <f t="shared" ca="1" si="108"/>
        <v>3</v>
      </c>
      <c r="BV200" s="29">
        <f t="shared" ca="1" si="108"/>
        <v>3</v>
      </c>
      <c r="BW200" s="29">
        <f t="shared" ca="1" si="108"/>
        <v>1</v>
      </c>
      <c r="BX200" s="29">
        <f t="shared" ca="1" si="108"/>
        <v>4</v>
      </c>
      <c r="BY200" s="29">
        <f t="shared" ca="1" si="108"/>
        <v>4</v>
      </c>
      <c r="BZ200" s="29">
        <f t="shared" ca="1" si="108"/>
        <v>2</v>
      </c>
      <c r="CA200" s="29">
        <f t="shared" ca="1" si="120"/>
        <v>3</v>
      </c>
      <c r="CB200" s="29">
        <f t="shared" ca="1" si="120"/>
        <v>1</v>
      </c>
      <c r="CC200" s="29">
        <f t="shared" ca="1" si="120"/>
        <v>3</v>
      </c>
      <c r="CD200" s="29">
        <f t="shared" ca="1" si="120"/>
        <v>0</v>
      </c>
      <c r="CE200" s="29">
        <f t="shared" ca="1" si="120"/>
        <v>3</v>
      </c>
      <c r="CF200" s="29">
        <f t="shared" ca="1" si="120"/>
        <v>2</v>
      </c>
      <c r="CG200" s="29">
        <f t="shared" ca="1" si="120"/>
        <v>5</v>
      </c>
      <c r="CH200" s="29">
        <f t="shared" ca="1" si="120"/>
        <v>1</v>
      </c>
      <c r="CI200" s="29">
        <f t="shared" ca="1" si="120"/>
        <v>3</v>
      </c>
      <c r="CJ200" s="29">
        <f t="shared" ca="1" si="120"/>
        <v>2</v>
      </c>
      <c r="CK200" s="29">
        <f t="shared" ca="1" si="120"/>
        <v>2</v>
      </c>
      <c r="CL200" s="29">
        <f t="shared" ca="1" si="120"/>
        <v>4</v>
      </c>
      <c r="CM200" s="29">
        <f t="shared" ca="1" si="120"/>
        <v>2</v>
      </c>
      <c r="CN200" s="29">
        <f t="shared" ca="1" si="120"/>
        <v>8</v>
      </c>
      <c r="CO200" s="29">
        <f t="shared" ca="1" si="120"/>
        <v>4</v>
      </c>
      <c r="CP200" s="29">
        <f t="shared" ca="1" si="120"/>
        <v>4</v>
      </c>
      <c r="CQ200" s="29">
        <f t="shared" ca="1" si="119"/>
        <v>4</v>
      </c>
      <c r="CR200" s="29">
        <f t="shared" ca="1" si="119"/>
        <v>3</v>
      </c>
      <c r="CS200" s="29">
        <f t="shared" ca="1" si="119"/>
        <v>2</v>
      </c>
      <c r="CT200" s="29">
        <f t="shared" ca="1" si="119"/>
        <v>3</v>
      </c>
      <c r="CU200" s="29">
        <f t="shared" ca="1" si="119"/>
        <v>2</v>
      </c>
      <c r="CV200" s="29">
        <f t="shared" ca="1" si="119"/>
        <v>3</v>
      </c>
      <c r="CW200" s="29">
        <f t="shared" ca="1" si="119"/>
        <v>2</v>
      </c>
      <c r="CX200" s="29">
        <f t="shared" ca="1" si="119"/>
        <v>5</v>
      </c>
      <c r="CY200" s="29">
        <f t="shared" ca="1" si="119"/>
        <v>0</v>
      </c>
      <c r="CZ200" s="29">
        <f t="shared" ca="1" si="119"/>
        <v>1</v>
      </c>
      <c r="DA200" s="29">
        <f t="shared" ca="1" si="119"/>
        <v>2</v>
      </c>
      <c r="DB200" s="29">
        <f t="shared" ca="1" si="119"/>
        <v>3</v>
      </c>
      <c r="DC200" s="29">
        <f t="shared" ca="1" si="119"/>
        <v>10</v>
      </c>
      <c r="DD200" s="29">
        <f t="shared" ca="1" si="119"/>
        <v>5</v>
      </c>
      <c r="DE200" s="29">
        <f t="shared" ca="1" si="119"/>
        <v>2</v>
      </c>
      <c r="DF200" s="29">
        <f t="shared" ca="1" si="117"/>
        <v>4</v>
      </c>
      <c r="DG200" s="29">
        <f t="shared" ca="1" si="117"/>
        <v>2</v>
      </c>
      <c r="DH200" s="29">
        <f t="shared" ca="1" si="117"/>
        <v>1</v>
      </c>
      <c r="DI200" s="29">
        <f t="shared" ca="1" si="117"/>
        <v>0</v>
      </c>
      <c r="DJ200" s="29">
        <f t="shared" ca="1" si="117"/>
        <v>4</v>
      </c>
      <c r="DK200" s="29">
        <f t="shared" ca="1" si="117"/>
        <v>0</v>
      </c>
      <c r="DL200" s="29">
        <f t="shared" ca="1" si="117"/>
        <v>3</v>
      </c>
    </row>
    <row r="201" spans="1:116" ht="14.4" x14ac:dyDescent="0.3">
      <c r="A201" s="31">
        <v>946</v>
      </c>
      <c r="B201" s="28">
        <v>3.76</v>
      </c>
      <c r="C201" s="30">
        <v>53.68</v>
      </c>
      <c r="D201" s="28">
        <v>2.06</v>
      </c>
      <c r="E201" s="34">
        <f t="shared" si="110"/>
        <v>4.1200000000000001E-2</v>
      </c>
      <c r="F201" s="35">
        <f t="shared" si="111"/>
        <v>13.42</v>
      </c>
      <c r="G201" s="34">
        <f t="shared" si="112"/>
        <v>51.5</v>
      </c>
      <c r="H201" s="33">
        <f t="shared" si="113"/>
        <v>10.127659574468085</v>
      </c>
      <c r="I201" s="28">
        <f t="shared" si="118"/>
        <v>564.12000000000035</v>
      </c>
      <c r="J201" s="32">
        <v>0</v>
      </c>
      <c r="K201" s="30">
        <f t="shared" si="114"/>
        <v>51.5</v>
      </c>
      <c r="L201" s="30"/>
      <c r="M201" s="30"/>
      <c r="N201" s="30"/>
      <c r="O201" s="30"/>
      <c r="Q201" s="29">
        <f t="shared" ca="1" si="115"/>
        <v>2</v>
      </c>
      <c r="R201" s="29">
        <f t="shared" ca="1" si="107"/>
        <v>3</v>
      </c>
      <c r="S201" s="29">
        <f t="shared" ca="1" si="107"/>
        <v>1</v>
      </c>
      <c r="T201" s="29">
        <f t="shared" ca="1" si="107"/>
        <v>0</v>
      </c>
      <c r="U201" s="29">
        <f t="shared" ca="1" si="107"/>
        <v>3</v>
      </c>
      <c r="V201" s="29">
        <f t="shared" ca="1" si="107"/>
        <v>1</v>
      </c>
      <c r="W201" s="29">
        <f t="shared" ca="1" si="107"/>
        <v>4</v>
      </c>
      <c r="X201" s="29">
        <f t="shared" ca="1" si="107"/>
        <v>1</v>
      </c>
      <c r="Y201" s="29">
        <f t="shared" ca="1" si="107"/>
        <v>1</v>
      </c>
      <c r="Z201" s="29">
        <f t="shared" ca="1" si="107"/>
        <v>0</v>
      </c>
      <c r="AA201" s="29">
        <f t="shared" ca="1" si="107"/>
        <v>5</v>
      </c>
      <c r="AB201" s="29">
        <f t="shared" ca="1" si="107"/>
        <v>4</v>
      </c>
      <c r="AC201" s="29">
        <f t="shared" ca="1" si="107"/>
        <v>2</v>
      </c>
      <c r="AD201" s="29">
        <f t="shared" ca="1" si="107"/>
        <v>2</v>
      </c>
      <c r="AE201" s="29">
        <f t="shared" ca="1" si="107"/>
        <v>2</v>
      </c>
      <c r="AF201" s="29">
        <f t="shared" ref="AF201:AU216" ca="1" si="121">_xlfn.BINOM.INV(50,$E201,RAND())</f>
        <v>4</v>
      </c>
      <c r="AG201" s="29">
        <f t="shared" ca="1" si="121"/>
        <v>3</v>
      </c>
      <c r="AH201" s="29">
        <f t="shared" ca="1" si="121"/>
        <v>2</v>
      </c>
      <c r="AI201" s="29">
        <f t="shared" ca="1" si="121"/>
        <v>0</v>
      </c>
      <c r="AJ201" s="29">
        <f t="shared" ca="1" si="121"/>
        <v>3</v>
      </c>
      <c r="AK201" s="29">
        <f t="shared" ca="1" si="121"/>
        <v>2</v>
      </c>
      <c r="AL201" s="29">
        <f t="shared" ca="1" si="121"/>
        <v>2</v>
      </c>
      <c r="AM201" s="29">
        <f t="shared" ca="1" si="121"/>
        <v>2</v>
      </c>
      <c r="AN201" s="29">
        <f t="shared" ca="1" si="121"/>
        <v>1</v>
      </c>
      <c r="AO201" s="29">
        <f t="shared" ca="1" si="121"/>
        <v>1</v>
      </c>
      <c r="AP201" s="29">
        <f t="shared" ca="1" si="121"/>
        <v>5</v>
      </c>
      <c r="AQ201" s="29">
        <f t="shared" ca="1" si="121"/>
        <v>0</v>
      </c>
      <c r="AR201" s="29">
        <f t="shared" ca="1" si="121"/>
        <v>2</v>
      </c>
      <c r="AS201" s="29">
        <f t="shared" ca="1" si="121"/>
        <v>5</v>
      </c>
      <c r="AT201" s="29">
        <f t="shared" ca="1" si="121"/>
        <v>4</v>
      </c>
      <c r="AU201" s="29">
        <f t="shared" ca="1" si="121"/>
        <v>1</v>
      </c>
      <c r="AV201" s="29">
        <f t="shared" ca="1" si="109"/>
        <v>2</v>
      </c>
      <c r="AW201" s="29">
        <f t="shared" ca="1" si="109"/>
        <v>4</v>
      </c>
      <c r="AX201" s="29">
        <f t="shared" ca="1" si="109"/>
        <v>3</v>
      </c>
      <c r="AY201" s="29">
        <f t="shared" ca="1" si="109"/>
        <v>6</v>
      </c>
      <c r="AZ201" s="29">
        <f t="shared" ca="1" si="109"/>
        <v>3</v>
      </c>
      <c r="BA201" s="29">
        <f t="shared" ca="1" si="109"/>
        <v>1</v>
      </c>
      <c r="BB201" s="29">
        <f t="shared" ca="1" si="109"/>
        <v>1</v>
      </c>
      <c r="BC201" s="29">
        <f t="shared" ca="1" si="109"/>
        <v>1</v>
      </c>
      <c r="BD201" s="29">
        <f t="shared" ca="1" si="109"/>
        <v>1</v>
      </c>
      <c r="BE201" s="29">
        <f t="shared" ca="1" si="109"/>
        <v>1</v>
      </c>
      <c r="BF201" s="29">
        <f t="shared" ca="1" si="109"/>
        <v>3</v>
      </c>
      <c r="BG201" s="29">
        <f t="shared" ca="1" si="109"/>
        <v>0</v>
      </c>
      <c r="BH201" s="29">
        <f t="shared" ca="1" si="109"/>
        <v>0</v>
      </c>
      <c r="BI201" s="29">
        <f t="shared" ca="1" si="109"/>
        <v>2</v>
      </c>
      <c r="BJ201" s="29">
        <f t="shared" ca="1" si="109"/>
        <v>2</v>
      </c>
      <c r="BK201" s="29">
        <f t="shared" ca="1" si="109"/>
        <v>3</v>
      </c>
      <c r="BL201" s="29">
        <f t="shared" ca="1" si="108"/>
        <v>3</v>
      </c>
      <c r="BM201" s="29">
        <f t="shared" ca="1" si="108"/>
        <v>4</v>
      </c>
      <c r="BN201" s="29">
        <f t="shared" ca="1" si="108"/>
        <v>2</v>
      </c>
      <c r="BO201" s="29">
        <f t="shared" ca="1" si="108"/>
        <v>1</v>
      </c>
      <c r="BP201" s="29">
        <f t="shared" ca="1" si="108"/>
        <v>2</v>
      </c>
      <c r="BQ201" s="29">
        <f t="shared" ca="1" si="108"/>
        <v>3</v>
      </c>
      <c r="BR201" s="29">
        <f t="shared" ca="1" si="108"/>
        <v>3</v>
      </c>
      <c r="BS201" s="29">
        <f t="shared" ca="1" si="108"/>
        <v>3</v>
      </c>
      <c r="BT201" s="29">
        <f t="shared" ca="1" si="108"/>
        <v>1</v>
      </c>
      <c r="BU201" s="29">
        <f t="shared" ca="1" si="108"/>
        <v>0</v>
      </c>
      <c r="BV201" s="29">
        <f t="shared" ca="1" si="108"/>
        <v>4</v>
      </c>
      <c r="BW201" s="29">
        <f t="shared" ca="1" si="108"/>
        <v>2</v>
      </c>
      <c r="BX201" s="29">
        <f t="shared" ca="1" si="108"/>
        <v>4</v>
      </c>
      <c r="BY201" s="29">
        <f t="shared" ca="1" si="108"/>
        <v>1</v>
      </c>
      <c r="BZ201" s="29">
        <f t="shared" ca="1" si="108"/>
        <v>1</v>
      </c>
      <c r="CA201" s="29">
        <f t="shared" ca="1" si="120"/>
        <v>3</v>
      </c>
      <c r="CB201" s="29">
        <f t="shared" ca="1" si="120"/>
        <v>1</v>
      </c>
      <c r="CC201" s="29">
        <f t="shared" ca="1" si="120"/>
        <v>0</v>
      </c>
      <c r="CD201" s="29">
        <f t="shared" ca="1" si="120"/>
        <v>2</v>
      </c>
      <c r="CE201" s="29">
        <f t="shared" ca="1" si="120"/>
        <v>1</v>
      </c>
      <c r="CF201" s="29">
        <f t="shared" ca="1" si="120"/>
        <v>1</v>
      </c>
      <c r="CG201" s="29">
        <f t="shared" ca="1" si="120"/>
        <v>4</v>
      </c>
      <c r="CH201" s="29">
        <f t="shared" ca="1" si="120"/>
        <v>1</v>
      </c>
      <c r="CI201" s="29">
        <f t="shared" ca="1" si="120"/>
        <v>4</v>
      </c>
      <c r="CJ201" s="29">
        <f t="shared" ca="1" si="120"/>
        <v>3</v>
      </c>
      <c r="CK201" s="29">
        <f t="shared" ca="1" si="120"/>
        <v>4</v>
      </c>
      <c r="CL201" s="29">
        <f t="shared" ca="1" si="120"/>
        <v>1</v>
      </c>
      <c r="CM201" s="29">
        <f t="shared" ca="1" si="120"/>
        <v>4</v>
      </c>
      <c r="CN201" s="29">
        <f t="shared" ca="1" si="120"/>
        <v>0</v>
      </c>
      <c r="CO201" s="29">
        <f t="shared" ca="1" si="120"/>
        <v>1</v>
      </c>
      <c r="CP201" s="29">
        <f t="shared" ca="1" si="120"/>
        <v>2</v>
      </c>
      <c r="CQ201" s="29">
        <f t="shared" ca="1" si="119"/>
        <v>3</v>
      </c>
      <c r="CR201" s="29">
        <f t="shared" ca="1" si="119"/>
        <v>2</v>
      </c>
      <c r="CS201" s="29">
        <f t="shared" ca="1" si="119"/>
        <v>3</v>
      </c>
      <c r="CT201" s="29">
        <f t="shared" ca="1" si="119"/>
        <v>0</v>
      </c>
      <c r="CU201" s="29">
        <f t="shared" ca="1" si="119"/>
        <v>0</v>
      </c>
      <c r="CV201" s="29">
        <f t="shared" ca="1" si="119"/>
        <v>1</v>
      </c>
      <c r="CW201" s="29">
        <f t="shared" ca="1" si="119"/>
        <v>1</v>
      </c>
      <c r="CX201" s="29">
        <f t="shared" ca="1" si="119"/>
        <v>2</v>
      </c>
      <c r="CY201" s="29">
        <f t="shared" ca="1" si="119"/>
        <v>2</v>
      </c>
      <c r="CZ201" s="29">
        <f t="shared" ca="1" si="119"/>
        <v>2</v>
      </c>
      <c r="DA201" s="29">
        <f t="shared" ca="1" si="119"/>
        <v>2</v>
      </c>
      <c r="DB201" s="29">
        <f t="shared" ca="1" si="119"/>
        <v>3</v>
      </c>
      <c r="DC201" s="29">
        <f t="shared" ca="1" si="119"/>
        <v>1</v>
      </c>
      <c r="DD201" s="29">
        <f t="shared" ca="1" si="119"/>
        <v>3</v>
      </c>
      <c r="DE201" s="29">
        <f t="shared" ca="1" si="119"/>
        <v>5</v>
      </c>
      <c r="DF201" s="29">
        <f t="shared" ca="1" si="117"/>
        <v>3</v>
      </c>
      <c r="DG201" s="29">
        <f t="shared" ca="1" si="117"/>
        <v>2</v>
      </c>
      <c r="DH201" s="29">
        <f t="shared" ca="1" si="117"/>
        <v>1</v>
      </c>
      <c r="DI201" s="29">
        <f t="shared" ca="1" si="117"/>
        <v>1</v>
      </c>
      <c r="DJ201" s="29">
        <f t="shared" ca="1" si="117"/>
        <v>0</v>
      </c>
      <c r="DK201" s="29">
        <f t="shared" ca="1" si="117"/>
        <v>1</v>
      </c>
      <c r="DL201" s="29">
        <f t="shared" ca="1" si="117"/>
        <v>1</v>
      </c>
    </row>
    <row r="202" spans="1:116" ht="14.4" x14ac:dyDescent="0.3">
      <c r="A202" s="31">
        <v>753</v>
      </c>
      <c r="B202" s="28">
        <v>3.11</v>
      </c>
      <c r="C202" s="30">
        <v>93.06</v>
      </c>
      <c r="D202" s="28">
        <v>2.1800000000000002</v>
      </c>
      <c r="E202" s="34">
        <f t="shared" si="110"/>
        <v>4.36E-2</v>
      </c>
      <c r="F202" s="35">
        <f t="shared" si="111"/>
        <v>23.265000000000001</v>
      </c>
      <c r="G202" s="34">
        <f t="shared" si="112"/>
        <v>54.500000000000007</v>
      </c>
      <c r="H202" s="33">
        <f t="shared" si="113"/>
        <v>10.04340836012862</v>
      </c>
      <c r="I202" s="28">
        <f t="shared" si="118"/>
        <v>567.23000000000036</v>
      </c>
      <c r="J202" s="32">
        <v>0</v>
      </c>
      <c r="K202" s="30">
        <f t="shared" si="114"/>
        <v>54.500000000000007</v>
      </c>
      <c r="L202" s="30"/>
      <c r="M202" s="30"/>
      <c r="N202" s="30"/>
      <c r="O202" s="30"/>
      <c r="Q202" s="29">
        <f t="shared" ca="1" si="115"/>
        <v>2</v>
      </c>
      <c r="R202" s="29">
        <f t="shared" ref="R202:AF217" ca="1" si="122">_xlfn.BINOM.INV(50,$E202,RAND())</f>
        <v>1</v>
      </c>
      <c r="S202" s="29">
        <f t="shared" ca="1" si="122"/>
        <v>0</v>
      </c>
      <c r="T202" s="29">
        <f t="shared" ca="1" si="122"/>
        <v>1</v>
      </c>
      <c r="U202" s="29">
        <f t="shared" ca="1" si="122"/>
        <v>1</v>
      </c>
      <c r="V202" s="29">
        <f t="shared" ca="1" si="122"/>
        <v>0</v>
      </c>
      <c r="W202" s="29">
        <f t="shared" ca="1" si="122"/>
        <v>1</v>
      </c>
      <c r="X202" s="29">
        <f t="shared" ca="1" si="122"/>
        <v>3</v>
      </c>
      <c r="Y202" s="29">
        <f t="shared" ca="1" si="122"/>
        <v>3</v>
      </c>
      <c r="Z202" s="29">
        <f t="shared" ca="1" si="122"/>
        <v>1</v>
      </c>
      <c r="AA202" s="29">
        <f t="shared" ca="1" si="122"/>
        <v>3</v>
      </c>
      <c r="AB202" s="29">
        <f t="shared" ca="1" si="122"/>
        <v>2</v>
      </c>
      <c r="AC202" s="29">
        <f t="shared" ca="1" si="122"/>
        <v>4</v>
      </c>
      <c r="AD202" s="29">
        <f t="shared" ca="1" si="122"/>
        <v>2</v>
      </c>
      <c r="AE202" s="29">
        <f t="shared" ca="1" si="122"/>
        <v>4</v>
      </c>
      <c r="AF202" s="29">
        <f t="shared" ca="1" si="122"/>
        <v>4</v>
      </c>
      <c r="AG202" s="29">
        <f t="shared" ca="1" si="121"/>
        <v>0</v>
      </c>
      <c r="AH202" s="29">
        <f t="shared" ca="1" si="121"/>
        <v>0</v>
      </c>
      <c r="AI202" s="29">
        <f t="shared" ca="1" si="121"/>
        <v>2</v>
      </c>
      <c r="AJ202" s="29">
        <f t="shared" ca="1" si="121"/>
        <v>1</v>
      </c>
      <c r="AK202" s="29">
        <f t="shared" ca="1" si="121"/>
        <v>0</v>
      </c>
      <c r="AL202" s="29">
        <f t="shared" ca="1" si="121"/>
        <v>1</v>
      </c>
      <c r="AM202" s="29">
        <f t="shared" ca="1" si="121"/>
        <v>0</v>
      </c>
      <c r="AN202" s="29">
        <f t="shared" ca="1" si="121"/>
        <v>3</v>
      </c>
      <c r="AO202" s="29">
        <f t="shared" ca="1" si="121"/>
        <v>2</v>
      </c>
      <c r="AP202" s="29">
        <f t="shared" ca="1" si="121"/>
        <v>3</v>
      </c>
      <c r="AQ202" s="29">
        <f t="shared" ca="1" si="121"/>
        <v>0</v>
      </c>
      <c r="AR202" s="29">
        <f t="shared" ca="1" si="121"/>
        <v>4</v>
      </c>
      <c r="AS202" s="29">
        <f t="shared" ca="1" si="121"/>
        <v>3</v>
      </c>
      <c r="AT202" s="29">
        <f t="shared" ca="1" si="121"/>
        <v>3</v>
      </c>
      <c r="AU202" s="29">
        <f t="shared" ca="1" si="121"/>
        <v>3</v>
      </c>
      <c r="AV202" s="29">
        <f t="shared" ca="1" si="109"/>
        <v>2</v>
      </c>
      <c r="AW202" s="29">
        <f t="shared" ca="1" si="109"/>
        <v>3</v>
      </c>
      <c r="AX202" s="29">
        <f t="shared" ca="1" si="109"/>
        <v>3</v>
      </c>
      <c r="AY202" s="29">
        <f t="shared" ca="1" si="109"/>
        <v>5</v>
      </c>
      <c r="AZ202" s="29">
        <f t="shared" ca="1" si="109"/>
        <v>1</v>
      </c>
      <c r="BA202" s="29">
        <f t="shared" ca="1" si="109"/>
        <v>2</v>
      </c>
      <c r="BB202" s="29">
        <f t="shared" ca="1" si="109"/>
        <v>1</v>
      </c>
      <c r="BC202" s="29">
        <f t="shared" ca="1" si="109"/>
        <v>3</v>
      </c>
      <c r="BD202" s="29">
        <f t="shared" ca="1" si="109"/>
        <v>3</v>
      </c>
      <c r="BE202" s="29">
        <f t="shared" ca="1" si="109"/>
        <v>2</v>
      </c>
      <c r="BF202" s="29">
        <f t="shared" ca="1" si="109"/>
        <v>2</v>
      </c>
      <c r="BG202" s="29">
        <f t="shared" ca="1" si="109"/>
        <v>1</v>
      </c>
      <c r="BH202" s="29">
        <f t="shared" ca="1" si="109"/>
        <v>2</v>
      </c>
      <c r="BI202" s="29">
        <f t="shared" ca="1" si="109"/>
        <v>2</v>
      </c>
      <c r="BJ202" s="29">
        <f t="shared" ca="1" si="109"/>
        <v>2</v>
      </c>
      <c r="BK202" s="29">
        <f t="shared" ca="1" si="109"/>
        <v>2</v>
      </c>
      <c r="BL202" s="29">
        <f t="shared" ca="1" si="108"/>
        <v>4</v>
      </c>
      <c r="BM202" s="29">
        <f t="shared" ca="1" si="108"/>
        <v>0</v>
      </c>
      <c r="BN202" s="29">
        <f t="shared" ca="1" si="108"/>
        <v>7</v>
      </c>
      <c r="BO202" s="29">
        <f t="shared" ca="1" si="108"/>
        <v>1</v>
      </c>
      <c r="BP202" s="29">
        <f t="shared" ca="1" si="108"/>
        <v>0</v>
      </c>
      <c r="BQ202" s="29">
        <f t="shared" ca="1" si="108"/>
        <v>1</v>
      </c>
      <c r="BR202" s="29">
        <f t="shared" ca="1" si="108"/>
        <v>3</v>
      </c>
      <c r="BS202" s="29">
        <f t="shared" ca="1" si="108"/>
        <v>1</v>
      </c>
      <c r="BT202" s="29">
        <f t="shared" ca="1" si="108"/>
        <v>3</v>
      </c>
      <c r="BU202" s="29">
        <f t="shared" ca="1" si="108"/>
        <v>1</v>
      </c>
      <c r="BV202" s="29">
        <f t="shared" ca="1" si="108"/>
        <v>1</v>
      </c>
      <c r="BW202" s="29">
        <f t="shared" ca="1" si="108"/>
        <v>0</v>
      </c>
      <c r="BX202" s="29">
        <f t="shared" ca="1" si="108"/>
        <v>2</v>
      </c>
      <c r="BY202" s="29">
        <f t="shared" ca="1" si="108"/>
        <v>2</v>
      </c>
      <c r="BZ202" s="29">
        <f t="shared" ca="1" si="108"/>
        <v>2</v>
      </c>
      <c r="CA202" s="29">
        <f t="shared" ca="1" si="120"/>
        <v>1</v>
      </c>
      <c r="CB202" s="29">
        <f t="shared" ca="1" si="120"/>
        <v>2</v>
      </c>
      <c r="CC202" s="29">
        <f t="shared" ca="1" si="120"/>
        <v>3</v>
      </c>
      <c r="CD202" s="29">
        <f t="shared" ca="1" si="120"/>
        <v>2</v>
      </c>
      <c r="CE202" s="29">
        <f t="shared" ca="1" si="120"/>
        <v>3</v>
      </c>
      <c r="CF202" s="29">
        <f t="shared" ca="1" si="120"/>
        <v>4</v>
      </c>
      <c r="CG202" s="29">
        <f t="shared" ca="1" si="120"/>
        <v>0</v>
      </c>
      <c r="CH202" s="29">
        <f t="shared" ca="1" si="120"/>
        <v>3</v>
      </c>
      <c r="CI202" s="29">
        <f t="shared" ca="1" si="120"/>
        <v>1</v>
      </c>
      <c r="CJ202" s="29">
        <f t="shared" ca="1" si="120"/>
        <v>2</v>
      </c>
      <c r="CK202" s="29">
        <f t="shared" ca="1" si="120"/>
        <v>1</v>
      </c>
      <c r="CL202" s="29">
        <f t="shared" ca="1" si="120"/>
        <v>0</v>
      </c>
      <c r="CM202" s="29">
        <f t="shared" ca="1" si="120"/>
        <v>3</v>
      </c>
      <c r="CN202" s="29">
        <f t="shared" ca="1" si="120"/>
        <v>0</v>
      </c>
      <c r="CO202" s="29">
        <f t="shared" ca="1" si="120"/>
        <v>1</v>
      </c>
      <c r="CP202" s="29">
        <f t="shared" ca="1" si="120"/>
        <v>4</v>
      </c>
      <c r="CQ202" s="29">
        <f t="shared" ca="1" si="119"/>
        <v>2</v>
      </c>
      <c r="CR202" s="29">
        <f t="shared" ca="1" si="119"/>
        <v>3</v>
      </c>
      <c r="CS202" s="29">
        <f t="shared" ca="1" si="119"/>
        <v>1</v>
      </c>
      <c r="CT202" s="29">
        <f t="shared" ca="1" si="119"/>
        <v>1</v>
      </c>
      <c r="CU202" s="29">
        <f t="shared" ca="1" si="119"/>
        <v>4</v>
      </c>
      <c r="CV202" s="29">
        <f t="shared" ca="1" si="119"/>
        <v>2</v>
      </c>
      <c r="CW202" s="29">
        <f t="shared" ca="1" si="119"/>
        <v>3</v>
      </c>
      <c r="CX202" s="29">
        <f t="shared" ca="1" si="119"/>
        <v>1</v>
      </c>
      <c r="CY202" s="29">
        <f t="shared" ca="1" si="119"/>
        <v>3</v>
      </c>
      <c r="CZ202" s="29">
        <f t="shared" ca="1" si="119"/>
        <v>3</v>
      </c>
      <c r="DA202" s="29">
        <f t="shared" ca="1" si="119"/>
        <v>1</v>
      </c>
      <c r="DB202" s="29">
        <f t="shared" ca="1" si="119"/>
        <v>0</v>
      </c>
      <c r="DC202" s="29">
        <f t="shared" ca="1" si="119"/>
        <v>5</v>
      </c>
      <c r="DD202" s="29">
        <f t="shared" ca="1" si="119"/>
        <v>2</v>
      </c>
      <c r="DE202" s="29">
        <f t="shared" ca="1" si="119"/>
        <v>3</v>
      </c>
      <c r="DF202" s="29">
        <f t="shared" ca="1" si="117"/>
        <v>3</v>
      </c>
      <c r="DG202" s="29">
        <f t="shared" ca="1" si="117"/>
        <v>1</v>
      </c>
      <c r="DH202" s="29">
        <f t="shared" ca="1" si="117"/>
        <v>2</v>
      </c>
      <c r="DI202" s="29">
        <f t="shared" ca="1" si="117"/>
        <v>2</v>
      </c>
      <c r="DJ202" s="29">
        <f t="shared" ca="1" si="117"/>
        <v>4</v>
      </c>
      <c r="DK202" s="29">
        <f t="shared" ca="1" si="117"/>
        <v>4</v>
      </c>
      <c r="DL202" s="29">
        <f t="shared" ca="1" si="117"/>
        <v>2</v>
      </c>
    </row>
    <row r="203" spans="1:116" ht="14.4" x14ac:dyDescent="0.3">
      <c r="A203" s="31">
        <v>942</v>
      </c>
      <c r="B203" s="28">
        <v>4.22</v>
      </c>
      <c r="C203" s="30">
        <v>69.7</v>
      </c>
      <c r="D203" s="28">
        <v>2.39</v>
      </c>
      <c r="E203" s="34">
        <f t="shared" si="110"/>
        <v>4.7800000000000002E-2</v>
      </c>
      <c r="F203" s="35">
        <f t="shared" si="111"/>
        <v>17.425000000000001</v>
      </c>
      <c r="G203" s="34">
        <f t="shared" si="112"/>
        <v>59.75</v>
      </c>
      <c r="H203" s="33">
        <f t="shared" si="113"/>
        <v>10.029620853080569</v>
      </c>
      <c r="I203" s="28">
        <f t="shared" si="118"/>
        <v>571.45000000000039</v>
      </c>
      <c r="J203" s="32">
        <v>0</v>
      </c>
      <c r="K203" s="30">
        <f t="shared" si="114"/>
        <v>59.75</v>
      </c>
      <c r="L203" s="30"/>
      <c r="M203" s="30"/>
      <c r="N203" s="30"/>
      <c r="O203" s="30"/>
      <c r="Q203" s="29">
        <f t="shared" ca="1" si="115"/>
        <v>2</v>
      </c>
      <c r="R203" s="29">
        <f t="shared" ca="1" si="122"/>
        <v>3</v>
      </c>
      <c r="S203" s="29">
        <f t="shared" ca="1" si="122"/>
        <v>5</v>
      </c>
      <c r="T203" s="29">
        <f t="shared" ca="1" si="122"/>
        <v>2</v>
      </c>
      <c r="U203" s="29">
        <f t="shared" ca="1" si="122"/>
        <v>3</v>
      </c>
      <c r="V203" s="29">
        <f t="shared" ca="1" si="122"/>
        <v>3</v>
      </c>
      <c r="W203" s="29">
        <f t="shared" ca="1" si="122"/>
        <v>2</v>
      </c>
      <c r="X203" s="29">
        <f t="shared" ca="1" si="122"/>
        <v>2</v>
      </c>
      <c r="Y203" s="29">
        <f t="shared" ca="1" si="122"/>
        <v>2</v>
      </c>
      <c r="Z203" s="29">
        <f t="shared" ca="1" si="122"/>
        <v>1</v>
      </c>
      <c r="AA203" s="29">
        <f t="shared" ca="1" si="122"/>
        <v>4</v>
      </c>
      <c r="AB203" s="29">
        <f t="shared" ca="1" si="122"/>
        <v>1</v>
      </c>
      <c r="AC203" s="29">
        <f t="shared" ca="1" si="122"/>
        <v>1</v>
      </c>
      <c r="AD203" s="29">
        <f t="shared" ca="1" si="122"/>
        <v>2</v>
      </c>
      <c r="AE203" s="29">
        <f t="shared" ca="1" si="122"/>
        <v>1</v>
      </c>
      <c r="AF203" s="29">
        <f t="shared" ca="1" si="122"/>
        <v>0</v>
      </c>
      <c r="AG203" s="29">
        <f t="shared" ca="1" si="121"/>
        <v>2</v>
      </c>
      <c r="AH203" s="29">
        <f t="shared" ca="1" si="121"/>
        <v>1</v>
      </c>
      <c r="AI203" s="29">
        <f t="shared" ca="1" si="121"/>
        <v>2</v>
      </c>
      <c r="AJ203" s="29">
        <f t="shared" ca="1" si="121"/>
        <v>2</v>
      </c>
      <c r="AK203" s="29">
        <f t="shared" ca="1" si="121"/>
        <v>1</v>
      </c>
      <c r="AL203" s="29">
        <f t="shared" ca="1" si="121"/>
        <v>3</v>
      </c>
      <c r="AM203" s="29">
        <f t="shared" ca="1" si="121"/>
        <v>7</v>
      </c>
      <c r="AN203" s="29">
        <f t="shared" ca="1" si="121"/>
        <v>3</v>
      </c>
      <c r="AO203" s="29">
        <f t="shared" ca="1" si="121"/>
        <v>4</v>
      </c>
      <c r="AP203" s="29">
        <f t="shared" ca="1" si="121"/>
        <v>3</v>
      </c>
      <c r="AQ203" s="29">
        <f t="shared" ca="1" si="121"/>
        <v>2</v>
      </c>
      <c r="AR203" s="29">
        <f t="shared" ca="1" si="121"/>
        <v>2</v>
      </c>
      <c r="AS203" s="29">
        <f t="shared" ca="1" si="121"/>
        <v>2</v>
      </c>
      <c r="AT203" s="29">
        <f t="shared" ca="1" si="121"/>
        <v>5</v>
      </c>
      <c r="AU203" s="29">
        <f t="shared" ca="1" si="121"/>
        <v>2</v>
      </c>
      <c r="AV203" s="29">
        <f t="shared" ca="1" si="109"/>
        <v>1</v>
      </c>
      <c r="AW203" s="29">
        <f t="shared" ca="1" si="109"/>
        <v>1</v>
      </c>
      <c r="AX203" s="29">
        <f t="shared" ca="1" si="109"/>
        <v>0</v>
      </c>
      <c r="AY203" s="29">
        <f t="shared" ca="1" si="109"/>
        <v>1</v>
      </c>
      <c r="AZ203" s="29">
        <f t="shared" ca="1" si="109"/>
        <v>1</v>
      </c>
      <c r="BA203" s="29">
        <f t="shared" ca="1" si="109"/>
        <v>0</v>
      </c>
      <c r="BB203" s="29">
        <f t="shared" ca="1" si="109"/>
        <v>1</v>
      </c>
      <c r="BC203" s="29">
        <f t="shared" ca="1" si="109"/>
        <v>2</v>
      </c>
      <c r="BD203" s="29">
        <f t="shared" ca="1" si="109"/>
        <v>5</v>
      </c>
      <c r="BE203" s="29">
        <f t="shared" ca="1" si="109"/>
        <v>4</v>
      </c>
      <c r="BF203" s="29">
        <f t="shared" ca="1" si="109"/>
        <v>0</v>
      </c>
      <c r="BG203" s="29">
        <f t="shared" ca="1" si="109"/>
        <v>2</v>
      </c>
      <c r="BH203" s="29">
        <f t="shared" ca="1" si="109"/>
        <v>0</v>
      </c>
      <c r="BI203" s="29">
        <f t="shared" ca="1" si="109"/>
        <v>1</v>
      </c>
      <c r="BJ203" s="29">
        <f t="shared" ca="1" si="109"/>
        <v>3</v>
      </c>
      <c r="BK203" s="29">
        <f t="shared" ca="1" si="109"/>
        <v>3</v>
      </c>
      <c r="BL203" s="29">
        <f t="shared" ca="1" si="108"/>
        <v>3</v>
      </c>
      <c r="BM203" s="29">
        <f t="shared" ca="1" si="108"/>
        <v>1</v>
      </c>
      <c r="BN203" s="29">
        <f t="shared" ca="1" si="108"/>
        <v>1</v>
      </c>
      <c r="BO203" s="29">
        <f t="shared" ca="1" si="108"/>
        <v>2</v>
      </c>
      <c r="BP203" s="29">
        <f t="shared" ca="1" si="108"/>
        <v>3</v>
      </c>
      <c r="BQ203" s="29">
        <f t="shared" ca="1" si="108"/>
        <v>2</v>
      </c>
      <c r="BR203" s="29">
        <f t="shared" ca="1" si="108"/>
        <v>3</v>
      </c>
      <c r="BS203" s="29">
        <f t="shared" ca="1" si="108"/>
        <v>6</v>
      </c>
      <c r="BT203" s="29">
        <f t="shared" ca="1" si="108"/>
        <v>4</v>
      </c>
      <c r="BU203" s="29">
        <f t="shared" ca="1" si="108"/>
        <v>1</v>
      </c>
      <c r="BV203" s="29">
        <f t="shared" ca="1" si="108"/>
        <v>3</v>
      </c>
      <c r="BW203" s="29">
        <f t="shared" ca="1" si="108"/>
        <v>2</v>
      </c>
      <c r="BX203" s="29">
        <f t="shared" ca="1" si="108"/>
        <v>2</v>
      </c>
      <c r="BY203" s="29">
        <f t="shared" ca="1" si="108"/>
        <v>2</v>
      </c>
      <c r="BZ203" s="29">
        <f t="shared" ca="1" si="108"/>
        <v>1</v>
      </c>
      <c r="CA203" s="29">
        <f t="shared" ca="1" si="120"/>
        <v>2</v>
      </c>
      <c r="CB203" s="29">
        <f t="shared" ca="1" si="120"/>
        <v>2</v>
      </c>
      <c r="CC203" s="29">
        <f t="shared" ca="1" si="120"/>
        <v>0</v>
      </c>
      <c r="CD203" s="29">
        <f t="shared" ca="1" si="120"/>
        <v>3</v>
      </c>
      <c r="CE203" s="29">
        <f t="shared" ca="1" si="120"/>
        <v>2</v>
      </c>
      <c r="CF203" s="29">
        <f t="shared" ca="1" si="120"/>
        <v>1</v>
      </c>
      <c r="CG203" s="29">
        <f t="shared" ca="1" si="120"/>
        <v>2</v>
      </c>
      <c r="CH203" s="29">
        <f t="shared" ca="1" si="120"/>
        <v>6</v>
      </c>
      <c r="CI203" s="29">
        <f t="shared" ca="1" si="120"/>
        <v>4</v>
      </c>
      <c r="CJ203" s="29">
        <f t="shared" ca="1" si="120"/>
        <v>2</v>
      </c>
      <c r="CK203" s="29">
        <f t="shared" ca="1" si="120"/>
        <v>3</v>
      </c>
      <c r="CL203" s="29">
        <f t="shared" ca="1" si="120"/>
        <v>0</v>
      </c>
      <c r="CM203" s="29">
        <f t="shared" ca="1" si="120"/>
        <v>3</v>
      </c>
      <c r="CN203" s="29">
        <f t="shared" ca="1" si="120"/>
        <v>5</v>
      </c>
      <c r="CO203" s="29">
        <f t="shared" ca="1" si="120"/>
        <v>3</v>
      </c>
      <c r="CP203" s="29">
        <f t="shared" ca="1" si="120"/>
        <v>5</v>
      </c>
      <c r="CQ203" s="29">
        <f t="shared" ca="1" si="119"/>
        <v>2</v>
      </c>
      <c r="CR203" s="29">
        <f t="shared" ca="1" si="119"/>
        <v>1</v>
      </c>
      <c r="CS203" s="29">
        <f t="shared" ca="1" si="119"/>
        <v>2</v>
      </c>
      <c r="CT203" s="29">
        <f t="shared" ca="1" si="119"/>
        <v>4</v>
      </c>
      <c r="CU203" s="29">
        <f t="shared" ca="1" si="119"/>
        <v>2</v>
      </c>
      <c r="CV203" s="29">
        <f t="shared" ca="1" si="119"/>
        <v>3</v>
      </c>
      <c r="CW203" s="29">
        <f t="shared" ca="1" si="119"/>
        <v>0</v>
      </c>
      <c r="CX203" s="29">
        <f t="shared" ca="1" si="119"/>
        <v>2</v>
      </c>
      <c r="CY203" s="29">
        <f t="shared" ca="1" si="119"/>
        <v>5</v>
      </c>
      <c r="CZ203" s="29">
        <f t="shared" ca="1" si="119"/>
        <v>0</v>
      </c>
      <c r="DA203" s="29">
        <f t="shared" ca="1" si="119"/>
        <v>3</v>
      </c>
      <c r="DB203" s="29">
        <f t="shared" ca="1" si="119"/>
        <v>3</v>
      </c>
      <c r="DC203" s="29">
        <f t="shared" ca="1" si="119"/>
        <v>0</v>
      </c>
      <c r="DD203" s="29">
        <f t="shared" ca="1" si="119"/>
        <v>0</v>
      </c>
      <c r="DE203" s="29">
        <f t="shared" ca="1" si="119"/>
        <v>3</v>
      </c>
      <c r="DF203" s="29">
        <f t="shared" ca="1" si="117"/>
        <v>3</v>
      </c>
      <c r="DG203" s="29">
        <f t="shared" ca="1" si="117"/>
        <v>1</v>
      </c>
      <c r="DH203" s="29">
        <f t="shared" ca="1" si="117"/>
        <v>2</v>
      </c>
      <c r="DI203" s="29">
        <f t="shared" ca="1" si="117"/>
        <v>1</v>
      </c>
      <c r="DJ203" s="29">
        <f t="shared" ca="1" si="117"/>
        <v>2</v>
      </c>
      <c r="DK203" s="29">
        <f t="shared" ca="1" si="117"/>
        <v>3</v>
      </c>
      <c r="DL203" s="29">
        <f t="shared" ca="1" si="117"/>
        <v>1</v>
      </c>
    </row>
    <row r="204" spans="1:116" ht="14.4" x14ac:dyDescent="0.3">
      <c r="A204" s="31">
        <v>615</v>
      </c>
      <c r="B204" s="28">
        <v>3.03</v>
      </c>
      <c r="C204" s="30">
        <v>50.92</v>
      </c>
      <c r="D204" s="28">
        <v>1.72</v>
      </c>
      <c r="E204" s="34">
        <f t="shared" si="110"/>
        <v>3.44E-2</v>
      </c>
      <c r="F204" s="35">
        <f t="shared" si="111"/>
        <v>12.73</v>
      </c>
      <c r="G204" s="34">
        <f t="shared" si="112"/>
        <v>43</v>
      </c>
      <c r="H204" s="33">
        <f t="shared" si="113"/>
        <v>9.990099009900991</v>
      </c>
      <c r="I204" s="28">
        <f t="shared" si="118"/>
        <v>574.48000000000036</v>
      </c>
      <c r="J204" s="32">
        <v>0</v>
      </c>
      <c r="K204" s="30">
        <f t="shared" si="114"/>
        <v>43</v>
      </c>
      <c r="L204" s="30"/>
      <c r="M204" s="30"/>
      <c r="N204" s="30"/>
      <c r="O204" s="30"/>
      <c r="Q204" s="29">
        <f t="shared" ca="1" si="115"/>
        <v>0</v>
      </c>
      <c r="R204" s="29">
        <f t="shared" ca="1" si="122"/>
        <v>0</v>
      </c>
      <c r="S204" s="29">
        <f t="shared" ca="1" si="122"/>
        <v>0</v>
      </c>
      <c r="T204" s="29">
        <f t="shared" ca="1" si="122"/>
        <v>1</v>
      </c>
      <c r="U204" s="29">
        <f t="shared" ca="1" si="122"/>
        <v>0</v>
      </c>
      <c r="V204" s="29">
        <f t="shared" ca="1" si="122"/>
        <v>4</v>
      </c>
      <c r="W204" s="29">
        <f t="shared" ca="1" si="122"/>
        <v>3</v>
      </c>
      <c r="X204" s="29">
        <f t="shared" ca="1" si="122"/>
        <v>1</v>
      </c>
      <c r="Y204" s="29">
        <f t="shared" ca="1" si="122"/>
        <v>1</v>
      </c>
      <c r="Z204" s="29">
        <f t="shared" ca="1" si="122"/>
        <v>4</v>
      </c>
      <c r="AA204" s="29">
        <f t="shared" ca="1" si="122"/>
        <v>2</v>
      </c>
      <c r="AB204" s="29">
        <f t="shared" ca="1" si="122"/>
        <v>1</v>
      </c>
      <c r="AC204" s="29">
        <f t="shared" ca="1" si="122"/>
        <v>1</v>
      </c>
      <c r="AD204" s="29">
        <f t="shared" ca="1" si="122"/>
        <v>1</v>
      </c>
      <c r="AE204" s="29">
        <f t="shared" ca="1" si="122"/>
        <v>2</v>
      </c>
      <c r="AF204" s="29">
        <f t="shared" ca="1" si="122"/>
        <v>0</v>
      </c>
      <c r="AG204" s="29">
        <f t="shared" ca="1" si="121"/>
        <v>1</v>
      </c>
      <c r="AH204" s="29">
        <f t="shared" ca="1" si="121"/>
        <v>1</v>
      </c>
      <c r="AI204" s="29">
        <f t="shared" ca="1" si="121"/>
        <v>2</v>
      </c>
      <c r="AJ204" s="29">
        <f t="shared" ca="1" si="121"/>
        <v>4</v>
      </c>
      <c r="AK204" s="29">
        <f t="shared" ca="1" si="121"/>
        <v>0</v>
      </c>
      <c r="AL204" s="29">
        <f t="shared" ca="1" si="121"/>
        <v>1</v>
      </c>
      <c r="AM204" s="29">
        <f t="shared" ca="1" si="121"/>
        <v>1</v>
      </c>
      <c r="AN204" s="29">
        <f t="shared" ca="1" si="121"/>
        <v>5</v>
      </c>
      <c r="AO204" s="29">
        <f t="shared" ca="1" si="121"/>
        <v>1</v>
      </c>
      <c r="AP204" s="29">
        <f t="shared" ca="1" si="121"/>
        <v>0</v>
      </c>
      <c r="AQ204" s="29">
        <f t="shared" ca="1" si="121"/>
        <v>1</v>
      </c>
      <c r="AR204" s="29">
        <f t="shared" ca="1" si="121"/>
        <v>1</v>
      </c>
      <c r="AS204" s="29">
        <f t="shared" ca="1" si="121"/>
        <v>3</v>
      </c>
      <c r="AT204" s="29">
        <f t="shared" ca="1" si="121"/>
        <v>0</v>
      </c>
      <c r="AU204" s="29">
        <f t="shared" ca="1" si="121"/>
        <v>3</v>
      </c>
      <c r="AV204" s="29">
        <f t="shared" ca="1" si="109"/>
        <v>0</v>
      </c>
      <c r="AW204" s="29">
        <f t="shared" ca="1" si="109"/>
        <v>0</v>
      </c>
      <c r="AX204" s="29">
        <f t="shared" ca="1" si="109"/>
        <v>0</v>
      </c>
      <c r="AY204" s="29">
        <f t="shared" ca="1" si="109"/>
        <v>2</v>
      </c>
      <c r="AZ204" s="29">
        <f t="shared" ca="1" si="109"/>
        <v>6</v>
      </c>
      <c r="BA204" s="29">
        <f t="shared" ca="1" si="109"/>
        <v>1</v>
      </c>
      <c r="BB204" s="29">
        <f t="shared" ca="1" si="109"/>
        <v>1</v>
      </c>
      <c r="BC204" s="29">
        <f t="shared" ca="1" si="109"/>
        <v>3</v>
      </c>
      <c r="BD204" s="29">
        <f t="shared" ca="1" si="109"/>
        <v>0</v>
      </c>
      <c r="BE204" s="29">
        <f t="shared" ca="1" si="109"/>
        <v>3</v>
      </c>
      <c r="BF204" s="29">
        <f t="shared" ca="1" si="109"/>
        <v>6</v>
      </c>
      <c r="BG204" s="29">
        <f t="shared" ca="1" si="109"/>
        <v>1</v>
      </c>
      <c r="BH204" s="29">
        <f t="shared" ca="1" si="109"/>
        <v>1</v>
      </c>
      <c r="BI204" s="29">
        <f t="shared" ca="1" si="109"/>
        <v>1</v>
      </c>
      <c r="BJ204" s="29">
        <f t="shared" ca="1" si="109"/>
        <v>2</v>
      </c>
      <c r="BK204" s="29">
        <f t="shared" ref="BK204:BZ219" ca="1" si="123">_xlfn.BINOM.INV(50,$E204,RAND())</f>
        <v>3</v>
      </c>
      <c r="BL204" s="29">
        <f t="shared" ca="1" si="123"/>
        <v>1</v>
      </c>
      <c r="BM204" s="29">
        <f t="shared" ca="1" si="123"/>
        <v>2</v>
      </c>
      <c r="BN204" s="29">
        <f t="shared" ca="1" si="123"/>
        <v>1</v>
      </c>
      <c r="BO204" s="29">
        <f t="shared" ca="1" si="123"/>
        <v>1</v>
      </c>
      <c r="BP204" s="29">
        <f t="shared" ca="1" si="123"/>
        <v>3</v>
      </c>
      <c r="BQ204" s="29">
        <f t="shared" ca="1" si="123"/>
        <v>3</v>
      </c>
      <c r="BR204" s="29">
        <f t="shared" ca="1" si="123"/>
        <v>1</v>
      </c>
      <c r="BS204" s="29">
        <f t="shared" ca="1" si="123"/>
        <v>2</v>
      </c>
      <c r="BT204" s="29">
        <f t="shared" ca="1" si="123"/>
        <v>3</v>
      </c>
      <c r="BU204" s="29">
        <f t="shared" ca="1" si="123"/>
        <v>3</v>
      </c>
      <c r="BV204" s="29">
        <f t="shared" ca="1" si="123"/>
        <v>2</v>
      </c>
      <c r="BW204" s="29">
        <f t="shared" ca="1" si="123"/>
        <v>2</v>
      </c>
      <c r="BX204" s="29">
        <f t="shared" ca="1" si="123"/>
        <v>1</v>
      </c>
      <c r="BY204" s="29">
        <f t="shared" ca="1" si="123"/>
        <v>2</v>
      </c>
      <c r="BZ204" s="29">
        <f t="shared" ca="1" si="123"/>
        <v>2</v>
      </c>
      <c r="CA204" s="29">
        <f t="shared" ca="1" si="120"/>
        <v>2</v>
      </c>
      <c r="CB204" s="29">
        <f t="shared" ca="1" si="120"/>
        <v>1</v>
      </c>
      <c r="CC204" s="29">
        <f t="shared" ca="1" si="120"/>
        <v>6</v>
      </c>
      <c r="CD204" s="29">
        <f t="shared" ca="1" si="120"/>
        <v>5</v>
      </c>
      <c r="CE204" s="29">
        <f t="shared" ca="1" si="120"/>
        <v>2</v>
      </c>
      <c r="CF204" s="29">
        <f t="shared" ca="1" si="120"/>
        <v>3</v>
      </c>
      <c r="CG204" s="29">
        <f t="shared" ca="1" si="120"/>
        <v>2</v>
      </c>
      <c r="CH204" s="29">
        <f t="shared" ca="1" si="120"/>
        <v>0</v>
      </c>
      <c r="CI204" s="29">
        <f t="shared" ca="1" si="120"/>
        <v>1</v>
      </c>
      <c r="CJ204" s="29">
        <f t="shared" ca="1" si="120"/>
        <v>1</v>
      </c>
      <c r="CK204" s="29">
        <f t="shared" ca="1" si="120"/>
        <v>2</v>
      </c>
      <c r="CL204" s="29">
        <f t="shared" ca="1" si="120"/>
        <v>2</v>
      </c>
      <c r="CM204" s="29">
        <f t="shared" ca="1" si="120"/>
        <v>1</v>
      </c>
      <c r="CN204" s="29">
        <f t="shared" ca="1" si="120"/>
        <v>1</v>
      </c>
      <c r="CO204" s="29">
        <f t="shared" ca="1" si="120"/>
        <v>3</v>
      </c>
      <c r="CP204" s="29">
        <f t="shared" ca="1" si="120"/>
        <v>1</v>
      </c>
      <c r="CQ204" s="29">
        <f t="shared" ca="1" si="119"/>
        <v>1</v>
      </c>
      <c r="CR204" s="29">
        <f t="shared" ca="1" si="119"/>
        <v>2</v>
      </c>
      <c r="CS204" s="29">
        <f t="shared" ca="1" si="119"/>
        <v>3</v>
      </c>
      <c r="CT204" s="29">
        <f t="shared" ca="1" si="119"/>
        <v>3</v>
      </c>
      <c r="CU204" s="29">
        <f t="shared" ca="1" si="119"/>
        <v>4</v>
      </c>
      <c r="CV204" s="29">
        <f t="shared" ca="1" si="119"/>
        <v>2</v>
      </c>
      <c r="CW204" s="29">
        <f t="shared" ca="1" si="119"/>
        <v>0</v>
      </c>
      <c r="CX204" s="29">
        <f t="shared" ca="1" si="119"/>
        <v>1</v>
      </c>
      <c r="CY204" s="29">
        <f t="shared" ca="1" si="119"/>
        <v>3</v>
      </c>
      <c r="CZ204" s="29">
        <f t="shared" ca="1" si="119"/>
        <v>1</v>
      </c>
      <c r="DA204" s="29">
        <f t="shared" ca="1" si="119"/>
        <v>1</v>
      </c>
      <c r="DB204" s="29">
        <f t="shared" ca="1" si="119"/>
        <v>1</v>
      </c>
      <c r="DC204" s="29">
        <f t="shared" ca="1" si="119"/>
        <v>0</v>
      </c>
      <c r="DD204" s="29">
        <f t="shared" ca="1" si="119"/>
        <v>1</v>
      </c>
      <c r="DE204" s="29">
        <f t="shared" ca="1" si="119"/>
        <v>1</v>
      </c>
      <c r="DF204" s="29">
        <f t="shared" ca="1" si="117"/>
        <v>1</v>
      </c>
      <c r="DG204" s="29">
        <f t="shared" ca="1" si="117"/>
        <v>3</v>
      </c>
      <c r="DH204" s="29">
        <f t="shared" ca="1" si="117"/>
        <v>1</v>
      </c>
      <c r="DI204" s="29">
        <f t="shared" ca="1" si="117"/>
        <v>0</v>
      </c>
      <c r="DJ204" s="29">
        <f t="shared" ca="1" si="117"/>
        <v>2</v>
      </c>
      <c r="DK204" s="29">
        <f t="shared" ca="1" si="117"/>
        <v>2</v>
      </c>
      <c r="DL204" s="29">
        <f t="shared" ca="1" si="117"/>
        <v>1</v>
      </c>
    </row>
    <row r="205" spans="1:116" ht="14.4" x14ac:dyDescent="0.3">
      <c r="A205" s="31">
        <v>16</v>
      </c>
      <c r="B205" s="28">
        <v>3.19</v>
      </c>
      <c r="C205" s="30">
        <v>37.840000000000003</v>
      </c>
      <c r="D205" s="28">
        <v>1.65</v>
      </c>
      <c r="E205" s="34">
        <f t="shared" si="110"/>
        <v>3.3000000000000002E-2</v>
      </c>
      <c r="F205" s="35">
        <f t="shared" si="111"/>
        <v>9.4600000000000009</v>
      </c>
      <c r="G205" s="34">
        <f t="shared" si="112"/>
        <v>41.25</v>
      </c>
      <c r="H205" s="33">
        <f t="shared" si="113"/>
        <v>9.9655172413793096</v>
      </c>
      <c r="I205" s="28">
        <f t="shared" si="118"/>
        <v>577.67000000000041</v>
      </c>
      <c r="J205" s="32">
        <v>0</v>
      </c>
      <c r="K205" s="30">
        <f t="shared" si="114"/>
        <v>41.25</v>
      </c>
      <c r="L205" s="30"/>
      <c r="M205" s="30"/>
      <c r="N205" s="30"/>
      <c r="O205" s="30"/>
      <c r="Q205" s="29">
        <f t="shared" ca="1" si="115"/>
        <v>1</v>
      </c>
      <c r="R205" s="29">
        <f t="shared" ca="1" si="122"/>
        <v>1</v>
      </c>
      <c r="S205" s="29">
        <f t="shared" ca="1" si="122"/>
        <v>1</v>
      </c>
      <c r="T205" s="29">
        <f t="shared" ca="1" si="122"/>
        <v>0</v>
      </c>
      <c r="U205" s="29">
        <f t="shared" ca="1" si="122"/>
        <v>1</v>
      </c>
      <c r="V205" s="29">
        <f t="shared" ca="1" si="122"/>
        <v>1</v>
      </c>
      <c r="W205" s="29">
        <f t="shared" ca="1" si="122"/>
        <v>3</v>
      </c>
      <c r="X205" s="29">
        <f t="shared" ca="1" si="122"/>
        <v>2</v>
      </c>
      <c r="Y205" s="29">
        <f t="shared" ca="1" si="122"/>
        <v>0</v>
      </c>
      <c r="Z205" s="29">
        <f t="shared" ca="1" si="122"/>
        <v>2</v>
      </c>
      <c r="AA205" s="29">
        <f t="shared" ca="1" si="122"/>
        <v>0</v>
      </c>
      <c r="AB205" s="29">
        <f t="shared" ca="1" si="122"/>
        <v>0</v>
      </c>
      <c r="AC205" s="29">
        <f t="shared" ca="1" si="122"/>
        <v>1</v>
      </c>
      <c r="AD205" s="29">
        <f t="shared" ca="1" si="122"/>
        <v>2</v>
      </c>
      <c r="AE205" s="29">
        <f t="shared" ca="1" si="122"/>
        <v>1</v>
      </c>
      <c r="AF205" s="29">
        <f t="shared" ca="1" si="122"/>
        <v>0</v>
      </c>
      <c r="AG205" s="29">
        <f t="shared" ca="1" si="121"/>
        <v>2</v>
      </c>
      <c r="AH205" s="29">
        <f t="shared" ca="1" si="121"/>
        <v>1</v>
      </c>
      <c r="AI205" s="29">
        <f t="shared" ca="1" si="121"/>
        <v>1</v>
      </c>
      <c r="AJ205" s="29">
        <f t="shared" ca="1" si="121"/>
        <v>4</v>
      </c>
      <c r="AK205" s="29">
        <f t="shared" ca="1" si="121"/>
        <v>1</v>
      </c>
      <c r="AL205" s="29">
        <f t="shared" ca="1" si="121"/>
        <v>1</v>
      </c>
      <c r="AM205" s="29">
        <f t="shared" ca="1" si="121"/>
        <v>1</v>
      </c>
      <c r="AN205" s="29">
        <f t="shared" ca="1" si="121"/>
        <v>2</v>
      </c>
      <c r="AO205" s="29">
        <f t="shared" ca="1" si="121"/>
        <v>1</v>
      </c>
      <c r="AP205" s="29">
        <f t="shared" ca="1" si="121"/>
        <v>1</v>
      </c>
      <c r="AQ205" s="29">
        <f t="shared" ca="1" si="121"/>
        <v>2</v>
      </c>
      <c r="AR205" s="29">
        <f t="shared" ca="1" si="121"/>
        <v>3</v>
      </c>
      <c r="AS205" s="29">
        <f t="shared" ca="1" si="121"/>
        <v>2</v>
      </c>
      <c r="AT205" s="29">
        <f t="shared" ca="1" si="121"/>
        <v>0</v>
      </c>
      <c r="AU205" s="29">
        <f t="shared" ca="1" si="121"/>
        <v>0</v>
      </c>
      <c r="AV205" s="29">
        <f t="shared" ref="AV205:BK220" ca="1" si="124">_xlfn.BINOM.INV(50,$E205,RAND())</f>
        <v>0</v>
      </c>
      <c r="AW205" s="29">
        <f t="shared" ca="1" si="124"/>
        <v>2</v>
      </c>
      <c r="AX205" s="29">
        <f t="shared" ca="1" si="124"/>
        <v>2</v>
      </c>
      <c r="AY205" s="29">
        <f t="shared" ca="1" si="124"/>
        <v>2</v>
      </c>
      <c r="AZ205" s="29">
        <f t="shared" ca="1" si="124"/>
        <v>3</v>
      </c>
      <c r="BA205" s="29">
        <f t="shared" ca="1" si="124"/>
        <v>3</v>
      </c>
      <c r="BB205" s="29">
        <f t="shared" ca="1" si="124"/>
        <v>3</v>
      </c>
      <c r="BC205" s="29">
        <f t="shared" ca="1" si="124"/>
        <v>3</v>
      </c>
      <c r="BD205" s="29">
        <f t="shared" ca="1" si="124"/>
        <v>1</v>
      </c>
      <c r="BE205" s="29">
        <f t="shared" ca="1" si="124"/>
        <v>2</v>
      </c>
      <c r="BF205" s="29">
        <f t="shared" ca="1" si="124"/>
        <v>0</v>
      </c>
      <c r="BG205" s="29">
        <f t="shared" ca="1" si="124"/>
        <v>2</v>
      </c>
      <c r="BH205" s="29">
        <f t="shared" ca="1" si="124"/>
        <v>3</v>
      </c>
      <c r="BI205" s="29">
        <f t="shared" ca="1" si="124"/>
        <v>2</v>
      </c>
      <c r="BJ205" s="29">
        <f t="shared" ca="1" si="124"/>
        <v>1</v>
      </c>
      <c r="BK205" s="29">
        <f t="shared" ca="1" si="124"/>
        <v>3</v>
      </c>
      <c r="BL205" s="29">
        <f t="shared" ca="1" si="123"/>
        <v>0</v>
      </c>
      <c r="BM205" s="29">
        <f t="shared" ca="1" si="123"/>
        <v>0</v>
      </c>
      <c r="BN205" s="29">
        <f t="shared" ca="1" si="123"/>
        <v>1</v>
      </c>
      <c r="BO205" s="29">
        <f t="shared" ca="1" si="123"/>
        <v>1</v>
      </c>
      <c r="BP205" s="29">
        <f t="shared" ca="1" si="123"/>
        <v>2</v>
      </c>
      <c r="BQ205" s="29">
        <f t="shared" ca="1" si="123"/>
        <v>2</v>
      </c>
      <c r="BR205" s="29">
        <f t="shared" ca="1" si="123"/>
        <v>2</v>
      </c>
      <c r="BS205" s="29">
        <f t="shared" ca="1" si="123"/>
        <v>2</v>
      </c>
      <c r="BT205" s="29">
        <f t="shared" ca="1" si="123"/>
        <v>0</v>
      </c>
      <c r="BU205" s="29">
        <f t="shared" ca="1" si="123"/>
        <v>0</v>
      </c>
      <c r="BV205" s="29">
        <f t="shared" ca="1" si="123"/>
        <v>2</v>
      </c>
      <c r="BW205" s="29">
        <f t="shared" ca="1" si="123"/>
        <v>1</v>
      </c>
      <c r="BX205" s="29">
        <f t="shared" ca="1" si="123"/>
        <v>0</v>
      </c>
      <c r="BY205" s="29">
        <f t="shared" ca="1" si="123"/>
        <v>1</v>
      </c>
      <c r="BZ205" s="29">
        <f t="shared" ca="1" si="123"/>
        <v>2</v>
      </c>
      <c r="CA205" s="29">
        <f t="shared" ca="1" si="120"/>
        <v>4</v>
      </c>
      <c r="CB205" s="29">
        <f t="shared" ca="1" si="120"/>
        <v>2</v>
      </c>
      <c r="CC205" s="29">
        <f t="shared" ca="1" si="120"/>
        <v>3</v>
      </c>
      <c r="CD205" s="29">
        <f t="shared" ca="1" si="120"/>
        <v>3</v>
      </c>
      <c r="CE205" s="29">
        <f t="shared" ca="1" si="120"/>
        <v>0</v>
      </c>
      <c r="CF205" s="29">
        <f t="shared" ca="1" si="120"/>
        <v>1</v>
      </c>
      <c r="CG205" s="29">
        <f t="shared" ca="1" si="120"/>
        <v>4</v>
      </c>
      <c r="CH205" s="29">
        <f t="shared" ca="1" si="120"/>
        <v>2</v>
      </c>
      <c r="CI205" s="29">
        <f t="shared" ca="1" si="120"/>
        <v>3</v>
      </c>
      <c r="CJ205" s="29">
        <f t="shared" ca="1" si="120"/>
        <v>2</v>
      </c>
      <c r="CK205" s="29">
        <f t="shared" ca="1" si="120"/>
        <v>2</v>
      </c>
      <c r="CL205" s="29">
        <f t="shared" ca="1" si="120"/>
        <v>1</v>
      </c>
      <c r="CM205" s="29">
        <f t="shared" ca="1" si="120"/>
        <v>0</v>
      </c>
      <c r="CN205" s="29">
        <f t="shared" ca="1" si="120"/>
        <v>1</v>
      </c>
      <c r="CO205" s="29">
        <f t="shared" ca="1" si="120"/>
        <v>2</v>
      </c>
      <c r="CP205" s="29">
        <f t="shared" ca="1" si="120"/>
        <v>1</v>
      </c>
      <c r="CQ205" s="29">
        <f t="shared" ca="1" si="119"/>
        <v>0</v>
      </c>
      <c r="CR205" s="29">
        <f t="shared" ca="1" si="119"/>
        <v>1</v>
      </c>
      <c r="CS205" s="29">
        <f t="shared" ca="1" si="119"/>
        <v>0</v>
      </c>
      <c r="CT205" s="29">
        <f t="shared" ca="1" si="119"/>
        <v>2</v>
      </c>
      <c r="CU205" s="29">
        <f t="shared" ca="1" si="119"/>
        <v>2</v>
      </c>
      <c r="CV205" s="29">
        <f t="shared" ca="1" si="119"/>
        <v>1</v>
      </c>
      <c r="CW205" s="29">
        <f t="shared" ca="1" si="119"/>
        <v>1</v>
      </c>
      <c r="CX205" s="29">
        <f t="shared" ca="1" si="119"/>
        <v>4</v>
      </c>
      <c r="CY205" s="29">
        <f t="shared" ca="1" si="119"/>
        <v>3</v>
      </c>
      <c r="CZ205" s="29">
        <f t="shared" ca="1" si="119"/>
        <v>0</v>
      </c>
      <c r="DA205" s="29">
        <f t="shared" ca="1" si="119"/>
        <v>1</v>
      </c>
      <c r="DB205" s="29">
        <f t="shared" ca="1" si="119"/>
        <v>2</v>
      </c>
      <c r="DC205" s="29">
        <f t="shared" ca="1" si="119"/>
        <v>3</v>
      </c>
      <c r="DD205" s="29">
        <f t="shared" ca="1" si="119"/>
        <v>3</v>
      </c>
      <c r="DE205" s="29">
        <f t="shared" ca="1" si="119"/>
        <v>1</v>
      </c>
      <c r="DF205" s="29">
        <f t="shared" ca="1" si="117"/>
        <v>3</v>
      </c>
      <c r="DG205" s="29">
        <f t="shared" ca="1" si="117"/>
        <v>2</v>
      </c>
      <c r="DH205" s="29">
        <f t="shared" ca="1" si="117"/>
        <v>2</v>
      </c>
      <c r="DI205" s="29">
        <f t="shared" ca="1" si="117"/>
        <v>1</v>
      </c>
      <c r="DJ205" s="29">
        <f t="shared" ca="1" si="117"/>
        <v>1</v>
      </c>
      <c r="DK205" s="29">
        <f t="shared" ca="1" si="117"/>
        <v>1</v>
      </c>
      <c r="DL205" s="29">
        <f t="shared" ca="1" si="117"/>
        <v>2</v>
      </c>
    </row>
    <row r="206" spans="1:116" ht="14.4" x14ac:dyDescent="0.3">
      <c r="A206" s="31">
        <v>914</v>
      </c>
      <c r="B206" s="28">
        <v>3.74</v>
      </c>
      <c r="C206" s="30">
        <v>46.47</v>
      </c>
      <c r="D206" s="28">
        <v>1.95</v>
      </c>
      <c r="E206" s="34">
        <f t="shared" si="110"/>
        <v>3.9E-2</v>
      </c>
      <c r="F206" s="35">
        <f t="shared" si="111"/>
        <v>11.6175</v>
      </c>
      <c r="G206" s="34">
        <f t="shared" si="112"/>
        <v>48.75</v>
      </c>
      <c r="H206" s="33">
        <f t="shared" si="113"/>
        <v>9.9284759358288763</v>
      </c>
      <c r="I206" s="28">
        <f t="shared" si="118"/>
        <v>581.41000000000042</v>
      </c>
      <c r="J206" s="32">
        <v>0</v>
      </c>
      <c r="K206" s="30">
        <f t="shared" si="114"/>
        <v>48.75</v>
      </c>
      <c r="L206" s="30"/>
      <c r="M206" s="30"/>
      <c r="N206" s="30"/>
      <c r="O206" s="30"/>
      <c r="Q206" s="29">
        <f t="shared" ca="1" si="115"/>
        <v>1</v>
      </c>
      <c r="R206" s="29">
        <f t="shared" ca="1" si="122"/>
        <v>0</v>
      </c>
      <c r="S206" s="29">
        <f t="shared" ca="1" si="122"/>
        <v>1</v>
      </c>
      <c r="T206" s="29">
        <f t="shared" ca="1" si="122"/>
        <v>5</v>
      </c>
      <c r="U206" s="29">
        <f t="shared" ca="1" si="122"/>
        <v>6</v>
      </c>
      <c r="V206" s="29">
        <f t="shared" ca="1" si="122"/>
        <v>1</v>
      </c>
      <c r="W206" s="29">
        <f t="shared" ca="1" si="122"/>
        <v>1</v>
      </c>
      <c r="X206" s="29">
        <f t="shared" ca="1" si="122"/>
        <v>2</v>
      </c>
      <c r="Y206" s="29">
        <f t="shared" ca="1" si="122"/>
        <v>0</v>
      </c>
      <c r="Z206" s="29">
        <f t="shared" ca="1" si="122"/>
        <v>1</v>
      </c>
      <c r="AA206" s="29">
        <f t="shared" ca="1" si="122"/>
        <v>0</v>
      </c>
      <c r="AB206" s="29">
        <f t="shared" ca="1" si="122"/>
        <v>1</v>
      </c>
      <c r="AC206" s="29">
        <f t="shared" ca="1" si="122"/>
        <v>1</v>
      </c>
      <c r="AD206" s="29">
        <f t="shared" ca="1" si="122"/>
        <v>1</v>
      </c>
      <c r="AE206" s="29">
        <f t="shared" ca="1" si="122"/>
        <v>2</v>
      </c>
      <c r="AF206" s="29">
        <f t="shared" ca="1" si="122"/>
        <v>3</v>
      </c>
      <c r="AG206" s="29">
        <f t="shared" ca="1" si="121"/>
        <v>3</v>
      </c>
      <c r="AH206" s="29">
        <f t="shared" ca="1" si="121"/>
        <v>1</v>
      </c>
      <c r="AI206" s="29">
        <f t="shared" ca="1" si="121"/>
        <v>0</v>
      </c>
      <c r="AJ206" s="29">
        <f t="shared" ca="1" si="121"/>
        <v>2</v>
      </c>
      <c r="AK206" s="29">
        <f t="shared" ca="1" si="121"/>
        <v>4</v>
      </c>
      <c r="AL206" s="29">
        <f t="shared" ca="1" si="121"/>
        <v>3</v>
      </c>
      <c r="AM206" s="29">
        <f t="shared" ca="1" si="121"/>
        <v>0</v>
      </c>
      <c r="AN206" s="29">
        <f t="shared" ca="1" si="121"/>
        <v>3</v>
      </c>
      <c r="AO206" s="29">
        <f t="shared" ca="1" si="121"/>
        <v>1</v>
      </c>
      <c r="AP206" s="29">
        <f t="shared" ca="1" si="121"/>
        <v>4</v>
      </c>
      <c r="AQ206" s="29">
        <f t="shared" ca="1" si="121"/>
        <v>0</v>
      </c>
      <c r="AR206" s="29">
        <f t="shared" ca="1" si="121"/>
        <v>1</v>
      </c>
      <c r="AS206" s="29">
        <f t="shared" ca="1" si="121"/>
        <v>1</v>
      </c>
      <c r="AT206" s="29">
        <f t="shared" ca="1" si="121"/>
        <v>3</v>
      </c>
      <c r="AU206" s="29">
        <f t="shared" ca="1" si="121"/>
        <v>1</v>
      </c>
      <c r="AV206" s="29">
        <f t="shared" ca="1" si="124"/>
        <v>0</v>
      </c>
      <c r="AW206" s="29">
        <f t="shared" ca="1" si="124"/>
        <v>2</v>
      </c>
      <c r="AX206" s="29">
        <f t="shared" ca="1" si="124"/>
        <v>1</v>
      </c>
      <c r="AY206" s="29">
        <f t="shared" ca="1" si="124"/>
        <v>1</v>
      </c>
      <c r="AZ206" s="29">
        <f t="shared" ca="1" si="124"/>
        <v>1</v>
      </c>
      <c r="BA206" s="29">
        <f t="shared" ca="1" si="124"/>
        <v>5</v>
      </c>
      <c r="BB206" s="29">
        <f t="shared" ca="1" si="124"/>
        <v>2</v>
      </c>
      <c r="BC206" s="29">
        <f t="shared" ca="1" si="124"/>
        <v>1</v>
      </c>
      <c r="BD206" s="29">
        <f t="shared" ca="1" si="124"/>
        <v>1</v>
      </c>
      <c r="BE206" s="29">
        <f t="shared" ca="1" si="124"/>
        <v>2</v>
      </c>
      <c r="BF206" s="29">
        <f t="shared" ca="1" si="124"/>
        <v>0</v>
      </c>
      <c r="BG206" s="29">
        <f t="shared" ca="1" si="124"/>
        <v>3</v>
      </c>
      <c r="BH206" s="29">
        <f t="shared" ca="1" si="124"/>
        <v>1</v>
      </c>
      <c r="BI206" s="29">
        <f t="shared" ca="1" si="124"/>
        <v>1</v>
      </c>
      <c r="BJ206" s="29">
        <f t="shared" ca="1" si="124"/>
        <v>2</v>
      </c>
      <c r="BK206" s="29">
        <f t="shared" ca="1" si="124"/>
        <v>3</v>
      </c>
      <c r="BL206" s="29">
        <f t="shared" ca="1" si="123"/>
        <v>2</v>
      </c>
      <c r="BM206" s="29">
        <f t="shared" ca="1" si="123"/>
        <v>4</v>
      </c>
      <c r="BN206" s="29">
        <f t="shared" ca="1" si="123"/>
        <v>2</v>
      </c>
      <c r="BO206" s="29">
        <f t="shared" ca="1" si="123"/>
        <v>1</v>
      </c>
      <c r="BP206" s="29">
        <f t="shared" ca="1" si="123"/>
        <v>2</v>
      </c>
      <c r="BQ206" s="29">
        <f t="shared" ca="1" si="123"/>
        <v>1</v>
      </c>
      <c r="BR206" s="29">
        <f t="shared" ca="1" si="123"/>
        <v>2</v>
      </c>
      <c r="BS206" s="29">
        <f t="shared" ca="1" si="123"/>
        <v>1</v>
      </c>
      <c r="BT206" s="29">
        <f t="shared" ca="1" si="123"/>
        <v>2</v>
      </c>
      <c r="BU206" s="29">
        <f t="shared" ca="1" si="123"/>
        <v>3</v>
      </c>
      <c r="BV206" s="29">
        <f t="shared" ca="1" si="123"/>
        <v>2</v>
      </c>
      <c r="BW206" s="29">
        <f t="shared" ca="1" si="123"/>
        <v>1</v>
      </c>
      <c r="BX206" s="29">
        <f t="shared" ca="1" si="123"/>
        <v>2</v>
      </c>
      <c r="BY206" s="29">
        <f t="shared" ca="1" si="123"/>
        <v>1</v>
      </c>
      <c r="BZ206" s="29">
        <f t="shared" ca="1" si="123"/>
        <v>1</v>
      </c>
      <c r="CA206" s="29">
        <f t="shared" ca="1" si="120"/>
        <v>1</v>
      </c>
      <c r="CB206" s="29">
        <f t="shared" ca="1" si="120"/>
        <v>2</v>
      </c>
      <c r="CC206" s="29">
        <f t="shared" ca="1" si="120"/>
        <v>6</v>
      </c>
      <c r="CD206" s="29">
        <f t="shared" ca="1" si="120"/>
        <v>2</v>
      </c>
      <c r="CE206" s="29">
        <f t="shared" ca="1" si="120"/>
        <v>1</v>
      </c>
      <c r="CF206" s="29">
        <f t="shared" ca="1" si="120"/>
        <v>3</v>
      </c>
      <c r="CG206" s="29">
        <f t="shared" ca="1" si="120"/>
        <v>1</v>
      </c>
      <c r="CH206" s="29">
        <f t="shared" ca="1" si="120"/>
        <v>0</v>
      </c>
      <c r="CI206" s="29">
        <f t="shared" ca="1" si="120"/>
        <v>2</v>
      </c>
      <c r="CJ206" s="29">
        <f t="shared" ca="1" si="120"/>
        <v>2</v>
      </c>
      <c r="CK206" s="29">
        <f t="shared" ca="1" si="120"/>
        <v>6</v>
      </c>
      <c r="CL206" s="29">
        <f t="shared" ca="1" si="120"/>
        <v>0</v>
      </c>
      <c r="CM206" s="29">
        <f t="shared" ca="1" si="120"/>
        <v>1</v>
      </c>
      <c r="CN206" s="29">
        <f t="shared" ca="1" si="120"/>
        <v>3</v>
      </c>
      <c r="CO206" s="29">
        <f t="shared" ca="1" si="120"/>
        <v>4</v>
      </c>
      <c r="CP206" s="29">
        <f t="shared" ca="1" si="120"/>
        <v>3</v>
      </c>
      <c r="CQ206" s="29">
        <f t="shared" ca="1" si="119"/>
        <v>2</v>
      </c>
      <c r="CR206" s="29">
        <f t="shared" ca="1" si="119"/>
        <v>4</v>
      </c>
      <c r="CS206" s="29">
        <f t="shared" ca="1" si="119"/>
        <v>1</v>
      </c>
      <c r="CT206" s="29">
        <f t="shared" ca="1" si="119"/>
        <v>0</v>
      </c>
      <c r="CU206" s="29">
        <f t="shared" ca="1" si="119"/>
        <v>4</v>
      </c>
      <c r="CV206" s="29">
        <f t="shared" ca="1" si="119"/>
        <v>3</v>
      </c>
      <c r="CW206" s="29">
        <f t="shared" ca="1" si="119"/>
        <v>0</v>
      </c>
      <c r="CX206" s="29">
        <f t="shared" ca="1" si="119"/>
        <v>1</v>
      </c>
      <c r="CY206" s="29">
        <f t="shared" ca="1" si="119"/>
        <v>1</v>
      </c>
      <c r="CZ206" s="29">
        <f t="shared" ca="1" si="119"/>
        <v>2</v>
      </c>
      <c r="DA206" s="29">
        <f t="shared" ca="1" si="119"/>
        <v>2</v>
      </c>
      <c r="DB206" s="29">
        <f t="shared" ca="1" si="119"/>
        <v>3</v>
      </c>
      <c r="DC206" s="29">
        <f t="shared" ca="1" si="119"/>
        <v>2</v>
      </c>
      <c r="DD206" s="29">
        <f t="shared" ca="1" si="119"/>
        <v>3</v>
      </c>
      <c r="DE206" s="29">
        <f t="shared" ca="1" si="119"/>
        <v>0</v>
      </c>
      <c r="DF206" s="29">
        <f t="shared" ca="1" si="117"/>
        <v>0</v>
      </c>
      <c r="DG206" s="29">
        <f t="shared" ca="1" si="117"/>
        <v>1</v>
      </c>
      <c r="DH206" s="29">
        <f t="shared" ca="1" si="117"/>
        <v>2</v>
      </c>
      <c r="DI206" s="29">
        <f t="shared" ca="1" si="117"/>
        <v>0</v>
      </c>
      <c r="DJ206" s="29">
        <f t="shared" ca="1" si="117"/>
        <v>4</v>
      </c>
      <c r="DK206" s="29">
        <f t="shared" ca="1" si="117"/>
        <v>3</v>
      </c>
      <c r="DL206" s="29">
        <f t="shared" ca="1" si="117"/>
        <v>1</v>
      </c>
    </row>
    <row r="207" spans="1:116" ht="14.4" x14ac:dyDescent="0.3">
      <c r="A207" s="31">
        <v>909</v>
      </c>
      <c r="B207" s="28">
        <v>1.92</v>
      </c>
      <c r="C207" s="30">
        <v>18.11</v>
      </c>
      <c r="D207" s="28">
        <v>0.94</v>
      </c>
      <c r="E207" s="34">
        <f t="shared" si="110"/>
        <v>1.8799999999999997E-2</v>
      </c>
      <c r="F207" s="35">
        <f t="shared" si="111"/>
        <v>4.5274999999999999</v>
      </c>
      <c r="G207" s="34">
        <f t="shared" si="112"/>
        <v>23.5</v>
      </c>
      <c r="H207" s="33">
        <f t="shared" si="113"/>
        <v>9.8815104166666679</v>
      </c>
      <c r="I207" s="28">
        <f t="shared" si="118"/>
        <v>583.33000000000038</v>
      </c>
      <c r="J207" s="32">
        <v>0</v>
      </c>
      <c r="K207" s="30">
        <f t="shared" si="114"/>
        <v>23.5</v>
      </c>
      <c r="L207" s="30"/>
      <c r="M207" s="30"/>
      <c r="N207" s="30"/>
      <c r="O207" s="30"/>
      <c r="Q207" s="29">
        <f t="shared" ca="1" si="115"/>
        <v>2</v>
      </c>
      <c r="R207" s="29">
        <f t="shared" ca="1" si="122"/>
        <v>1</v>
      </c>
      <c r="S207" s="29">
        <f t="shared" ca="1" si="122"/>
        <v>2</v>
      </c>
      <c r="T207" s="29">
        <f t="shared" ca="1" si="122"/>
        <v>1</v>
      </c>
      <c r="U207" s="29">
        <f t="shared" ca="1" si="122"/>
        <v>1</v>
      </c>
      <c r="V207" s="29">
        <f t="shared" ca="1" si="122"/>
        <v>1</v>
      </c>
      <c r="W207" s="29">
        <f t="shared" ca="1" si="122"/>
        <v>3</v>
      </c>
      <c r="X207" s="29">
        <f t="shared" ca="1" si="122"/>
        <v>0</v>
      </c>
      <c r="Y207" s="29">
        <f t="shared" ca="1" si="122"/>
        <v>1</v>
      </c>
      <c r="Z207" s="29">
        <f t="shared" ca="1" si="122"/>
        <v>1</v>
      </c>
      <c r="AA207" s="29">
        <f t="shared" ca="1" si="122"/>
        <v>1</v>
      </c>
      <c r="AB207" s="29">
        <f t="shared" ca="1" si="122"/>
        <v>1</v>
      </c>
      <c r="AC207" s="29">
        <f t="shared" ca="1" si="122"/>
        <v>1</v>
      </c>
      <c r="AD207" s="29">
        <f t="shared" ca="1" si="122"/>
        <v>2</v>
      </c>
      <c r="AE207" s="29">
        <f t="shared" ca="1" si="122"/>
        <v>1</v>
      </c>
      <c r="AF207" s="29">
        <f t="shared" ca="1" si="122"/>
        <v>0</v>
      </c>
      <c r="AG207" s="29">
        <f t="shared" ca="1" si="121"/>
        <v>1</v>
      </c>
      <c r="AH207" s="29">
        <f t="shared" ca="1" si="121"/>
        <v>1</v>
      </c>
      <c r="AI207" s="29">
        <f t="shared" ca="1" si="121"/>
        <v>1</v>
      </c>
      <c r="AJ207" s="29">
        <f t="shared" ca="1" si="121"/>
        <v>1</v>
      </c>
      <c r="AK207" s="29">
        <f t="shared" ca="1" si="121"/>
        <v>0</v>
      </c>
      <c r="AL207" s="29">
        <f t="shared" ca="1" si="121"/>
        <v>0</v>
      </c>
      <c r="AM207" s="29">
        <f t="shared" ca="1" si="121"/>
        <v>1</v>
      </c>
      <c r="AN207" s="29">
        <f t="shared" ca="1" si="121"/>
        <v>1</v>
      </c>
      <c r="AO207" s="29">
        <f t="shared" ca="1" si="121"/>
        <v>2</v>
      </c>
      <c r="AP207" s="29">
        <f t="shared" ca="1" si="121"/>
        <v>0</v>
      </c>
      <c r="AQ207" s="29">
        <f t="shared" ca="1" si="121"/>
        <v>1</v>
      </c>
      <c r="AR207" s="29">
        <f t="shared" ca="1" si="121"/>
        <v>2</v>
      </c>
      <c r="AS207" s="29">
        <f t="shared" ca="1" si="121"/>
        <v>1</v>
      </c>
      <c r="AT207" s="29">
        <f t="shared" ca="1" si="121"/>
        <v>1</v>
      </c>
      <c r="AU207" s="29">
        <f t="shared" ca="1" si="121"/>
        <v>0</v>
      </c>
      <c r="AV207" s="29">
        <f t="shared" ca="1" si="124"/>
        <v>1</v>
      </c>
      <c r="AW207" s="29">
        <f t="shared" ca="1" si="124"/>
        <v>0</v>
      </c>
      <c r="AX207" s="29">
        <f t="shared" ca="1" si="124"/>
        <v>1</v>
      </c>
      <c r="AY207" s="29">
        <f t="shared" ca="1" si="124"/>
        <v>1</v>
      </c>
      <c r="AZ207" s="29">
        <f t="shared" ca="1" si="124"/>
        <v>0</v>
      </c>
      <c r="BA207" s="29">
        <f t="shared" ca="1" si="124"/>
        <v>0</v>
      </c>
      <c r="BB207" s="29">
        <f t="shared" ca="1" si="124"/>
        <v>0</v>
      </c>
      <c r="BC207" s="29">
        <f t="shared" ca="1" si="124"/>
        <v>1</v>
      </c>
      <c r="BD207" s="29">
        <f t="shared" ca="1" si="124"/>
        <v>0</v>
      </c>
      <c r="BE207" s="29">
        <f t="shared" ca="1" si="124"/>
        <v>2</v>
      </c>
      <c r="BF207" s="29">
        <f t="shared" ca="1" si="124"/>
        <v>1</v>
      </c>
      <c r="BG207" s="29">
        <f t="shared" ca="1" si="124"/>
        <v>1</v>
      </c>
      <c r="BH207" s="29">
        <f t="shared" ca="1" si="124"/>
        <v>0</v>
      </c>
      <c r="BI207" s="29">
        <f t="shared" ca="1" si="124"/>
        <v>2</v>
      </c>
      <c r="BJ207" s="29">
        <f t="shared" ca="1" si="124"/>
        <v>2</v>
      </c>
      <c r="BK207" s="29">
        <f t="shared" ca="1" si="124"/>
        <v>0</v>
      </c>
      <c r="BL207" s="29">
        <f t="shared" ca="1" si="123"/>
        <v>0</v>
      </c>
      <c r="BM207" s="29">
        <f t="shared" ca="1" si="123"/>
        <v>0</v>
      </c>
      <c r="BN207" s="29">
        <f t="shared" ca="1" si="123"/>
        <v>1</v>
      </c>
      <c r="BO207" s="29">
        <f t="shared" ca="1" si="123"/>
        <v>0</v>
      </c>
      <c r="BP207" s="29">
        <f t="shared" ca="1" si="123"/>
        <v>1</v>
      </c>
      <c r="BQ207" s="29">
        <f t="shared" ca="1" si="123"/>
        <v>1</v>
      </c>
      <c r="BR207" s="29">
        <f t="shared" ca="1" si="123"/>
        <v>1</v>
      </c>
      <c r="BS207" s="29">
        <f t="shared" ca="1" si="123"/>
        <v>2</v>
      </c>
      <c r="BT207" s="29">
        <f t="shared" ca="1" si="123"/>
        <v>1</v>
      </c>
      <c r="BU207" s="29">
        <f t="shared" ca="1" si="123"/>
        <v>3</v>
      </c>
      <c r="BV207" s="29">
        <f t="shared" ca="1" si="123"/>
        <v>1</v>
      </c>
      <c r="BW207" s="29">
        <f t="shared" ca="1" si="123"/>
        <v>0</v>
      </c>
      <c r="BX207" s="29">
        <f t="shared" ca="1" si="123"/>
        <v>1</v>
      </c>
      <c r="BY207" s="29">
        <f t="shared" ca="1" si="123"/>
        <v>2</v>
      </c>
      <c r="BZ207" s="29">
        <f t="shared" ca="1" si="123"/>
        <v>0</v>
      </c>
      <c r="CA207" s="29">
        <f t="shared" ca="1" si="120"/>
        <v>0</v>
      </c>
      <c r="CB207" s="29">
        <f t="shared" ca="1" si="120"/>
        <v>0</v>
      </c>
      <c r="CC207" s="29">
        <f t="shared" ca="1" si="120"/>
        <v>2</v>
      </c>
      <c r="CD207" s="29">
        <f t="shared" ca="1" si="120"/>
        <v>1</v>
      </c>
      <c r="CE207" s="29">
        <f t="shared" ca="1" si="120"/>
        <v>0</v>
      </c>
      <c r="CF207" s="29">
        <f t="shared" ca="1" si="120"/>
        <v>2</v>
      </c>
      <c r="CG207" s="29">
        <f t="shared" ca="1" si="120"/>
        <v>0</v>
      </c>
      <c r="CH207" s="29">
        <f t="shared" ca="1" si="120"/>
        <v>2</v>
      </c>
      <c r="CI207" s="29">
        <f t="shared" ca="1" si="120"/>
        <v>1</v>
      </c>
      <c r="CJ207" s="29">
        <f t="shared" ca="1" si="120"/>
        <v>1</v>
      </c>
      <c r="CK207" s="29">
        <f t="shared" ca="1" si="120"/>
        <v>0</v>
      </c>
      <c r="CL207" s="29">
        <f t="shared" ca="1" si="120"/>
        <v>1</v>
      </c>
      <c r="CM207" s="29">
        <f t="shared" ca="1" si="120"/>
        <v>2</v>
      </c>
      <c r="CN207" s="29">
        <f t="shared" ca="1" si="120"/>
        <v>1</v>
      </c>
      <c r="CO207" s="29">
        <f t="shared" ca="1" si="120"/>
        <v>0</v>
      </c>
      <c r="CP207" s="29">
        <f t="shared" ca="1" si="120"/>
        <v>0</v>
      </c>
      <c r="CQ207" s="29">
        <f t="shared" ca="1" si="119"/>
        <v>0</v>
      </c>
      <c r="CR207" s="29">
        <f t="shared" ca="1" si="119"/>
        <v>2</v>
      </c>
      <c r="CS207" s="29">
        <f t="shared" ca="1" si="119"/>
        <v>2</v>
      </c>
      <c r="CT207" s="29">
        <f t="shared" ca="1" si="119"/>
        <v>0</v>
      </c>
      <c r="CU207" s="29">
        <f t="shared" ca="1" si="119"/>
        <v>1</v>
      </c>
      <c r="CV207" s="29">
        <f t="shared" ca="1" si="119"/>
        <v>1</v>
      </c>
      <c r="CW207" s="29">
        <f t="shared" ca="1" si="119"/>
        <v>0</v>
      </c>
      <c r="CX207" s="29">
        <f t="shared" ca="1" si="119"/>
        <v>2</v>
      </c>
      <c r="CY207" s="29">
        <f t="shared" ca="1" si="119"/>
        <v>2</v>
      </c>
      <c r="CZ207" s="29">
        <f t="shared" ca="1" si="119"/>
        <v>1</v>
      </c>
      <c r="DA207" s="29">
        <f t="shared" ca="1" si="119"/>
        <v>0</v>
      </c>
      <c r="DB207" s="29">
        <f t="shared" ca="1" si="119"/>
        <v>1</v>
      </c>
      <c r="DC207" s="29">
        <f t="shared" ca="1" si="119"/>
        <v>0</v>
      </c>
      <c r="DD207" s="29">
        <f t="shared" ca="1" si="119"/>
        <v>0</v>
      </c>
      <c r="DE207" s="29">
        <f t="shared" ca="1" si="119"/>
        <v>0</v>
      </c>
      <c r="DF207" s="29">
        <f t="shared" ca="1" si="117"/>
        <v>4</v>
      </c>
      <c r="DG207" s="29">
        <f t="shared" ca="1" si="117"/>
        <v>0</v>
      </c>
      <c r="DH207" s="29">
        <f t="shared" ca="1" si="117"/>
        <v>0</v>
      </c>
      <c r="DI207" s="29">
        <f t="shared" ca="1" si="117"/>
        <v>2</v>
      </c>
      <c r="DJ207" s="29">
        <f t="shared" ca="1" si="117"/>
        <v>0</v>
      </c>
      <c r="DK207" s="29">
        <f t="shared" ca="1" si="117"/>
        <v>2</v>
      </c>
      <c r="DL207" s="29">
        <f t="shared" ca="1" si="117"/>
        <v>1</v>
      </c>
    </row>
    <row r="208" spans="1:116" ht="14.4" x14ac:dyDescent="0.3">
      <c r="A208" s="31">
        <v>17</v>
      </c>
      <c r="B208" s="28">
        <v>2.33</v>
      </c>
      <c r="C208" s="30">
        <v>39.24</v>
      </c>
      <c r="D208" s="28">
        <v>1.31</v>
      </c>
      <c r="E208" s="34">
        <f t="shared" si="110"/>
        <v>2.6200000000000001E-2</v>
      </c>
      <c r="F208" s="35">
        <f t="shared" si="111"/>
        <v>9.81</v>
      </c>
      <c r="G208" s="34">
        <f t="shared" si="112"/>
        <v>32.75</v>
      </c>
      <c r="H208" s="33">
        <f t="shared" si="113"/>
        <v>9.8454935622317592</v>
      </c>
      <c r="I208" s="28">
        <f t="shared" si="118"/>
        <v>585.66000000000042</v>
      </c>
      <c r="J208" s="32">
        <v>0</v>
      </c>
      <c r="K208" s="30">
        <f t="shared" si="114"/>
        <v>32.75</v>
      </c>
      <c r="L208" s="30"/>
      <c r="M208" s="30"/>
      <c r="N208" s="30"/>
      <c r="O208" s="30"/>
      <c r="Q208" s="29">
        <f t="shared" ca="1" si="115"/>
        <v>0</v>
      </c>
      <c r="R208" s="29">
        <f t="shared" ca="1" si="122"/>
        <v>0</v>
      </c>
      <c r="S208" s="29">
        <f t="shared" ca="1" si="122"/>
        <v>0</v>
      </c>
      <c r="T208" s="29">
        <f t="shared" ca="1" si="122"/>
        <v>1</v>
      </c>
      <c r="U208" s="29">
        <f t="shared" ca="1" si="122"/>
        <v>1</v>
      </c>
      <c r="V208" s="29">
        <f t="shared" ca="1" si="122"/>
        <v>1</v>
      </c>
      <c r="W208" s="29">
        <f t="shared" ca="1" si="122"/>
        <v>1</v>
      </c>
      <c r="X208" s="29">
        <f t="shared" ca="1" si="122"/>
        <v>0</v>
      </c>
      <c r="Y208" s="29">
        <f t="shared" ca="1" si="122"/>
        <v>1</v>
      </c>
      <c r="Z208" s="29">
        <f t="shared" ca="1" si="122"/>
        <v>1</v>
      </c>
      <c r="AA208" s="29">
        <f t="shared" ca="1" si="122"/>
        <v>2</v>
      </c>
      <c r="AB208" s="29">
        <f t="shared" ca="1" si="122"/>
        <v>1</v>
      </c>
      <c r="AC208" s="29">
        <f t="shared" ca="1" si="122"/>
        <v>1</v>
      </c>
      <c r="AD208" s="29">
        <f t="shared" ca="1" si="122"/>
        <v>2</v>
      </c>
      <c r="AE208" s="29">
        <f t="shared" ca="1" si="122"/>
        <v>0</v>
      </c>
      <c r="AF208" s="29">
        <f t="shared" ca="1" si="122"/>
        <v>2</v>
      </c>
      <c r="AG208" s="29">
        <f t="shared" ca="1" si="121"/>
        <v>1</v>
      </c>
      <c r="AH208" s="29">
        <f t="shared" ca="1" si="121"/>
        <v>2</v>
      </c>
      <c r="AI208" s="29">
        <f t="shared" ca="1" si="121"/>
        <v>3</v>
      </c>
      <c r="AJ208" s="29">
        <f t="shared" ca="1" si="121"/>
        <v>1</v>
      </c>
      <c r="AK208" s="29">
        <f t="shared" ca="1" si="121"/>
        <v>4</v>
      </c>
      <c r="AL208" s="29">
        <f t="shared" ca="1" si="121"/>
        <v>1</v>
      </c>
      <c r="AM208" s="29">
        <f t="shared" ca="1" si="121"/>
        <v>1</v>
      </c>
      <c r="AN208" s="29">
        <f t="shared" ca="1" si="121"/>
        <v>3</v>
      </c>
      <c r="AO208" s="29">
        <f t="shared" ca="1" si="121"/>
        <v>1</v>
      </c>
      <c r="AP208" s="29">
        <f t="shared" ca="1" si="121"/>
        <v>1</v>
      </c>
      <c r="AQ208" s="29">
        <f t="shared" ca="1" si="121"/>
        <v>2</v>
      </c>
      <c r="AR208" s="29">
        <f t="shared" ca="1" si="121"/>
        <v>3</v>
      </c>
      <c r="AS208" s="29">
        <f t="shared" ca="1" si="121"/>
        <v>2</v>
      </c>
      <c r="AT208" s="29">
        <f t="shared" ca="1" si="121"/>
        <v>2</v>
      </c>
      <c r="AU208" s="29">
        <f t="shared" ca="1" si="121"/>
        <v>0</v>
      </c>
      <c r="AV208" s="29">
        <f t="shared" ca="1" si="124"/>
        <v>3</v>
      </c>
      <c r="AW208" s="29">
        <f t="shared" ca="1" si="124"/>
        <v>1</v>
      </c>
      <c r="AX208" s="29">
        <f t="shared" ca="1" si="124"/>
        <v>0</v>
      </c>
      <c r="AY208" s="29">
        <f t="shared" ca="1" si="124"/>
        <v>2</v>
      </c>
      <c r="AZ208" s="29">
        <f t="shared" ca="1" si="124"/>
        <v>0</v>
      </c>
      <c r="BA208" s="29">
        <f t="shared" ca="1" si="124"/>
        <v>1</v>
      </c>
      <c r="BB208" s="29">
        <f t="shared" ca="1" si="124"/>
        <v>2</v>
      </c>
      <c r="BC208" s="29">
        <f t="shared" ca="1" si="124"/>
        <v>3</v>
      </c>
      <c r="BD208" s="29">
        <f t="shared" ca="1" si="124"/>
        <v>1</v>
      </c>
      <c r="BE208" s="29">
        <f t="shared" ca="1" si="124"/>
        <v>2</v>
      </c>
      <c r="BF208" s="29">
        <f t="shared" ca="1" si="124"/>
        <v>3</v>
      </c>
      <c r="BG208" s="29">
        <f t="shared" ca="1" si="124"/>
        <v>0</v>
      </c>
      <c r="BH208" s="29">
        <f t="shared" ca="1" si="124"/>
        <v>0</v>
      </c>
      <c r="BI208" s="29">
        <f t="shared" ca="1" si="124"/>
        <v>1</v>
      </c>
      <c r="BJ208" s="29">
        <f t="shared" ca="1" si="124"/>
        <v>1</v>
      </c>
      <c r="BK208" s="29">
        <f t="shared" ca="1" si="124"/>
        <v>2</v>
      </c>
      <c r="BL208" s="29">
        <f t="shared" ca="1" si="123"/>
        <v>4</v>
      </c>
      <c r="BM208" s="29">
        <f t="shared" ca="1" si="123"/>
        <v>1</v>
      </c>
      <c r="BN208" s="29">
        <f t="shared" ca="1" si="123"/>
        <v>1</v>
      </c>
      <c r="BO208" s="29">
        <f t="shared" ca="1" si="123"/>
        <v>0</v>
      </c>
      <c r="BP208" s="29">
        <f t="shared" ca="1" si="123"/>
        <v>1</v>
      </c>
      <c r="BQ208" s="29">
        <f t="shared" ca="1" si="123"/>
        <v>2</v>
      </c>
      <c r="BR208" s="29">
        <f t="shared" ca="1" si="123"/>
        <v>2</v>
      </c>
      <c r="BS208" s="29">
        <f t="shared" ca="1" si="123"/>
        <v>1</v>
      </c>
      <c r="BT208" s="29">
        <f t="shared" ca="1" si="123"/>
        <v>3</v>
      </c>
      <c r="BU208" s="29">
        <f t="shared" ca="1" si="123"/>
        <v>0</v>
      </c>
      <c r="BV208" s="29">
        <f t="shared" ca="1" si="123"/>
        <v>1</v>
      </c>
      <c r="BW208" s="29">
        <f t="shared" ca="1" si="123"/>
        <v>1</v>
      </c>
      <c r="BX208" s="29">
        <f t="shared" ca="1" si="123"/>
        <v>0</v>
      </c>
      <c r="BY208" s="29">
        <f t="shared" ca="1" si="123"/>
        <v>1</v>
      </c>
      <c r="BZ208" s="29">
        <f t="shared" ca="1" si="123"/>
        <v>0</v>
      </c>
      <c r="CA208" s="29">
        <f t="shared" ca="1" si="120"/>
        <v>0</v>
      </c>
      <c r="CB208" s="29">
        <f t="shared" ca="1" si="120"/>
        <v>4</v>
      </c>
      <c r="CC208" s="29">
        <f t="shared" ca="1" si="120"/>
        <v>2</v>
      </c>
      <c r="CD208" s="29">
        <f t="shared" ca="1" si="120"/>
        <v>3</v>
      </c>
      <c r="CE208" s="29">
        <f t="shared" ca="1" si="120"/>
        <v>2</v>
      </c>
      <c r="CF208" s="29">
        <f t="shared" ca="1" si="120"/>
        <v>1</v>
      </c>
      <c r="CG208" s="29">
        <f t="shared" ca="1" si="120"/>
        <v>1</v>
      </c>
      <c r="CH208" s="29">
        <f t="shared" ca="1" si="120"/>
        <v>1</v>
      </c>
      <c r="CI208" s="29">
        <f t="shared" ca="1" si="120"/>
        <v>3</v>
      </c>
      <c r="CJ208" s="29">
        <f t="shared" ca="1" si="120"/>
        <v>0</v>
      </c>
      <c r="CK208" s="29">
        <f t="shared" ca="1" si="120"/>
        <v>1</v>
      </c>
      <c r="CL208" s="29">
        <f t="shared" ca="1" si="120"/>
        <v>2</v>
      </c>
      <c r="CM208" s="29">
        <f t="shared" ca="1" si="120"/>
        <v>0</v>
      </c>
      <c r="CN208" s="29">
        <f t="shared" ca="1" si="120"/>
        <v>0</v>
      </c>
      <c r="CO208" s="29">
        <f t="shared" ca="1" si="120"/>
        <v>0</v>
      </c>
      <c r="CP208" s="29">
        <f t="shared" ca="1" si="120"/>
        <v>2</v>
      </c>
      <c r="CQ208" s="29">
        <f t="shared" ca="1" si="119"/>
        <v>1</v>
      </c>
      <c r="CR208" s="29">
        <f t="shared" ca="1" si="119"/>
        <v>3</v>
      </c>
      <c r="CS208" s="29">
        <f t="shared" ca="1" si="119"/>
        <v>0</v>
      </c>
      <c r="CT208" s="29">
        <f t="shared" ca="1" si="119"/>
        <v>1</v>
      </c>
      <c r="CU208" s="29">
        <f t="shared" ca="1" si="119"/>
        <v>4</v>
      </c>
      <c r="CV208" s="29">
        <f t="shared" ca="1" si="119"/>
        <v>1</v>
      </c>
      <c r="CW208" s="29">
        <f t="shared" ca="1" si="119"/>
        <v>2</v>
      </c>
      <c r="CX208" s="29">
        <f t="shared" ca="1" si="119"/>
        <v>0</v>
      </c>
      <c r="CY208" s="29">
        <f t="shared" ca="1" si="119"/>
        <v>1</v>
      </c>
      <c r="CZ208" s="29">
        <f t="shared" ca="1" si="119"/>
        <v>2</v>
      </c>
      <c r="DA208" s="29">
        <f t="shared" ca="1" si="119"/>
        <v>2</v>
      </c>
      <c r="DB208" s="29">
        <f t="shared" ca="1" si="119"/>
        <v>0</v>
      </c>
      <c r="DC208" s="29">
        <f t="shared" ca="1" si="119"/>
        <v>3</v>
      </c>
      <c r="DD208" s="29">
        <f t="shared" ca="1" si="119"/>
        <v>2</v>
      </c>
      <c r="DE208" s="29">
        <f t="shared" ca="1" si="119"/>
        <v>2</v>
      </c>
      <c r="DF208" s="29">
        <f t="shared" ca="1" si="117"/>
        <v>0</v>
      </c>
      <c r="DG208" s="29">
        <f t="shared" ca="1" si="117"/>
        <v>1</v>
      </c>
      <c r="DH208" s="29">
        <f t="shared" ca="1" si="117"/>
        <v>3</v>
      </c>
      <c r="DI208" s="29">
        <f t="shared" ca="1" si="117"/>
        <v>0</v>
      </c>
      <c r="DJ208" s="29">
        <f t="shared" ca="1" si="117"/>
        <v>1</v>
      </c>
      <c r="DK208" s="29">
        <f t="shared" ca="1" si="117"/>
        <v>1</v>
      </c>
      <c r="DL208" s="29">
        <f t="shared" ca="1" si="117"/>
        <v>1</v>
      </c>
    </row>
    <row r="209" spans="1:116" ht="14.4" x14ac:dyDescent="0.3">
      <c r="A209" s="31">
        <v>48</v>
      </c>
      <c r="B209" s="28">
        <v>2.36</v>
      </c>
      <c r="C209" s="30">
        <v>2.42</v>
      </c>
      <c r="D209" s="28">
        <v>0.95</v>
      </c>
      <c r="E209" s="34">
        <f t="shared" si="110"/>
        <v>1.9E-2</v>
      </c>
      <c r="F209" s="35">
        <f t="shared" si="111"/>
        <v>0.60499999999999998</v>
      </c>
      <c r="G209" s="34">
        <f t="shared" si="112"/>
        <v>23.75</v>
      </c>
      <c r="H209" s="33">
        <f t="shared" si="113"/>
        <v>9.8072033898305087</v>
      </c>
      <c r="I209" s="28">
        <f t="shared" si="118"/>
        <v>588.02000000000044</v>
      </c>
      <c r="J209" s="32">
        <v>0</v>
      </c>
      <c r="K209" s="30">
        <f t="shared" si="114"/>
        <v>23.75</v>
      </c>
      <c r="L209" s="30"/>
      <c r="M209" s="30"/>
      <c r="N209" s="30"/>
      <c r="O209" s="30"/>
      <c r="Q209" s="29">
        <f t="shared" ca="1" si="115"/>
        <v>0</v>
      </c>
      <c r="R209" s="29">
        <f t="shared" ca="1" si="122"/>
        <v>1</v>
      </c>
      <c r="S209" s="29">
        <f t="shared" ca="1" si="122"/>
        <v>1</v>
      </c>
      <c r="T209" s="29">
        <f t="shared" ca="1" si="122"/>
        <v>2</v>
      </c>
      <c r="U209" s="29">
        <f t="shared" ca="1" si="122"/>
        <v>1</v>
      </c>
      <c r="V209" s="29">
        <f t="shared" ca="1" si="122"/>
        <v>0</v>
      </c>
      <c r="W209" s="29">
        <f t="shared" ca="1" si="122"/>
        <v>3</v>
      </c>
      <c r="X209" s="29">
        <f t="shared" ca="1" si="122"/>
        <v>1</v>
      </c>
      <c r="Y209" s="29">
        <f t="shared" ca="1" si="122"/>
        <v>2</v>
      </c>
      <c r="Z209" s="29">
        <f t="shared" ca="1" si="122"/>
        <v>1</v>
      </c>
      <c r="AA209" s="29">
        <f t="shared" ca="1" si="122"/>
        <v>2</v>
      </c>
      <c r="AB209" s="29">
        <f t="shared" ca="1" si="122"/>
        <v>1</v>
      </c>
      <c r="AC209" s="29">
        <f t="shared" ca="1" si="122"/>
        <v>0</v>
      </c>
      <c r="AD209" s="29">
        <f t="shared" ca="1" si="122"/>
        <v>1</v>
      </c>
      <c r="AE209" s="29">
        <f t="shared" ca="1" si="122"/>
        <v>2</v>
      </c>
      <c r="AF209" s="29">
        <f t="shared" ca="1" si="122"/>
        <v>1</v>
      </c>
      <c r="AG209" s="29">
        <f t="shared" ca="1" si="121"/>
        <v>2</v>
      </c>
      <c r="AH209" s="29">
        <f t="shared" ca="1" si="121"/>
        <v>2</v>
      </c>
      <c r="AI209" s="29">
        <f t="shared" ca="1" si="121"/>
        <v>0</v>
      </c>
      <c r="AJ209" s="29">
        <f t="shared" ca="1" si="121"/>
        <v>0</v>
      </c>
      <c r="AK209" s="29">
        <f t="shared" ca="1" si="121"/>
        <v>0</v>
      </c>
      <c r="AL209" s="29">
        <f t="shared" ca="1" si="121"/>
        <v>0</v>
      </c>
      <c r="AM209" s="29">
        <f t="shared" ca="1" si="121"/>
        <v>2</v>
      </c>
      <c r="AN209" s="29">
        <f t="shared" ca="1" si="121"/>
        <v>0</v>
      </c>
      <c r="AO209" s="29">
        <f t="shared" ca="1" si="121"/>
        <v>2</v>
      </c>
      <c r="AP209" s="29">
        <f t="shared" ca="1" si="121"/>
        <v>1</v>
      </c>
      <c r="AQ209" s="29">
        <f t="shared" ca="1" si="121"/>
        <v>0</v>
      </c>
      <c r="AR209" s="29">
        <f t="shared" ca="1" si="121"/>
        <v>2</v>
      </c>
      <c r="AS209" s="29">
        <f t="shared" ca="1" si="121"/>
        <v>0</v>
      </c>
      <c r="AT209" s="29">
        <f t="shared" ca="1" si="121"/>
        <v>0</v>
      </c>
      <c r="AU209" s="29">
        <f t="shared" ca="1" si="121"/>
        <v>1</v>
      </c>
      <c r="AV209" s="29">
        <f t="shared" ca="1" si="124"/>
        <v>1</v>
      </c>
      <c r="AW209" s="29">
        <f t="shared" ca="1" si="124"/>
        <v>2</v>
      </c>
      <c r="AX209" s="29">
        <f t="shared" ca="1" si="124"/>
        <v>1</v>
      </c>
      <c r="AY209" s="29">
        <f t="shared" ca="1" si="124"/>
        <v>0</v>
      </c>
      <c r="AZ209" s="29">
        <f t="shared" ca="1" si="124"/>
        <v>1</v>
      </c>
      <c r="BA209" s="29">
        <f t="shared" ca="1" si="124"/>
        <v>2</v>
      </c>
      <c r="BB209" s="29">
        <f t="shared" ca="1" si="124"/>
        <v>3</v>
      </c>
      <c r="BC209" s="29">
        <f t="shared" ca="1" si="124"/>
        <v>2</v>
      </c>
      <c r="BD209" s="29">
        <f t="shared" ca="1" si="124"/>
        <v>1</v>
      </c>
      <c r="BE209" s="29">
        <f t="shared" ca="1" si="124"/>
        <v>1</v>
      </c>
      <c r="BF209" s="29">
        <f t="shared" ca="1" si="124"/>
        <v>2</v>
      </c>
      <c r="BG209" s="29">
        <f t="shared" ca="1" si="124"/>
        <v>0</v>
      </c>
      <c r="BH209" s="29">
        <f t="shared" ca="1" si="124"/>
        <v>0</v>
      </c>
      <c r="BI209" s="29">
        <f t="shared" ca="1" si="124"/>
        <v>2</v>
      </c>
      <c r="BJ209" s="29">
        <f t="shared" ca="1" si="124"/>
        <v>0</v>
      </c>
      <c r="BK209" s="29">
        <f t="shared" ca="1" si="124"/>
        <v>0</v>
      </c>
      <c r="BL209" s="29">
        <f t="shared" ca="1" si="123"/>
        <v>1</v>
      </c>
      <c r="BM209" s="29">
        <f t="shared" ca="1" si="123"/>
        <v>1</v>
      </c>
      <c r="BN209" s="29">
        <f t="shared" ca="1" si="123"/>
        <v>2</v>
      </c>
      <c r="BO209" s="29">
        <f t="shared" ca="1" si="123"/>
        <v>0</v>
      </c>
      <c r="BP209" s="29">
        <f t="shared" ca="1" si="123"/>
        <v>0</v>
      </c>
      <c r="BQ209" s="29">
        <f t="shared" ca="1" si="123"/>
        <v>1</v>
      </c>
      <c r="BR209" s="29">
        <f t="shared" ca="1" si="123"/>
        <v>1</v>
      </c>
      <c r="BS209" s="29">
        <f t="shared" ca="1" si="123"/>
        <v>1</v>
      </c>
      <c r="BT209" s="29">
        <f t="shared" ca="1" si="123"/>
        <v>1</v>
      </c>
      <c r="BU209" s="29">
        <f t="shared" ca="1" si="123"/>
        <v>2</v>
      </c>
      <c r="BV209" s="29">
        <f t="shared" ca="1" si="123"/>
        <v>0</v>
      </c>
      <c r="BW209" s="29">
        <f t="shared" ca="1" si="123"/>
        <v>2</v>
      </c>
      <c r="BX209" s="29">
        <f t="shared" ca="1" si="123"/>
        <v>1</v>
      </c>
      <c r="BY209" s="29">
        <f t="shared" ca="1" si="123"/>
        <v>2</v>
      </c>
      <c r="BZ209" s="29">
        <f t="shared" ca="1" si="123"/>
        <v>1</v>
      </c>
      <c r="CA209" s="29">
        <f t="shared" ca="1" si="120"/>
        <v>0</v>
      </c>
      <c r="CB209" s="29">
        <f t="shared" ca="1" si="120"/>
        <v>1</v>
      </c>
      <c r="CC209" s="29">
        <f t="shared" ca="1" si="120"/>
        <v>1</v>
      </c>
      <c r="CD209" s="29">
        <f t="shared" ca="1" si="120"/>
        <v>0</v>
      </c>
      <c r="CE209" s="29">
        <f t="shared" ca="1" si="120"/>
        <v>0</v>
      </c>
      <c r="CF209" s="29">
        <f t="shared" ca="1" si="120"/>
        <v>1</v>
      </c>
      <c r="CG209" s="29">
        <f t="shared" ca="1" si="120"/>
        <v>1</v>
      </c>
      <c r="CH209" s="29">
        <f t="shared" ca="1" si="120"/>
        <v>0</v>
      </c>
      <c r="CI209" s="29">
        <f t="shared" ca="1" si="120"/>
        <v>1</v>
      </c>
      <c r="CJ209" s="29">
        <f t="shared" ca="1" si="120"/>
        <v>2</v>
      </c>
      <c r="CK209" s="29">
        <f t="shared" ca="1" si="120"/>
        <v>2</v>
      </c>
      <c r="CL209" s="29">
        <f t="shared" ca="1" si="120"/>
        <v>2</v>
      </c>
      <c r="CM209" s="29">
        <f t="shared" ca="1" si="120"/>
        <v>0</v>
      </c>
      <c r="CN209" s="29">
        <f t="shared" ca="1" si="120"/>
        <v>1</v>
      </c>
      <c r="CO209" s="29">
        <f t="shared" ca="1" si="120"/>
        <v>1</v>
      </c>
      <c r="CP209" s="29">
        <f t="shared" ca="1" si="120"/>
        <v>0</v>
      </c>
      <c r="CQ209" s="29">
        <f t="shared" ca="1" si="119"/>
        <v>1</v>
      </c>
      <c r="CR209" s="29">
        <f t="shared" ca="1" si="119"/>
        <v>4</v>
      </c>
      <c r="CS209" s="29">
        <f t="shared" ca="1" si="119"/>
        <v>1</v>
      </c>
      <c r="CT209" s="29">
        <f t="shared" ca="1" si="119"/>
        <v>1</v>
      </c>
      <c r="CU209" s="29">
        <f t="shared" ca="1" si="119"/>
        <v>0</v>
      </c>
      <c r="CV209" s="29">
        <f t="shared" ca="1" si="119"/>
        <v>0</v>
      </c>
      <c r="CW209" s="29">
        <f t="shared" ca="1" si="119"/>
        <v>0</v>
      </c>
      <c r="CX209" s="29">
        <f t="shared" ca="1" si="119"/>
        <v>1</v>
      </c>
      <c r="CY209" s="29">
        <f t="shared" ca="1" si="119"/>
        <v>1</v>
      </c>
      <c r="CZ209" s="29">
        <f t="shared" ca="1" si="119"/>
        <v>1</v>
      </c>
      <c r="DA209" s="29">
        <f t="shared" ca="1" si="119"/>
        <v>1</v>
      </c>
      <c r="DB209" s="29">
        <f t="shared" ca="1" si="119"/>
        <v>2</v>
      </c>
      <c r="DC209" s="29">
        <f t="shared" ca="1" si="119"/>
        <v>1</v>
      </c>
      <c r="DD209" s="29">
        <f t="shared" ca="1" si="119"/>
        <v>0</v>
      </c>
      <c r="DE209" s="29">
        <f t="shared" ca="1" si="119"/>
        <v>3</v>
      </c>
      <c r="DF209" s="29">
        <f t="shared" ca="1" si="117"/>
        <v>1</v>
      </c>
      <c r="DG209" s="29">
        <f t="shared" ca="1" si="117"/>
        <v>1</v>
      </c>
      <c r="DH209" s="29">
        <f t="shared" ca="1" si="117"/>
        <v>0</v>
      </c>
      <c r="DI209" s="29">
        <f t="shared" ca="1" si="117"/>
        <v>1</v>
      </c>
      <c r="DJ209" s="29">
        <f t="shared" ca="1" si="117"/>
        <v>1</v>
      </c>
      <c r="DK209" s="29">
        <f t="shared" ca="1" si="117"/>
        <v>1</v>
      </c>
      <c r="DL209" s="29">
        <f t="shared" ca="1" si="117"/>
        <v>0</v>
      </c>
    </row>
    <row r="210" spans="1:116" ht="14.4" x14ac:dyDescent="0.3">
      <c r="A210" s="31">
        <v>100</v>
      </c>
      <c r="B210" s="28">
        <v>1.58</v>
      </c>
      <c r="C210" s="30">
        <v>16.04</v>
      </c>
      <c r="D210" s="28">
        <v>0.78</v>
      </c>
      <c r="E210" s="34">
        <f t="shared" si="110"/>
        <v>1.5600000000000001E-2</v>
      </c>
      <c r="F210" s="35">
        <f t="shared" si="111"/>
        <v>4.01</v>
      </c>
      <c r="G210" s="34">
        <f t="shared" si="112"/>
        <v>19.5</v>
      </c>
      <c r="H210" s="33">
        <f t="shared" si="113"/>
        <v>9.8037974683544302</v>
      </c>
      <c r="I210" s="28">
        <f t="shared" si="118"/>
        <v>589.60000000000048</v>
      </c>
      <c r="J210" s="32">
        <v>0</v>
      </c>
      <c r="K210" s="30">
        <f t="shared" si="114"/>
        <v>19.5</v>
      </c>
      <c r="L210" s="30"/>
      <c r="M210" s="30"/>
      <c r="N210" s="30"/>
      <c r="O210" s="30"/>
      <c r="Q210" s="29">
        <f t="shared" ca="1" si="115"/>
        <v>0</v>
      </c>
      <c r="R210" s="29">
        <f t="shared" ca="1" si="122"/>
        <v>1</v>
      </c>
      <c r="S210" s="29">
        <f t="shared" ca="1" si="122"/>
        <v>0</v>
      </c>
      <c r="T210" s="29">
        <f t="shared" ca="1" si="122"/>
        <v>1</v>
      </c>
      <c r="U210" s="29">
        <f t="shared" ca="1" si="122"/>
        <v>0</v>
      </c>
      <c r="V210" s="29">
        <f t="shared" ca="1" si="122"/>
        <v>0</v>
      </c>
      <c r="W210" s="29">
        <f t="shared" ca="1" si="122"/>
        <v>2</v>
      </c>
      <c r="X210" s="29">
        <f t="shared" ca="1" si="122"/>
        <v>1</v>
      </c>
      <c r="Y210" s="29">
        <f t="shared" ca="1" si="122"/>
        <v>0</v>
      </c>
      <c r="Z210" s="29">
        <f t="shared" ca="1" si="122"/>
        <v>1</v>
      </c>
      <c r="AA210" s="29">
        <f t="shared" ca="1" si="122"/>
        <v>0</v>
      </c>
      <c r="AB210" s="29">
        <f t="shared" ca="1" si="122"/>
        <v>1</v>
      </c>
      <c r="AC210" s="29">
        <f t="shared" ca="1" si="122"/>
        <v>0</v>
      </c>
      <c r="AD210" s="29">
        <f t="shared" ca="1" si="122"/>
        <v>0</v>
      </c>
      <c r="AE210" s="29">
        <f t="shared" ca="1" si="122"/>
        <v>3</v>
      </c>
      <c r="AF210" s="29">
        <f t="shared" ca="1" si="122"/>
        <v>1</v>
      </c>
      <c r="AG210" s="29">
        <f t="shared" ca="1" si="121"/>
        <v>0</v>
      </c>
      <c r="AH210" s="29">
        <f t="shared" ca="1" si="121"/>
        <v>1</v>
      </c>
      <c r="AI210" s="29">
        <f t="shared" ca="1" si="121"/>
        <v>1</v>
      </c>
      <c r="AJ210" s="29">
        <f t="shared" ca="1" si="121"/>
        <v>0</v>
      </c>
      <c r="AK210" s="29">
        <f t="shared" ca="1" si="121"/>
        <v>0</v>
      </c>
      <c r="AL210" s="29">
        <f t="shared" ca="1" si="121"/>
        <v>2</v>
      </c>
      <c r="AM210" s="29">
        <f t="shared" ca="1" si="121"/>
        <v>1</v>
      </c>
      <c r="AN210" s="29">
        <f t="shared" ca="1" si="121"/>
        <v>0</v>
      </c>
      <c r="AO210" s="29">
        <f t="shared" ca="1" si="121"/>
        <v>0</v>
      </c>
      <c r="AP210" s="29">
        <f t="shared" ca="1" si="121"/>
        <v>0</v>
      </c>
      <c r="AQ210" s="29">
        <f t="shared" ca="1" si="121"/>
        <v>2</v>
      </c>
      <c r="AR210" s="29">
        <f t="shared" ca="1" si="121"/>
        <v>2</v>
      </c>
      <c r="AS210" s="29">
        <f t="shared" ca="1" si="121"/>
        <v>0</v>
      </c>
      <c r="AT210" s="29">
        <f t="shared" ca="1" si="121"/>
        <v>1</v>
      </c>
      <c r="AU210" s="29">
        <f t="shared" ca="1" si="121"/>
        <v>0</v>
      </c>
      <c r="AV210" s="29">
        <f t="shared" ca="1" si="124"/>
        <v>0</v>
      </c>
      <c r="AW210" s="29">
        <f t="shared" ca="1" si="124"/>
        <v>2</v>
      </c>
      <c r="AX210" s="29">
        <f t="shared" ca="1" si="124"/>
        <v>0</v>
      </c>
      <c r="AY210" s="29">
        <f t="shared" ca="1" si="124"/>
        <v>0</v>
      </c>
      <c r="AZ210" s="29">
        <f t="shared" ca="1" si="124"/>
        <v>2</v>
      </c>
      <c r="BA210" s="29">
        <f t="shared" ca="1" si="124"/>
        <v>0</v>
      </c>
      <c r="BB210" s="29">
        <f t="shared" ca="1" si="124"/>
        <v>0</v>
      </c>
      <c r="BC210" s="29">
        <f t="shared" ca="1" si="124"/>
        <v>1</v>
      </c>
      <c r="BD210" s="29">
        <f t="shared" ca="1" si="124"/>
        <v>1</v>
      </c>
      <c r="BE210" s="29">
        <f t="shared" ca="1" si="124"/>
        <v>0</v>
      </c>
      <c r="BF210" s="29">
        <f t="shared" ca="1" si="124"/>
        <v>1</v>
      </c>
      <c r="BG210" s="29">
        <f t="shared" ca="1" si="124"/>
        <v>0</v>
      </c>
      <c r="BH210" s="29">
        <f t="shared" ca="1" si="124"/>
        <v>0</v>
      </c>
      <c r="BI210" s="29">
        <f t="shared" ca="1" si="124"/>
        <v>1</v>
      </c>
      <c r="BJ210" s="29">
        <f t="shared" ca="1" si="124"/>
        <v>0</v>
      </c>
      <c r="BK210" s="29">
        <f t="shared" ca="1" si="124"/>
        <v>0</v>
      </c>
      <c r="BL210" s="29">
        <f t="shared" ca="1" si="123"/>
        <v>0</v>
      </c>
      <c r="BM210" s="29">
        <f t="shared" ca="1" si="123"/>
        <v>0</v>
      </c>
      <c r="BN210" s="29">
        <f t="shared" ca="1" si="123"/>
        <v>0</v>
      </c>
      <c r="BO210" s="29">
        <f t="shared" ca="1" si="123"/>
        <v>0</v>
      </c>
      <c r="BP210" s="29">
        <f t="shared" ca="1" si="123"/>
        <v>0</v>
      </c>
      <c r="BQ210" s="29">
        <f t="shared" ca="1" si="123"/>
        <v>1</v>
      </c>
      <c r="BR210" s="29">
        <f t="shared" ca="1" si="123"/>
        <v>2</v>
      </c>
      <c r="BS210" s="29">
        <f t="shared" ca="1" si="123"/>
        <v>1</v>
      </c>
      <c r="BT210" s="29">
        <f t="shared" ca="1" si="123"/>
        <v>2</v>
      </c>
      <c r="BU210" s="29">
        <f t="shared" ca="1" si="123"/>
        <v>0</v>
      </c>
      <c r="BV210" s="29">
        <f t="shared" ca="1" si="123"/>
        <v>1</v>
      </c>
      <c r="BW210" s="29">
        <f t="shared" ca="1" si="123"/>
        <v>1</v>
      </c>
      <c r="BX210" s="29">
        <f t="shared" ca="1" si="123"/>
        <v>2</v>
      </c>
      <c r="BY210" s="29">
        <f t="shared" ca="1" si="123"/>
        <v>1</v>
      </c>
      <c r="BZ210" s="29">
        <f t="shared" ca="1" si="123"/>
        <v>4</v>
      </c>
      <c r="CA210" s="29">
        <f t="shared" ca="1" si="120"/>
        <v>0</v>
      </c>
      <c r="CB210" s="29">
        <f t="shared" ca="1" si="120"/>
        <v>0</v>
      </c>
      <c r="CC210" s="29">
        <f t="shared" ca="1" si="120"/>
        <v>2</v>
      </c>
      <c r="CD210" s="29">
        <f t="shared" ca="1" si="120"/>
        <v>2</v>
      </c>
      <c r="CE210" s="29">
        <f t="shared" ca="1" si="120"/>
        <v>0</v>
      </c>
      <c r="CF210" s="29">
        <f t="shared" ca="1" si="120"/>
        <v>2</v>
      </c>
      <c r="CG210" s="29">
        <f t="shared" ca="1" si="120"/>
        <v>0</v>
      </c>
      <c r="CH210" s="29">
        <f t="shared" ca="1" si="120"/>
        <v>1</v>
      </c>
      <c r="CI210" s="29">
        <f t="shared" ca="1" si="120"/>
        <v>0</v>
      </c>
      <c r="CJ210" s="29">
        <f t="shared" ca="1" si="120"/>
        <v>2</v>
      </c>
      <c r="CK210" s="29">
        <f t="shared" ca="1" si="120"/>
        <v>0</v>
      </c>
      <c r="CL210" s="29">
        <f t="shared" ca="1" si="120"/>
        <v>0</v>
      </c>
      <c r="CM210" s="29">
        <f t="shared" ca="1" si="120"/>
        <v>1</v>
      </c>
      <c r="CN210" s="29">
        <f t="shared" ca="1" si="120"/>
        <v>0</v>
      </c>
      <c r="CO210" s="29">
        <f t="shared" ca="1" si="120"/>
        <v>1</v>
      </c>
      <c r="CP210" s="29">
        <f t="shared" ca="1" si="120"/>
        <v>1</v>
      </c>
      <c r="CQ210" s="29">
        <f t="shared" ca="1" si="119"/>
        <v>2</v>
      </c>
      <c r="CR210" s="29">
        <f t="shared" ca="1" si="119"/>
        <v>1</v>
      </c>
      <c r="CS210" s="29">
        <f t="shared" ca="1" si="119"/>
        <v>4</v>
      </c>
      <c r="CT210" s="29">
        <f t="shared" ca="1" si="119"/>
        <v>0</v>
      </c>
      <c r="CU210" s="29">
        <f t="shared" ca="1" si="119"/>
        <v>0</v>
      </c>
      <c r="CV210" s="29">
        <f t="shared" ca="1" si="119"/>
        <v>1</v>
      </c>
      <c r="CW210" s="29">
        <f t="shared" ca="1" si="119"/>
        <v>0</v>
      </c>
      <c r="CX210" s="29">
        <f t="shared" ca="1" si="119"/>
        <v>0</v>
      </c>
      <c r="CY210" s="29">
        <f t="shared" ca="1" si="119"/>
        <v>0</v>
      </c>
      <c r="CZ210" s="29">
        <f t="shared" ca="1" si="119"/>
        <v>1</v>
      </c>
      <c r="DA210" s="29">
        <f t="shared" ca="1" si="119"/>
        <v>2</v>
      </c>
      <c r="DB210" s="29">
        <f t="shared" ca="1" si="119"/>
        <v>1</v>
      </c>
      <c r="DC210" s="29">
        <f t="shared" ca="1" si="119"/>
        <v>0</v>
      </c>
      <c r="DD210" s="29">
        <f t="shared" ca="1" si="119"/>
        <v>1</v>
      </c>
      <c r="DE210" s="29">
        <f t="shared" ca="1" si="119"/>
        <v>1</v>
      </c>
      <c r="DF210" s="29">
        <f t="shared" ca="1" si="117"/>
        <v>0</v>
      </c>
      <c r="DG210" s="29">
        <f t="shared" ca="1" si="117"/>
        <v>0</v>
      </c>
      <c r="DH210" s="29">
        <f t="shared" ca="1" si="117"/>
        <v>0</v>
      </c>
      <c r="DI210" s="29">
        <f t="shared" ca="1" si="117"/>
        <v>0</v>
      </c>
      <c r="DJ210" s="29">
        <f t="shared" ca="1" si="117"/>
        <v>0</v>
      </c>
      <c r="DK210" s="29">
        <f t="shared" ca="1" si="117"/>
        <v>1</v>
      </c>
      <c r="DL210" s="29">
        <f t="shared" ca="1" si="117"/>
        <v>0</v>
      </c>
    </row>
    <row r="211" spans="1:116" ht="14.4" x14ac:dyDescent="0.3">
      <c r="A211" s="31">
        <v>787</v>
      </c>
      <c r="B211" s="28">
        <v>7.49</v>
      </c>
      <c r="C211" s="30">
        <v>6.61</v>
      </c>
      <c r="D211" s="28">
        <v>2.99</v>
      </c>
      <c r="E211" s="34">
        <f t="shared" si="110"/>
        <v>5.9800000000000006E-2</v>
      </c>
      <c r="F211" s="35">
        <f t="shared" si="111"/>
        <v>1.6525000000000001</v>
      </c>
      <c r="G211" s="34">
        <f t="shared" si="112"/>
        <v>74.75</v>
      </c>
      <c r="H211" s="33">
        <f t="shared" si="113"/>
        <v>9.759345794392523</v>
      </c>
      <c r="I211" s="28">
        <f t="shared" si="118"/>
        <v>597.09000000000049</v>
      </c>
      <c r="J211" s="32">
        <v>0</v>
      </c>
      <c r="K211" s="30">
        <f t="shared" si="114"/>
        <v>74.75</v>
      </c>
      <c r="L211" s="30"/>
      <c r="M211" s="30"/>
      <c r="N211" s="30"/>
      <c r="O211" s="30"/>
      <c r="Q211" s="29">
        <f t="shared" ca="1" si="115"/>
        <v>1</v>
      </c>
      <c r="R211" s="29">
        <f t="shared" ca="1" si="122"/>
        <v>2</v>
      </c>
      <c r="S211" s="29">
        <f t="shared" ca="1" si="122"/>
        <v>0</v>
      </c>
      <c r="T211" s="29">
        <f t="shared" ca="1" si="122"/>
        <v>2</v>
      </c>
      <c r="U211" s="29">
        <f t="shared" ca="1" si="122"/>
        <v>6</v>
      </c>
      <c r="V211" s="29">
        <f t="shared" ca="1" si="122"/>
        <v>2</v>
      </c>
      <c r="W211" s="29">
        <f t="shared" ca="1" si="122"/>
        <v>1</v>
      </c>
      <c r="X211" s="29">
        <f t="shared" ca="1" si="122"/>
        <v>1</v>
      </c>
      <c r="Y211" s="29">
        <f t="shared" ca="1" si="122"/>
        <v>2</v>
      </c>
      <c r="Z211" s="29">
        <f t="shared" ca="1" si="122"/>
        <v>0</v>
      </c>
      <c r="AA211" s="29">
        <f t="shared" ca="1" si="122"/>
        <v>2</v>
      </c>
      <c r="AB211" s="29">
        <f t="shared" ca="1" si="122"/>
        <v>8</v>
      </c>
      <c r="AC211" s="29">
        <f t="shared" ca="1" si="122"/>
        <v>3</v>
      </c>
      <c r="AD211" s="29">
        <f t="shared" ca="1" si="122"/>
        <v>1</v>
      </c>
      <c r="AE211" s="29">
        <f t="shared" ca="1" si="122"/>
        <v>3</v>
      </c>
      <c r="AF211" s="29">
        <f t="shared" ca="1" si="122"/>
        <v>3</v>
      </c>
      <c r="AG211" s="29">
        <f t="shared" ca="1" si="121"/>
        <v>5</v>
      </c>
      <c r="AH211" s="29">
        <f t="shared" ca="1" si="121"/>
        <v>1</v>
      </c>
      <c r="AI211" s="29">
        <f t="shared" ca="1" si="121"/>
        <v>5</v>
      </c>
      <c r="AJ211" s="29">
        <f t="shared" ca="1" si="121"/>
        <v>2</v>
      </c>
      <c r="AK211" s="29">
        <f t="shared" ca="1" si="121"/>
        <v>3</v>
      </c>
      <c r="AL211" s="29">
        <f t="shared" ca="1" si="121"/>
        <v>1</v>
      </c>
      <c r="AM211" s="29">
        <f t="shared" ca="1" si="121"/>
        <v>2</v>
      </c>
      <c r="AN211" s="29">
        <f t="shared" ca="1" si="121"/>
        <v>2</v>
      </c>
      <c r="AO211" s="29">
        <f t="shared" ca="1" si="121"/>
        <v>1</v>
      </c>
      <c r="AP211" s="29">
        <f t="shared" ca="1" si="121"/>
        <v>0</v>
      </c>
      <c r="AQ211" s="29">
        <f t="shared" ca="1" si="121"/>
        <v>5</v>
      </c>
      <c r="AR211" s="29">
        <f t="shared" ca="1" si="121"/>
        <v>3</v>
      </c>
      <c r="AS211" s="29">
        <f t="shared" ca="1" si="121"/>
        <v>3</v>
      </c>
      <c r="AT211" s="29">
        <f t="shared" ca="1" si="121"/>
        <v>3</v>
      </c>
      <c r="AU211" s="29">
        <f t="shared" ca="1" si="121"/>
        <v>3</v>
      </c>
      <c r="AV211" s="29">
        <f t="shared" ca="1" si="124"/>
        <v>4</v>
      </c>
      <c r="AW211" s="29">
        <f t="shared" ca="1" si="124"/>
        <v>3</v>
      </c>
      <c r="AX211" s="29">
        <f t="shared" ca="1" si="124"/>
        <v>3</v>
      </c>
      <c r="AY211" s="29">
        <f t="shared" ca="1" si="124"/>
        <v>3</v>
      </c>
      <c r="AZ211" s="29">
        <f t="shared" ca="1" si="124"/>
        <v>3</v>
      </c>
      <c r="BA211" s="29">
        <f t="shared" ca="1" si="124"/>
        <v>5</v>
      </c>
      <c r="BB211" s="29">
        <f t="shared" ca="1" si="124"/>
        <v>1</v>
      </c>
      <c r="BC211" s="29">
        <f t="shared" ca="1" si="124"/>
        <v>2</v>
      </c>
      <c r="BD211" s="29">
        <f t="shared" ca="1" si="124"/>
        <v>6</v>
      </c>
      <c r="BE211" s="29">
        <f t="shared" ca="1" si="124"/>
        <v>1</v>
      </c>
      <c r="BF211" s="29">
        <f t="shared" ca="1" si="124"/>
        <v>2</v>
      </c>
      <c r="BG211" s="29">
        <f t="shared" ca="1" si="124"/>
        <v>2</v>
      </c>
      <c r="BH211" s="29">
        <f t="shared" ca="1" si="124"/>
        <v>2</v>
      </c>
      <c r="BI211" s="29">
        <f t="shared" ca="1" si="124"/>
        <v>3</v>
      </c>
      <c r="BJ211" s="29">
        <f t="shared" ca="1" si="124"/>
        <v>3</v>
      </c>
      <c r="BK211" s="29">
        <f t="shared" ca="1" si="124"/>
        <v>2</v>
      </c>
      <c r="BL211" s="29">
        <f t="shared" ca="1" si="123"/>
        <v>4</v>
      </c>
      <c r="BM211" s="29">
        <f t="shared" ca="1" si="123"/>
        <v>5</v>
      </c>
      <c r="BN211" s="29">
        <f t="shared" ca="1" si="123"/>
        <v>4</v>
      </c>
      <c r="BO211" s="29">
        <f t="shared" ca="1" si="123"/>
        <v>3</v>
      </c>
      <c r="BP211" s="29">
        <f t="shared" ca="1" si="123"/>
        <v>2</v>
      </c>
      <c r="BQ211" s="29">
        <f t="shared" ca="1" si="123"/>
        <v>1</v>
      </c>
      <c r="BR211" s="29">
        <f t="shared" ca="1" si="123"/>
        <v>3</v>
      </c>
      <c r="BS211" s="29">
        <f t="shared" ca="1" si="123"/>
        <v>3</v>
      </c>
      <c r="BT211" s="29">
        <f t="shared" ca="1" si="123"/>
        <v>3</v>
      </c>
      <c r="BU211" s="29">
        <f t="shared" ca="1" si="123"/>
        <v>4</v>
      </c>
      <c r="BV211" s="29">
        <f t="shared" ca="1" si="123"/>
        <v>3</v>
      </c>
      <c r="BW211" s="29">
        <f t="shared" ca="1" si="123"/>
        <v>1</v>
      </c>
      <c r="BX211" s="29">
        <f t="shared" ca="1" si="123"/>
        <v>2</v>
      </c>
      <c r="BY211" s="29">
        <f t="shared" ca="1" si="123"/>
        <v>1</v>
      </c>
      <c r="BZ211" s="29">
        <f t="shared" ca="1" si="123"/>
        <v>2</v>
      </c>
      <c r="CA211" s="29">
        <f t="shared" ca="1" si="120"/>
        <v>8</v>
      </c>
      <c r="CB211" s="29">
        <f t="shared" ca="1" si="120"/>
        <v>2</v>
      </c>
      <c r="CC211" s="29">
        <f t="shared" ca="1" si="120"/>
        <v>2</v>
      </c>
      <c r="CD211" s="29">
        <f t="shared" ca="1" si="120"/>
        <v>5</v>
      </c>
      <c r="CE211" s="29">
        <f t="shared" ca="1" si="120"/>
        <v>1</v>
      </c>
      <c r="CF211" s="29">
        <f t="shared" ca="1" si="120"/>
        <v>2</v>
      </c>
      <c r="CG211" s="29">
        <f t="shared" ca="1" si="120"/>
        <v>4</v>
      </c>
      <c r="CH211" s="29">
        <f t="shared" ca="1" si="120"/>
        <v>1</v>
      </c>
      <c r="CI211" s="29">
        <f t="shared" ca="1" si="120"/>
        <v>3</v>
      </c>
      <c r="CJ211" s="29">
        <f t="shared" ca="1" si="120"/>
        <v>4</v>
      </c>
      <c r="CK211" s="29">
        <f t="shared" ca="1" si="120"/>
        <v>5</v>
      </c>
      <c r="CL211" s="29">
        <f t="shared" ca="1" si="120"/>
        <v>3</v>
      </c>
      <c r="CM211" s="29">
        <f t="shared" ca="1" si="120"/>
        <v>2</v>
      </c>
      <c r="CN211" s="29">
        <f t="shared" ca="1" si="120"/>
        <v>5</v>
      </c>
      <c r="CO211" s="29">
        <f t="shared" ca="1" si="120"/>
        <v>2</v>
      </c>
      <c r="CP211" s="29">
        <f t="shared" ca="1" si="120"/>
        <v>4</v>
      </c>
      <c r="CQ211" s="29">
        <f t="shared" ca="1" si="119"/>
        <v>3</v>
      </c>
      <c r="CR211" s="29">
        <f t="shared" ca="1" si="119"/>
        <v>3</v>
      </c>
      <c r="CS211" s="29">
        <f t="shared" ca="1" si="119"/>
        <v>2</v>
      </c>
      <c r="CT211" s="29">
        <f t="shared" ca="1" si="119"/>
        <v>4</v>
      </c>
      <c r="CU211" s="29">
        <f t="shared" ca="1" si="119"/>
        <v>3</v>
      </c>
      <c r="CV211" s="29">
        <f t="shared" ca="1" si="119"/>
        <v>2</v>
      </c>
      <c r="CW211" s="29">
        <f t="shared" ca="1" si="119"/>
        <v>2</v>
      </c>
      <c r="CX211" s="29">
        <f t="shared" ca="1" si="119"/>
        <v>6</v>
      </c>
      <c r="CY211" s="29">
        <f t="shared" ca="1" si="119"/>
        <v>5</v>
      </c>
      <c r="CZ211" s="29">
        <f t="shared" ca="1" si="119"/>
        <v>2</v>
      </c>
      <c r="DA211" s="29">
        <f t="shared" ca="1" si="119"/>
        <v>1</v>
      </c>
      <c r="DB211" s="29">
        <f t="shared" ca="1" si="119"/>
        <v>4</v>
      </c>
      <c r="DC211" s="29">
        <f t="shared" ca="1" si="119"/>
        <v>4</v>
      </c>
      <c r="DD211" s="29">
        <f t="shared" ca="1" si="119"/>
        <v>4</v>
      </c>
      <c r="DE211" s="29">
        <f t="shared" ca="1" si="119"/>
        <v>3</v>
      </c>
      <c r="DF211" s="29">
        <f t="shared" ca="1" si="117"/>
        <v>1</v>
      </c>
      <c r="DG211" s="29">
        <f t="shared" ca="1" si="117"/>
        <v>7</v>
      </c>
      <c r="DH211" s="29">
        <f t="shared" ca="1" si="117"/>
        <v>4</v>
      </c>
      <c r="DI211" s="29">
        <f t="shared" ca="1" si="117"/>
        <v>3</v>
      </c>
      <c r="DJ211" s="29">
        <f t="shared" ca="1" si="117"/>
        <v>3</v>
      </c>
      <c r="DK211" s="29">
        <f t="shared" ca="1" si="117"/>
        <v>4</v>
      </c>
      <c r="DL211" s="29">
        <f t="shared" ca="1" si="117"/>
        <v>1</v>
      </c>
    </row>
    <row r="212" spans="1:116" ht="14.4" x14ac:dyDescent="0.3">
      <c r="A212" s="31">
        <v>283</v>
      </c>
      <c r="B212" s="28">
        <v>5.49</v>
      </c>
      <c r="C212" s="30">
        <v>82.74</v>
      </c>
      <c r="D212" s="28">
        <v>2.97</v>
      </c>
      <c r="E212" s="34">
        <f t="shared" si="110"/>
        <v>5.9400000000000001E-2</v>
      </c>
      <c r="F212" s="35">
        <f t="shared" si="111"/>
        <v>20.684999999999999</v>
      </c>
      <c r="G212" s="34">
        <f t="shared" si="112"/>
        <v>74.25</v>
      </c>
      <c r="H212" s="33">
        <f t="shared" si="113"/>
        <v>9.7568306010928953</v>
      </c>
      <c r="I212" s="28">
        <f t="shared" si="118"/>
        <v>602.5800000000005</v>
      </c>
      <c r="J212" s="32">
        <v>0</v>
      </c>
      <c r="K212" s="30">
        <f t="shared" si="114"/>
        <v>74.25</v>
      </c>
      <c r="L212" s="30"/>
      <c r="M212" s="30"/>
      <c r="N212" s="30"/>
      <c r="O212" s="30"/>
      <c r="Q212" s="29">
        <f t="shared" ca="1" si="115"/>
        <v>1</v>
      </c>
      <c r="R212" s="29">
        <f t="shared" ca="1" si="122"/>
        <v>4</v>
      </c>
      <c r="S212" s="29">
        <f t="shared" ca="1" si="122"/>
        <v>7</v>
      </c>
      <c r="T212" s="29">
        <f t="shared" ca="1" si="122"/>
        <v>2</v>
      </c>
      <c r="U212" s="29">
        <f t="shared" ca="1" si="122"/>
        <v>3</v>
      </c>
      <c r="V212" s="29">
        <f t="shared" ca="1" si="122"/>
        <v>4</v>
      </c>
      <c r="W212" s="29">
        <f t="shared" ca="1" si="122"/>
        <v>9</v>
      </c>
      <c r="X212" s="29">
        <f t="shared" ca="1" si="122"/>
        <v>5</v>
      </c>
      <c r="Y212" s="29">
        <f t="shared" ca="1" si="122"/>
        <v>2</v>
      </c>
      <c r="Z212" s="29">
        <f t="shared" ca="1" si="122"/>
        <v>3</v>
      </c>
      <c r="AA212" s="29">
        <f t="shared" ca="1" si="122"/>
        <v>7</v>
      </c>
      <c r="AB212" s="29">
        <f t="shared" ca="1" si="122"/>
        <v>5</v>
      </c>
      <c r="AC212" s="29">
        <f t="shared" ca="1" si="122"/>
        <v>5</v>
      </c>
      <c r="AD212" s="29">
        <f t="shared" ca="1" si="122"/>
        <v>0</v>
      </c>
      <c r="AE212" s="29">
        <f t="shared" ca="1" si="122"/>
        <v>5</v>
      </c>
      <c r="AF212" s="29">
        <f t="shared" ca="1" si="122"/>
        <v>8</v>
      </c>
      <c r="AG212" s="29">
        <f t="shared" ca="1" si="121"/>
        <v>4</v>
      </c>
      <c r="AH212" s="29">
        <f t="shared" ca="1" si="121"/>
        <v>1</v>
      </c>
      <c r="AI212" s="29">
        <f t="shared" ca="1" si="121"/>
        <v>4</v>
      </c>
      <c r="AJ212" s="29">
        <f t="shared" ca="1" si="121"/>
        <v>2</v>
      </c>
      <c r="AK212" s="29">
        <f t="shared" ca="1" si="121"/>
        <v>3</v>
      </c>
      <c r="AL212" s="29">
        <f t="shared" ca="1" si="121"/>
        <v>2</v>
      </c>
      <c r="AM212" s="29">
        <f t="shared" ca="1" si="121"/>
        <v>0</v>
      </c>
      <c r="AN212" s="29">
        <f t="shared" ca="1" si="121"/>
        <v>2</v>
      </c>
      <c r="AO212" s="29">
        <f t="shared" ca="1" si="121"/>
        <v>1</v>
      </c>
      <c r="AP212" s="29">
        <f t="shared" ca="1" si="121"/>
        <v>6</v>
      </c>
      <c r="AQ212" s="29">
        <f t="shared" ca="1" si="121"/>
        <v>3</v>
      </c>
      <c r="AR212" s="29">
        <f t="shared" ca="1" si="121"/>
        <v>6</v>
      </c>
      <c r="AS212" s="29">
        <f t="shared" ca="1" si="121"/>
        <v>2</v>
      </c>
      <c r="AT212" s="29">
        <f t="shared" ca="1" si="121"/>
        <v>4</v>
      </c>
      <c r="AU212" s="29">
        <f t="shared" ca="1" si="121"/>
        <v>6</v>
      </c>
      <c r="AV212" s="29">
        <f t="shared" ca="1" si="124"/>
        <v>2</v>
      </c>
      <c r="AW212" s="29">
        <f t="shared" ca="1" si="124"/>
        <v>4</v>
      </c>
      <c r="AX212" s="29">
        <f t="shared" ca="1" si="124"/>
        <v>2</v>
      </c>
      <c r="AY212" s="29">
        <f t="shared" ca="1" si="124"/>
        <v>1</v>
      </c>
      <c r="AZ212" s="29">
        <f t="shared" ca="1" si="124"/>
        <v>2</v>
      </c>
      <c r="BA212" s="29">
        <f t="shared" ca="1" si="124"/>
        <v>2</v>
      </c>
      <c r="BB212" s="29">
        <f t="shared" ca="1" si="124"/>
        <v>6</v>
      </c>
      <c r="BC212" s="29">
        <f t="shared" ca="1" si="124"/>
        <v>4</v>
      </c>
      <c r="BD212" s="29">
        <f t="shared" ca="1" si="124"/>
        <v>2</v>
      </c>
      <c r="BE212" s="29">
        <f t="shared" ca="1" si="124"/>
        <v>4</v>
      </c>
      <c r="BF212" s="29">
        <f t="shared" ca="1" si="124"/>
        <v>3</v>
      </c>
      <c r="BG212" s="29">
        <f t="shared" ca="1" si="124"/>
        <v>2</v>
      </c>
      <c r="BH212" s="29">
        <f t="shared" ca="1" si="124"/>
        <v>3</v>
      </c>
      <c r="BI212" s="29">
        <f t="shared" ca="1" si="124"/>
        <v>5</v>
      </c>
      <c r="BJ212" s="29">
        <f t="shared" ca="1" si="124"/>
        <v>1</v>
      </c>
      <c r="BK212" s="29">
        <f t="shared" ca="1" si="124"/>
        <v>2</v>
      </c>
      <c r="BL212" s="29">
        <f t="shared" ca="1" si="123"/>
        <v>6</v>
      </c>
      <c r="BM212" s="29">
        <f t="shared" ca="1" si="123"/>
        <v>4</v>
      </c>
      <c r="BN212" s="29">
        <f t="shared" ca="1" si="123"/>
        <v>4</v>
      </c>
      <c r="BO212" s="29">
        <f t="shared" ca="1" si="123"/>
        <v>5</v>
      </c>
      <c r="BP212" s="29">
        <f t="shared" ca="1" si="123"/>
        <v>5</v>
      </c>
      <c r="BQ212" s="29">
        <f t="shared" ca="1" si="123"/>
        <v>1</v>
      </c>
      <c r="BR212" s="29">
        <f t="shared" ca="1" si="123"/>
        <v>2</v>
      </c>
      <c r="BS212" s="29">
        <f t="shared" ca="1" si="123"/>
        <v>1</v>
      </c>
      <c r="BT212" s="29">
        <f t="shared" ca="1" si="123"/>
        <v>2</v>
      </c>
      <c r="BU212" s="29">
        <f t="shared" ca="1" si="123"/>
        <v>4</v>
      </c>
      <c r="BV212" s="29">
        <f t="shared" ca="1" si="123"/>
        <v>0</v>
      </c>
      <c r="BW212" s="29">
        <f t="shared" ca="1" si="123"/>
        <v>3</v>
      </c>
      <c r="BX212" s="29">
        <f t="shared" ca="1" si="123"/>
        <v>7</v>
      </c>
      <c r="BY212" s="29">
        <f t="shared" ca="1" si="123"/>
        <v>2</v>
      </c>
      <c r="BZ212" s="29">
        <f t="shared" ca="1" si="123"/>
        <v>1</v>
      </c>
      <c r="CA212" s="29">
        <f t="shared" ca="1" si="120"/>
        <v>2</v>
      </c>
      <c r="CB212" s="29">
        <f t="shared" ca="1" si="120"/>
        <v>8</v>
      </c>
      <c r="CC212" s="29">
        <f t="shared" ca="1" si="120"/>
        <v>2</v>
      </c>
      <c r="CD212" s="29">
        <f t="shared" ca="1" si="120"/>
        <v>1</v>
      </c>
      <c r="CE212" s="29">
        <f t="shared" ca="1" si="120"/>
        <v>4</v>
      </c>
      <c r="CF212" s="29">
        <f t="shared" ca="1" si="120"/>
        <v>2</v>
      </c>
      <c r="CG212" s="29">
        <f t="shared" ca="1" si="120"/>
        <v>3</v>
      </c>
      <c r="CH212" s="29">
        <f t="shared" ca="1" si="120"/>
        <v>3</v>
      </c>
      <c r="CI212" s="29">
        <f t="shared" ca="1" si="120"/>
        <v>3</v>
      </c>
      <c r="CJ212" s="29">
        <f t="shared" ca="1" si="120"/>
        <v>1</v>
      </c>
      <c r="CK212" s="29">
        <f t="shared" ca="1" si="120"/>
        <v>1</v>
      </c>
      <c r="CL212" s="29">
        <f t="shared" ca="1" si="120"/>
        <v>3</v>
      </c>
      <c r="CM212" s="29">
        <f t="shared" ca="1" si="120"/>
        <v>2</v>
      </c>
      <c r="CN212" s="29">
        <f t="shared" ca="1" si="120"/>
        <v>1</v>
      </c>
      <c r="CO212" s="29">
        <f t="shared" ca="1" si="120"/>
        <v>1</v>
      </c>
      <c r="CP212" s="29">
        <f t="shared" ref="CP212:DE227" ca="1" si="125">_xlfn.BINOM.INV(50,$E212,RAND())</f>
        <v>2</v>
      </c>
      <c r="CQ212" s="29">
        <f t="shared" ca="1" si="125"/>
        <v>6</v>
      </c>
      <c r="CR212" s="29">
        <f t="shared" ca="1" si="125"/>
        <v>4</v>
      </c>
      <c r="CS212" s="29">
        <f t="shared" ca="1" si="125"/>
        <v>6</v>
      </c>
      <c r="CT212" s="29">
        <f t="shared" ca="1" si="125"/>
        <v>4</v>
      </c>
      <c r="CU212" s="29">
        <f t="shared" ca="1" si="125"/>
        <v>1</v>
      </c>
      <c r="CV212" s="29">
        <f t="shared" ca="1" si="125"/>
        <v>2</v>
      </c>
      <c r="CW212" s="29">
        <f t="shared" ca="1" si="125"/>
        <v>2</v>
      </c>
      <c r="CX212" s="29">
        <f t="shared" ca="1" si="125"/>
        <v>3</v>
      </c>
      <c r="CY212" s="29">
        <f t="shared" ca="1" si="125"/>
        <v>3</v>
      </c>
      <c r="CZ212" s="29">
        <f t="shared" ca="1" si="125"/>
        <v>5</v>
      </c>
      <c r="DA212" s="29">
        <f t="shared" ca="1" si="125"/>
        <v>4</v>
      </c>
      <c r="DB212" s="29">
        <f t="shared" ca="1" si="125"/>
        <v>3</v>
      </c>
      <c r="DC212" s="29">
        <f t="shared" ca="1" si="125"/>
        <v>4</v>
      </c>
      <c r="DD212" s="29">
        <f t="shared" ca="1" si="125"/>
        <v>3</v>
      </c>
      <c r="DE212" s="29">
        <f t="shared" ca="1" si="125"/>
        <v>6</v>
      </c>
      <c r="DF212" s="29">
        <f t="shared" ca="1" si="117"/>
        <v>2</v>
      </c>
      <c r="DG212" s="29">
        <f t="shared" ca="1" si="117"/>
        <v>3</v>
      </c>
      <c r="DH212" s="29">
        <f t="shared" ca="1" si="117"/>
        <v>2</v>
      </c>
      <c r="DI212" s="29">
        <f t="shared" ca="1" si="117"/>
        <v>3</v>
      </c>
      <c r="DJ212" s="29">
        <f t="shared" ca="1" si="117"/>
        <v>6</v>
      </c>
      <c r="DK212" s="29">
        <f t="shared" ca="1" si="117"/>
        <v>6</v>
      </c>
      <c r="DL212" s="29">
        <f t="shared" ca="1" si="117"/>
        <v>0</v>
      </c>
    </row>
    <row r="213" spans="1:116" ht="14.4" x14ac:dyDescent="0.3">
      <c r="A213" s="31">
        <v>179</v>
      </c>
      <c r="B213" s="28">
        <v>7.99</v>
      </c>
      <c r="C213" s="30">
        <v>11.21</v>
      </c>
      <c r="D213" s="28">
        <v>3.23</v>
      </c>
      <c r="E213" s="34">
        <f t="shared" si="110"/>
        <v>6.4600000000000005E-2</v>
      </c>
      <c r="F213" s="35">
        <f t="shared" si="111"/>
        <v>2.8025000000000002</v>
      </c>
      <c r="G213" s="34">
        <f t="shared" si="112"/>
        <v>80.75</v>
      </c>
      <c r="H213" s="33">
        <f t="shared" si="113"/>
        <v>9.7556320400500631</v>
      </c>
      <c r="I213" s="28">
        <f t="shared" si="118"/>
        <v>610.5700000000005</v>
      </c>
      <c r="J213" s="32">
        <v>0</v>
      </c>
      <c r="K213" s="30">
        <f t="shared" si="114"/>
        <v>80.75</v>
      </c>
      <c r="L213" s="30"/>
      <c r="M213" s="30"/>
      <c r="N213" s="30"/>
      <c r="O213" s="30"/>
      <c r="Q213" s="29">
        <f t="shared" ca="1" si="115"/>
        <v>4</v>
      </c>
      <c r="R213" s="29">
        <f t="shared" ca="1" si="122"/>
        <v>1</v>
      </c>
      <c r="S213" s="29">
        <f t="shared" ca="1" si="122"/>
        <v>2</v>
      </c>
      <c r="T213" s="29">
        <f t="shared" ca="1" si="122"/>
        <v>1</v>
      </c>
      <c r="U213" s="29">
        <f t="shared" ca="1" si="122"/>
        <v>3</v>
      </c>
      <c r="V213" s="29">
        <f t="shared" ca="1" si="122"/>
        <v>4</v>
      </c>
      <c r="W213" s="29">
        <f t="shared" ca="1" si="122"/>
        <v>6</v>
      </c>
      <c r="X213" s="29">
        <f t="shared" ca="1" si="122"/>
        <v>4</v>
      </c>
      <c r="Y213" s="29">
        <f t="shared" ca="1" si="122"/>
        <v>3</v>
      </c>
      <c r="Z213" s="29">
        <f t="shared" ca="1" si="122"/>
        <v>3</v>
      </c>
      <c r="AA213" s="29">
        <f t="shared" ca="1" si="122"/>
        <v>3</v>
      </c>
      <c r="AB213" s="29">
        <f t="shared" ca="1" si="122"/>
        <v>3</v>
      </c>
      <c r="AC213" s="29">
        <f t="shared" ca="1" si="122"/>
        <v>4</v>
      </c>
      <c r="AD213" s="29">
        <f t="shared" ca="1" si="122"/>
        <v>2</v>
      </c>
      <c r="AE213" s="29">
        <f t="shared" ca="1" si="122"/>
        <v>2</v>
      </c>
      <c r="AF213" s="29">
        <f t="shared" ca="1" si="122"/>
        <v>2</v>
      </c>
      <c r="AG213" s="29">
        <f t="shared" ca="1" si="121"/>
        <v>6</v>
      </c>
      <c r="AH213" s="29">
        <f t="shared" ca="1" si="121"/>
        <v>1</v>
      </c>
      <c r="AI213" s="29">
        <f t="shared" ca="1" si="121"/>
        <v>2</v>
      </c>
      <c r="AJ213" s="29">
        <f t="shared" ca="1" si="121"/>
        <v>4</v>
      </c>
      <c r="AK213" s="29">
        <f t="shared" ca="1" si="121"/>
        <v>2</v>
      </c>
      <c r="AL213" s="29">
        <f t="shared" ca="1" si="121"/>
        <v>4</v>
      </c>
      <c r="AM213" s="29">
        <f t="shared" ca="1" si="121"/>
        <v>6</v>
      </c>
      <c r="AN213" s="29">
        <f t="shared" ca="1" si="121"/>
        <v>4</v>
      </c>
      <c r="AO213" s="29">
        <f t="shared" ca="1" si="121"/>
        <v>6</v>
      </c>
      <c r="AP213" s="29">
        <f t="shared" ca="1" si="121"/>
        <v>3</v>
      </c>
      <c r="AQ213" s="29">
        <f t="shared" ca="1" si="121"/>
        <v>3</v>
      </c>
      <c r="AR213" s="29">
        <f t="shared" ca="1" si="121"/>
        <v>3</v>
      </c>
      <c r="AS213" s="29">
        <f t="shared" ca="1" si="121"/>
        <v>2</v>
      </c>
      <c r="AT213" s="29">
        <f t="shared" ca="1" si="121"/>
        <v>4</v>
      </c>
      <c r="AU213" s="29">
        <f t="shared" ca="1" si="121"/>
        <v>5</v>
      </c>
      <c r="AV213" s="29">
        <f t="shared" ca="1" si="124"/>
        <v>1</v>
      </c>
      <c r="AW213" s="29">
        <f t="shared" ca="1" si="124"/>
        <v>6</v>
      </c>
      <c r="AX213" s="29">
        <f t="shared" ca="1" si="124"/>
        <v>1</v>
      </c>
      <c r="AY213" s="29">
        <f t="shared" ca="1" si="124"/>
        <v>3</v>
      </c>
      <c r="AZ213" s="29">
        <f t="shared" ca="1" si="124"/>
        <v>2</v>
      </c>
      <c r="BA213" s="29">
        <f t="shared" ca="1" si="124"/>
        <v>5</v>
      </c>
      <c r="BB213" s="29">
        <f t="shared" ca="1" si="124"/>
        <v>4</v>
      </c>
      <c r="BC213" s="29">
        <f t="shared" ca="1" si="124"/>
        <v>1</v>
      </c>
      <c r="BD213" s="29">
        <f t="shared" ca="1" si="124"/>
        <v>2</v>
      </c>
      <c r="BE213" s="29">
        <f t="shared" ca="1" si="124"/>
        <v>7</v>
      </c>
      <c r="BF213" s="29">
        <f t="shared" ca="1" si="124"/>
        <v>0</v>
      </c>
      <c r="BG213" s="29">
        <f t="shared" ca="1" si="124"/>
        <v>5</v>
      </c>
      <c r="BH213" s="29">
        <f t="shared" ca="1" si="124"/>
        <v>0</v>
      </c>
      <c r="BI213" s="29">
        <f t="shared" ca="1" si="124"/>
        <v>1</v>
      </c>
      <c r="BJ213" s="29">
        <f t="shared" ca="1" si="124"/>
        <v>4</v>
      </c>
      <c r="BK213" s="29">
        <f t="shared" ca="1" si="124"/>
        <v>4</v>
      </c>
      <c r="BL213" s="29">
        <f t="shared" ca="1" si="123"/>
        <v>3</v>
      </c>
      <c r="BM213" s="29">
        <f t="shared" ca="1" si="123"/>
        <v>3</v>
      </c>
      <c r="BN213" s="29">
        <f t="shared" ca="1" si="123"/>
        <v>2</v>
      </c>
      <c r="BO213" s="29">
        <f t="shared" ca="1" si="123"/>
        <v>3</v>
      </c>
      <c r="BP213" s="29">
        <f t="shared" ca="1" si="123"/>
        <v>5</v>
      </c>
      <c r="BQ213" s="29">
        <f t="shared" ca="1" si="123"/>
        <v>1</v>
      </c>
      <c r="BR213" s="29">
        <f t="shared" ca="1" si="123"/>
        <v>5</v>
      </c>
      <c r="BS213" s="29">
        <f t="shared" ca="1" si="123"/>
        <v>3</v>
      </c>
      <c r="BT213" s="29">
        <f t="shared" ca="1" si="123"/>
        <v>4</v>
      </c>
      <c r="BU213" s="29">
        <f t="shared" ca="1" si="123"/>
        <v>3</v>
      </c>
      <c r="BV213" s="29">
        <f t="shared" ca="1" si="123"/>
        <v>4</v>
      </c>
      <c r="BW213" s="29">
        <f t="shared" ca="1" si="123"/>
        <v>1</v>
      </c>
      <c r="BX213" s="29">
        <f t="shared" ca="1" si="123"/>
        <v>1</v>
      </c>
      <c r="BY213" s="29">
        <f t="shared" ca="1" si="123"/>
        <v>5</v>
      </c>
      <c r="BZ213" s="29">
        <f t="shared" ca="1" si="123"/>
        <v>4</v>
      </c>
      <c r="CA213" s="29">
        <f t="shared" ref="CA213:CP228" ca="1" si="126">_xlfn.BINOM.INV(50,$E213,RAND())</f>
        <v>3</v>
      </c>
      <c r="CB213" s="29">
        <f t="shared" ca="1" si="126"/>
        <v>4</v>
      </c>
      <c r="CC213" s="29">
        <f t="shared" ca="1" si="126"/>
        <v>4</v>
      </c>
      <c r="CD213" s="29">
        <f t="shared" ca="1" si="126"/>
        <v>1</v>
      </c>
      <c r="CE213" s="29">
        <f t="shared" ca="1" si="126"/>
        <v>2</v>
      </c>
      <c r="CF213" s="29">
        <f t="shared" ca="1" si="126"/>
        <v>3</v>
      </c>
      <c r="CG213" s="29">
        <f t="shared" ca="1" si="126"/>
        <v>3</v>
      </c>
      <c r="CH213" s="29">
        <f t="shared" ca="1" si="126"/>
        <v>5</v>
      </c>
      <c r="CI213" s="29">
        <f t="shared" ca="1" si="126"/>
        <v>1</v>
      </c>
      <c r="CJ213" s="29">
        <f t="shared" ca="1" si="126"/>
        <v>4</v>
      </c>
      <c r="CK213" s="29">
        <f t="shared" ca="1" si="126"/>
        <v>2</v>
      </c>
      <c r="CL213" s="29">
        <f t="shared" ca="1" si="126"/>
        <v>2</v>
      </c>
      <c r="CM213" s="29">
        <f t="shared" ca="1" si="126"/>
        <v>3</v>
      </c>
      <c r="CN213" s="29">
        <f t="shared" ca="1" si="126"/>
        <v>3</v>
      </c>
      <c r="CO213" s="29">
        <f t="shared" ca="1" si="126"/>
        <v>3</v>
      </c>
      <c r="CP213" s="29">
        <f t="shared" ca="1" si="126"/>
        <v>1</v>
      </c>
      <c r="CQ213" s="29">
        <f t="shared" ca="1" si="125"/>
        <v>4</v>
      </c>
      <c r="CR213" s="29">
        <f t="shared" ca="1" si="125"/>
        <v>4</v>
      </c>
      <c r="CS213" s="29">
        <f t="shared" ca="1" si="125"/>
        <v>3</v>
      </c>
      <c r="CT213" s="29">
        <f t="shared" ca="1" si="125"/>
        <v>3</v>
      </c>
      <c r="CU213" s="29">
        <f t="shared" ca="1" si="125"/>
        <v>3</v>
      </c>
      <c r="CV213" s="29">
        <f t="shared" ca="1" si="125"/>
        <v>7</v>
      </c>
      <c r="CW213" s="29">
        <f t="shared" ca="1" si="125"/>
        <v>3</v>
      </c>
      <c r="CX213" s="29">
        <f t="shared" ca="1" si="125"/>
        <v>3</v>
      </c>
      <c r="CY213" s="29">
        <f t="shared" ca="1" si="125"/>
        <v>2</v>
      </c>
      <c r="CZ213" s="29">
        <f t="shared" ca="1" si="125"/>
        <v>0</v>
      </c>
      <c r="DA213" s="29">
        <f t="shared" ca="1" si="125"/>
        <v>3</v>
      </c>
      <c r="DB213" s="29">
        <f t="shared" ca="1" si="125"/>
        <v>3</v>
      </c>
      <c r="DC213" s="29">
        <f t="shared" ca="1" si="125"/>
        <v>1</v>
      </c>
      <c r="DD213" s="29">
        <f t="shared" ca="1" si="125"/>
        <v>7</v>
      </c>
      <c r="DE213" s="29">
        <f t="shared" ca="1" si="125"/>
        <v>4</v>
      </c>
      <c r="DF213" s="29">
        <f t="shared" ca="1" si="117"/>
        <v>3</v>
      </c>
      <c r="DG213" s="29">
        <f t="shared" ca="1" si="117"/>
        <v>0</v>
      </c>
      <c r="DH213" s="29">
        <f t="shared" ca="1" si="117"/>
        <v>5</v>
      </c>
      <c r="DI213" s="29">
        <f t="shared" ca="1" si="117"/>
        <v>5</v>
      </c>
      <c r="DJ213" s="29">
        <f t="shared" ca="1" si="117"/>
        <v>2</v>
      </c>
      <c r="DK213" s="29">
        <f t="shared" ca="1" si="117"/>
        <v>7</v>
      </c>
      <c r="DL213" s="29">
        <f t="shared" ca="1" si="117"/>
        <v>3</v>
      </c>
    </row>
    <row r="214" spans="1:116" ht="14.4" x14ac:dyDescent="0.3">
      <c r="A214" s="31">
        <v>245</v>
      </c>
      <c r="B214" s="28">
        <v>6.82</v>
      </c>
      <c r="C214" s="30">
        <v>26.99</v>
      </c>
      <c r="D214" s="28">
        <v>2.93</v>
      </c>
      <c r="E214" s="34">
        <f t="shared" si="110"/>
        <v>5.8600000000000006E-2</v>
      </c>
      <c r="F214" s="35">
        <f t="shared" si="111"/>
        <v>6.7474999999999996</v>
      </c>
      <c r="G214" s="34">
        <f t="shared" si="112"/>
        <v>73.25</v>
      </c>
      <c r="H214" s="33">
        <f t="shared" si="113"/>
        <v>9.751099706744867</v>
      </c>
      <c r="I214" s="28">
        <f t="shared" si="118"/>
        <v>617.39000000000055</v>
      </c>
      <c r="J214" s="32">
        <v>0</v>
      </c>
      <c r="K214" s="30">
        <f t="shared" si="114"/>
        <v>73.25</v>
      </c>
      <c r="L214" s="30"/>
      <c r="M214" s="30"/>
      <c r="N214" s="30"/>
      <c r="O214" s="30"/>
      <c r="Q214" s="29">
        <f t="shared" ca="1" si="115"/>
        <v>3</v>
      </c>
      <c r="R214" s="29">
        <f t="shared" ca="1" si="122"/>
        <v>0</v>
      </c>
      <c r="S214" s="29">
        <f t="shared" ca="1" si="122"/>
        <v>2</v>
      </c>
      <c r="T214" s="29">
        <f t="shared" ca="1" si="122"/>
        <v>0</v>
      </c>
      <c r="U214" s="29">
        <f t="shared" ca="1" si="122"/>
        <v>5</v>
      </c>
      <c r="V214" s="29">
        <f t="shared" ca="1" si="122"/>
        <v>2</v>
      </c>
      <c r="W214" s="29">
        <f t="shared" ca="1" si="122"/>
        <v>3</v>
      </c>
      <c r="X214" s="29">
        <f t="shared" ca="1" si="122"/>
        <v>2</v>
      </c>
      <c r="Y214" s="29">
        <f t="shared" ca="1" si="122"/>
        <v>2</v>
      </c>
      <c r="Z214" s="29">
        <f t="shared" ca="1" si="122"/>
        <v>3</v>
      </c>
      <c r="AA214" s="29">
        <f t="shared" ca="1" si="122"/>
        <v>4</v>
      </c>
      <c r="AB214" s="29">
        <f t="shared" ca="1" si="122"/>
        <v>2</v>
      </c>
      <c r="AC214" s="29">
        <f t="shared" ca="1" si="122"/>
        <v>2</v>
      </c>
      <c r="AD214" s="29">
        <f t="shared" ca="1" si="122"/>
        <v>5</v>
      </c>
      <c r="AE214" s="29">
        <f t="shared" ca="1" si="122"/>
        <v>3</v>
      </c>
      <c r="AF214" s="29">
        <f t="shared" ca="1" si="122"/>
        <v>0</v>
      </c>
      <c r="AG214" s="29">
        <f t="shared" ca="1" si="121"/>
        <v>5</v>
      </c>
      <c r="AH214" s="29">
        <f t="shared" ca="1" si="121"/>
        <v>1</v>
      </c>
      <c r="AI214" s="29">
        <f t="shared" ca="1" si="121"/>
        <v>2</v>
      </c>
      <c r="AJ214" s="29">
        <f t="shared" ca="1" si="121"/>
        <v>4</v>
      </c>
      <c r="AK214" s="29">
        <f t="shared" ca="1" si="121"/>
        <v>4</v>
      </c>
      <c r="AL214" s="29">
        <f t="shared" ca="1" si="121"/>
        <v>2</v>
      </c>
      <c r="AM214" s="29">
        <f t="shared" ca="1" si="121"/>
        <v>3</v>
      </c>
      <c r="AN214" s="29">
        <f t="shared" ca="1" si="121"/>
        <v>0</v>
      </c>
      <c r="AO214" s="29">
        <f t="shared" ca="1" si="121"/>
        <v>4</v>
      </c>
      <c r="AP214" s="29">
        <f t="shared" ca="1" si="121"/>
        <v>2</v>
      </c>
      <c r="AQ214" s="29">
        <f t="shared" ca="1" si="121"/>
        <v>2</v>
      </c>
      <c r="AR214" s="29">
        <f t="shared" ca="1" si="121"/>
        <v>4</v>
      </c>
      <c r="AS214" s="29">
        <f t="shared" ca="1" si="121"/>
        <v>2</v>
      </c>
      <c r="AT214" s="29">
        <f t="shared" ca="1" si="121"/>
        <v>3</v>
      </c>
      <c r="AU214" s="29">
        <f t="shared" ca="1" si="121"/>
        <v>1</v>
      </c>
      <c r="AV214" s="29">
        <f t="shared" ca="1" si="124"/>
        <v>6</v>
      </c>
      <c r="AW214" s="29">
        <f t="shared" ca="1" si="124"/>
        <v>1</v>
      </c>
      <c r="AX214" s="29">
        <f t="shared" ca="1" si="124"/>
        <v>3</v>
      </c>
      <c r="AY214" s="29">
        <f t="shared" ca="1" si="124"/>
        <v>2</v>
      </c>
      <c r="AZ214" s="29">
        <f t="shared" ca="1" si="124"/>
        <v>2</v>
      </c>
      <c r="BA214" s="29">
        <f t="shared" ca="1" si="124"/>
        <v>0</v>
      </c>
      <c r="BB214" s="29">
        <f t="shared" ca="1" si="124"/>
        <v>4</v>
      </c>
      <c r="BC214" s="29">
        <f t="shared" ca="1" si="124"/>
        <v>1</v>
      </c>
      <c r="BD214" s="29">
        <f t="shared" ca="1" si="124"/>
        <v>1</v>
      </c>
      <c r="BE214" s="29">
        <f t="shared" ca="1" si="124"/>
        <v>2</v>
      </c>
      <c r="BF214" s="29">
        <f t="shared" ca="1" si="124"/>
        <v>2</v>
      </c>
      <c r="BG214" s="29">
        <f t="shared" ca="1" si="124"/>
        <v>4</v>
      </c>
      <c r="BH214" s="29">
        <f t="shared" ca="1" si="124"/>
        <v>3</v>
      </c>
      <c r="BI214" s="29">
        <f t="shared" ca="1" si="124"/>
        <v>5</v>
      </c>
      <c r="BJ214" s="29">
        <f t="shared" ca="1" si="124"/>
        <v>0</v>
      </c>
      <c r="BK214" s="29">
        <f t="shared" ca="1" si="124"/>
        <v>5</v>
      </c>
      <c r="BL214" s="29">
        <f t="shared" ca="1" si="123"/>
        <v>7</v>
      </c>
      <c r="BM214" s="29">
        <f t="shared" ca="1" si="123"/>
        <v>2</v>
      </c>
      <c r="BN214" s="29">
        <f t="shared" ca="1" si="123"/>
        <v>1</v>
      </c>
      <c r="BO214" s="29">
        <f t="shared" ca="1" si="123"/>
        <v>3</v>
      </c>
      <c r="BP214" s="29">
        <f t="shared" ca="1" si="123"/>
        <v>0</v>
      </c>
      <c r="BQ214" s="29">
        <f t="shared" ca="1" si="123"/>
        <v>4</v>
      </c>
      <c r="BR214" s="29">
        <f t="shared" ca="1" si="123"/>
        <v>4</v>
      </c>
      <c r="BS214" s="29">
        <f t="shared" ca="1" si="123"/>
        <v>3</v>
      </c>
      <c r="BT214" s="29">
        <f t="shared" ca="1" si="123"/>
        <v>1</v>
      </c>
      <c r="BU214" s="29">
        <f t="shared" ca="1" si="123"/>
        <v>6</v>
      </c>
      <c r="BV214" s="29">
        <f t="shared" ca="1" si="123"/>
        <v>1</v>
      </c>
      <c r="BW214" s="29">
        <f t="shared" ca="1" si="123"/>
        <v>2</v>
      </c>
      <c r="BX214" s="29">
        <f t="shared" ca="1" si="123"/>
        <v>2</v>
      </c>
      <c r="BY214" s="29">
        <f t="shared" ca="1" si="123"/>
        <v>2</v>
      </c>
      <c r="BZ214" s="29">
        <f t="shared" ca="1" si="123"/>
        <v>3</v>
      </c>
      <c r="CA214" s="29">
        <f t="shared" ca="1" si="126"/>
        <v>0</v>
      </c>
      <c r="CB214" s="29">
        <f t="shared" ca="1" si="126"/>
        <v>3</v>
      </c>
      <c r="CC214" s="29">
        <f t="shared" ca="1" si="126"/>
        <v>4</v>
      </c>
      <c r="CD214" s="29">
        <f t="shared" ca="1" si="126"/>
        <v>2</v>
      </c>
      <c r="CE214" s="29">
        <f t="shared" ca="1" si="126"/>
        <v>6</v>
      </c>
      <c r="CF214" s="29">
        <f t="shared" ca="1" si="126"/>
        <v>5</v>
      </c>
      <c r="CG214" s="29">
        <f t="shared" ca="1" si="126"/>
        <v>1</v>
      </c>
      <c r="CH214" s="29">
        <f t="shared" ca="1" si="126"/>
        <v>1</v>
      </c>
      <c r="CI214" s="29">
        <f t="shared" ca="1" si="126"/>
        <v>5</v>
      </c>
      <c r="CJ214" s="29">
        <f t="shared" ca="1" si="126"/>
        <v>2</v>
      </c>
      <c r="CK214" s="29">
        <f t="shared" ca="1" si="126"/>
        <v>2</v>
      </c>
      <c r="CL214" s="29">
        <f t="shared" ca="1" si="126"/>
        <v>7</v>
      </c>
      <c r="CM214" s="29">
        <f t="shared" ca="1" si="126"/>
        <v>3</v>
      </c>
      <c r="CN214" s="29">
        <f t="shared" ca="1" si="126"/>
        <v>3</v>
      </c>
      <c r="CO214" s="29">
        <f t="shared" ca="1" si="126"/>
        <v>1</v>
      </c>
      <c r="CP214" s="29">
        <f t="shared" ca="1" si="126"/>
        <v>3</v>
      </c>
      <c r="CQ214" s="29">
        <f t="shared" ca="1" si="125"/>
        <v>1</v>
      </c>
      <c r="CR214" s="29">
        <f t="shared" ca="1" si="125"/>
        <v>1</v>
      </c>
      <c r="CS214" s="29">
        <f t="shared" ca="1" si="125"/>
        <v>2</v>
      </c>
      <c r="CT214" s="29">
        <f t="shared" ca="1" si="125"/>
        <v>2</v>
      </c>
      <c r="CU214" s="29">
        <f t="shared" ca="1" si="125"/>
        <v>1</v>
      </c>
      <c r="CV214" s="29">
        <f t="shared" ca="1" si="125"/>
        <v>5</v>
      </c>
      <c r="CW214" s="29">
        <f t="shared" ca="1" si="125"/>
        <v>2</v>
      </c>
      <c r="CX214" s="29">
        <f t="shared" ca="1" si="125"/>
        <v>3</v>
      </c>
      <c r="CY214" s="29">
        <f t="shared" ca="1" si="125"/>
        <v>2</v>
      </c>
      <c r="CZ214" s="29">
        <f t="shared" ca="1" si="125"/>
        <v>1</v>
      </c>
      <c r="DA214" s="29">
        <f t="shared" ca="1" si="125"/>
        <v>4</v>
      </c>
      <c r="DB214" s="29">
        <f t="shared" ca="1" si="125"/>
        <v>2</v>
      </c>
      <c r="DC214" s="29">
        <f t="shared" ca="1" si="125"/>
        <v>2</v>
      </c>
      <c r="DD214" s="29">
        <f t="shared" ca="1" si="125"/>
        <v>2</v>
      </c>
      <c r="DE214" s="29">
        <f t="shared" ca="1" si="125"/>
        <v>4</v>
      </c>
      <c r="DF214" s="29">
        <f t="shared" ca="1" si="117"/>
        <v>4</v>
      </c>
      <c r="DG214" s="29">
        <f t="shared" ca="1" si="117"/>
        <v>5</v>
      </c>
      <c r="DH214" s="29">
        <f t="shared" ca="1" si="117"/>
        <v>2</v>
      </c>
      <c r="DI214" s="29">
        <f t="shared" ca="1" si="117"/>
        <v>3</v>
      </c>
      <c r="DJ214" s="29">
        <f t="shared" ca="1" si="117"/>
        <v>5</v>
      </c>
      <c r="DK214" s="29">
        <f t="shared" ca="1" si="117"/>
        <v>1</v>
      </c>
      <c r="DL214" s="29">
        <f t="shared" ca="1" si="117"/>
        <v>2</v>
      </c>
    </row>
    <row r="215" spans="1:116" ht="14.4" x14ac:dyDescent="0.3">
      <c r="A215" s="31">
        <v>850</v>
      </c>
      <c r="B215" s="28">
        <v>1.64</v>
      </c>
      <c r="C215" s="30">
        <v>67.510000000000005</v>
      </c>
      <c r="D215" s="28">
        <v>1.31</v>
      </c>
      <c r="E215" s="34">
        <f t="shared" si="110"/>
        <v>2.6200000000000001E-2</v>
      </c>
      <c r="F215" s="35">
        <f t="shared" si="111"/>
        <v>16.877500000000001</v>
      </c>
      <c r="G215" s="34">
        <f t="shared" si="112"/>
        <v>32.75</v>
      </c>
      <c r="H215" s="33">
        <f t="shared" si="113"/>
        <v>9.6783536585365848</v>
      </c>
      <c r="I215" s="28">
        <f t="shared" si="118"/>
        <v>619.03000000000054</v>
      </c>
      <c r="J215" s="32">
        <v>0</v>
      </c>
      <c r="K215" s="30">
        <f t="shared" si="114"/>
        <v>32.75</v>
      </c>
      <c r="L215" s="30"/>
      <c r="M215" s="30"/>
      <c r="N215" s="30"/>
      <c r="O215" s="30"/>
      <c r="Q215" s="29">
        <f t="shared" ca="1" si="115"/>
        <v>1</v>
      </c>
      <c r="R215" s="29">
        <f t="shared" ca="1" si="122"/>
        <v>1</v>
      </c>
      <c r="S215" s="29">
        <f t="shared" ca="1" si="122"/>
        <v>0</v>
      </c>
      <c r="T215" s="29">
        <f t="shared" ca="1" si="122"/>
        <v>3</v>
      </c>
      <c r="U215" s="29">
        <f t="shared" ca="1" si="122"/>
        <v>0</v>
      </c>
      <c r="V215" s="29">
        <f t="shared" ca="1" si="122"/>
        <v>0</v>
      </c>
      <c r="W215" s="29">
        <f t="shared" ca="1" si="122"/>
        <v>2</v>
      </c>
      <c r="X215" s="29">
        <f t="shared" ca="1" si="122"/>
        <v>0</v>
      </c>
      <c r="Y215" s="29">
        <f t="shared" ca="1" si="122"/>
        <v>1</v>
      </c>
      <c r="Z215" s="29">
        <f t="shared" ca="1" si="122"/>
        <v>1</v>
      </c>
      <c r="AA215" s="29">
        <f t="shared" ca="1" si="122"/>
        <v>1</v>
      </c>
      <c r="AB215" s="29">
        <f t="shared" ca="1" si="122"/>
        <v>0</v>
      </c>
      <c r="AC215" s="29">
        <f t="shared" ca="1" si="122"/>
        <v>0</v>
      </c>
      <c r="AD215" s="29">
        <f t="shared" ca="1" si="122"/>
        <v>0</v>
      </c>
      <c r="AE215" s="29">
        <f t="shared" ca="1" si="122"/>
        <v>0</v>
      </c>
      <c r="AF215" s="29">
        <f t="shared" ca="1" si="122"/>
        <v>2</v>
      </c>
      <c r="AG215" s="29">
        <f t="shared" ca="1" si="121"/>
        <v>3</v>
      </c>
      <c r="AH215" s="29">
        <f t="shared" ca="1" si="121"/>
        <v>2</v>
      </c>
      <c r="AI215" s="29">
        <f t="shared" ca="1" si="121"/>
        <v>1</v>
      </c>
      <c r="AJ215" s="29">
        <f t="shared" ca="1" si="121"/>
        <v>3</v>
      </c>
      <c r="AK215" s="29">
        <f t="shared" ca="1" si="121"/>
        <v>2</v>
      </c>
      <c r="AL215" s="29">
        <f t="shared" ca="1" si="121"/>
        <v>1</v>
      </c>
      <c r="AM215" s="29">
        <f t="shared" ca="1" si="121"/>
        <v>1</v>
      </c>
      <c r="AN215" s="29">
        <f t="shared" ca="1" si="121"/>
        <v>1</v>
      </c>
      <c r="AO215" s="29">
        <f t="shared" ca="1" si="121"/>
        <v>2</v>
      </c>
      <c r="AP215" s="29">
        <f t="shared" ca="1" si="121"/>
        <v>1</v>
      </c>
      <c r="AQ215" s="29">
        <f t="shared" ca="1" si="121"/>
        <v>0</v>
      </c>
      <c r="AR215" s="29">
        <f t="shared" ca="1" si="121"/>
        <v>1</v>
      </c>
      <c r="AS215" s="29">
        <f t="shared" ca="1" si="121"/>
        <v>1</v>
      </c>
      <c r="AT215" s="29">
        <f t="shared" ca="1" si="121"/>
        <v>1</v>
      </c>
      <c r="AU215" s="29">
        <f t="shared" ca="1" si="121"/>
        <v>1</v>
      </c>
      <c r="AV215" s="29">
        <f t="shared" ca="1" si="124"/>
        <v>0</v>
      </c>
      <c r="AW215" s="29">
        <f t="shared" ca="1" si="124"/>
        <v>1</v>
      </c>
      <c r="AX215" s="29">
        <f t="shared" ca="1" si="124"/>
        <v>0</v>
      </c>
      <c r="AY215" s="29">
        <f t="shared" ca="1" si="124"/>
        <v>2</v>
      </c>
      <c r="AZ215" s="29">
        <f t="shared" ca="1" si="124"/>
        <v>0</v>
      </c>
      <c r="BA215" s="29">
        <f t="shared" ca="1" si="124"/>
        <v>1</v>
      </c>
      <c r="BB215" s="29">
        <f t="shared" ca="1" si="124"/>
        <v>1</v>
      </c>
      <c r="BC215" s="29">
        <f t="shared" ca="1" si="124"/>
        <v>1</v>
      </c>
      <c r="BD215" s="29">
        <f t="shared" ca="1" si="124"/>
        <v>0</v>
      </c>
      <c r="BE215" s="29">
        <f t="shared" ca="1" si="124"/>
        <v>0</v>
      </c>
      <c r="BF215" s="29">
        <f t="shared" ca="1" si="124"/>
        <v>3</v>
      </c>
      <c r="BG215" s="29">
        <f t="shared" ca="1" si="124"/>
        <v>0</v>
      </c>
      <c r="BH215" s="29">
        <f t="shared" ca="1" si="124"/>
        <v>0</v>
      </c>
      <c r="BI215" s="29">
        <f t="shared" ca="1" si="124"/>
        <v>1</v>
      </c>
      <c r="BJ215" s="29">
        <f t="shared" ca="1" si="124"/>
        <v>3</v>
      </c>
      <c r="BK215" s="29">
        <f t="shared" ca="1" si="124"/>
        <v>0</v>
      </c>
      <c r="BL215" s="29">
        <f t="shared" ca="1" si="123"/>
        <v>0</v>
      </c>
      <c r="BM215" s="29">
        <f t="shared" ca="1" si="123"/>
        <v>3</v>
      </c>
      <c r="BN215" s="29">
        <f t="shared" ca="1" si="123"/>
        <v>3</v>
      </c>
      <c r="BO215" s="29">
        <f t="shared" ca="1" si="123"/>
        <v>0</v>
      </c>
      <c r="BP215" s="29">
        <f t="shared" ca="1" si="123"/>
        <v>0</v>
      </c>
      <c r="BQ215" s="29">
        <f t="shared" ca="1" si="123"/>
        <v>2</v>
      </c>
      <c r="BR215" s="29">
        <f t="shared" ca="1" si="123"/>
        <v>2</v>
      </c>
      <c r="BS215" s="29">
        <f t="shared" ca="1" si="123"/>
        <v>3</v>
      </c>
      <c r="BT215" s="29">
        <f t="shared" ca="1" si="123"/>
        <v>1</v>
      </c>
      <c r="BU215" s="29">
        <f t="shared" ca="1" si="123"/>
        <v>3</v>
      </c>
      <c r="BV215" s="29">
        <f t="shared" ca="1" si="123"/>
        <v>2</v>
      </c>
      <c r="BW215" s="29">
        <f t="shared" ca="1" si="123"/>
        <v>1</v>
      </c>
      <c r="BX215" s="29">
        <f t="shared" ca="1" si="123"/>
        <v>0</v>
      </c>
      <c r="BY215" s="29">
        <f t="shared" ca="1" si="123"/>
        <v>1</v>
      </c>
      <c r="BZ215" s="29">
        <f t="shared" ca="1" si="123"/>
        <v>3</v>
      </c>
      <c r="CA215" s="29">
        <f t="shared" ca="1" si="126"/>
        <v>1</v>
      </c>
      <c r="CB215" s="29">
        <f t="shared" ca="1" si="126"/>
        <v>2</v>
      </c>
      <c r="CC215" s="29">
        <f t="shared" ca="1" si="126"/>
        <v>0</v>
      </c>
      <c r="CD215" s="29">
        <f t="shared" ca="1" si="126"/>
        <v>1</v>
      </c>
      <c r="CE215" s="29">
        <f t="shared" ca="1" si="126"/>
        <v>0</v>
      </c>
      <c r="CF215" s="29">
        <f t="shared" ca="1" si="126"/>
        <v>4</v>
      </c>
      <c r="CG215" s="29">
        <f t="shared" ca="1" si="126"/>
        <v>0</v>
      </c>
      <c r="CH215" s="29">
        <f t="shared" ca="1" si="126"/>
        <v>0</v>
      </c>
      <c r="CI215" s="29">
        <f t="shared" ca="1" si="126"/>
        <v>1</v>
      </c>
      <c r="CJ215" s="29">
        <f t="shared" ca="1" si="126"/>
        <v>2</v>
      </c>
      <c r="CK215" s="29">
        <f t="shared" ca="1" si="126"/>
        <v>0</v>
      </c>
      <c r="CL215" s="29">
        <f t="shared" ca="1" si="126"/>
        <v>3</v>
      </c>
      <c r="CM215" s="29">
        <f t="shared" ca="1" si="126"/>
        <v>0</v>
      </c>
      <c r="CN215" s="29">
        <f t="shared" ca="1" si="126"/>
        <v>0</v>
      </c>
      <c r="CO215" s="29">
        <f t="shared" ca="1" si="126"/>
        <v>0</v>
      </c>
      <c r="CP215" s="29">
        <f t="shared" ca="1" si="126"/>
        <v>0</v>
      </c>
      <c r="CQ215" s="29">
        <f t="shared" ca="1" si="125"/>
        <v>3</v>
      </c>
      <c r="CR215" s="29">
        <f t="shared" ca="1" si="125"/>
        <v>2</v>
      </c>
      <c r="CS215" s="29">
        <f t="shared" ca="1" si="125"/>
        <v>1</v>
      </c>
      <c r="CT215" s="29">
        <f t="shared" ca="1" si="125"/>
        <v>1</v>
      </c>
      <c r="CU215" s="29">
        <f t="shared" ca="1" si="125"/>
        <v>2</v>
      </c>
      <c r="CV215" s="29">
        <f t="shared" ca="1" si="125"/>
        <v>2</v>
      </c>
      <c r="CW215" s="29">
        <f t="shared" ca="1" si="125"/>
        <v>0</v>
      </c>
      <c r="CX215" s="29">
        <f t="shared" ca="1" si="125"/>
        <v>0</v>
      </c>
      <c r="CY215" s="29">
        <f t="shared" ca="1" si="125"/>
        <v>1</v>
      </c>
      <c r="CZ215" s="29">
        <f t="shared" ca="1" si="125"/>
        <v>1</v>
      </c>
      <c r="DA215" s="29">
        <f t="shared" ca="1" si="125"/>
        <v>2</v>
      </c>
      <c r="DB215" s="29">
        <f t="shared" ca="1" si="125"/>
        <v>0</v>
      </c>
      <c r="DC215" s="29">
        <f t="shared" ca="1" si="125"/>
        <v>1</v>
      </c>
      <c r="DD215" s="29">
        <f t="shared" ca="1" si="125"/>
        <v>1</v>
      </c>
      <c r="DE215" s="29">
        <f t="shared" ca="1" si="125"/>
        <v>1</v>
      </c>
      <c r="DF215" s="29">
        <f t="shared" ca="1" si="117"/>
        <v>1</v>
      </c>
      <c r="DG215" s="29">
        <f t="shared" ca="1" si="117"/>
        <v>2</v>
      </c>
      <c r="DH215" s="29">
        <f t="shared" ca="1" si="117"/>
        <v>1</v>
      </c>
      <c r="DI215" s="29">
        <f t="shared" ca="1" si="117"/>
        <v>2</v>
      </c>
      <c r="DJ215" s="29">
        <f t="shared" ca="1" si="117"/>
        <v>2</v>
      </c>
      <c r="DK215" s="29">
        <f t="shared" ca="1" si="117"/>
        <v>1</v>
      </c>
      <c r="DL215" s="29">
        <f t="shared" ca="1" si="117"/>
        <v>2</v>
      </c>
    </row>
    <row r="216" spans="1:116" ht="14.4" x14ac:dyDescent="0.3">
      <c r="A216" s="31">
        <v>349</v>
      </c>
      <c r="B216" s="28">
        <v>4.49</v>
      </c>
      <c r="C216" s="30">
        <v>3.59</v>
      </c>
      <c r="D216" s="28">
        <v>1.75</v>
      </c>
      <c r="E216" s="34">
        <f t="shared" si="110"/>
        <v>3.5000000000000003E-2</v>
      </c>
      <c r="F216" s="35">
        <f t="shared" si="111"/>
        <v>0.89749999999999996</v>
      </c>
      <c r="G216" s="34">
        <f t="shared" si="112"/>
        <v>43.75</v>
      </c>
      <c r="H216" s="33">
        <f t="shared" si="113"/>
        <v>9.5439866369710469</v>
      </c>
      <c r="I216" s="28">
        <f t="shared" si="118"/>
        <v>623.52000000000055</v>
      </c>
      <c r="J216" s="32">
        <v>0</v>
      </c>
      <c r="K216" s="30">
        <f t="shared" si="114"/>
        <v>43.75</v>
      </c>
      <c r="L216" s="30"/>
      <c r="M216" s="30"/>
      <c r="N216" s="30"/>
      <c r="O216" s="30"/>
      <c r="Q216" s="29">
        <f t="shared" ca="1" si="115"/>
        <v>1</v>
      </c>
      <c r="R216" s="29">
        <f t="shared" ca="1" si="122"/>
        <v>3</v>
      </c>
      <c r="S216" s="29">
        <f t="shared" ca="1" si="122"/>
        <v>1</v>
      </c>
      <c r="T216" s="29">
        <f t="shared" ca="1" si="122"/>
        <v>2</v>
      </c>
      <c r="U216" s="29">
        <f t="shared" ca="1" si="122"/>
        <v>2</v>
      </c>
      <c r="V216" s="29">
        <f t="shared" ca="1" si="122"/>
        <v>3</v>
      </c>
      <c r="W216" s="29">
        <f t="shared" ca="1" si="122"/>
        <v>3</v>
      </c>
      <c r="X216" s="29">
        <f t="shared" ca="1" si="122"/>
        <v>2</v>
      </c>
      <c r="Y216" s="29">
        <f t="shared" ca="1" si="122"/>
        <v>1</v>
      </c>
      <c r="Z216" s="29">
        <f t="shared" ca="1" si="122"/>
        <v>2</v>
      </c>
      <c r="AA216" s="29">
        <f t="shared" ca="1" si="122"/>
        <v>1</v>
      </c>
      <c r="AB216" s="29">
        <f t="shared" ca="1" si="122"/>
        <v>2</v>
      </c>
      <c r="AC216" s="29">
        <f t="shared" ca="1" si="122"/>
        <v>1</v>
      </c>
      <c r="AD216" s="29">
        <f t="shared" ca="1" si="122"/>
        <v>1</v>
      </c>
      <c r="AE216" s="29">
        <f t="shared" ca="1" si="122"/>
        <v>1</v>
      </c>
      <c r="AF216" s="29">
        <f t="shared" ca="1" si="122"/>
        <v>3</v>
      </c>
      <c r="AG216" s="29">
        <f t="shared" ca="1" si="121"/>
        <v>1</v>
      </c>
      <c r="AH216" s="29">
        <f t="shared" ca="1" si="121"/>
        <v>1</v>
      </c>
      <c r="AI216" s="29">
        <f t="shared" ca="1" si="121"/>
        <v>2</v>
      </c>
      <c r="AJ216" s="29">
        <f t="shared" ca="1" si="121"/>
        <v>2</v>
      </c>
      <c r="AK216" s="29">
        <f t="shared" ca="1" si="121"/>
        <v>3</v>
      </c>
      <c r="AL216" s="29">
        <f t="shared" ca="1" si="121"/>
        <v>4</v>
      </c>
      <c r="AM216" s="29">
        <f t="shared" ca="1" si="121"/>
        <v>2</v>
      </c>
      <c r="AN216" s="29">
        <f t="shared" ca="1" si="121"/>
        <v>6</v>
      </c>
      <c r="AO216" s="29">
        <f t="shared" ca="1" si="121"/>
        <v>0</v>
      </c>
      <c r="AP216" s="29">
        <f t="shared" ca="1" si="121"/>
        <v>1</v>
      </c>
      <c r="AQ216" s="29">
        <f t="shared" ca="1" si="121"/>
        <v>3</v>
      </c>
      <c r="AR216" s="29">
        <f t="shared" ca="1" si="121"/>
        <v>2</v>
      </c>
      <c r="AS216" s="29">
        <f t="shared" ca="1" si="121"/>
        <v>1</v>
      </c>
      <c r="AT216" s="29">
        <f t="shared" ca="1" si="121"/>
        <v>1</v>
      </c>
      <c r="AU216" s="29">
        <f t="shared" ca="1" si="121"/>
        <v>3</v>
      </c>
      <c r="AV216" s="29">
        <f t="shared" ca="1" si="124"/>
        <v>3</v>
      </c>
      <c r="AW216" s="29">
        <f t="shared" ca="1" si="124"/>
        <v>0</v>
      </c>
      <c r="AX216" s="29">
        <f t="shared" ca="1" si="124"/>
        <v>0</v>
      </c>
      <c r="AY216" s="29">
        <f t="shared" ca="1" si="124"/>
        <v>0</v>
      </c>
      <c r="AZ216" s="29">
        <f t="shared" ca="1" si="124"/>
        <v>3</v>
      </c>
      <c r="BA216" s="29">
        <f t="shared" ca="1" si="124"/>
        <v>3</v>
      </c>
      <c r="BB216" s="29">
        <f t="shared" ca="1" si="124"/>
        <v>1</v>
      </c>
      <c r="BC216" s="29">
        <f t="shared" ca="1" si="124"/>
        <v>1</v>
      </c>
      <c r="BD216" s="29">
        <f t="shared" ca="1" si="124"/>
        <v>1</v>
      </c>
      <c r="BE216" s="29">
        <f t="shared" ca="1" si="124"/>
        <v>1</v>
      </c>
      <c r="BF216" s="29">
        <f t="shared" ca="1" si="124"/>
        <v>2</v>
      </c>
      <c r="BG216" s="29">
        <f t="shared" ca="1" si="124"/>
        <v>3</v>
      </c>
      <c r="BH216" s="29">
        <f t="shared" ca="1" si="124"/>
        <v>0</v>
      </c>
      <c r="BI216" s="29">
        <f t="shared" ca="1" si="124"/>
        <v>1</v>
      </c>
      <c r="BJ216" s="29">
        <f t="shared" ca="1" si="124"/>
        <v>4</v>
      </c>
      <c r="BK216" s="29">
        <f t="shared" ca="1" si="124"/>
        <v>2</v>
      </c>
      <c r="BL216" s="29">
        <f t="shared" ca="1" si="123"/>
        <v>0</v>
      </c>
      <c r="BM216" s="29">
        <f t="shared" ca="1" si="123"/>
        <v>1</v>
      </c>
      <c r="BN216" s="29">
        <f t="shared" ca="1" si="123"/>
        <v>3</v>
      </c>
      <c r="BO216" s="29">
        <f t="shared" ca="1" si="123"/>
        <v>2</v>
      </c>
      <c r="BP216" s="29">
        <f t="shared" ca="1" si="123"/>
        <v>2</v>
      </c>
      <c r="BQ216" s="29">
        <f t="shared" ca="1" si="123"/>
        <v>2</v>
      </c>
      <c r="BR216" s="29">
        <f t="shared" ca="1" si="123"/>
        <v>0</v>
      </c>
      <c r="BS216" s="29">
        <f t="shared" ca="1" si="123"/>
        <v>3</v>
      </c>
      <c r="BT216" s="29">
        <f t="shared" ca="1" si="123"/>
        <v>1</v>
      </c>
      <c r="BU216" s="29">
        <f t="shared" ca="1" si="123"/>
        <v>1</v>
      </c>
      <c r="BV216" s="29">
        <f t="shared" ca="1" si="123"/>
        <v>2</v>
      </c>
      <c r="BW216" s="29">
        <f t="shared" ca="1" si="123"/>
        <v>2</v>
      </c>
      <c r="BX216" s="29">
        <f t="shared" ca="1" si="123"/>
        <v>3</v>
      </c>
      <c r="BY216" s="29">
        <f t="shared" ca="1" si="123"/>
        <v>3</v>
      </c>
      <c r="BZ216" s="29">
        <f t="shared" ca="1" si="123"/>
        <v>1</v>
      </c>
      <c r="CA216" s="29">
        <f t="shared" ca="1" si="126"/>
        <v>0</v>
      </c>
      <c r="CB216" s="29">
        <f t="shared" ca="1" si="126"/>
        <v>0</v>
      </c>
      <c r="CC216" s="29">
        <f t="shared" ca="1" si="126"/>
        <v>1</v>
      </c>
      <c r="CD216" s="29">
        <f t="shared" ca="1" si="126"/>
        <v>1</v>
      </c>
      <c r="CE216" s="29">
        <f t="shared" ca="1" si="126"/>
        <v>2</v>
      </c>
      <c r="CF216" s="29">
        <f t="shared" ca="1" si="126"/>
        <v>1</v>
      </c>
      <c r="CG216" s="29">
        <f t="shared" ca="1" si="126"/>
        <v>2</v>
      </c>
      <c r="CH216" s="29">
        <f t="shared" ca="1" si="126"/>
        <v>2</v>
      </c>
      <c r="CI216" s="29">
        <f t="shared" ca="1" si="126"/>
        <v>1</v>
      </c>
      <c r="CJ216" s="29">
        <f t="shared" ca="1" si="126"/>
        <v>4</v>
      </c>
      <c r="CK216" s="29">
        <f t="shared" ca="1" si="126"/>
        <v>4</v>
      </c>
      <c r="CL216" s="29">
        <f t="shared" ca="1" si="126"/>
        <v>1</v>
      </c>
      <c r="CM216" s="29">
        <f t="shared" ca="1" si="126"/>
        <v>2</v>
      </c>
      <c r="CN216" s="29">
        <f t="shared" ca="1" si="126"/>
        <v>1</v>
      </c>
      <c r="CO216" s="29">
        <f t="shared" ca="1" si="126"/>
        <v>2</v>
      </c>
      <c r="CP216" s="29">
        <f t="shared" ca="1" si="126"/>
        <v>1</v>
      </c>
      <c r="CQ216" s="29">
        <f t="shared" ca="1" si="125"/>
        <v>2</v>
      </c>
      <c r="CR216" s="29">
        <f t="shared" ca="1" si="125"/>
        <v>2</v>
      </c>
      <c r="CS216" s="29">
        <f t="shared" ca="1" si="125"/>
        <v>0</v>
      </c>
      <c r="CT216" s="29">
        <f t="shared" ca="1" si="125"/>
        <v>5</v>
      </c>
      <c r="CU216" s="29">
        <f t="shared" ca="1" si="125"/>
        <v>0</v>
      </c>
      <c r="CV216" s="29">
        <f t="shared" ca="1" si="125"/>
        <v>2</v>
      </c>
      <c r="CW216" s="29">
        <f t="shared" ca="1" si="125"/>
        <v>2</v>
      </c>
      <c r="CX216" s="29">
        <f t="shared" ca="1" si="125"/>
        <v>1</v>
      </c>
      <c r="CY216" s="29">
        <f t="shared" ca="1" si="125"/>
        <v>2</v>
      </c>
      <c r="CZ216" s="29">
        <f t="shared" ca="1" si="125"/>
        <v>1</v>
      </c>
      <c r="DA216" s="29">
        <f t="shared" ca="1" si="125"/>
        <v>2</v>
      </c>
      <c r="DB216" s="29">
        <f t="shared" ca="1" si="125"/>
        <v>3</v>
      </c>
      <c r="DC216" s="29">
        <f t="shared" ca="1" si="125"/>
        <v>2</v>
      </c>
      <c r="DD216" s="29">
        <f t="shared" ca="1" si="125"/>
        <v>1</v>
      </c>
      <c r="DE216" s="29">
        <f t="shared" ca="1" si="125"/>
        <v>0</v>
      </c>
      <c r="DF216" s="29">
        <f t="shared" ca="1" si="117"/>
        <v>0</v>
      </c>
      <c r="DG216" s="29">
        <f t="shared" ca="1" si="117"/>
        <v>1</v>
      </c>
      <c r="DH216" s="29">
        <f t="shared" ca="1" si="117"/>
        <v>2</v>
      </c>
      <c r="DI216" s="29">
        <f t="shared" ca="1" si="117"/>
        <v>2</v>
      </c>
      <c r="DJ216" s="29">
        <f t="shared" ca="1" si="117"/>
        <v>1</v>
      </c>
      <c r="DK216" s="29">
        <f t="shared" ca="1" si="117"/>
        <v>2</v>
      </c>
      <c r="DL216" s="29">
        <f t="shared" ca="1" si="117"/>
        <v>1</v>
      </c>
    </row>
    <row r="217" spans="1:116" ht="14.4" x14ac:dyDescent="0.3">
      <c r="A217" s="31">
        <v>38</v>
      </c>
      <c r="B217" s="28">
        <v>7.57</v>
      </c>
      <c r="C217" s="30">
        <v>4.8099999999999996</v>
      </c>
      <c r="D217" s="28">
        <v>2.93</v>
      </c>
      <c r="E217" s="34">
        <f t="shared" si="110"/>
        <v>5.8600000000000006E-2</v>
      </c>
      <c r="F217" s="35">
        <f t="shared" si="111"/>
        <v>1.2024999999999999</v>
      </c>
      <c r="G217" s="34">
        <f t="shared" si="112"/>
        <v>73.25</v>
      </c>
      <c r="H217" s="33">
        <f t="shared" si="113"/>
        <v>9.5175033025099065</v>
      </c>
      <c r="I217" s="28">
        <f t="shared" si="118"/>
        <v>631.0900000000006</v>
      </c>
      <c r="J217" s="32">
        <v>0</v>
      </c>
      <c r="K217" s="30">
        <f t="shared" si="114"/>
        <v>73.25</v>
      </c>
      <c r="L217" s="30"/>
      <c r="M217" s="30"/>
      <c r="N217" s="30"/>
      <c r="O217" s="30"/>
      <c r="Q217" s="29">
        <f t="shared" ca="1" si="115"/>
        <v>4</v>
      </c>
      <c r="R217" s="29">
        <f t="shared" ca="1" si="122"/>
        <v>4</v>
      </c>
      <c r="S217" s="29">
        <f t="shared" ca="1" si="122"/>
        <v>6</v>
      </c>
      <c r="T217" s="29">
        <f t="shared" ca="1" si="122"/>
        <v>0</v>
      </c>
      <c r="U217" s="29">
        <f t="shared" ca="1" si="122"/>
        <v>2</v>
      </c>
      <c r="V217" s="29">
        <f t="shared" ca="1" si="122"/>
        <v>4</v>
      </c>
      <c r="W217" s="29">
        <f t="shared" ca="1" si="122"/>
        <v>2</v>
      </c>
      <c r="X217" s="29">
        <f t="shared" ca="1" si="122"/>
        <v>5</v>
      </c>
      <c r="Y217" s="29">
        <f t="shared" ca="1" si="122"/>
        <v>4</v>
      </c>
      <c r="Z217" s="29">
        <f t="shared" ca="1" si="122"/>
        <v>7</v>
      </c>
      <c r="AA217" s="29">
        <f t="shared" ca="1" si="122"/>
        <v>5</v>
      </c>
      <c r="AB217" s="29">
        <f t="shared" ca="1" si="122"/>
        <v>2</v>
      </c>
      <c r="AC217" s="29">
        <f t="shared" ca="1" si="122"/>
        <v>1</v>
      </c>
      <c r="AD217" s="29">
        <f t="shared" ca="1" si="122"/>
        <v>3</v>
      </c>
      <c r="AE217" s="29">
        <f t="shared" ca="1" si="122"/>
        <v>3</v>
      </c>
      <c r="AF217" s="29">
        <f t="shared" ref="AF217:AU232" ca="1" si="127">_xlfn.BINOM.INV(50,$E217,RAND())</f>
        <v>5</v>
      </c>
      <c r="AG217" s="29">
        <f t="shared" ca="1" si="127"/>
        <v>0</v>
      </c>
      <c r="AH217" s="29">
        <f t="shared" ca="1" si="127"/>
        <v>4</v>
      </c>
      <c r="AI217" s="29">
        <f t="shared" ca="1" si="127"/>
        <v>1</v>
      </c>
      <c r="AJ217" s="29">
        <f t="shared" ca="1" si="127"/>
        <v>4</v>
      </c>
      <c r="AK217" s="29">
        <f t="shared" ca="1" si="127"/>
        <v>3</v>
      </c>
      <c r="AL217" s="29">
        <f t="shared" ca="1" si="127"/>
        <v>5</v>
      </c>
      <c r="AM217" s="29">
        <f t="shared" ca="1" si="127"/>
        <v>2</v>
      </c>
      <c r="AN217" s="29">
        <f t="shared" ca="1" si="127"/>
        <v>2</v>
      </c>
      <c r="AO217" s="29">
        <f t="shared" ca="1" si="127"/>
        <v>1</v>
      </c>
      <c r="AP217" s="29">
        <f t="shared" ca="1" si="127"/>
        <v>2</v>
      </c>
      <c r="AQ217" s="29">
        <f t="shared" ca="1" si="127"/>
        <v>5</v>
      </c>
      <c r="AR217" s="29">
        <f t="shared" ca="1" si="127"/>
        <v>2</v>
      </c>
      <c r="AS217" s="29">
        <f t="shared" ca="1" si="127"/>
        <v>3</v>
      </c>
      <c r="AT217" s="29">
        <f t="shared" ca="1" si="127"/>
        <v>3</v>
      </c>
      <c r="AU217" s="29">
        <f t="shared" ca="1" si="127"/>
        <v>3</v>
      </c>
      <c r="AV217" s="29">
        <f t="shared" ca="1" si="124"/>
        <v>4</v>
      </c>
      <c r="AW217" s="29">
        <f t="shared" ca="1" si="124"/>
        <v>5</v>
      </c>
      <c r="AX217" s="29">
        <f t="shared" ca="1" si="124"/>
        <v>4</v>
      </c>
      <c r="AY217" s="29">
        <f t="shared" ca="1" si="124"/>
        <v>3</v>
      </c>
      <c r="AZ217" s="29">
        <f t="shared" ca="1" si="124"/>
        <v>0</v>
      </c>
      <c r="BA217" s="29">
        <f t="shared" ca="1" si="124"/>
        <v>3</v>
      </c>
      <c r="BB217" s="29">
        <f t="shared" ca="1" si="124"/>
        <v>1</v>
      </c>
      <c r="BC217" s="29">
        <f t="shared" ca="1" si="124"/>
        <v>4</v>
      </c>
      <c r="BD217" s="29">
        <f t="shared" ca="1" si="124"/>
        <v>1</v>
      </c>
      <c r="BE217" s="29">
        <f t="shared" ca="1" si="124"/>
        <v>2</v>
      </c>
      <c r="BF217" s="29">
        <f t="shared" ca="1" si="124"/>
        <v>3</v>
      </c>
      <c r="BG217" s="29">
        <f t="shared" ca="1" si="124"/>
        <v>2</v>
      </c>
      <c r="BH217" s="29">
        <f t="shared" ca="1" si="124"/>
        <v>1</v>
      </c>
      <c r="BI217" s="29">
        <f t="shared" ca="1" si="124"/>
        <v>2</v>
      </c>
      <c r="BJ217" s="29">
        <f t="shared" ca="1" si="124"/>
        <v>3</v>
      </c>
      <c r="BK217" s="29">
        <f t="shared" ca="1" si="124"/>
        <v>3</v>
      </c>
      <c r="BL217" s="29">
        <f t="shared" ca="1" si="123"/>
        <v>3</v>
      </c>
      <c r="BM217" s="29">
        <f t="shared" ca="1" si="123"/>
        <v>2</v>
      </c>
      <c r="BN217" s="29">
        <f t="shared" ca="1" si="123"/>
        <v>1</v>
      </c>
      <c r="BO217" s="29">
        <f t="shared" ca="1" si="123"/>
        <v>2</v>
      </c>
      <c r="BP217" s="29">
        <f t="shared" ca="1" si="123"/>
        <v>5</v>
      </c>
      <c r="BQ217" s="29">
        <f t="shared" ca="1" si="123"/>
        <v>2</v>
      </c>
      <c r="BR217" s="29">
        <f t="shared" ca="1" si="123"/>
        <v>2</v>
      </c>
      <c r="BS217" s="29">
        <f t="shared" ca="1" si="123"/>
        <v>6</v>
      </c>
      <c r="BT217" s="29">
        <f t="shared" ca="1" si="123"/>
        <v>5</v>
      </c>
      <c r="BU217" s="29">
        <f t="shared" ca="1" si="123"/>
        <v>4</v>
      </c>
      <c r="BV217" s="29">
        <f t="shared" ca="1" si="123"/>
        <v>4</v>
      </c>
      <c r="BW217" s="29">
        <f t="shared" ca="1" si="123"/>
        <v>3</v>
      </c>
      <c r="BX217" s="29">
        <f t="shared" ca="1" si="123"/>
        <v>0</v>
      </c>
      <c r="BY217" s="29">
        <f t="shared" ca="1" si="123"/>
        <v>2</v>
      </c>
      <c r="BZ217" s="29">
        <f t="shared" ca="1" si="123"/>
        <v>5</v>
      </c>
      <c r="CA217" s="29">
        <f t="shared" ca="1" si="126"/>
        <v>0</v>
      </c>
      <c r="CB217" s="29">
        <f t="shared" ca="1" si="126"/>
        <v>4</v>
      </c>
      <c r="CC217" s="29">
        <f t="shared" ca="1" si="126"/>
        <v>1</v>
      </c>
      <c r="CD217" s="29">
        <f t="shared" ca="1" si="126"/>
        <v>2</v>
      </c>
      <c r="CE217" s="29">
        <f t="shared" ca="1" si="126"/>
        <v>3</v>
      </c>
      <c r="CF217" s="29">
        <f t="shared" ca="1" si="126"/>
        <v>2</v>
      </c>
      <c r="CG217" s="29">
        <f t="shared" ca="1" si="126"/>
        <v>8</v>
      </c>
      <c r="CH217" s="29">
        <f t="shared" ca="1" si="126"/>
        <v>4</v>
      </c>
      <c r="CI217" s="29">
        <f t="shared" ca="1" si="126"/>
        <v>5</v>
      </c>
      <c r="CJ217" s="29">
        <f t="shared" ca="1" si="126"/>
        <v>3</v>
      </c>
      <c r="CK217" s="29">
        <f t="shared" ca="1" si="126"/>
        <v>6</v>
      </c>
      <c r="CL217" s="29">
        <f t="shared" ca="1" si="126"/>
        <v>2</v>
      </c>
      <c r="CM217" s="29">
        <f t="shared" ca="1" si="126"/>
        <v>5</v>
      </c>
      <c r="CN217" s="29">
        <f t="shared" ca="1" si="126"/>
        <v>3</v>
      </c>
      <c r="CO217" s="29">
        <f t="shared" ca="1" si="126"/>
        <v>1</v>
      </c>
      <c r="CP217" s="29">
        <f t="shared" ca="1" si="126"/>
        <v>3</v>
      </c>
      <c r="CQ217" s="29">
        <f t="shared" ca="1" si="125"/>
        <v>3</v>
      </c>
      <c r="CR217" s="29">
        <f t="shared" ca="1" si="125"/>
        <v>2</v>
      </c>
      <c r="CS217" s="29">
        <f t="shared" ca="1" si="125"/>
        <v>1</v>
      </c>
      <c r="CT217" s="29">
        <f t="shared" ca="1" si="125"/>
        <v>3</v>
      </c>
      <c r="CU217" s="29">
        <f t="shared" ca="1" si="125"/>
        <v>4</v>
      </c>
      <c r="CV217" s="29">
        <f t="shared" ca="1" si="125"/>
        <v>3</v>
      </c>
      <c r="CW217" s="29">
        <f t="shared" ca="1" si="125"/>
        <v>3</v>
      </c>
      <c r="CX217" s="29">
        <f t="shared" ca="1" si="125"/>
        <v>5</v>
      </c>
      <c r="CY217" s="29">
        <f t="shared" ca="1" si="125"/>
        <v>0</v>
      </c>
      <c r="CZ217" s="29">
        <f t="shared" ca="1" si="125"/>
        <v>2</v>
      </c>
      <c r="DA217" s="29">
        <f t="shared" ca="1" si="125"/>
        <v>4</v>
      </c>
      <c r="DB217" s="29">
        <f t="shared" ca="1" si="125"/>
        <v>2</v>
      </c>
      <c r="DC217" s="29">
        <f t="shared" ca="1" si="125"/>
        <v>4</v>
      </c>
      <c r="DD217" s="29">
        <f t="shared" ca="1" si="125"/>
        <v>1</v>
      </c>
      <c r="DE217" s="29">
        <f t="shared" ca="1" si="125"/>
        <v>3</v>
      </c>
      <c r="DF217" s="29">
        <f t="shared" ca="1" si="117"/>
        <v>1</v>
      </c>
      <c r="DG217" s="29">
        <f t="shared" ca="1" si="117"/>
        <v>4</v>
      </c>
      <c r="DH217" s="29">
        <f t="shared" ca="1" si="117"/>
        <v>1</v>
      </c>
      <c r="DI217" s="29">
        <f t="shared" ca="1" si="117"/>
        <v>4</v>
      </c>
      <c r="DJ217" s="29">
        <f t="shared" ca="1" si="117"/>
        <v>2</v>
      </c>
      <c r="DK217" s="29">
        <f t="shared" ca="1" si="117"/>
        <v>1</v>
      </c>
      <c r="DL217" s="29">
        <f t="shared" ca="1" si="117"/>
        <v>5</v>
      </c>
    </row>
    <row r="218" spans="1:116" ht="14.4" x14ac:dyDescent="0.3">
      <c r="A218" s="31">
        <v>633</v>
      </c>
      <c r="B218" s="28">
        <v>7.58</v>
      </c>
      <c r="C218" s="30">
        <v>21.1</v>
      </c>
      <c r="D218" s="28">
        <v>3.08</v>
      </c>
      <c r="E218" s="34">
        <f t="shared" si="110"/>
        <v>6.1600000000000002E-2</v>
      </c>
      <c r="F218" s="35">
        <f t="shared" si="111"/>
        <v>5.2750000000000004</v>
      </c>
      <c r="G218" s="34">
        <f t="shared" si="112"/>
        <v>77</v>
      </c>
      <c r="H218" s="33">
        <f t="shared" si="113"/>
        <v>9.4624010554089697</v>
      </c>
      <c r="I218" s="28">
        <f t="shared" si="118"/>
        <v>638.67000000000064</v>
      </c>
      <c r="J218" s="32">
        <v>0</v>
      </c>
      <c r="K218" s="30">
        <f t="shared" si="114"/>
        <v>77</v>
      </c>
      <c r="L218" s="30"/>
      <c r="M218" s="30"/>
      <c r="N218" s="30"/>
      <c r="O218" s="30"/>
      <c r="Q218" s="29">
        <f t="shared" ca="1" si="115"/>
        <v>7</v>
      </c>
      <c r="R218" s="29">
        <f t="shared" ref="R218:AF233" ca="1" si="128">_xlfn.BINOM.INV(50,$E218,RAND())</f>
        <v>4</v>
      </c>
      <c r="S218" s="29">
        <f t="shared" ca="1" si="128"/>
        <v>4</v>
      </c>
      <c r="T218" s="29">
        <f t="shared" ca="1" si="128"/>
        <v>3</v>
      </c>
      <c r="U218" s="29">
        <f t="shared" ca="1" si="128"/>
        <v>4</v>
      </c>
      <c r="V218" s="29">
        <f t="shared" ca="1" si="128"/>
        <v>3</v>
      </c>
      <c r="W218" s="29">
        <f t="shared" ca="1" si="128"/>
        <v>7</v>
      </c>
      <c r="X218" s="29">
        <f t="shared" ca="1" si="128"/>
        <v>3</v>
      </c>
      <c r="Y218" s="29">
        <f t="shared" ca="1" si="128"/>
        <v>4</v>
      </c>
      <c r="Z218" s="29">
        <f t="shared" ca="1" si="128"/>
        <v>0</v>
      </c>
      <c r="AA218" s="29">
        <f t="shared" ca="1" si="128"/>
        <v>5</v>
      </c>
      <c r="AB218" s="29">
        <f t="shared" ca="1" si="128"/>
        <v>2</v>
      </c>
      <c r="AC218" s="29">
        <f t="shared" ca="1" si="128"/>
        <v>4</v>
      </c>
      <c r="AD218" s="29">
        <f t="shared" ca="1" si="128"/>
        <v>1</v>
      </c>
      <c r="AE218" s="29">
        <f t="shared" ca="1" si="128"/>
        <v>2</v>
      </c>
      <c r="AF218" s="29">
        <f t="shared" ca="1" si="128"/>
        <v>1</v>
      </c>
      <c r="AG218" s="29">
        <f t="shared" ca="1" si="127"/>
        <v>3</v>
      </c>
      <c r="AH218" s="29">
        <f t="shared" ca="1" si="127"/>
        <v>2</v>
      </c>
      <c r="AI218" s="29">
        <f t="shared" ca="1" si="127"/>
        <v>4</v>
      </c>
      <c r="AJ218" s="29">
        <f t="shared" ca="1" si="127"/>
        <v>3</v>
      </c>
      <c r="AK218" s="29">
        <f t="shared" ca="1" si="127"/>
        <v>3</v>
      </c>
      <c r="AL218" s="29">
        <f t="shared" ca="1" si="127"/>
        <v>2</v>
      </c>
      <c r="AM218" s="29">
        <f t="shared" ca="1" si="127"/>
        <v>4</v>
      </c>
      <c r="AN218" s="29">
        <f t="shared" ca="1" si="127"/>
        <v>5</v>
      </c>
      <c r="AO218" s="29">
        <f t="shared" ca="1" si="127"/>
        <v>5</v>
      </c>
      <c r="AP218" s="29">
        <f t="shared" ca="1" si="127"/>
        <v>2</v>
      </c>
      <c r="AQ218" s="29">
        <f t="shared" ca="1" si="127"/>
        <v>2</v>
      </c>
      <c r="AR218" s="29">
        <f t="shared" ca="1" si="127"/>
        <v>4</v>
      </c>
      <c r="AS218" s="29">
        <f t="shared" ca="1" si="127"/>
        <v>1</v>
      </c>
      <c r="AT218" s="29">
        <f t="shared" ca="1" si="127"/>
        <v>4</v>
      </c>
      <c r="AU218" s="29">
        <f t="shared" ca="1" si="127"/>
        <v>4</v>
      </c>
      <c r="AV218" s="29">
        <f t="shared" ca="1" si="124"/>
        <v>3</v>
      </c>
      <c r="AW218" s="29">
        <f t="shared" ca="1" si="124"/>
        <v>7</v>
      </c>
      <c r="AX218" s="29">
        <f t="shared" ca="1" si="124"/>
        <v>2</v>
      </c>
      <c r="AY218" s="29">
        <f t="shared" ca="1" si="124"/>
        <v>2</v>
      </c>
      <c r="AZ218" s="29">
        <f t="shared" ca="1" si="124"/>
        <v>3</v>
      </c>
      <c r="BA218" s="29">
        <f t="shared" ca="1" si="124"/>
        <v>1</v>
      </c>
      <c r="BB218" s="29">
        <f t="shared" ca="1" si="124"/>
        <v>2</v>
      </c>
      <c r="BC218" s="29">
        <f t="shared" ca="1" si="124"/>
        <v>3</v>
      </c>
      <c r="BD218" s="29">
        <f t="shared" ca="1" si="124"/>
        <v>1</v>
      </c>
      <c r="BE218" s="29">
        <f t="shared" ca="1" si="124"/>
        <v>2</v>
      </c>
      <c r="BF218" s="29">
        <f t="shared" ca="1" si="124"/>
        <v>3</v>
      </c>
      <c r="BG218" s="29">
        <f t="shared" ca="1" si="124"/>
        <v>4</v>
      </c>
      <c r="BH218" s="29">
        <f t="shared" ca="1" si="124"/>
        <v>3</v>
      </c>
      <c r="BI218" s="29">
        <f t="shared" ca="1" si="124"/>
        <v>2</v>
      </c>
      <c r="BJ218" s="29">
        <f t="shared" ca="1" si="124"/>
        <v>6</v>
      </c>
      <c r="BK218" s="29">
        <f t="shared" ca="1" si="124"/>
        <v>2</v>
      </c>
      <c r="BL218" s="29">
        <f t="shared" ca="1" si="123"/>
        <v>4</v>
      </c>
      <c r="BM218" s="29">
        <f t="shared" ca="1" si="123"/>
        <v>2</v>
      </c>
      <c r="BN218" s="29">
        <f t="shared" ca="1" si="123"/>
        <v>2</v>
      </c>
      <c r="BO218" s="29">
        <f t="shared" ca="1" si="123"/>
        <v>3</v>
      </c>
      <c r="BP218" s="29">
        <f t="shared" ca="1" si="123"/>
        <v>2</v>
      </c>
      <c r="BQ218" s="29">
        <f t="shared" ca="1" si="123"/>
        <v>3</v>
      </c>
      <c r="BR218" s="29">
        <f t="shared" ca="1" si="123"/>
        <v>6</v>
      </c>
      <c r="BS218" s="29">
        <f t="shared" ca="1" si="123"/>
        <v>5</v>
      </c>
      <c r="BT218" s="29">
        <f t="shared" ca="1" si="123"/>
        <v>4</v>
      </c>
      <c r="BU218" s="29">
        <f t="shared" ca="1" si="123"/>
        <v>4</v>
      </c>
      <c r="BV218" s="29">
        <f t="shared" ca="1" si="123"/>
        <v>5</v>
      </c>
      <c r="BW218" s="29">
        <f t="shared" ca="1" si="123"/>
        <v>4</v>
      </c>
      <c r="BX218" s="29">
        <f t="shared" ca="1" si="123"/>
        <v>2</v>
      </c>
      <c r="BY218" s="29">
        <f t="shared" ca="1" si="123"/>
        <v>1</v>
      </c>
      <c r="BZ218" s="29">
        <f t="shared" ca="1" si="123"/>
        <v>1</v>
      </c>
      <c r="CA218" s="29">
        <f t="shared" ca="1" si="126"/>
        <v>5</v>
      </c>
      <c r="CB218" s="29">
        <f t="shared" ca="1" si="126"/>
        <v>1</v>
      </c>
      <c r="CC218" s="29">
        <f t="shared" ca="1" si="126"/>
        <v>3</v>
      </c>
      <c r="CD218" s="29">
        <f t="shared" ca="1" si="126"/>
        <v>6</v>
      </c>
      <c r="CE218" s="29">
        <f t="shared" ca="1" si="126"/>
        <v>2</v>
      </c>
      <c r="CF218" s="29">
        <f t="shared" ca="1" si="126"/>
        <v>5</v>
      </c>
      <c r="CG218" s="29">
        <f t="shared" ca="1" si="126"/>
        <v>3</v>
      </c>
      <c r="CH218" s="29">
        <f t="shared" ca="1" si="126"/>
        <v>5</v>
      </c>
      <c r="CI218" s="29">
        <f t="shared" ca="1" si="126"/>
        <v>2</v>
      </c>
      <c r="CJ218" s="29">
        <f t="shared" ca="1" si="126"/>
        <v>2</v>
      </c>
      <c r="CK218" s="29">
        <f t="shared" ca="1" si="126"/>
        <v>2</v>
      </c>
      <c r="CL218" s="29">
        <f t="shared" ca="1" si="126"/>
        <v>2</v>
      </c>
      <c r="CM218" s="29">
        <f t="shared" ca="1" si="126"/>
        <v>4</v>
      </c>
      <c r="CN218" s="29">
        <f t="shared" ca="1" si="126"/>
        <v>0</v>
      </c>
      <c r="CO218" s="29">
        <f t="shared" ca="1" si="126"/>
        <v>8</v>
      </c>
      <c r="CP218" s="29">
        <f t="shared" ca="1" si="126"/>
        <v>5</v>
      </c>
      <c r="CQ218" s="29">
        <f t="shared" ca="1" si="125"/>
        <v>5</v>
      </c>
      <c r="CR218" s="29">
        <f t="shared" ca="1" si="125"/>
        <v>3</v>
      </c>
      <c r="CS218" s="29">
        <f t="shared" ca="1" si="125"/>
        <v>2</v>
      </c>
      <c r="CT218" s="29">
        <f t="shared" ca="1" si="125"/>
        <v>3</v>
      </c>
      <c r="CU218" s="29">
        <f t="shared" ca="1" si="125"/>
        <v>5</v>
      </c>
      <c r="CV218" s="29">
        <f t="shared" ca="1" si="125"/>
        <v>3</v>
      </c>
      <c r="CW218" s="29">
        <f t="shared" ca="1" si="125"/>
        <v>4</v>
      </c>
      <c r="CX218" s="29">
        <f t="shared" ca="1" si="125"/>
        <v>3</v>
      </c>
      <c r="CY218" s="29">
        <f t="shared" ca="1" si="125"/>
        <v>1</v>
      </c>
      <c r="CZ218" s="29">
        <f t="shared" ca="1" si="125"/>
        <v>1</v>
      </c>
      <c r="DA218" s="29">
        <f t="shared" ca="1" si="125"/>
        <v>4</v>
      </c>
      <c r="DB218" s="29">
        <f t="shared" ca="1" si="125"/>
        <v>1</v>
      </c>
      <c r="DC218" s="29">
        <f t="shared" ca="1" si="125"/>
        <v>3</v>
      </c>
      <c r="DD218" s="29">
        <f t="shared" ca="1" si="125"/>
        <v>1</v>
      </c>
      <c r="DE218" s="29">
        <f t="shared" ca="1" si="125"/>
        <v>5</v>
      </c>
      <c r="DF218" s="29">
        <f t="shared" ca="1" si="117"/>
        <v>4</v>
      </c>
      <c r="DG218" s="29">
        <f t="shared" ca="1" si="117"/>
        <v>4</v>
      </c>
      <c r="DH218" s="29">
        <f t="shared" ca="1" si="117"/>
        <v>3</v>
      </c>
      <c r="DI218" s="29">
        <f t="shared" ca="1" si="117"/>
        <v>3</v>
      </c>
      <c r="DJ218" s="29">
        <f t="shared" ca="1" si="117"/>
        <v>4</v>
      </c>
      <c r="DK218" s="29">
        <f t="shared" ca="1" si="117"/>
        <v>1</v>
      </c>
      <c r="DL218" s="29">
        <f t="shared" ca="1" si="117"/>
        <v>3</v>
      </c>
    </row>
    <row r="219" spans="1:116" ht="14.4" x14ac:dyDescent="0.3">
      <c r="A219" s="31">
        <v>452</v>
      </c>
      <c r="B219" s="28">
        <v>6.56</v>
      </c>
      <c r="C219" s="30">
        <v>35.119999999999997</v>
      </c>
      <c r="D219" s="28">
        <v>2.79</v>
      </c>
      <c r="E219" s="34">
        <f t="shared" si="110"/>
        <v>5.5800000000000002E-2</v>
      </c>
      <c r="F219" s="35">
        <f t="shared" si="111"/>
        <v>8.7799999999999994</v>
      </c>
      <c r="G219" s="34">
        <f t="shared" si="112"/>
        <v>69.75</v>
      </c>
      <c r="H219" s="33">
        <f t="shared" si="113"/>
        <v>9.2942073170731714</v>
      </c>
      <c r="I219" s="28">
        <f t="shared" si="118"/>
        <v>645.23000000000059</v>
      </c>
      <c r="J219" s="32">
        <v>0</v>
      </c>
      <c r="K219" s="30">
        <f t="shared" si="114"/>
        <v>69.75</v>
      </c>
      <c r="L219" s="30"/>
      <c r="M219" s="30"/>
      <c r="N219" s="30"/>
      <c r="O219" s="30"/>
      <c r="Q219" s="29">
        <f t="shared" ca="1" si="115"/>
        <v>2</v>
      </c>
      <c r="R219" s="29">
        <f t="shared" ca="1" si="128"/>
        <v>2</v>
      </c>
      <c r="S219" s="29">
        <f t="shared" ca="1" si="128"/>
        <v>0</v>
      </c>
      <c r="T219" s="29">
        <f t="shared" ca="1" si="128"/>
        <v>4</v>
      </c>
      <c r="U219" s="29">
        <f t="shared" ca="1" si="128"/>
        <v>4</v>
      </c>
      <c r="V219" s="29">
        <f t="shared" ca="1" si="128"/>
        <v>1</v>
      </c>
      <c r="W219" s="29">
        <f t="shared" ca="1" si="128"/>
        <v>3</v>
      </c>
      <c r="X219" s="29">
        <f t="shared" ca="1" si="128"/>
        <v>2</v>
      </c>
      <c r="Y219" s="29">
        <f t="shared" ca="1" si="128"/>
        <v>4</v>
      </c>
      <c r="Z219" s="29">
        <f t="shared" ca="1" si="128"/>
        <v>3</v>
      </c>
      <c r="AA219" s="29">
        <f t="shared" ca="1" si="128"/>
        <v>2</v>
      </c>
      <c r="AB219" s="29">
        <f t="shared" ca="1" si="128"/>
        <v>6</v>
      </c>
      <c r="AC219" s="29">
        <f t="shared" ca="1" si="128"/>
        <v>3</v>
      </c>
      <c r="AD219" s="29">
        <f t="shared" ca="1" si="128"/>
        <v>4</v>
      </c>
      <c r="AE219" s="29">
        <f t="shared" ca="1" si="128"/>
        <v>2</v>
      </c>
      <c r="AF219" s="29">
        <f t="shared" ca="1" si="128"/>
        <v>1</v>
      </c>
      <c r="AG219" s="29">
        <f t="shared" ca="1" si="127"/>
        <v>7</v>
      </c>
      <c r="AH219" s="29">
        <f t="shared" ca="1" si="127"/>
        <v>2</v>
      </c>
      <c r="AI219" s="29">
        <f t="shared" ca="1" si="127"/>
        <v>2</v>
      </c>
      <c r="AJ219" s="29">
        <f t="shared" ca="1" si="127"/>
        <v>1</v>
      </c>
      <c r="AK219" s="29">
        <f t="shared" ca="1" si="127"/>
        <v>2</v>
      </c>
      <c r="AL219" s="29">
        <f t="shared" ca="1" si="127"/>
        <v>2</v>
      </c>
      <c r="AM219" s="29">
        <f t="shared" ca="1" si="127"/>
        <v>2</v>
      </c>
      <c r="AN219" s="29">
        <f t="shared" ca="1" si="127"/>
        <v>0</v>
      </c>
      <c r="AO219" s="29">
        <f t="shared" ca="1" si="127"/>
        <v>6</v>
      </c>
      <c r="AP219" s="29">
        <f t="shared" ca="1" si="127"/>
        <v>6</v>
      </c>
      <c r="AQ219" s="29">
        <f t="shared" ca="1" si="127"/>
        <v>1</v>
      </c>
      <c r="AR219" s="29">
        <f t="shared" ca="1" si="127"/>
        <v>2</v>
      </c>
      <c r="AS219" s="29">
        <f t="shared" ca="1" si="127"/>
        <v>2</v>
      </c>
      <c r="AT219" s="29">
        <f t="shared" ca="1" si="127"/>
        <v>2</v>
      </c>
      <c r="AU219" s="29">
        <f t="shared" ca="1" si="127"/>
        <v>4</v>
      </c>
      <c r="AV219" s="29">
        <f t="shared" ca="1" si="124"/>
        <v>3</v>
      </c>
      <c r="AW219" s="29">
        <f t="shared" ca="1" si="124"/>
        <v>7</v>
      </c>
      <c r="AX219" s="29">
        <f t="shared" ca="1" si="124"/>
        <v>4</v>
      </c>
      <c r="AY219" s="29">
        <f t="shared" ca="1" si="124"/>
        <v>2</v>
      </c>
      <c r="AZ219" s="29">
        <f t="shared" ca="1" si="124"/>
        <v>4</v>
      </c>
      <c r="BA219" s="29">
        <f t="shared" ca="1" si="124"/>
        <v>6</v>
      </c>
      <c r="BB219" s="29">
        <f t="shared" ca="1" si="124"/>
        <v>3</v>
      </c>
      <c r="BC219" s="29">
        <f t="shared" ca="1" si="124"/>
        <v>2</v>
      </c>
      <c r="BD219" s="29">
        <f t="shared" ca="1" si="124"/>
        <v>1</v>
      </c>
      <c r="BE219" s="29">
        <f t="shared" ca="1" si="124"/>
        <v>5</v>
      </c>
      <c r="BF219" s="29">
        <f t="shared" ca="1" si="124"/>
        <v>4</v>
      </c>
      <c r="BG219" s="29">
        <f t="shared" ca="1" si="124"/>
        <v>2</v>
      </c>
      <c r="BH219" s="29">
        <f t="shared" ca="1" si="124"/>
        <v>6</v>
      </c>
      <c r="BI219" s="29">
        <f t="shared" ca="1" si="124"/>
        <v>2</v>
      </c>
      <c r="BJ219" s="29">
        <f t="shared" ca="1" si="124"/>
        <v>2</v>
      </c>
      <c r="BK219" s="29">
        <f t="shared" ca="1" si="124"/>
        <v>4</v>
      </c>
      <c r="BL219" s="29">
        <f t="shared" ca="1" si="123"/>
        <v>3</v>
      </c>
      <c r="BM219" s="29">
        <f t="shared" ca="1" si="123"/>
        <v>3</v>
      </c>
      <c r="BN219" s="29">
        <f t="shared" ca="1" si="123"/>
        <v>4</v>
      </c>
      <c r="BO219" s="29">
        <f t="shared" ca="1" si="123"/>
        <v>3</v>
      </c>
      <c r="BP219" s="29">
        <f t="shared" ca="1" si="123"/>
        <v>4</v>
      </c>
      <c r="BQ219" s="29">
        <f t="shared" ca="1" si="123"/>
        <v>0</v>
      </c>
      <c r="BR219" s="29">
        <f t="shared" ca="1" si="123"/>
        <v>6</v>
      </c>
      <c r="BS219" s="29">
        <f t="shared" ca="1" si="123"/>
        <v>4</v>
      </c>
      <c r="BT219" s="29">
        <f t="shared" ca="1" si="123"/>
        <v>3</v>
      </c>
      <c r="BU219" s="29">
        <f t="shared" ca="1" si="123"/>
        <v>1</v>
      </c>
      <c r="BV219" s="29">
        <f t="shared" ca="1" si="123"/>
        <v>4</v>
      </c>
      <c r="BW219" s="29">
        <f t="shared" ca="1" si="123"/>
        <v>3</v>
      </c>
      <c r="BX219" s="29">
        <f t="shared" ca="1" si="123"/>
        <v>7</v>
      </c>
      <c r="BY219" s="29">
        <f t="shared" ca="1" si="123"/>
        <v>2</v>
      </c>
      <c r="BZ219" s="29">
        <f t="shared" ca="1" si="123"/>
        <v>1</v>
      </c>
      <c r="CA219" s="29">
        <f t="shared" ca="1" si="126"/>
        <v>2</v>
      </c>
      <c r="CB219" s="29">
        <f t="shared" ca="1" si="126"/>
        <v>3</v>
      </c>
      <c r="CC219" s="29">
        <f t="shared" ca="1" si="126"/>
        <v>0</v>
      </c>
      <c r="CD219" s="29">
        <f t="shared" ca="1" si="126"/>
        <v>1</v>
      </c>
      <c r="CE219" s="29">
        <f t="shared" ca="1" si="126"/>
        <v>2</v>
      </c>
      <c r="CF219" s="29">
        <f t="shared" ca="1" si="126"/>
        <v>4</v>
      </c>
      <c r="CG219" s="29">
        <f t="shared" ca="1" si="126"/>
        <v>0</v>
      </c>
      <c r="CH219" s="29">
        <f t="shared" ca="1" si="126"/>
        <v>2</v>
      </c>
      <c r="CI219" s="29">
        <f t="shared" ca="1" si="126"/>
        <v>3</v>
      </c>
      <c r="CJ219" s="29">
        <f t="shared" ca="1" si="126"/>
        <v>3</v>
      </c>
      <c r="CK219" s="29">
        <f t="shared" ca="1" si="126"/>
        <v>3</v>
      </c>
      <c r="CL219" s="29">
        <f t="shared" ca="1" si="126"/>
        <v>2</v>
      </c>
      <c r="CM219" s="29">
        <f t="shared" ca="1" si="126"/>
        <v>4</v>
      </c>
      <c r="CN219" s="29">
        <f t="shared" ca="1" si="126"/>
        <v>4</v>
      </c>
      <c r="CO219" s="29">
        <f t="shared" ca="1" si="126"/>
        <v>3</v>
      </c>
      <c r="CP219" s="29">
        <f t="shared" ca="1" si="126"/>
        <v>6</v>
      </c>
      <c r="CQ219" s="29">
        <f t="shared" ca="1" si="125"/>
        <v>5</v>
      </c>
      <c r="CR219" s="29">
        <f t="shared" ca="1" si="125"/>
        <v>3</v>
      </c>
      <c r="CS219" s="29">
        <f t="shared" ca="1" si="125"/>
        <v>1</v>
      </c>
      <c r="CT219" s="29">
        <f t="shared" ca="1" si="125"/>
        <v>5</v>
      </c>
      <c r="CU219" s="29">
        <f t="shared" ca="1" si="125"/>
        <v>1</v>
      </c>
      <c r="CV219" s="29">
        <f t="shared" ca="1" si="125"/>
        <v>1</v>
      </c>
      <c r="CW219" s="29">
        <f t="shared" ca="1" si="125"/>
        <v>2</v>
      </c>
      <c r="CX219" s="29">
        <f t="shared" ca="1" si="125"/>
        <v>2</v>
      </c>
      <c r="CY219" s="29">
        <f t="shared" ca="1" si="125"/>
        <v>5</v>
      </c>
      <c r="CZ219" s="29">
        <f t="shared" ca="1" si="125"/>
        <v>5</v>
      </c>
      <c r="DA219" s="29">
        <f t="shared" ca="1" si="125"/>
        <v>4</v>
      </c>
      <c r="DB219" s="29">
        <f t="shared" ca="1" si="125"/>
        <v>2</v>
      </c>
      <c r="DC219" s="29">
        <f t="shared" ca="1" si="125"/>
        <v>2</v>
      </c>
      <c r="DD219" s="29">
        <f t="shared" ca="1" si="125"/>
        <v>1</v>
      </c>
      <c r="DE219" s="29">
        <f t="shared" ca="1" si="125"/>
        <v>4</v>
      </c>
      <c r="DF219" s="29">
        <f t="shared" ca="1" si="117"/>
        <v>3</v>
      </c>
      <c r="DG219" s="29">
        <f t="shared" ca="1" si="117"/>
        <v>1</v>
      </c>
      <c r="DH219" s="29">
        <f t="shared" ca="1" si="117"/>
        <v>1</v>
      </c>
      <c r="DI219" s="29">
        <f t="shared" ca="1" si="117"/>
        <v>4</v>
      </c>
      <c r="DJ219" s="29">
        <f t="shared" ca="1" si="117"/>
        <v>2</v>
      </c>
      <c r="DK219" s="29">
        <f t="shared" ca="1" si="117"/>
        <v>3</v>
      </c>
      <c r="DL219" s="29">
        <f t="shared" ca="1" si="117"/>
        <v>2</v>
      </c>
    </row>
    <row r="220" spans="1:116" ht="14.4" x14ac:dyDescent="0.3">
      <c r="A220" s="31">
        <v>1032</v>
      </c>
      <c r="B220" s="28">
        <v>6.77</v>
      </c>
      <c r="C220" s="30">
        <v>2.99</v>
      </c>
      <c r="D220" s="28">
        <v>2.54</v>
      </c>
      <c r="E220" s="34">
        <f t="shared" si="110"/>
        <v>5.0799999999999998E-2</v>
      </c>
      <c r="F220" s="35">
        <f t="shared" si="111"/>
        <v>0.74750000000000005</v>
      </c>
      <c r="G220" s="34">
        <f t="shared" si="112"/>
        <v>63.5</v>
      </c>
      <c r="H220" s="33">
        <f t="shared" si="113"/>
        <v>9.2692023633677998</v>
      </c>
      <c r="I220" s="28">
        <f t="shared" si="118"/>
        <v>652.00000000000057</v>
      </c>
      <c r="J220" s="32">
        <v>0</v>
      </c>
      <c r="K220" s="30">
        <f t="shared" si="114"/>
        <v>63.5</v>
      </c>
      <c r="L220" s="30"/>
      <c r="M220" s="30"/>
      <c r="N220" s="30"/>
      <c r="O220" s="30"/>
      <c r="Q220" s="29">
        <f t="shared" ca="1" si="115"/>
        <v>2</v>
      </c>
      <c r="R220" s="29">
        <f t="shared" ca="1" si="128"/>
        <v>4</v>
      </c>
      <c r="S220" s="29">
        <f t="shared" ca="1" si="128"/>
        <v>3</v>
      </c>
      <c r="T220" s="29">
        <f t="shared" ca="1" si="128"/>
        <v>0</v>
      </c>
      <c r="U220" s="29">
        <f t="shared" ca="1" si="128"/>
        <v>7</v>
      </c>
      <c r="V220" s="29">
        <f t="shared" ca="1" si="128"/>
        <v>1</v>
      </c>
      <c r="W220" s="29">
        <f t="shared" ca="1" si="128"/>
        <v>2</v>
      </c>
      <c r="X220" s="29">
        <f t="shared" ca="1" si="128"/>
        <v>2</v>
      </c>
      <c r="Y220" s="29">
        <f t="shared" ca="1" si="128"/>
        <v>1</v>
      </c>
      <c r="Z220" s="29">
        <f t="shared" ca="1" si="128"/>
        <v>4</v>
      </c>
      <c r="AA220" s="29">
        <f t="shared" ca="1" si="128"/>
        <v>1</v>
      </c>
      <c r="AB220" s="29">
        <f t="shared" ca="1" si="128"/>
        <v>4</v>
      </c>
      <c r="AC220" s="29">
        <f t="shared" ca="1" si="128"/>
        <v>2</v>
      </c>
      <c r="AD220" s="29">
        <f t="shared" ca="1" si="128"/>
        <v>1</v>
      </c>
      <c r="AE220" s="29">
        <f t="shared" ca="1" si="128"/>
        <v>2</v>
      </c>
      <c r="AF220" s="29">
        <f t="shared" ca="1" si="128"/>
        <v>0</v>
      </c>
      <c r="AG220" s="29">
        <f t="shared" ca="1" si="127"/>
        <v>2</v>
      </c>
      <c r="AH220" s="29">
        <f t="shared" ca="1" si="127"/>
        <v>3</v>
      </c>
      <c r="AI220" s="29">
        <f t="shared" ca="1" si="127"/>
        <v>3</v>
      </c>
      <c r="AJ220" s="29">
        <f t="shared" ca="1" si="127"/>
        <v>5</v>
      </c>
      <c r="AK220" s="29">
        <f t="shared" ca="1" si="127"/>
        <v>7</v>
      </c>
      <c r="AL220" s="29">
        <f t="shared" ca="1" si="127"/>
        <v>3</v>
      </c>
      <c r="AM220" s="29">
        <f t="shared" ca="1" si="127"/>
        <v>3</v>
      </c>
      <c r="AN220" s="29">
        <f t="shared" ca="1" si="127"/>
        <v>3</v>
      </c>
      <c r="AO220" s="29">
        <f t="shared" ca="1" si="127"/>
        <v>1</v>
      </c>
      <c r="AP220" s="29">
        <f t="shared" ca="1" si="127"/>
        <v>2</v>
      </c>
      <c r="AQ220" s="29">
        <f t="shared" ca="1" si="127"/>
        <v>2</v>
      </c>
      <c r="AR220" s="29">
        <f t="shared" ca="1" si="127"/>
        <v>1</v>
      </c>
      <c r="AS220" s="29">
        <f t="shared" ca="1" si="127"/>
        <v>1</v>
      </c>
      <c r="AT220" s="29">
        <f t="shared" ca="1" si="127"/>
        <v>1</v>
      </c>
      <c r="AU220" s="29">
        <f t="shared" ca="1" si="127"/>
        <v>2</v>
      </c>
      <c r="AV220" s="29">
        <f t="shared" ca="1" si="124"/>
        <v>3</v>
      </c>
      <c r="AW220" s="29">
        <f t="shared" ca="1" si="124"/>
        <v>1</v>
      </c>
      <c r="AX220" s="29">
        <f t="shared" ca="1" si="124"/>
        <v>3</v>
      </c>
      <c r="AY220" s="29">
        <f t="shared" ca="1" si="124"/>
        <v>3</v>
      </c>
      <c r="AZ220" s="29">
        <f t="shared" ca="1" si="124"/>
        <v>4</v>
      </c>
      <c r="BA220" s="29">
        <f t="shared" ca="1" si="124"/>
        <v>0</v>
      </c>
      <c r="BB220" s="29">
        <f t="shared" ca="1" si="124"/>
        <v>2</v>
      </c>
      <c r="BC220" s="29">
        <f t="shared" ca="1" si="124"/>
        <v>2</v>
      </c>
      <c r="BD220" s="29">
        <f t="shared" ca="1" si="124"/>
        <v>4</v>
      </c>
      <c r="BE220" s="29">
        <f t="shared" ca="1" si="124"/>
        <v>5</v>
      </c>
      <c r="BF220" s="29">
        <f t="shared" ca="1" si="124"/>
        <v>4</v>
      </c>
      <c r="BG220" s="29">
        <f t="shared" ca="1" si="124"/>
        <v>0</v>
      </c>
      <c r="BH220" s="29">
        <f t="shared" ca="1" si="124"/>
        <v>3</v>
      </c>
      <c r="BI220" s="29">
        <f t="shared" ca="1" si="124"/>
        <v>2</v>
      </c>
      <c r="BJ220" s="29">
        <f t="shared" ca="1" si="124"/>
        <v>3</v>
      </c>
      <c r="BK220" s="29">
        <f t="shared" ref="BK220:BZ235" ca="1" si="129">_xlfn.BINOM.INV(50,$E220,RAND())</f>
        <v>5</v>
      </c>
      <c r="BL220" s="29">
        <f t="shared" ca="1" si="129"/>
        <v>4</v>
      </c>
      <c r="BM220" s="29">
        <f t="shared" ca="1" si="129"/>
        <v>1</v>
      </c>
      <c r="BN220" s="29">
        <f t="shared" ca="1" si="129"/>
        <v>1</v>
      </c>
      <c r="BO220" s="29">
        <f t="shared" ca="1" si="129"/>
        <v>4</v>
      </c>
      <c r="BP220" s="29">
        <f t="shared" ca="1" si="129"/>
        <v>2</v>
      </c>
      <c r="BQ220" s="29">
        <f t="shared" ca="1" si="129"/>
        <v>3</v>
      </c>
      <c r="BR220" s="29">
        <f t="shared" ca="1" si="129"/>
        <v>2</v>
      </c>
      <c r="BS220" s="29">
        <f t="shared" ca="1" si="129"/>
        <v>2</v>
      </c>
      <c r="BT220" s="29">
        <f t="shared" ca="1" si="129"/>
        <v>3</v>
      </c>
      <c r="BU220" s="29">
        <f t="shared" ca="1" si="129"/>
        <v>5</v>
      </c>
      <c r="BV220" s="29">
        <f t="shared" ca="1" si="129"/>
        <v>2</v>
      </c>
      <c r="BW220" s="29">
        <f t="shared" ca="1" si="129"/>
        <v>2</v>
      </c>
      <c r="BX220" s="29">
        <f t="shared" ca="1" si="129"/>
        <v>4</v>
      </c>
      <c r="BY220" s="29">
        <f t="shared" ca="1" si="129"/>
        <v>5</v>
      </c>
      <c r="BZ220" s="29">
        <f t="shared" ca="1" si="129"/>
        <v>1</v>
      </c>
      <c r="CA220" s="29">
        <f t="shared" ca="1" si="126"/>
        <v>5</v>
      </c>
      <c r="CB220" s="29">
        <f t="shared" ca="1" si="126"/>
        <v>2</v>
      </c>
      <c r="CC220" s="29">
        <f t="shared" ca="1" si="126"/>
        <v>2</v>
      </c>
      <c r="CD220" s="29">
        <f t="shared" ca="1" si="126"/>
        <v>2</v>
      </c>
      <c r="CE220" s="29">
        <f t="shared" ca="1" si="126"/>
        <v>2</v>
      </c>
      <c r="CF220" s="29">
        <f t="shared" ca="1" si="126"/>
        <v>1</v>
      </c>
      <c r="CG220" s="29">
        <f t="shared" ca="1" si="126"/>
        <v>1</v>
      </c>
      <c r="CH220" s="29">
        <f t="shared" ca="1" si="126"/>
        <v>3</v>
      </c>
      <c r="CI220" s="29">
        <f t="shared" ca="1" si="126"/>
        <v>3</v>
      </c>
      <c r="CJ220" s="29">
        <f t="shared" ca="1" si="126"/>
        <v>3</v>
      </c>
      <c r="CK220" s="29">
        <f t="shared" ca="1" si="126"/>
        <v>3</v>
      </c>
      <c r="CL220" s="29">
        <f t="shared" ca="1" si="126"/>
        <v>5</v>
      </c>
      <c r="CM220" s="29">
        <f t="shared" ca="1" si="126"/>
        <v>1</v>
      </c>
      <c r="CN220" s="29">
        <f t="shared" ca="1" si="126"/>
        <v>3</v>
      </c>
      <c r="CO220" s="29">
        <f t="shared" ca="1" si="126"/>
        <v>4</v>
      </c>
      <c r="CP220" s="29">
        <f t="shared" ca="1" si="126"/>
        <v>3</v>
      </c>
      <c r="CQ220" s="29">
        <f t="shared" ca="1" si="125"/>
        <v>1</v>
      </c>
      <c r="CR220" s="29">
        <f t="shared" ca="1" si="125"/>
        <v>2</v>
      </c>
      <c r="CS220" s="29">
        <f t="shared" ca="1" si="125"/>
        <v>1</v>
      </c>
      <c r="CT220" s="29">
        <f t="shared" ca="1" si="125"/>
        <v>1</v>
      </c>
      <c r="CU220" s="29">
        <f t="shared" ca="1" si="125"/>
        <v>3</v>
      </c>
      <c r="CV220" s="29">
        <f t="shared" ca="1" si="125"/>
        <v>2</v>
      </c>
      <c r="CW220" s="29">
        <f t="shared" ca="1" si="125"/>
        <v>5</v>
      </c>
      <c r="CX220" s="29">
        <f t="shared" ca="1" si="125"/>
        <v>0</v>
      </c>
      <c r="CY220" s="29">
        <f t="shared" ca="1" si="125"/>
        <v>0</v>
      </c>
      <c r="CZ220" s="29">
        <f t="shared" ca="1" si="125"/>
        <v>5</v>
      </c>
      <c r="DA220" s="29">
        <f t="shared" ca="1" si="125"/>
        <v>5</v>
      </c>
      <c r="DB220" s="29">
        <f t="shared" ca="1" si="125"/>
        <v>2</v>
      </c>
      <c r="DC220" s="29">
        <f t="shared" ca="1" si="125"/>
        <v>3</v>
      </c>
      <c r="DD220" s="29">
        <f t="shared" ca="1" si="125"/>
        <v>2</v>
      </c>
      <c r="DE220" s="29">
        <f t="shared" ca="1" si="125"/>
        <v>2</v>
      </c>
      <c r="DF220" s="29">
        <f t="shared" ca="1" si="117"/>
        <v>0</v>
      </c>
      <c r="DG220" s="29">
        <f t="shared" ca="1" si="117"/>
        <v>1</v>
      </c>
      <c r="DH220" s="29">
        <f t="shared" ca="1" si="117"/>
        <v>2</v>
      </c>
      <c r="DI220" s="29">
        <f t="shared" ca="1" si="117"/>
        <v>4</v>
      </c>
      <c r="DJ220" s="29">
        <f t="shared" ca="1" si="117"/>
        <v>3</v>
      </c>
      <c r="DK220" s="29">
        <f t="shared" ca="1" si="117"/>
        <v>1</v>
      </c>
      <c r="DL220" s="29">
        <f t="shared" ca="1" si="117"/>
        <v>4</v>
      </c>
    </row>
    <row r="221" spans="1:116" ht="14.4" x14ac:dyDescent="0.3">
      <c r="A221" s="31">
        <v>839</v>
      </c>
      <c r="B221" s="28">
        <v>1.24</v>
      </c>
      <c r="C221" s="30">
        <v>54.59</v>
      </c>
      <c r="D221" s="28">
        <v>1</v>
      </c>
      <c r="E221" s="34">
        <f t="shared" si="110"/>
        <v>0.02</v>
      </c>
      <c r="F221" s="35">
        <f t="shared" si="111"/>
        <v>13.647500000000001</v>
      </c>
      <c r="G221" s="34">
        <f t="shared" si="112"/>
        <v>25</v>
      </c>
      <c r="H221" s="33">
        <f t="shared" si="113"/>
        <v>9.1552419354838701</v>
      </c>
      <c r="I221" s="28">
        <f t="shared" si="118"/>
        <v>653.24000000000058</v>
      </c>
      <c r="J221" s="32">
        <v>0</v>
      </c>
      <c r="K221" s="30">
        <f t="shared" si="114"/>
        <v>25</v>
      </c>
      <c r="L221" s="30"/>
      <c r="M221" s="30"/>
      <c r="N221" s="30"/>
      <c r="O221" s="30"/>
      <c r="Q221" s="29">
        <f t="shared" ca="1" si="115"/>
        <v>0</v>
      </c>
      <c r="R221" s="29">
        <f t="shared" ca="1" si="128"/>
        <v>0</v>
      </c>
      <c r="S221" s="29">
        <f t="shared" ca="1" si="128"/>
        <v>2</v>
      </c>
      <c r="T221" s="29">
        <f t="shared" ca="1" si="128"/>
        <v>0</v>
      </c>
      <c r="U221" s="29">
        <f t="shared" ca="1" si="128"/>
        <v>1</v>
      </c>
      <c r="V221" s="29">
        <f t="shared" ca="1" si="128"/>
        <v>0</v>
      </c>
      <c r="W221" s="29">
        <f t="shared" ca="1" si="128"/>
        <v>0</v>
      </c>
      <c r="X221" s="29">
        <f t="shared" ca="1" si="128"/>
        <v>0</v>
      </c>
      <c r="Y221" s="29">
        <f t="shared" ca="1" si="128"/>
        <v>1</v>
      </c>
      <c r="Z221" s="29">
        <f t="shared" ca="1" si="128"/>
        <v>5</v>
      </c>
      <c r="AA221" s="29">
        <f t="shared" ca="1" si="128"/>
        <v>0</v>
      </c>
      <c r="AB221" s="29">
        <f t="shared" ca="1" si="128"/>
        <v>0</v>
      </c>
      <c r="AC221" s="29">
        <f t="shared" ca="1" si="128"/>
        <v>1</v>
      </c>
      <c r="AD221" s="29">
        <f t="shared" ca="1" si="128"/>
        <v>0</v>
      </c>
      <c r="AE221" s="29">
        <f t="shared" ca="1" si="128"/>
        <v>0</v>
      </c>
      <c r="AF221" s="29">
        <f t="shared" ca="1" si="128"/>
        <v>2</v>
      </c>
      <c r="AG221" s="29">
        <f t="shared" ca="1" si="127"/>
        <v>1</v>
      </c>
      <c r="AH221" s="29">
        <f t="shared" ca="1" si="127"/>
        <v>0</v>
      </c>
      <c r="AI221" s="29">
        <f t="shared" ca="1" si="127"/>
        <v>0</v>
      </c>
      <c r="AJ221" s="29">
        <f t="shared" ca="1" si="127"/>
        <v>2</v>
      </c>
      <c r="AK221" s="29">
        <f t="shared" ca="1" si="127"/>
        <v>1</v>
      </c>
      <c r="AL221" s="29">
        <f t="shared" ca="1" si="127"/>
        <v>0</v>
      </c>
      <c r="AM221" s="29">
        <f t="shared" ca="1" si="127"/>
        <v>2</v>
      </c>
      <c r="AN221" s="29">
        <f t="shared" ca="1" si="127"/>
        <v>2</v>
      </c>
      <c r="AO221" s="29">
        <f t="shared" ca="1" si="127"/>
        <v>1</v>
      </c>
      <c r="AP221" s="29">
        <f t="shared" ca="1" si="127"/>
        <v>2</v>
      </c>
      <c r="AQ221" s="29">
        <f t="shared" ca="1" si="127"/>
        <v>1</v>
      </c>
      <c r="AR221" s="29">
        <f t="shared" ca="1" si="127"/>
        <v>0</v>
      </c>
      <c r="AS221" s="29">
        <f t="shared" ca="1" si="127"/>
        <v>2</v>
      </c>
      <c r="AT221" s="29">
        <f t="shared" ca="1" si="127"/>
        <v>0</v>
      </c>
      <c r="AU221" s="29">
        <f t="shared" ca="1" si="127"/>
        <v>1</v>
      </c>
      <c r="AV221" s="29">
        <f t="shared" ref="AV221:BK236" ca="1" si="130">_xlfn.BINOM.INV(50,$E221,RAND())</f>
        <v>1</v>
      </c>
      <c r="AW221" s="29">
        <f t="shared" ca="1" si="130"/>
        <v>0</v>
      </c>
      <c r="AX221" s="29">
        <f t="shared" ca="1" si="130"/>
        <v>1</v>
      </c>
      <c r="AY221" s="29">
        <f t="shared" ca="1" si="130"/>
        <v>1</v>
      </c>
      <c r="AZ221" s="29">
        <f t="shared" ca="1" si="130"/>
        <v>0</v>
      </c>
      <c r="BA221" s="29">
        <f t="shared" ca="1" si="130"/>
        <v>2</v>
      </c>
      <c r="BB221" s="29">
        <f t="shared" ca="1" si="130"/>
        <v>1</v>
      </c>
      <c r="BC221" s="29">
        <f t="shared" ca="1" si="130"/>
        <v>0</v>
      </c>
      <c r="BD221" s="29">
        <f t="shared" ca="1" si="130"/>
        <v>2</v>
      </c>
      <c r="BE221" s="29">
        <f t="shared" ca="1" si="130"/>
        <v>2</v>
      </c>
      <c r="BF221" s="29">
        <f t="shared" ca="1" si="130"/>
        <v>1</v>
      </c>
      <c r="BG221" s="29">
        <f t="shared" ca="1" si="130"/>
        <v>0</v>
      </c>
      <c r="BH221" s="29">
        <f t="shared" ca="1" si="130"/>
        <v>0</v>
      </c>
      <c r="BI221" s="29">
        <f t="shared" ca="1" si="130"/>
        <v>1</v>
      </c>
      <c r="BJ221" s="29">
        <f t="shared" ca="1" si="130"/>
        <v>3</v>
      </c>
      <c r="BK221" s="29">
        <f t="shared" ca="1" si="130"/>
        <v>1</v>
      </c>
      <c r="BL221" s="29">
        <f t="shared" ca="1" si="129"/>
        <v>1</v>
      </c>
      <c r="BM221" s="29">
        <f t="shared" ca="1" si="129"/>
        <v>1</v>
      </c>
      <c r="BN221" s="29">
        <f t="shared" ca="1" si="129"/>
        <v>2</v>
      </c>
      <c r="BO221" s="29">
        <f t="shared" ca="1" si="129"/>
        <v>0</v>
      </c>
      <c r="BP221" s="29">
        <f t="shared" ca="1" si="129"/>
        <v>2</v>
      </c>
      <c r="BQ221" s="29">
        <f t="shared" ca="1" si="129"/>
        <v>2</v>
      </c>
      <c r="BR221" s="29">
        <f t="shared" ca="1" si="129"/>
        <v>1</v>
      </c>
      <c r="BS221" s="29">
        <f t="shared" ca="1" si="129"/>
        <v>2</v>
      </c>
      <c r="BT221" s="29">
        <f t="shared" ca="1" si="129"/>
        <v>1</v>
      </c>
      <c r="BU221" s="29">
        <f t="shared" ca="1" si="129"/>
        <v>0</v>
      </c>
      <c r="BV221" s="29">
        <f t="shared" ca="1" si="129"/>
        <v>2</v>
      </c>
      <c r="BW221" s="29">
        <f t="shared" ca="1" si="129"/>
        <v>2</v>
      </c>
      <c r="BX221" s="29">
        <f t="shared" ca="1" si="129"/>
        <v>3</v>
      </c>
      <c r="BY221" s="29">
        <f t="shared" ca="1" si="129"/>
        <v>0</v>
      </c>
      <c r="BZ221" s="29">
        <f t="shared" ca="1" si="129"/>
        <v>0</v>
      </c>
      <c r="CA221" s="29">
        <f t="shared" ca="1" si="126"/>
        <v>1</v>
      </c>
      <c r="CB221" s="29">
        <f t="shared" ca="1" si="126"/>
        <v>0</v>
      </c>
      <c r="CC221" s="29">
        <f t="shared" ca="1" si="126"/>
        <v>1</v>
      </c>
      <c r="CD221" s="29">
        <f t="shared" ca="1" si="126"/>
        <v>1</v>
      </c>
      <c r="CE221" s="29">
        <f t="shared" ca="1" si="126"/>
        <v>0</v>
      </c>
      <c r="CF221" s="29">
        <f t="shared" ca="1" si="126"/>
        <v>2</v>
      </c>
      <c r="CG221" s="29">
        <f t="shared" ca="1" si="126"/>
        <v>0</v>
      </c>
      <c r="CH221" s="29">
        <f t="shared" ca="1" si="126"/>
        <v>2</v>
      </c>
      <c r="CI221" s="29">
        <f t="shared" ca="1" si="126"/>
        <v>1</v>
      </c>
      <c r="CJ221" s="29">
        <f t="shared" ca="1" si="126"/>
        <v>1</v>
      </c>
      <c r="CK221" s="29">
        <f t="shared" ca="1" si="126"/>
        <v>0</v>
      </c>
      <c r="CL221" s="29">
        <f t="shared" ca="1" si="126"/>
        <v>0</v>
      </c>
      <c r="CM221" s="29">
        <f t="shared" ca="1" si="126"/>
        <v>0</v>
      </c>
      <c r="CN221" s="29">
        <f t="shared" ca="1" si="126"/>
        <v>1</v>
      </c>
      <c r="CO221" s="29">
        <f t="shared" ca="1" si="126"/>
        <v>1</v>
      </c>
      <c r="CP221" s="29">
        <f t="shared" ca="1" si="126"/>
        <v>2</v>
      </c>
      <c r="CQ221" s="29">
        <f t="shared" ca="1" si="125"/>
        <v>2</v>
      </c>
      <c r="CR221" s="29">
        <f t="shared" ca="1" si="125"/>
        <v>2</v>
      </c>
      <c r="CS221" s="29">
        <f t="shared" ca="1" si="125"/>
        <v>2</v>
      </c>
      <c r="CT221" s="29">
        <f t="shared" ca="1" si="125"/>
        <v>0</v>
      </c>
      <c r="CU221" s="29">
        <f t="shared" ca="1" si="125"/>
        <v>2</v>
      </c>
      <c r="CV221" s="29">
        <f t="shared" ca="1" si="125"/>
        <v>1</v>
      </c>
      <c r="CW221" s="29">
        <f t="shared" ca="1" si="125"/>
        <v>2</v>
      </c>
      <c r="CX221" s="29">
        <f t="shared" ca="1" si="125"/>
        <v>0</v>
      </c>
      <c r="CY221" s="29">
        <f t="shared" ca="1" si="125"/>
        <v>0</v>
      </c>
      <c r="CZ221" s="29">
        <f t="shared" ca="1" si="125"/>
        <v>1</v>
      </c>
      <c r="DA221" s="29">
        <f t="shared" ca="1" si="125"/>
        <v>0</v>
      </c>
      <c r="DB221" s="29">
        <f t="shared" ca="1" si="125"/>
        <v>2</v>
      </c>
      <c r="DC221" s="29">
        <f t="shared" ca="1" si="125"/>
        <v>0</v>
      </c>
      <c r="DD221" s="29">
        <f t="shared" ca="1" si="125"/>
        <v>0</v>
      </c>
      <c r="DE221" s="29">
        <f t="shared" ca="1" si="125"/>
        <v>1</v>
      </c>
      <c r="DF221" s="29">
        <f t="shared" ca="1" si="117"/>
        <v>0</v>
      </c>
      <c r="DG221" s="29">
        <f t="shared" ca="1" si="117"/>
        <v>2</v>
      </c>
      <c r="DH221" s="29">
        <f t="shared" ca="1" si="117"/>
        <v>3</v>
      </c>
      <c r="DI221" s="29">
        <f t="shared" ca="1" si="117"/>
        <v>1</v>
      </c>
      <c r="DJ221" s="29">
        <f t="shared" ca="1" si="117"/>
        <v>1</v>
      </c>
      <c r="DK221" s="29">
        <f t="shared" ca="1" si="117"/>
        <v>2</v>
      </c>
      <c r="DL221" s="29">
        <f t="shared" ca="1" si="117"/>
        <v>0</v>
      </c>
    </row>
    <row r="222" spans="1:116" ht="14.4" x14ac:dyDescent="0.3">
      <c r="A222" s="31">
        <v>742</v>
      </c>
      <c r="B222" s="28">
        <v>8.1999999999999993</v>
      </c>
      <c r="C222" s="30">
        <v>5.83</v>
      </c>
      <c r="D222" s="28">
        <v>3.03</v>
      </c>
      <c r="E222" s="34">
        <f t="shared" si="110"/>
        <v>6.0599999999999994E-2</v>
      </c>
      <c r="F222" s="35">
        <f t="shared" si="111"/>
        <v>1.4575</v>
      </c>
      <c r="G222" s="34">
        <f t="shared" si="112"/>
        <v>75.75</v>
      </c>
      <c r="H222" s="33">
        <f t="shared" si="113"/>
        <v>9.0600609756097565</v>
      </c>
      <c r="I222" s="28">
        <f t="shared" si="118"/>
        <v>661.44000000000062</v>
      </c>
      <c r="J222" s="32">
        <v>0</v>
      </c>
      <c r="K222" s="30">
        <f t="shared" si="114"/>
        <v>75.75</v>
      </c>
      <c r="L222" s="30"/>
      <c r="M222" s="30"/>
      <c r="N222" s="30"/>
      <c r="O222" s="30"/>
      <c r="Q222" s="29">
        <f t="shared" ca="1" si="115"/>
        <v>3</v>
      </c>
      <c r="R222" s="29">
        <f t="shared" ca="1" si="128"/>
        <v>3</v>
      </c>
      <c r="S222" s="29">
        <f t="shared" ca="1" si="128"/>
        <v>5</v>
      </c>
      <c r="T222" s="29">
        <f t="shared" ca="1" si="128"/>
        <v>1</v>
      </c>
      <c r="U222" s="29">
        <f t="shared" ca="1" si="128"/>
        <v>3</v>
      </c>
      <c r="V222" s="29">
        <f t="shared" ca="1" si="128"/>
        <v>1</v>
      </c>
      <c r="W222" s="29">
        <f t="shared" ca="1" si="128"/>
        <v>2</v>
      </c>
      <c r="X222" s="29">
        <f t="shared" ca="1" si="128"/>
        <v>4</v>
      </c>
      <c r="Y222" s="29">
        <f t="shared" ca="1" si="128"/>
        <v>4</v>
      </c>
      <c r="Z222" s="29">
        <f t="shared" ca="1" si="128"/>
        <v>4</v>
      </c>
      <c r="AA222" s="29">
        <f t="shared" ca="1" si="128"/>
        <v>2</v>
      </c>
      <c r="AB222" s="29">
        <f t="shared" ca="1" si="128"/>
        <v>3</v>
      </c>
      <c r="AC222" s="29">
        <f t="shared" ca="1" si="128"/>
        <v>1</v>
      </c>
      <c r="AD222" s="29">
        <f t="shared" ca="1" si="128"/>
        <v>4</v>
      </c>
      <c r="AE222" s="29">
        <f t="shared" ca="1" si="128"/>
        <v>6</v>
      </c>
      <c r="AF222" s="29">
        <f t="shared" ca="1" si="128"/>
        <v>3</v>
      </c>
      <c r="AG222" s="29">
        <f t="shared" ca="1" si="127"/>
        <v>3</v>
      </c>
      <c r="AH222" s="29">
        <f t="shared" ca="1" si="127"/>
        <v>5</v>
      </c>
      <c r="AI222" s="29">
        <f t="shared" ca="1" si="127"/>
        <v>5</v>
      </c>
      <c r="AJ222" s="29">
        <f t="shared" ca="1" si="127"/>
        <v>4</v>
      </c>
      <c r="AK222" s="29">
        <f t="shared" ca="1" si="127"/>
        <v>2</v>
      </c>
      <c r="AL222" s="29">
        <f t="shared" ca="1" si="127"/>
        <v>3</v>
      </c>
      <c r="AM222" s="29">
        <f t="shared" ca="1" si="127"/>
        <v>4</v>
      </c>
      <c r="AN222" s="29">
        <f t="shared" ca="1" si="127"/>
        <v>4</v>
      </c>
      <c r="AO222" s="29">
        <f t="shared" ca="1" si="127"/>
        <v>3</v>
      </c>
      <c r="AP222" s="29">
        <f t="shared" ca="1" si="127"/>
        <v>4</v>
      </c>
      <c r="AQ222" s="29">
        <f t="shared" ca="1" si="127"/>
        <v>3</v>
      </c>
      <c r="AR222" s="29">
        <f t="shared" ca="1" si="127"/>
        <v>4</v>
      </c>
      <c r="AS222" s="29">
        <f t="shared" ca="1" si="127"/>
        <v>3</v>
      </c>
      <c r="AT222" s="29">
        <f t="shared" ca="1" si="127"/>
        <v>0</v>
      </c>
      <c r="AU222" s="29">
        <f t="shared" ca="1" si="127"/>
        <v>2</v>
      </c>
      <c r="AV222" s="29">
        <f t="shared" ca="1" si="130"/>
        <v>2</v>
      </c>
      <c r="AW222" s="29">
        <f t="shared" ca="1" si="130"/>
        <v>2</v>
      </c>
      <c r="AX222" s="29">
        <f t="shared" ca="1" si="130"/>
        <v>2</v>
      </c>
      <c r="AY222" s="29">
        <f t="shared" ca="1" si="130"/>
        <v>3</v>
      </c>
      <c r="AZ222" s="29">
        <f t="shared" ca="1" si="130"/>
        <v>3</v>
      </c>
      <c r="BA222" s="29">
        <f t="shared" ca="1" si="130"/>
        <v>4</v>
      </c>
      <c r="BB222" s="29">
        <f t="shared" ca="1" si="130"/>
        <v>1</v>
      </c>
      <c r="BC222" s="29">
        <f t="shared" ca="1" si="130"/>
        <v>1</v>
      </c>
      <c r="BD222" s="29">
        <f t="shared" ca="1" si="130"/>
        <v>2</v>
      </c>
      <c r="BE222" s="29">
        <f t="shared" ca="1" si="130"/>
        <v>6</v>
      </c>
      <c r="BF222" s="29">
        <f t="shared" ca="1" si="130"/>
        <v>2</v>
      </c>
      <c r="BG222" s="29">
        <f t="shared" ca="1" si="130"/>
        <v>3</v>
      </c>
      <c r="BH222" s="29">
        <f t="shared" ca="1" si="130"/>
        <v>2</v>
      </c>
      <c r="BI222" s="29">
        <f t="shared" ca="1" si="130"/>
        <v>3</v>
      </c>
      <c r="BJ222" s="29">
        <f t="shared" ca="1" si="130"/>
        <v>3</v>
      </c>
      <c r="BK222" s="29">
        <f t="shared" ca="1" si="130"/>
        <v>2</v>
      </c>
      <c r="BL222" s="29">
        <f t="shared" ca="1" si="129"/>
        <v>1</v>
      </c>
      <c r="BM222" s="29">
        <f t="shared" ca="1" si="129"/>
        <v>0</v>
      </c>
      <c r="BN222" s="29">
        <f t="shared" ca="1" si="129"/>
        <v>2</v>
      </c>
      <c r="BO222" s="29">
        <f t="shared" ca="1" si="129"/>
        <v>6</v>
      </c>
      <c r="BP222" s="29">
        <f t="shared" ca="1" si="129"/>
        <v>3</v>
      </c>
      <c r="BQ222" s="29">
        <f t="shared" ca="1" si="129"/>
        <v>0</v>
      </c>
      <c r="BR222" s="29">
        <f t="shared" ca="1" si="129"/>
        <v>5</v>
      </c>
      <c r="BS222" s="29">
        <f t="shared" ca="1" si="129"/>
        <v>5</v>
      </c>
      <c r="BT222" s="29">
        <f t="shared" ca="1" si="129"/>
        <v>2</v>
      </c>
      <c r="BU222" s="29">
        <f t="shared" ca="1" si="129"/>
        <v>5</v>
      </c>
      <c r="BV222" s="29">
        <f t="shared" ca="1" si="129"/>
        <v>2</v>
      </c>
      <c r="BW222" s="29">
        <f t="shared" ca="1" si="129"/>
        <v>2</v>
      </c>
      <c r="BX222" s="29">
        <f t="shared" ca="1" si="129"/>
        <v>2</v>
      </c>
      <c r="BY222" s="29">
        <f t="shared" ca="1" si="129"/>
        <v>1</v>
      </c>
      <c r="BZ222" s="29">
        <f t="shared" ca="1" si="129"/>
        <v>4</v>
      </c>
      <c r="CA222" s="29">
        <f t="shared" ca="1" si="126"/>
        <v>5</v>
      </c>
      <c r="CB222" s="29">
        <f t="shared" ca="1" si="126"/>
        <v>2</v>
      </c>
      <c r="CC222" s="29">
        <f t="shared" ca="1" si="126"/>
        <v>3</v>
      </c>
      <c r="CD222" s="29">
        <f t="shared" ca="1" si="126"/>
        <v>5</v>
      </c>
      <c r="CE222" s="29">
        <f t="shared" ca="1" si="126"/>
        <v>4</v>
      </c>
      <c r="CF222" s="29">
        <f t="shared" ca="1" si="126"/>
        <v>4</v>
      </c>
      <c r="CG222" s="29">
        <f t="shared" ca="1" si="126"/>
        <v>3</v>
      </c>
      <c r="CH222" s="29">
        <f t="shared" ca="1" si="126"/>
        <v>2</v>
      </c>
      <c r="CI222" s="29">
        <f t="shared" ca="1" si="126"/>
        <v>4</v>
      </c>
      <c r="CJ222" s="29">
        <f t="shared" ca="1" si="126"/>
        <v>2</v>
      </c>
      <c r="CK222" s="29">
        <f t="shared" ca="1" si="126"/>
        <v>4</v>
      </c>
      <c r="CL222" s="29">
        <f t="shared" ca="1" si="126"/>
        <v>4</v>
      </c>
      <c r="CM222" s="29">
        <f t="shared" ca="1" si="126"/>
        <v>3</v>
      </c>
      <c r="CN222" s="29">
        <f t="shared" ca="1" si="126"/>
        <v>2</v>
      </c>
      <c r="CO222" s="29">
        <f t="shared" ca="1" si="126"/>
        <v>3</v>
      </c>
      <c r="CP222" s="29">
        <f t="shared" ca="1" si="126"/>
        <v>2</v>
      </c>
      <c r="CQ222" s="29">
        <f t="shared" ca="1" si="125"/>
        <v>3</v>
      </c>
      <c r="CR222" s="29">
        <f t="shared" ca="1" si="125"/>
        <v>0</v>
      </c>
      <c r="CS222" s="29">
        <f t="shared" ca="1" si="125"/>
        <v>2</v>
      </c>
      <c r="CT222" s="29">
        <f t="shared" ca="1" si="125"/>
        <v>2</v>
      </c>
      <c r="CU222" s="29">
        <f t="shared" ca="1" si="125"/>
        <v>1</v>
      </c>
      <c r="CV222" s="29">
        <f t="shared" ca="1" si="125"/>
        <v>3</v>
      </c>
      <c r="CW222" s="29">
        <f t="shared" ca="1" si="125"/>
        <v>2</v>
      </c>
      <c r="CX222" s="29">
        <f t="shared" ca="1" si="125"/>
        <v>1</v>
      </c>
      <c r="CY222" s="29">
        <f t="shared" ca="1" si="125"/>
        <v>2</v>
      </c>
      <c r="CZ222" s="29">
        <f t="shared" ca="1" si="125"/>
        <v>2</v>
      </c>
      <c r="DA222" s="29">
        <f t="shared" ca="1" si="125"/>
        <v>5</v>
      </c>
      <c r="DB222" s="29">
        <f t="shared" ca="1" si="125"/>
        <v>3</v>
      </c>
      <c r="DC222" s="29">
        <f t="shared" ca="1" si="125"/>
        <v>1</v>
      </c>
      <c r="DD222" s="29">
        <f t="shared" ca="1" si="125"/>
        <v>2</v>
      </c>
      <c r="DE222" s="29">
        <f t="shared" ca="1" si="125"/>
        <v>4</v>
      </c>
      <c r="DF222" s="29">
        <f t="shared" ca="1" si="117"/>
        <v>7</v>
      </c>
      <c r="DG222" s="29">
        <f t="shared" ca="1" si="117"/>
        <v>3</v>
      </c>
      <c r="DH222" s="29">
        <f t="shared" ca="1" si="117"/>
        <v>2</v>
      </c>
      <c r="DI222" s="29">
        <f t="shared" ca="1" si="117"/>
        <v>3</v>
      </c>
      <c r="DJ222" s="29">
        <f t="shared" ca="1" si="117"/>
        <v>5</v>
      </c>
      <c r="DK222" s="29">
        <f t="shared" ca="1" si="117"/>
        <v>3</v>
      </c>
      <c r="DL222" s="29">
        <f t="shared" ca="1" si="117"/>
        <v>3</v>
      </c>
    </row>
    <row r="223" spans="1:116" ht="14.4" x14ac:dyDescent="0.3">
      <c r="A223" s="31">
        <v>712</v>
      </c>
      <c r="B223" s="28">
        <v>7.1</v>
      </c>
      <c r="C223" s="30">
        <v>28.81</v>
      </c>
      <c r="D223" s="28">
        <v>2.85</v>
      </c>
      <c r="E223" s="34">
        <f t="shared" si="110"/>
        <v>5.7000000000000002E-2</v>
      </c>
      <c r="F223" s="35">
        <f t="shared" si="111"/>
        <v>7.2024999999999997</v>
      </c>
      <c r="G223" s="34">
        <f t="shared" si="112"/>
        <v>71.25</v>
      </c>
      <c r="H223" s="33">
        <f t="shared" si="113"/>
        <v>9.0207746478873236</v>
      </c>
      <c r="I223" s="28">
        <f t="shared" si="118"/>
        <v>668.54000000000065</v>
      </c>
      <c r="J223" s="32">
        <v>0</v>
      </c>
      <c r="K223" s="30">
        <f t="shared" si="114"/>
        <v>71.25</v>
      </c>
      <c r="L223" s="30"/>
      <c r="M223" s="30"/>
      <c r="N223" s="30"/>
      <c r="O223" s="30"/>
      <c r="Q223" s="29">
        <f t="shared" ca="1" si="115"/>
        <v>3</v>
      </c>
      <c r="R223" s="29">
        <f t="shared" ca="1" si="128"/>
        <v>1</v>
      </c>
      <c r="S223" s="29">
        <f t="shared" ca="1" si="128"/>
        <v>1</v>
      </c>
      <c r="T223" s="29">
        <f t="shared" ca="1" si="128"/>
        <v>5</v>
      </c>
      <c r="U223" s="29">
        <f t="shared" ca="1" si="128"/>
        <v>3</v>
      </c>
      <c r="V223" s="29">
        <f t="shared" ca="1" si="128"/>
        <v>4</v>
      </c>
      <c r="W223" s="29">
        <f t="shared" ca="1" si="128"/>
        <v>3</v>
      </c>
      <c r="X223" s="29">
        <f t="shared" ca="1" si="128"/>
        <v>0</v>
      </c>
      <c r="Y223" s="29">
        <f t="shared" ca="1" si="128"/>
        <v>2</v>
      </c>
      <c r="Z223" s="29">
        <f t="shared" ca="1" si="128"/>
        <v>6</v>
      </c>
      <c r="AA223" s="29">
        <f t="shared" ca="1" si="128"/>
        <v>2</v>
      </c>
      <c r="AB223" s="29">
        <f t="shared" ca="1" si="128"/>
        <v>5</v>
      </c>
      <c r="AC223" s="29">
        <f t="shared" ca="1" si="128"/>
        <v>2</v>
      </c>
      <c r="AD223" s="29">
        <f t="shared" ca="1" si="128"/>
        <v>2</v>
      </c>
      <c r="AE223" s="29">
        <f t="shared" ca="1" si="128"/>
        <v>3</v>
      </c>
      <c r="AF223" s="29">
        <f t="shared" ca="1" si="128"/>
        <v>3</v>
      </c>
      <c r="AG223" s="29">
        <f t="shared" ca="1" si="127"/>
        <v>2</v>
      </c>
      <c r="AH223" s="29">
        <f t="shared" ca="1" si="127"/>
        <v>2</v>
      </c>
      <c r="AI223" s="29">
        <f t="shared" ca="1" si="127"/>
        <v>3</v>
      </c>
      <c r="AJ223" s="29">
        <f t="shared" ca="1" si="127"/>
        <v>3</v>
      </c>
      <c r="AK223" s="29">
        <f t="shared" ca="1" si="127"/>
        <v>4</v>
      </c>
      <c r="AL223" s="29">
        <f t="shared" ca="1" si="127"/>
        <v>2</v>
      </c>
      <c r="AM223" s="29">
        <f t="shared" ca="1" si="127"/>
        <v>7</v>
      </c>
      <c r="AN223" s="29">
        <f t="shared" ca="1" si="127"/>
        <v>5</v>
      </c>
      <c r="AO223" s="29">
        <f t="shared" ca="1" si="127"/>
        <v>4</v>
      </c>
      <c r="AP223" s="29">
        <f t="shared" ca="1" si="127"/>
        <v>4</v>
      </c>
      <c r="AQ223" s="29">
        <f t="shared" ca="1" si="127"/>
        <v>3</v>
      </c>
      <c r="AR223" s="29">
        <f t="shared" ca="1" si="127"/>
        <v>1</v>
      </c>
      <c r="AS223" s="29">
        <f t="shared" ca="1" si="127"/>
        <v>4</v>
      </c>
      <c r="AT223" s="29">
        <f t="shared" ca="1" si="127"/>
        <v>1</v>
      </c>
      <c r="AU223" s="29">
        <f t="shared" ca="1" si="127"/>
        <v>1</v>
      </c>
      <c r="AV223" s="29">
        <f t="shared" ca="1" si="130"/>
        <v>1</v>
      </c>
      <c r="AW223" s="29">
        <f t="shared" ca="1" si="130"/>
        <v>0</v>
      </c>
      <c r="AX223" s="29">
        <f t="shared" ca="1" si="130"/>
        <v>5</v>
      </c>
      <c r="AY223" s="29">
        <f t="shared" ca="1" si="130"/>
        <v>2</v>
      </c>
      <c r="AZ223" s="29">
        <f t="shared" ca="1" si="130"/>
        <v>2</v>
      </c>
      <c r="BA223" s="29">
        <f t="shared" ca="1" si="130"/>
        <v>5</v>
      </c>
      <c r="BB223" s="29">
        <f t="shared" ca="1" si="130"/>
        <v>6</v>
      </c>
      <c r="BC223" s="29">
        <f t="shared" ca="1" si="130"/>
        <v>2</v>
      </c>
      <c r="BD223" s="29">
        <f t="shared" ca="1" si="130"/>
        <v>2</v>
      </c>
      <c r="BE223" s="29">
        <f t="shared" ca="1" si="130"/>
        <v>1</v>
      </c>
      <c r="BF223" s="29">
        <f t="shared" ca="1" si="130"/>
        <v>4</v>
      </c>
      <c r="BG223" s="29">
        <f t="shared" ca="1" si="130"/>
        <v>3</v>
      </c>
      <c r="BH223" s="29">
        <f t="shared" ca="1" si="130"/>
        <v>2</v>
      </c>
      <c r="BI223" s="29">
        <f t="shared" ca="1" si="130"/>
        <v>5</v>
      </c>
      <c r="BJ223" s="29">
        <f t="shared" ca="1" si="130"/>
        <v>3</v>
      </c>
      <c r="BK223" s="29">
        <f t="shared" ca="1" si="130"/>
        <v>5</v>
      </c>
      <c r="BL223" s="29">
        <f t="shared" ca="1" si="129"/>
        <v>2</v>
      </c>
      <c r="BM223" s="29">
        <f t="shared" ca="1" si="129"/>
        <v>1</v>
      </c>
      <c r="BN223" s="29">
        <f t="shared" ca="1" si="129"/>
        <v>3</v>
      </c>
      <c r="BO223" s="29">
        <f t="shared" ca="1" si="129"/>
        <v>4</v>
      </c>
      <c r="BP223" s="29">
        <f t="shared" ca="1" si="129"/>
        <v>3</v>
      </c>
      <c r="BQ223" s="29">
        <f t="shared" ca="1" si="129"/>
        <v>4</v>
      </c>
      <c r="BR223" s="29">
        <f t="shared" ca="1" si="129"/>
        <v>2</v>
      </c>
      <c r="BS223" s="29">
        <f t="shared" ca="1" si="129"/>
        <v>5</v>
      </c>
      <c r="BT223" s="29">
        <f t="shared" ca="1" si="129"/>
        <v>4</v>
      </c>
      <c r="BU223" s="29">
        <f t="shared" ca="1" si="129"/>
        <v>4</v>
      </c>
      <c r="BV223" s="29">
        <f t="shared" ca="1" si="129"/>
        <v>4</v>
      </c>
      <c r="BW223" s="29">
        <f t="shared" ca="1" si="129"/>
        <v>2</v>
      </c>
      <c r="BX223" s="29">
        <f t="shared" ca="1" si="129"/>
        <v>5</v>
      </c>
      <c r="BY223" s="29">
        <f t="shared" ca="1" si="129"/>
        <v>3</v>
      </c>
      <c r="BZ223" s="29">
        <f t="shared" ca="1" si="129"/>
        <v>5</v>
      </c>
      <c r="CA223" s="29">
        <f t="shared" ca="1" si="126"/>
        <v>1</v>
      </c>
      <c r="CB223" s="29">
        <f t="shared" ca="1" si="126"/>
        <v>2</v>
      </c>
      <c r="CC223" s="29">
        <f t="shared" ca="1" si="126"/>
        <v>3</v>
      </c>
      <c r="CD223" s="29">
        <f t="shared" ca="1" si="126"/>
        <v>1</v>
      </c>
      <c r="CE223" s="29">
        <f t="shared" ca="1" si="126"/>
        <v>1</v>
      </c>
      <c r="CF223" s="29">
        <f t="shared" ca="1" si="126"/>
        <v>4</v>
      </c>
      <c r="CG223" s="29">
        <f t="shared" ca="1" si="126"/>
        <v>2</v>
      </c>
      <c r="CH223" s="29">
        <f t="shared" ca="1" si="126"/>
        <v>4</v>
      </c>
      <c r="CI223" s="29">
        <f t="shared" ca="1" si="126"/>
        <v>2</v>
      </c>
      <c r="CJ223" s="29">
        <f t="shared" ca="1" si="126"/>
        <v>1</v>
      </c>
      <c r="CK223" s="29">
        <f t="shared" ca="1" si="126"/>
        <v>4</v>
      </c>
      <c r="CL223" s="29">
        <f t="shared" ca="1" si="126"/>
        <v>3</v>
      </c>
      <c r="CM223" s="29">
        <f t="shared" ca="1" si="126"/>
        <v>1</v>
      </c>
      <c r="CN223" s="29">
        <f t="shared" ca="1" si="126"/>
        <v>3</v>
      </c>
      <c r="CO223" s="29">
        <f t="shared" ca="1" si="126"/>
        <v>7</v>
      </c>
      <c r="CP223" s="29">
        <f t="shared" ca="1" si="126"/>
        <v>2</v>
      </c>
      <c r="CQ223" s="29">
        <f t="shared" ca="1" si="125"/>
        <v>2</v>
      </c>
      <c r="CR223" s="29">
        <f t="shared" ca="1" si="125"/>
        <v>2</v>
      </c>
      <c r="CS223" s="29">
        <f t="shared" ca="1" si="125"/>
        <v>4</v>
      </c>
      <c r="CT223" s="29">
        <f t="shared" ca="1" si="125"/>
        <v>3</v>
      </c>
      <c r="CU223" s="29">
        <f t="shared" ca="1" si="125"/>
        <v>2</v>
      </c>
      <c r="CV223" s="29">
        <f t="shared" ca="1" si="125"/>
        <v>2</v>
      </c>
      <c r="CW223" s="29">
        <f t="shared" ca="1" si="125"/>
        <v>2</v>
      </c>
      <c r="CX223" s="29">
        <f t="shared" ca="1" si="125"/>
        <v>1</v>
      </c>
      <c r="CY223" s="29">
        <f t="shared" ca="1" si="125"/>
        <v>4</v>
      </c>
      <c r="CZ223" s="29">
        <f t="shared" ca="1" si="125"/>
        <v>3</v>
      </c>
      <c r="DA223" s="29">
        <f t="shared" ca="1" si="125"/>
        <v>4</v>
      </c>
      <c r="DB223" s="29">
        <f t="shared" ca="1" si="125"/>
        <v>1</v>
      </c>
      <c r="DC223" s="29">
        <f t="shared" ca="1" si="125"/>
        <v>5</v>
      </c>
      <c r="DD223" s="29">
        <f t="shared" ca="1" si="125"/>
        <v>0</v>
      </c>
      <c r="DE223" s="29">
        <f t="shared" ca="1" si="125"/>
        <v>2</v>
      </c>
      <c r="DF223" s="29">
        <f t="shared" ca="1" si="117"/>
        <v>3</v>
      </c>
      <c r="DG223" s="29">
        <f t="shared" ca="1" si="117"/>
        <v>0</v>
      </c>
      <c r="DH223" s="29">
        <f t="shared" ca="1" si="117"/>
        <v>1</v>
      </c>
      <c r="DI223" s="29">
        <f t="shared" ca="1" si="117"/>
        <v>2</v>
      </c>
      <c r="DJ223" s="29">
        <f t="shared" ca="1" si="117"/>
        <v>3</v>
      </c>
      <c r="DK223" s="29">
        <f t="shared" ca="1" si="117"/>
        <v>3</v>
      </c>
      <c r="DL223" s="29">
        <f t="shared" ca="1" si="117"/>
        <v>3</v>
      </c>
    </row>
    <row r="224" spans="1:116" ht="14.4" x14ac:dyDescent="0.3">
      <c r="A224" s="31">
        <v>18</v>
      </c>
      <c r="B224" s="28">
        <v>5.73</v>
      </c>
      <c r="C224" s="30">
        <v>96.91</v>
      </c>
      <c r="D224" s="28">
        <v>3.03</v>
      </c>
      <c r="E224" s="34">
        <f t="shared" si="110"/>
        <v>6.0599999999999994E-2</v>
      </c>
      <c r="F224" s="35">
        <f t="shared" si="111"/>
        <v>24.227499999999999</v>
      </c>
      <c r="G224" s="34">
        <f t="shared" si="112"/>
        <v>75.75</v>
      </c>
      <c r="H224" s="33">
        <f t="shared" si="113"/>
        <v>8.9917102966841185</v>
      </c>
      <c r="I224" s="28">
        <f t="shared" si="118"/>
        <v>674.27000000000066</v>
      </c>
      <c r="J224" s="32">
        <v>0</v>
      </c>
      <c r="K224" s="30">
        <f t="shared" si="114"/>
        <v>75.75</v>
      </c>
      <c r="L224" s="30"/>
      <c r="M224" s="30"/>
      <c r="N224" s="30"/>
      <c r="O224" s="30"/>
      <c r="Q224" s="29">
        <f t="shared" ca="1" si="115"/>
        <v>5</v>
      </c>
      <c r="R224" s="29">
        <f t="shared" ca="1" si="128"/>
        <v>8</v>
      </c>
      <c r="S224" s="29">
        <f t="shared" ca="1" si="128"/>
        <v>1</v>
      </c>
      <c r="T224" s="29">
        <f t="shared" ca="1" si="128"/>
        <v>2</v>
      </c>
      <c r="U224" s="29">
        <f t="shared" ca="1" si="128"/>
        <v>5</v>
      </c>
      <c r="V224" s="29">
        <f t="shared" ca="1" si="128"/>
        <v>3</v>
      </c>
      <c r="W224" s="29">
        <f t="shared" ca="1" si="128"/>
        <v>5</v>
      </c>
      <c r="X224" s="29">
        <f t="shared" ca="1" si="128"/>
        <v>2</v>
      </c>
      <c r="Y224" s="29">
        <f t="shared" ca="1" si="128"/>
        <v>4</v>
      </c>
      <c r="Z224" s="29">
        <f t="shared" ca="1" si="128"/>
        <v>4</v>
      </c>
      <c r="AA224" s="29">
        <f t="shared" ca="1" si="128"/>
        <v>2</v>
      </c>
      <c r="AB224" s="29">
        <f t="shared" ca="1" si="128"/>
        <v>4</v>
      </c>
      <c r="AC224" s="29">
        <f t="shared" ca="1" si="128"/>
        <v>3</v>
      </c>
      <c r="AD224" s="29">
        <f t="shared" ca="1" si="128"/>
        <v>2</v>
      </c>
      <c r="AE224" s="29">
        <f t="shared" ca="1" si="128"/>
        <v>6</v>
      </c>
      <c r="AF224" s="29">
        <f t="shared" ca="1" si="128"/>
        <v>2</v>
      </c>
      <c r="AG224" s="29">
        <f t="shared" ca="1" si="127"/>
        <v>4</v>
      </c>
      <c r="AH224" s="29">
        <f t="shared" ca="1" si="127"/>
        <v>6</v>
      </c>
      <c r="AI224" s="29">
        <f t="shared" ca="1" si="127"/>
        <v>2</v>
      </c>
      <c r="AJ224" s="29">
        <f t="shared" ca="1" si="127"/>
        <v>2</v>
      </c>
      <c r="AK224" s="29">
        <f t="shared" ca="1" si="127"/>
        <v>3</v>
      </c>
      <c r="AL224" s="29">
        <f t="shared" ca="1" si="127"/>
        <v>1</v>
      </c>
      <c r="AM224" s="29">
        <f t="shared" ca="1" si="127"/>
        <v>5</v>
      </c>
      <c r="AN224" s="29">
        <f t="shared" ca="1" si="127"/>
        <v>3</v>
      </c>
      <c r="AO224" s="29">
        <f t="shared" ca="1" si="127"/>
        <v>6</v>
      </c>
      <c r="AP224" s="29">
        <f t="shared" ca="1" si="127"/>
        <v>3</v>
      </c>
      <c r="AQ224" s="29">
        <f t="shared" ca="1" si="127"/>
        <v>3</v>
      </c>
      <c r="AR224" s="29">
        <f t="shared" ca="1" si="127"/>
        <v>5</v>
      </c>
      <c r="AS224" s="29">
        <f t="shared" ca="1" si="127"/>
        <v>1</v>
      </c>
      <c r="AT224" s="29">
        <f t="shared" ca="1" si="127"/>
        <v>2</v>
      </c>
      <c r="AU224" s="29">
        <f t="shared" ca="1" si="127"/>
        <v>1</v>
      </c>
      <c r="AV224" s="29">
        <f t="shared" ca="1" si="130"/>
        <v>2</v>
      </c>
      <c r="AW224" s="29">
        <f t="shared" ca="1" si="130"/>
        <v>7</v>
      </c>
      <c r="AX224" s="29">
        <f t="shared" ca="1" si="130"/>
        <v>1</v>
      </c>
      <c r="AY224" s="29">
        <f t="shared" ca="1" si="130"/>
        <v>5</v>
      </c>
      <c r="AZ224" s="29">
        <f t="shared" ca="1" si="130"/>
        <v>4</v>
      </c>
      <c r="BA224" s="29">
        <f t="shared" ca="1" si="130"/>
        <v>4</v>
      </c>
      <c r="BB224" s="29">
        <f t="shared" ca="1" si="130"/>
        <v>3</v>
      </c>
      <c r="BC224" s="29">
        <f t="shared" ca="1" si="130"/>
        <v>5</v>
      </c>
      <c r="BD224" s="29">
        <f t="shared" ca="1" si="130"/>
        <v>6</v>
      </c>
      <c r="BE224" s="29">
        <f t="shared" ca="1" si="130"/>
        <v>2</v>
      </c>
      <c r="BF224" s="29">
        <f t="shared" ca="1" si="130"/>
        <v>3</v>
      </c>
      <c r="BG224" s="29">
        <f t="shared" ca="1" si="130"/>
        <v>5</v>
      </c>
      <c r="BH224" s="29">
        <f t="shared" ca="1" si="130"/>
        <v>1</v>
      </c>
      <c r="BI224" s="29">
        <f t="shared" ca="1" si="130"/>
        <v>4</v>
      </c>
      <c r="BJ224" s="29">
        <f t="shared" ca="1" si="130"/>
        <v>2</v>
      </c>
      <c r="BK224" s="29">
        <f t="shared" ca="1" si="130"/>
        <v>3</v>
      </c>
      <c r="BL224" s="29">
        <f t="shared" ca="1" si="129"/>
        <v>4</v>
      </c>
      <c r="BM224" s="29">
        <f t="shared" ca="1" si="129"/>
        <v>3</v>
      </c>
      <c r="BN224" s="29">
        <f t="shared" ca="1" si="129"/>
        <v>3</v>
      </c>
      <c r="BO224" s="29">
        <f t="shared" ca="1" si="129"/>
        <v>2</v>
      </c>
      <c r="BP224" s="29">
        <f t="shared" ca="1" si="129"/>
        <v>2</v>
      </c>
      <c r="BQ224" s="29">
        <f t="shared" ca="1" si="129"/>
        <v>2</v>
      </c>
      <c r="BR224" s="29">
        <f t="shared" ca="1" si="129"/>
        <v>3</v>
      </c>
      <c r="BS224" s="29">
        <f t="shared" ca="1" si="129"/>
        <v>4</v>
      </c>
      <c r="BT224" s="29">
        <f t="shared" ca="1" si="129"/>
        <v>3</v>
      </c>
      <c r="BU224" s="29">
        <f t="shared" ca="1" si="129"/>
        <v>1</v>
      </c>
      <c r="BV224" s="29">
        <f t="shared" ca="1" si="129"/>
        <v>5</v>
      </c>
      <c r="BW224" s="29">
        <f t="shared" ca="1" si="129"/>
        <v>6</v>
      </c>
      <c r="BX224" s="29">
        <f t="shared" ca="1" si="129"/>
        <v>4</v>
      </c>
      <c r="BY224" s="29">
        <f t="shared" ca="1" si="129"/>
        <v>3</v>
      </c>
      <c r="BZ224" s="29">
        <f t="shared" ca="1" si="129"/>
        <v>0</v>
      </c>
      <c r="CA224" s="29">
        <f t="shared" ca="1" si="126"/>
        <v>2</v>
      </c>
      <c r="CB224" s="29">
        <f t="shared" ca="1" si="126"/>
        <v>5</v>
      </c>
      <c r="CC224" s="29">
        <f t="shared" ca="1" si="126"/>
        <v>3</v>
      </c>
      <c r="CD224" s="29">
        <f t="shared" ca="1" si="126"/>
        <v>6</v>
      </c>
      <c r="CE224" s="29">
        <f t="shared" ca="1" si="126"/>
        <v>3</v>
      </c>
      <c r="CF224" s="29">
        <f t="shared" ca="1" si="126"/>
        <v>7</v>
      </c>
      <c r="CG224" s="29">
        <f t="shared" ca="1" si="126"/>
        <v>3</v>
      </c>
      <c r="CH224" s="29">
        <f t="shared" ca="1" si="126"/>
        <v>2</v>
      </c>
      <c r="CI224" s="29">
        <f t="shared" ca="1" si="126"/>
        <v>5</v>
      </c>
      <c r="CJ224" s="29">
        <f t="shared" ca="1" si="126"/>
        <v>5</v>
      </c>
      <c r="CK224" s="29">
        <f t="shared" ca="1" si="126"/>
        <v>3</v>
      </c>
      <c r="CL224" s="29">
        <f t="shared" ca="1" si="126"/>
        <v>3</v>
      </c>
      <c r="CM224" s="29">
        <f t="shared" ca="1" si="126"/>
        <v>0</v>
      </c>
      <c r="CN224" s="29">
        <f t="shared" ca="1" si="126"/>
        <v>4</v>
      </c>
      <c r="CO224" s="29">
        <f t="shared" ca="1" si="126"/>
        <v>4</v>
      </c>
      <c r="CP224" s="29">
        <f t="shared" ca="1" si="126"/>
        <v>3</v>
      </c>
      <c r="CQ224" s="29">
        <f t="shared" ca="1" si="125"/>
        <v>6</v>
      </c>
      <c r="CR224" s="29">
        <f t="shared" ca="1" si="125"/>
        <v>2</v>
      </c>
      <c r="CS224" s="29">
        <f t="shared" ca="1" si="125"/>
        <v>1</v>
      </c>
      <c r="CT224" s="29">
        <f t="shared" ca="1" si="125"/>
        <v>5</v>
      </c>
      <c r="CU224" s="29">
        <f t="shared" ca="1" si="125"/>
        <v>4</v>
      </c>
      <c r="CV224" s="29">
        <f t="shared" ca="1" si="125"/>
        <v>5</v>
      </c>
      <c r="CW224" s="29">
        <f t="shared" ca="1" si="125"/>
        <v>3</v>
      </c>
      <c r="CX224" s="29">
        <f t="shared" ca="1" si="125"/>
        <v>1</v>
      </c>
      <c r="CY224" s="29">
        <f t="shared" ca="1" si="125"/>
        <v>3</v>
      </c>
      <c r="CZ224" s="29">
        <f t="shared" ca="1" si="125"/>
        <v>2</v>
      </c>
      <c r="DA224" s="29">
        <f t="shared" ca="1" si="125"/>
        <v>2</v>
      </c>
      <c r="DB224" s="29">
        <f t="shared" ca="1" si="125"/>
        <v>3</v>
      </c>
      <c r="DC224" s="29">
        <f t="shared" ca="1" si="125"/>
        <v>4</v>
      </c>
      <c r="DD224" s="29">
        <f t="shared" ca="1" si="125"/>
        <v>1</v>
      </c>
      <c r="DE224" s="29">
        <f t="shared" ca="1" si="125"/>
        <v>4</v>
      </c>
      <c r="DF224" s="29">
        <f t="shared" ca="1" si="117"/>
        <v>3</v>
      </c>
      <c r="DG224" s="29">
        <f t="shared" ca="1" si="117"/>
        <v>1</v>
      </c>
      <c r="DH224" s="29">
        <f t="shared" ca="1" si="117"/>
        <v>6</v>
      </c>
      <c r="DI224" s="29">
        <f t="shared" ca="1" si="117"/>
        <v>2</v>
      </c>
      <c r="DJ224" s="29">
        <f t="shared" ca="1" si="117"/>
        <v>3</v>
      </c>
      <c r="DK224" s="29">
        <f t="shared" ca="1" si="117"/>
        <v>2</v>
      </c>
      <c r="DL224" s="29">
        <f t="shared" ca="1" si="117"/>
        <v>4</v>
      </c>
    </row>
    <row r="225" spans="1:116" ht="14.4" x14ac:dyDescent="0.3">
      <c r="A225" s="31">
        <v>596</v>
      </c>
      <c r="B225" s="28">
        <v>7.95</v>
      </c>
      <c r="C225" s="30">
        <v>5.0199999999999996</v>
      </c>
      <c r="D225" s="28">
        <v>2.87</v>
      </c>
      <c r="E225" s="34">
        <f t="shared" si="110"/>
        <v>5.74E-2</v>
      </c>
      <c r="F225" s="35">
        <f t="shared" si="111"/>
        <v>1.2549999999999999</v>
      </c>
      <c r="G225" s="34">
        <f t="shared" si="112"/>
        <v>71.75</v>
      </c>
      <c r="H225" s="33">
        <f t="shared" si="113"/>
        <v>8.8672955974842775</v>
      </c>
      <c r="I225" s="28">
        <f t="shared" si="118"/>
        <v>682.22000000000071</v>
      </c>
      <c r="J225" s="32">
        <v>0</v>
      </c>
      <c r="K225" s="30">
        <f t="shared" si="114"/>
        <v>71.75</v>
      </c>
      <c r="L225" s="30"/>
      <c r="M225" s="30"/>
      <c r="N225" s="30"/>
      <c r="O225" s="30"/>
      <c r="Q225" s="29">
        <f t="shared" ca="1" si="115"/>
        <v>4</v>
      </c>
      <c r="R225" s="29">
        <f t="shared" ca="1" si="128"/>
        <v>3</v>
      </c>
      <c r="S225" s="29">
        <f t="shared" ca="1" si="128"/>
        <v>2</v>
      </c>
      <c r="T225" s="29">
        <f t="shared" ca="1" si="128"/>
        <v>2</v>
      </c>
      <c r="U225" s="29">
        <f t="shared" ca="1" si="128"/>
        <v>4</v>
      </c>
      <c r="V225" s="29">
        <f t="shared" ca="1" si="128"/>
        <v>1</v>
      </c>
      <c r="W225" s="29">
        <f t="shared" ca="1" si="128"/>
        <v>5</v>
      </c>
      <c r="X225" s="29">
        <f t="shared" ca="1" si="128"/>
        <v>2</v>
      </c>
      <c r="Y225" s="29">
        <f t="shared" ca="1" si="128"/>
        <v>5</v>
      </c>
      <c r="Z225" s="29">
        <f t="shared" ca="1" si="128"/>
        <v>2</v>
      </c>
      <c r="AA225" s="29">
        <f t="shared" ca="1" si="128"/>
        <v>2</v>
      </c>
      <c r="AB225" s="29">
        <f t="shared" ca="1" si="128"/>
        <v>0</v>
      </c>
      <c r="AC225" s="29">
        <f t="shared" ca="1" si="128"/>
        <v>1</v>
      </c>
      <c r="AD225" s="29">
        <f t="shared" ca="1" si="128"/>
        <v>4</v>
      </c>
      <c r="AE225" s="29">
        <f t="shared" ca="1" si="128"/>
        <v>2</v>
      </c>
      <c r="AF225" s="29">
        <f t="shared" ca="1" si="128"/>
        <v>1</v>
      </c>
      <c r="AG225" s="29">
        <f t="shared" ca="1" si="127"/>
        <v>3</v>
      </c>
      <c r="AH225" s="29">
        <f t="shared" ca="1" si="127"/>
        <v>2</v>
      </c>
      <c r="AI225" s="29">
        <f t="shared" ca="1" si="127"/>
        <v>3</v>
      </c>
      <c r="AJ225" s="29">
        <f t="shared" ca="1" si="127"/>
        <v>1</v>
      </c>
      <c r="AK225" s="29">
        <f t="shared" ca="1" si="127"/>
        <v>2</v>
      </c>
      <c r="AL225" s="29">
        <f t="shared" ca="1" si="127"/>
        <v>6</v>
      </c>
      <c r="AM225" s="29">
        <f t="shared" ca="1" si="127"/>
        <v>0</v>
      </c>
      <c r="AN225" s="29">
        <f t="shared" ca="1" si="127"/>
        <v>2</v>
      </c>
      <c r="AO225" s="29">
        <f t="shared" ca="1" si="127"/>
        <v>3</v>
      </c>
      <c r="AP225" s="29">
        <f t="shared" ca="1" si="127"/>
        <v>2</v>
      </c>
      <c r="AQ225" s="29">
        <f t="shared" ca="1" si="127"/>
        <v>3</v>
      </c>
      <c r="AR225" s="29">
        <f t="shared" ca="1" si="127"/>
        <v>2</v>
      </c>
      <c r="AS225" s="29">
        <f t="shared" ca="1" si="127"/>
        <v>4</v>
      </c>
      <c r="AT225" s="29">
        <f t="shared" ca="1" si="127"/>
        <v>3</v>
      </c>
      <c r="AU225" s="29">
        <f t="shared" ca="1" si="127"/>
        <v>5</v>
      </c>
      <c r="AV225" s="29">
        <f t="shared" ca="1" si="130"/>
        <v>1</v>
      </c>
      <c r="AW225" s="29">
        <f t="shared" ca="1" si="130"/>
        <v>5</v>
      </c>
      <c r="AX225" s="29">
        <f t="shared" ca="1" si="130"/>
        <v>5</v>
      </c>
      <c r="AY225" s="29">
        <f t="shared" ca="1" si="130"/>
        <v>1</v>
      </c>
      <c r="AZ225" s="29">
        <f t="shared" ca="1" si="130"/>
        <v>2</v>
      </c>
      <c r="BA225" s="29">
        <f t="shared" ca="1" si="130"/>
        <v>3</v>
      </c>
      <c r="BB225" s="29">
        <f t="shared" ca="1" si="130"/>
        <v>2</v>
      </c>
      <c r="BC225" s="29">
        <f t="shared" ca="1" si="130"/>
        <v>1</v>
      </c>
      <c r="BD225" s="29">
        <f t="shared" ca="1" si="130"/>
        <v>1</v>
      </c>
      <c r="BE225" s="29">
        <f t="shared" ca="1" si="130"/>
        <v>3</v>
      </c>
      <c r="BF225" s="29">
        <f t="shared" ca="1" si="130"/>
        <v>2</v>
      </c>
      <c r="BG225" s="29">
        <f t="shared" ca="1" si="130"/>
        <v>2</v>
      </c>
      <c r="BH225" s="29">
        <f t="shared" ca="1" si="130"/>
        <v>4</v>
      </c>
      <c r="BI225" s="29">
        <f t="shared" ca="1" si="130"/>
        <v>2</v>
      </c>
      <c r="BJ225" s="29">
        <f t="shared" ca="1" si="130"/>
        <v>2</v>
      </c>
      <c r="BK225" s="29">
        <f t="shared" ca="1" si="130"/>
        <v>1</v>
      </c>
      <c r="BL225" s="29">
        <f t="shared" ca="1" si="129"/>
        <v>0</v>
      </c>
      <c r="BM225" s="29">
        <f t="shared" ca="1" si="129"/>
        <v>3</v>
      </c>
      <c r="BN225" s="29">
        <f t="shared" ca="1" si="129"/>
        <v>2</v>
      </c>
      <c r="BO225" s="29">
        <f t="shared" ca="1" si="129"/>
        <v>0</v>
      </c>
      <c r="BP225" s="29">
        <f t="shared" ca="1" si="129"/>
        <v>3</v>
      </c>
      <c r="BQ225" s="29">
        <f t="shared" ca="1" si="129"/>
        <v>3</v>
      </c>
      <c r="BR225" s="29">
        <f t="shared" ca="1" si="129"/>
        <v>1</v>
      </c>
      <c r="BS225" s="29">
        <f t="shared" ca="1" si="129"/>
        <v>8</v>
      </c>
      <c r="BT225" s="29">
        <f t="shared" ca="1" si="129"/>
        <v>0</v>
      </c>
      <c r="BU225" s="29">
        <f t="shared" ca="1" si="129"/>
        <v>5</v>
      </c>
      <c r="BV225" s="29">
        <f t="shared" ca="1" si="129"/>
        <v>1</v>
      </c>
      <c r="BW225" s="29">
        <f t="shared" ca="1" si="129"/>
        <v>4</v>
      </c>
      <c r="BX225" s="29">
        <f t="shared" ca="1" si="129"/>
        <v>1</v>
      </c>
      <c r="BY225" s="29">
        <f t="shared" ca="1" si="129"/>
        <v>4</v>
      </c>
      <c r="BZ225" s="29">
        <f t="shared" ca="1" si="129"/>
        <v>1</v>
      </c>
      <c r="CA225" s="29">
        <f t="shared" ca="1" si="126"/>
        <v>5</v>
      </c>
      <c r="CB225" s="29">
        <f t="shared" ca="1" si="126"/>
        <v>2</v>
      </c>
      <c r="CC225" s="29">
        <f t="shared" ca="1" si="126"/>
        <v>1</v>
      </c>
      <c r="CD225" s="29">
        <f t="shared" ca="1" si="126"/>
        <v>0</v>
      </c>
      <c r="CE225" s="29">
        <f t="shared" ca="1" si="126"/>
        <v>6</v>
      </c>
      <c r="CF225" s="29">
        <f t="shared" ca="1" si="126"/>
        <v>3</v>
      </c>
      <c r="CG225" s="29">
        <f t="shared" ca="1" si="126"/>
        <v>1</v>
      </c>
      <c r="CH225" s="29">
        <f t="shared" ca="1" si="126"/>
        <v>1</v>
      </c>
      <c r="CI225" s="29">
        <f t="shared" ca="1" si="126"/>
        <v>3</v>
      </c>
      <c r="CJ225" s="29">
        <f t="shared" ca="1" si="126"/>
        <v>4</v>
      </c>
      <c r="CK225" s="29">
        <f t="shared" ca="1" si="126"/>
        <v>7</v>
      </c>
      <c r="CL225" s="29">
        <f t="shared" ca="1" si="126"/>
        <v>2</v>
      </c>
      <c r="CM225" s="29">
        <f t="shared" ca="1" si="126"/>
        <v>4</v>
      </c>
      <c r="CN225" s="29">
        <f t="shared" ca="1" si="126"/>
        <v>5</v>
      </c>
      <c r="CO225" s="29">
        <f t="shared" ca="1" si="126"/>
        <v>4</v>
      </c>
      <c r="CP225" s="29">
        <f t="shared" ca="1" si="126"/>
        <v>1</v>
      </c>
      <c r="CQ225" s="29">
        <f t="shared" ca="1" si="125"/>
        <v>3</v>
      </c>
      <c r="CR225" s="29">
        <f t="shared" ca="1" si="125"/>
        <v>1</v>
      </c>
      <c r="CS225" s="29">
        <f t="shared" ca="1" si="125"/>
        <v>3</v>
      </c>
      <c r="CT225" s="29">
        <f t="shared" ca="1" si="125"/>
        <v>6</v>
      </c>
      <c r="CU225" s="29">
        <f t="shared" ca="1" si="125"/>
        <v>2</v>
      </c>
      <c r="CV225" s="29">
        <f t="shared" ca="1" si="125"/>
        <v>2</v>
      </c>
      <c r="CW225" s="29">
        <f t="shared" ca="1" si="125"/>
        <v>3</v>
      </c>
      <c r="CX225" s="29">
        <f t="shared" ca="1" si="125"/>
        <v>5</v>
      </c>
      <c r="CY225" s="29">
        <f t="shared" ca="1" si="125"/>
        <v>4</v>
      </c>
      <c r="CZ225" s="29">
        <f t="shared" ca="1" si="125"/>
        <v>5</v>
      </c>
      <c r="DA225" s="29">
        <f t="shared" ca="1" si="125"/>
        <v>2</v>
      </c>
      <c r="DB225" s="29">
        <f t="shared" ca="1" si="125"/>
        <v>2</v>
      </c>
      <c r="DC225" s="29">
        <f t="shared" ca="1" si="125"/>
        <v>1</v>
      </c>
      <c r="DD225" s="29">
        <f t="shared" ca="1" si="125"/>
        <v>4</v>
      </c>
      <c r="DE225" s="29">
        <f t="shared" ca="1" si="125"/>
        <v>4</v>
      </c>
      <c r="DF225" s="29">
        <f t="shared" ca="1" si="117"/>
        <v>2</v>
      </c>
      <c r="DG225" s="29">
        <f t="shared" ca="1" si="117"/>
        <v>4</v>
      </c>
      <c r="DH225" s="29">
        <f t="shared" ca="1" si="117"/>
        <v>5</v>
      </c>
      <c r="DI225" s="29">
        <f t="shared" ca="1" si="117"/>
        <v>3</v>
      </c>
      <c r="DJ225" s="29">
        <f t="shared" ca="1" si="117"/>
        <v>1</v>
      </c>
      <c r="DK225" s="29">
        <f t="shared" ca="1" si="117"/>
        <v>4</v>
      </c>
      <c r="DL225" s="29">
        <f t="shared" ca="1" si="117"/>
        <v>3</v>
      </c>
    </row>
    <row r="226" spans="1:116" ht="14.4" x14ac:dyDescent="0.3">
      <c r="A226" s="31">
        <v>926</v>
      </c>
      <c r="B226" s="28">
        <v>5.53</v>
      </c>
      <c r="C226" s="30">
        <v>8.08</v>
      </c>
      <c r="D226" s="28">
        <v>2.0299999999999998</v>
      </c>
      <c r="E226" s="34">
        <f t="shared" si="110"/>
        <v>4.0599999999999997E-2</v>
      </c>
      <c r="F226" s="35">
        <f t="shared" si="111"/>
        <v>2.02</v>
      </c>
      <c r="G226" s="34">
        <f t="shared" si="112"/>
        <v>50.749999999999993</v>
      </c>
      <c r="H226" s="33">
        <f t="shared" si="113"/>
        <v>8.811934900542493</v>
      </c>
      <c r="I226" s="28">
        <f t="shared" si="118"/>
        <v>687.75000000000068</v>
      </c>
      <c r="J226" s="32">
        <v>0</v>
      </c>
      <c r="K226" s="30">
        <f t="shared" si="114"/>
        <v>50.749999999999993</v>
      </c>
      <c r="L226" s="30"/>
      <c r="M226" s="30"/>
      <c r="N226" s="30"/>
      <c r="O226" s="30"/>
      <c r="Q226" s="29">
        <f t="shared" ca="1" si="115"/>
        <v>1</v>
      </c>
      <c r="R226" s="29">
        <f t="shared" ca="1" si="128"/>
        <v>6</v>
      </c>
      <c r="S226" s="29">
        <f t="shared" ca="1" si="128"/>
        <v>2</v>
      </c>
      <c r="T226" s="29">
        <f t="shared" ca="1" si="128"/>
        <v>2</v>
      </c>
      <c r="U226" s="29">
        <f t="shared" ca="1" si="128"/>
        <v>3</v>
      </c>
      <c r="V226" s="29">
        <f t="shared" ca="1" si="128"/>
        <v>1</v>
      </c>
      <c r="W226" s="29">
        <f t="shared" ca="1" si="128"/>
        <v>2</v>
      </c>
      <c r="X226" s="29">
        <f t="shared" ca="1" si="128"/>
        <v>2</v>
      </c>
      <c r="Y226" s="29">
        <f t="shared" ca="1" si="128"/>
        <v>3</v>
      </c>
      <c r="Z226" s="29">
        <f t="shared" ca="1" si="128"/>
        <v>3</v>
      </c>
      <c r="AA226" s="29">
        <f t="shared" ca="1" si="128"/>
        <v>5</v>
      </c>
      <c r="AB226" s="29">
        <f t="shared" ca="1" si="128"/>
        <v>0</v>
      </c>
      <c r="AC226" s="29">
        <f t="shared" ca="1" si="128"/>
        <v>3</v>
      </c>
      <c r="AD226" s="29">
        <f t="shared" ca="1" si="128"/>
        <v>0</v>
      </c>
      <c r="AE226" s="29">
        <f t="shared" ca="1" si="128"/>
        <v>1</v>
      </c>
      <c r="AF226" s="29">
        <f t="shared" ca="1" si="128"/>
        <v>3</v>
      </c>
      <c r="AG226" s="29">
        <f t="shared" ca="1" si="127"/>
        <v>1</v>
      </c>
      <c r="AH226" s="29">
        <f t="shared" ca="1" si="127"/>
        <v>2</v>
      </c>
      <c r="AI226" s="29">
        <f t="shared" ca="1" si="127"/>
        <v>1</v>
      </c>
      <c r="AJ226" s="29">
        <f t="shared" ca="1" si="127"/>
        <v>2</v>
      </c>
      <c r="AK226" s="29">
        <f t="shared" ca="1" si="127"/>
        <v>2</v>
      </c>
      <c r="AL226" s="29">
        <f t="shared" ca="1" si="127"/>
        <v>6</v>
      </c>
      <c r="AM226" s="29">
        <f t="shared" ca="1" si="127"/>
        <v>0</v>
      </c>
      <c r="AN226" s="29">
        <f t="shared" ca="1" si="127"/>
        <v>1</v>
      </c>
      <c r="AO226" s="29">
        <f t="shared" ca="1" si="127"/>
        <v>3</v>
      </c>
      <c r="AP226" s="29">
        <f t="shared" ca="1" si="127"/>
        <v>4</v>
      </c>
      <c r="AQ226" s="29">
        <f t="shared" ca="1" si="127"/>
        <v>3</v>
      </c>
      <c r="AR226" s="29">
        <f t="shared" ca="1" si="127"/>
        <v>3</v>
      </c>
      <c r="AS226" s="29">
        <f t="shared" ca="1" si="127"/>
        <v>1</v>
      </c>
      <c r="AT226" s="29">
        <f t="shared" ca="1" si="127"/>
        <v>4</v>
      </c>
      <c r="AU226" s="29">
        <f t="shared" ca="1" si="127"/>
        <v>3</v>
      </c>
      <c r="AV226" s="29">
        <f t="shared" ca="1" si="130"/>
        <v>3</v>
      </c>
      <c r="AW226" s="29">
        <f t="shared" ca="1" si="130"/>
        <v>4</v>
      </c>
      <c r="AX226" s="29">
        <f t="shared" ca="1" si="130"/>
        <v>3</v>
      </c>
      <c r="AY226" s="29">
        <f t="shared" ca="1" si="130"/>
        <v>5</v>
      </c>
      <c r="AZ226" s="29">
        <f t="shared" ca="1" si="130"/>
        <v>3</v>
      </c>
      <c r="BA226" s="29">
        <f t="shared" ca="1" si="130"/>
        <v>0</v>
      </c>
      <c r="BB226" s="29">
        <f t="shared" ca="1" si="130"/>
        <v>0</v>
      </c>
      <c r="BC226" s="29">
        <f t="shared" ca="1" si="130"/>
        <v>4</v>
      </c>
      <c r="BD226" s="29">
        <f t="shared" ca="1" si="130"/>
        <v>2</v>
      </c>
      <c r="BE226" s="29">
        <f t="shared" ca="1" si="130"/>
        <v>1</v>
      </c>
      <c r="BF226" s="29">
        <f t="shared" ca="1" si="130"/>
        <v>2</v>
      </c>
      <c r="BG226" s="29">
        <f t="shared" ca="1" si="130"/>
        <v>0</v>
      </c>
      <c r="BH226" s="29">
        <f t="shared" ca="1" si="130"/>
        <v>1</v>
      </c>
      <c r="BI226" s="29">
        <f t="shared" ca="1" si="130"/>
        <v>4</v>
      </c>
      <c r="BJ226" s="29">
        <f t="shared" ca="1" si="130"/>
        <v>1</v>
      </c>
      <c r="BK226" s="29">
        <f t="shared" ca="1" si="130"/>
        <v>0</v>
      </c>
      <c r="BL226" s="29">
        <f t="shared" ca="1" si="129"/>
        <v>2</v>
      </c>
      <c r="BM226" s="29">
        <f t="shared" ca="1" si="129"/>
        <v>1</v>
      </c>
      <c r="BN226" s="29">
        <f t="shared" ca="1" si="129"/>
        <v>1</v>
      </c>
      <c r="BO226" s="29">
        <f t="shared" ca="1" si="129"/>
        <v>1</v>
      </c>
      <c r="BP226" s="29">
        <f t="shared" ca="1" si="129"/>
        <v>3</v>
      </c>
      <c r="BQ226" s="29">
        <f t="shared" ca="1" si="129"/>
        <v>2</v>
      </c>
      <c r="BR226" s="29">
        <f t="shared" ca="1" si="129"/>
        <v>1</v>
      </c>
      <c r="BS226" s="29">
        <f t="shared" ca="1" si="129"/>
        <v>2</v>
      </c>
      <c r="BT226" s="29">
        <f t="shared" ca="1" si="129"/>
        <v>5</v>
      </c>
      <c r="BU226" s="29">
        <f t="shared" ca="1" si="129"/>
        <v>2</v>
      </c>
      <c r="BV226" s="29">
        <f t="shared" ca="1" si="129"/>
        <v>2</v>
      </c>
      <c r="BW226" s="29">
        <f t="shared" ca="1" si="129"/>
        <v>3</v>
      </c>
      <c r="BX226" s="29">
        <f t="shared" ca="1" si="129"/>
        <v>2</v>
      </c>
      <c r="BY226" s="29">
        <f t="shared" ca="1" si="129"/>
        <v>5</v>
      </c>
      <c r="BZ226" s="29">
        <f t="shared" ca="1" si="129"/>
        <v>3</v>
      </c>
      <c r="CA226" s="29">
        <f t="shared" ca="1" si="126"/>
        <v>2</v>
      </c>
      <c r="CB226" s="29">
        <f t="shared" ca="1" si="126"/>
        <v>1</v>
      </c>
      <c r="CC226" s="29">
        <f t="shared" ca="1" si="126"/>
        <v>2</v>
      </c>
      <c r="CD226" s="29">
        <f t="shared" ca="1" si="126"/>
        <v>0</v>
      </c>
      <c r="CE226" s="29">
        <f t="shared" ca="1" si="126"/>
        <v>2</v>
      </c>
      <c r="CF226" s="29">
        <f t="shared" ca="1" si="126"/>
        <v>2</v>
      </c>
      <c r="CG226" s="29">
        <f t="shared" ca="1" si="126"/>
        <v>1</v>
      </c>
      <c r="CH226" s="29">
        <f t="shared" ca="1" si="126"/>
        <v>2</v>
      </c>
      <c r="CI226" s="29">
        <f t="shared" ca="1" si="126"/>
        <v>0</v>
      </c>
      <c r="CJ226" s="29">
        <f t="shared" ca="1" si="126"/>
        <v>2</v>
      </c>
      <c r="CK226" s="29">
        <f t="shared" ca="1" si="126"/>
        <v>2</v>
      </c>
      <c r="CL226" s="29">
        <f t="shared" ca="1" si="126"/>
        <v>0</v>
      </c>
      <c r="CM226" s="29">
        <f t="shared" ca="1" si="126"/>
        <v>1</v>
      </c>
      <c r="CN226" s="29">
        <f t="shared" ca="1" si="126"/>
        <v>0</v>
      </c>
      <c r="CO226" s="29">
        <f t="shared" ca="1" si="126"/>
        <v>0</v>
      </c>
      <c r="CP226" s="29">
        <f t="shared" ca="1" si="126"/>
        <v>1</v>
      </c>
      <c r="CQ226" s="29">
        <f t="shared" ca="1" si="125"/>
        <v>5</v>
      </c>
      <c r="CR226" s="29">
        <f t="shared" ca="1" si="125"/>
        <v>2</v>
      </c>
      <c r="CS226" s="29">
        <f t="shared" ca="1" si="125"/>
        <v>2</v>
      </c>
      <c r="CT226" s="29">
        <f t="shared" ca="1" si="125"/>
        <v>4</v>
      </c>
      <c r="CU226" s="29">
        <f t="shared" ca="1" si="125"/>
        <v>1</v>
      </c>
      <c r="CV226" s="29">
        <f t="shared" ca="1" si="125"/>
        <v>2</v>
      </c>
      <c r="CW226" s="29">
        <f t="shared" ca="1" si="125"/>
        <v>3</v>
      </c>
      <c r="CX226" s="29">
        <f t="shared" ca="1" si="125"/>
        <v>1</v>
      </c>
      <c r="CY226" s="29">
        <f t="shared" ca="1" si="125"/>
        <v>2</v>
      </c>
      <c r="CZ226" s="29">
        <f t="shared" ca="1" si="125"/>
        <v>1</v>
      </c>
      <c r="DA226" s="29">
        <f t="shared" ca="1" si="125"/>
        <v>2</v>
      </c>
      <c r="DB226" s="29">
        <f t="shared" ca="1" si="125"/>
        <v>1</v>
      </c>
      <c r="DC226" s="29">
        <f t="shared" ca="1" si="125"/>
        <v>1</v>
      </c>
      <c r="DD226" s="29">
        <f t="shared" ca="1" si="125"/>
        <v>2</v>
      </c>
      <c r="DE226" s="29">
        <f t="shared" ca="1" si="125"/>
        <v>3</v>
      </c>
      <c r="DF226" s="29">
        <f t="shared" ca="1" si="117"/>
        <v>2</v>
      </c>
      <c r="DG226" s="29">
        <f t="shared" ca="1" si="117"/>
        <v>0</v>
      </c>
      <c r="DH226" s="29">
        <f t="shared" ca="1" si="117"/>
        <v>3</v>
      </c>
      <c r="DI226" s="29">
        <f t="shared" ca="1" si="117"/>
        <v>3</v>
      </c>
      <c r="DJ226" s="29">
        <f t="shared" ca="1" si="117"/>
        <v>2</v>
      </c>
      <c r="DK226" s="29">
        <f t="shared" ca="1" si="117"/>
        <v>0</v>
      </c>
      <c r="DL226" s="29">
        <f t="shared" ca="1" si="117"/>
        <v>2</v>
      </c>
    </row>
    <row r="227" spans="1:116" ht="14.4" x14ac:dyDescent="0.3">
      <c r="A227" s="31">
        <v>792</v>
      </c>
      <c r="B227" s="28">
        <v>0.53</v>
      </c>
      <c r="C227" s="30">
        <v>36.39</v>
      </c>
      <c r="D227" s="28">
        <v>0.55000000000000004</v>
      </c>
      <c r="E227" s="34">
        <f t="shared" si="110"/>
        <v>1.1000000000000001E-2</v>
      </c>
      <c r="F227" s="35">
        <f t="shared" si="111"/>
        <v>9.0975000000000001</v>
      </c>
      <c r="G227" s="34">
        <f t="shared" si="112"/>
        <v>13.750000000000002</v>
      </c>
      <c r="H227" s="33">
        <f t="shared" si="113"/>
        <v>8.7783018867924554</v>
      </c>
      <c r="I227" s="28">
        <f t="shared" si="118"/>
        <v>688.28000000000065</v>
      </c>
      <c r="J227" s="32">
        <v>0</v>
      </c>
      <c r="K227" s="30">
        <f t="shared" si="114"/>
        <v>13.750000000000002</v>
      </c>
      <c r="L227" s="30"/>
      <c r="M227" s="30"/>
      <c r="N227" s="30"/>
      <c r="O227" s="30"/>
      <c r="Q227" s="29">
        <f t="shared" ca="1" si="115"/>
        <v>1</v>
      </c>
      <c r="R227" s="29">
        <f t="shared" ca="1" si="128"/>
        <v>0</v>
      </c>
      <c r="S227" s="29">
        <f t="shared" ca="1" si="128"/>
        <v>0</v>
      </c>
      <c r="T227" s="29">
        <f t="shared" ca="1" si="128"/>
        <v>1</v>
      </c>
      <c r="U227" s="29">
        <f t="shared" ca="1" si="128"/>
        <v>0</v>
      </c>
      <c r="V227" s="29">
        <f t="shared" ca="1" si="128"/>
        <v>0</v>
      </c>
      <c r="W227" s="29">
        <f t="shared" ca="1" si="128"/>
        <v>0</v>
      </c>
      <c r="X227" s="29">
        <f t="shared" ca="1" si="128"/>
        <v>1</v>
      </c>
      <c r="Y227" s="29">
        <f t="shared" ca="1" si="128"/>
        <v>0</v>
      </c>
      <c r="Z227" s="29">
        <f t="shared" ca="1" si="128"/>
        <v>0</v>
      </c>
      <c r="AA227" s="29">
        <f t="shared" ca="1" si="128"/>
        <v>2</v>
      </c>
      <c r="AB227" s="29">
        <f t="shared" ca="1" si="128"/>
        <v>1</v>
      </c>
      <c r="AC227" s="29">
        <f t="shared" ca="1" si="128"/>
        <v>0</v>
      </c>
      <c r="AD227" s="29">
        <f t="shared" ca="1" si="128"/>
        <v>1</v>
      </c>
      <c r="AE227" s="29">
        <f t="shared" ca="1" si="128"/>
        <v>0</v>
      </c>
      <c r="AF227" s="29">
        <f t="shared" ca="1" si="128"/>
        <v>0</v>
      </c>
      <c r="AG227" s="29">
        <f t="shared" ca="1" si="127"/>
        <v>0</v>
      </c>
      <c r="AH227" s="29">
        <f t="shared" ca="1" si="127"/>
        <v>1</v>
      </c>
      <c r="AI227" s="29">
        <f t="shared" ca="1" si="127"/>
        <v>1</v>
      </c>
      <c r="AJ227" s="29">
        <f t="shared" ca="1" si="127"/>
        <v>1</v>
      </c>
      <c r="AK227" s="29">
        <f t="shared" ca="1" si="127"/>
        <v>0</v>
      </c>
      <c r="AL227" s="29">
        <f t="shared" ca="1" si="127"/>
        <v>0</v>
      </c>
      <c r="AM227" s="29">
        <f t="shared" ca="1" si="127"/>
        <v>0</v>
      </c>
      <c r="AN227" s="29">
        <f t="shared" ca="1" si="127"/>
        <v>1</v>
      </c>
      <c r="AO227" s="29">
        <f t="shared" ca="1" si="127"/>
        <v>2</v>
      </c>
      <c r="AP227" s="29">
        <f t="shared" ca="1" si="127"/>
        <v>0</v>
      </c>
      <c r="AQ227" s="29">
        <f t="shared" ca="1" si="127"/>
        <v>1</v>
      </c>
      <c r="AR227" s="29">
        <f t="shared" ca="1" si="127"/>
        <v>0</v>
      </c>
      <c r="AS227" s="29">
        <f t="shared" ca="1" si="127"/>
        <v>4</v>
      </c>
      <c r="AT227" s="29">
        <f t="shared" ca="1" si="127"/>
        <v>1</v>
      </c>
      <c r="AU227" s="29">
        <f t="shared" ca="1" si="127"/>
        <v>0</v>
      </c>
      <c r="AV227" s="29">
        <f t="shared" ca="1" si="130"/>
        <v>0</v>
      </c>
      <c r="AW227" s="29">
        <f t="shared" ca="1" si="130"/>
        <v>0</v>
      </c>
      <c r="AX227" s="29">
        <f t="shared" ca="1" si="130"/>
        <v>0</v>
      </c>
      <c r="AY227" s="29">
        <f t="shared" ca="1" si="130"/>
        <v>2</v>
      </c>
      <c r="AZ227" s="29">
        <f t="shared" ca="1" si="130"/>
        <v>0</v>
      </c>
      <c r="BA227" s="29">
        <f t="shared" ca="1" si="130"/>
        <v>0</v>
      </c>
      <c r="BB227" s="29">
        <f t="shared" ca="1" si="130"/>
        <v>0</v>
      </c>
      <c r="BC227" s="29">
        <f t="shared" ca="1" si="130"/>
        <v>0</v>
      </c>
      <c r="BD227" s="29">
        <f t="shared" ca="1" si="130"/>
        <v>0</v>
      </c>
      <c r="BE227" s="29">
        <f t="shared" ca="1" si="130"/>
        <v>0</v>
      </c>
      <c r="BF227" s="29">
        <f t="shared" ca="1" si="130"/>
        <v>0</v>
      </c>
      <c r="BG227" s="29">
        <f t="shared" ca="1" si="130"/>
        <v>0</v>
      </c>
      <c r="BH227" s="29">
        <f t="shared" ca="1" si="130"/>
        <v>1</v>
      </c>
      <c r="BI227" s="29">
        <f t="shared" ca="1" si="130"/>
        <v>1</v>
      </c>
      <c r="BJ227" s="29">
        <f t="shared" ca="1" si="130"/>
        <v>1</v>
      </c>
      <c r="BK227" s="29">
        <f t="shared" ca="1" si="130"/>
        <v>0</v>
      </c>
      <c r="BL227" s="29">
        <f t="shared" ca="1" si="129"/>
        <v>0</v>
      </c>
      <c r="BM227" s="29">
        <f t="shared" ca="1" si="129"/>
        <v>0</v>
      </c>
      <c r="BN227" s="29">
        <f t="shared" ca="1" si="129"/>
        <v>1</v>
      </c>
      <c r="BO227" s="29">
        <f t="shared" ca="1" si="129"/>
        <v>1</v>
      </c>
      <c r="BP227" s="29">
        <f t="shared" ca="1" si="129"/>
        <v>0</v>
      </c>
      <c r="BQ227" s="29">
        <f t="shared" ca="1" si="129"/>
        <v>0</v>
      </c>
      <c r="BR227" s="29">
        <f t="shared" ca="1" si="129"/>
        <v>0</v>
      </c>
      <c r="BS227" s="29">
        <f t="shared" ca="1" si="129"/>
        <v>1</v>
      </c>
      <c r="BT227" s="29">
        <f t="shared" ca="1" si="129"/>
        <v>1</v>
      </c>
      <c r="BU227" s="29">
        <f t="shared" ca="1" si="129"/>
        <v>1</v>
      </c>
      <c r="BV227" s="29">
        <f t="shared" ca="1" si="129"/>
        <v>1</v>
      </c>
      <c r="BW227" s="29">
        <f t="shared" ca="1" si="129"/>
        <v>1</v>
      </c>
      <c r="BX227" s="29">
        <f t="shared" ca="1" si="129"/>
        <v>1</v>
      </c>
      <c r="BY227" s="29">
        <f t="shared" ca="1" si="129"/>
        <v>0</v>
      </c>
      <c r="BZ227" s="29">
        <f t="shared" ca="1" si="129"/>
        <v>1</v>
      </c>
      <c r="CA227" s="29">
        <f t="shared" ca="1" si="126"/>
        <v>0</v>
      </c>
      <c r="CB227" s="29">
        <f t="shared" ca="1" si="126"/>
        <v>1</v>
      </c>
      <c r="CC227" s="29">
        <f t="shared" ca="1" si="126"/>
        <v>0</v>
      </c>
      <c r="CD227" s="29">
        <f t="shared" ca="1" si="126"/>
        <v>0</v>
      </c>
      <c r="CE227" s="29">
        <f t="shared" ca="1" si="126"/>
        <v>1</v>
      </c>
      <c r="CF227" s="29">
        <f t="shared" ca="1" si="126"/>
        <v>2</v>
      </c>
      <c r="CG227" s="29">
        <f t="shared" ca="1" si="126"/>
        <v>0</v>
      </c>
      <c r="CH227" s="29">
        <f t="shared" ca="1" si="126"/>
        <v>0</v>
      </c>
      <c r="CI227" s="29">
        <f t="shared" ca="1" si="126"/>
        <v>0</v>
      </c>
      <c r="CJ227" s="29">
        <f t="shared" ca="1" si="126"/>
        <v>0</v>
      </c>
      <c r="CK227" s="29">
        <f t="shared" ca="1" si="126"/>
        <v>1</v>
      </c>
      <c r="CL227" s="29">
        <f t="shared" ca="1" si="126"/>
        <v>1</v>
      </c>
      <c r="CM227" s="29">
        <f t="shared" ca="1" si="126"/>
        <v>0</v>
      </c>
      <c r="CN227" s="29">
        <f t="shared" ca="1" si="126"/>
        <v>1</v>
      </c>
      <c r="CO227" s="29">
        <f t="shared" ca="1" si="126"/>
        <v>1</v>
      </c>
      <c r="CP227" s="29">
        <f t="shared" ca="1" si="126"/>
        <v>1</v>
      </c>
      <c r="CQ227" s="29">
        <f t="shared" ca="1" si="125"/>
        <v>1</v>
      </c>
      <c r="CR227" s="29">
        <f t="shared" ca="1" si="125"/>
        <v>0</v>
      </c>
      <c r="CS227" s="29">
        <f t="shared" ca="1" si="125"/>
        <v>0</v>
      </c>
      <c r="CT227" s="29">
        <f t="shared" ca="1" si="125"/>
        <v>1</v>
      </c>
      <c r="CU227" s="29">
        <f t="shared" ca="1" si="125"/>
        <v>0</v>
      </c>
      <c r="CV227" s="29">
        <f t="shared" ca="1" si="125"/>
        <v>2</v>
      </c>
      <c r="CW227" s="29">
        <f t="shared" ca="1" si="125"/>
        <v>0</v>
      </c>
      <c r="CX227" s="29">
        <f t="shared" ca="1" si="125"/>
        <v>0</v>
      </c>
      <c r="CY227" s="29">
        <f t="shared" ca="1" si="125"/>
        <v>0</v>
      </c>
      <c r="CZ227" s="29">
        <f t="shared" ca="1" si="125"/>
        <v>1</v>
      </c>
      <c r="DA227" s="29">
        <f t="shared" ca="1" si="125"/>
        <v>1</v>
      </c>
      <c r="DB227" s="29">
        <f t="shared" ca="1" si="125"/>
        <v>0</v>
      </c>
      <c r="DC227" s="29">
        <f t="shared" ca="1" si="125"/>
        <v>0</v>
      </c>
      <c r="DD227" s="29">
        <f t="shared" ca="1" si="125"/>
        <v>0</v>
      </c>
      <c r="DE227" s="29">
        <f t="shared" ca="1" si="125"/>
        <v>0</v>
      </c>
      <c r="DF227" s="29">
        <f t="shared" ca="1" si="117"/>
        <v>1</v>
      </c>
      <c r="DG227" s="29">
        <f t="shared" ca="1" si="117"/>
        <v>1</v>
      </c>
      <c r="DH227" s="29">
        <f t="shared" ca="1" si="117"/>
        <v>1</v>
      </c>
      <c r="DI227" s="29">
        <f t="shared" ca="1" si="117"/>
        <v>1</v>
      </c>
      <c r="DJ227" s="29">
        <f t="shared" ca="1" si="117"/>
        <v>1</v>
      </c>
      <c r="DK227" s="29">
        <f t="shared" ca="1" si="117"/>
        <v>0</v>
      </c>
      <c r="DL227" s="29">
        <f t="shared" ca="1" si="117"/>
        <v>0</v>
      </c>
    </row>
    <row r="228" spans="1:116" ht="14.4" x14ac:dyDescent="0.3">
      <c r="A228" s="31">
        <v>377</v>
      </c>
      <c r="B228" s="28">
        <v>7</v>
      </c>
      <c r="C228" s="30">
        <v>3.8</v>
      </c>
      <c r="D228" s="28">
        <v>2.48</v>
      </c>
      <c r="E228" s="34">
        <f t="shared" si="110"/>
        <v>4.9599999999999998E-2</v>
      </c>
      <c r="F228" s="35">
        <f t="shared" si="111"/>
        <v>0.95</v>
      </c>
      <c r="G228" s="34">
        <f t="shared" si="112"/>
        <v>62</v>
      </c>
      <c r="H228" s="33">
        <f t="shared" si="113"/>
        <v>8.7214285714285715</v>
      </c>
      <c r="I228" s="28">
        <f t="shared" si="118"/>
        <v>695.28000000000065</v>
      </c>
      <c r="J228" s="32">
        <v>0</v>
      </c>
      <c r="K228" s="30">
        <f t="shared" si="114"/>
        <v>62</v>
      </c>
      <c r="L228" s="30"/>
      <c r="M228" s="30"/>
      <c r="N228" s="30"/>
      <c r="O228" s="30"/>
      <c r="Q228" s="29">
        <f t="shared" ca="1" si="115"/>
        <v>1</v>
      </c>
      <c r="R228" s="29">
        <f t="shared" ca="1" si="128"/>
        <v>3</v>
      </c>
      <c r="S228" s="29">
        <f t="shared" ca="1" si="128"/>
        <v>3</v>
      </c>
      <c r="T228" s="29">
        <f t="shared" ca="1" si="128"/>
        <v>3</v>
      </c>
      <c r="U228" s="29">
        <f t="shared" ca="1" si="128"/>
        <v>2</v>
      </c>
      <c r="V228" s="29">
        <f t="shared" ca="1" si="128"/>
        <v>4</v>
      </c>
      <c r="W228" s="29">
        <f t="shared" ca="1" si="128"/>
        <v>4</v>
      </c>
      <c r="X228" s="29">
        <f t="shared" ca="1" si="128"/>
        <v>5</v>
      </c>
      <c r="Y228" s="29">
        <f t="shared" ca="1" si="128"/>
        <v>3</v>
      </c>
      <c r="Z228" s="29">
        <f t="shared" ca="1" si="128"/>
        <v>5</v>
      </c>
      <c r="AA228" s="29">
        <f t="shared" ca="1" si="128"/>
        <v>4</v>
      </c>
      <c r="AB228" s="29">
        <f t="shared" ca="1" si="128"/>
        <v>2</v>
      </c>
      <c r="AC228" s="29">
        <f t="shared" ca="1" si="128"/>
        <v>6</v>
      </c>
      <c r="AD228" s="29">
        <f t="shared" ca="1" si="128"/>
        <v>3</v>
      </c>
      <c r="AE228" s="29">
        <f t="shared" ca="1" si="128"/>
        <v>4</v>
      </c>
      <c r="AF228" s="29">
        <f t="shared" ca="1" si="128"/>
        <v>4</v>
      </c>
      <c r="AG228" s="29">
        <f t="shared" ca="1" si="127"/>
        <v>2</v>
      </c>
      <c r="AH228" s="29">
        <f t="shared" ca="1" si="127"/>
        <v>3</v>
      </c>
      <c r="AI228" s="29">
        <f t="shared" ca="1" si="127"/>
        <v>0</v>
      </c>
      <c r="AJ228" s="29">
        <f t="shared" ca="1" si="127"/>
        <v>3</v>
      </c>
      <c r="AK228" s="29">
        <f t="shared" ca="1" si="127"/>
        <v>5</v>
      </c>
      <c r="AL228" s="29">
        <f t="shared" ca="1" si="127"/>
        <v>4</v>
      </c>
      <c r="AM228" s="29">
        <f t="shared" ca="1" si="127"/>
        <v>1</v>
      </c>
      <c r="AN228" s="29">
        <f t="shared" ca="1" si="127"/>
        <v>2</v>
      </c>
      <c r="AO228" s="29">
        <f t="shared" ca="1" si="127"/>
        <v>2</v>
      </c>
      <c r="AP228" s="29">
        <f t="shared" ca="1" si="127"/>
        <v>0</v>
      </c>
      <c r="AQ228" s="29">
        <f t="shared" ca="1" si="127"/>
        <v>1</v>
      </c>
      <c r="AR228" s="29">
        <f t="shared" ca="1" si="127"/>
        <v>0</v>
      </c>
      <c r="AS228" s="29">
        <f t="shared" ca="1" si="127"/>
        <v>4</v>
      </c>
      <c r="AT228" s="29">
        <f t="shared" ca="1" si="127"/>
        <v>1</v>
      </c>
      <c r="AU228" s="29">
        <f t="shared" ca="1" si="127"/>
        <v>3</v>
      </c>
      <c r="AV228" s="29">
        <f t="shared" ca="1" si="130"/>
        <v>1</v>
      </c>
      <c r="AW228" s="29">
        <f t="shared" ca="1" si="130"/>
        <v>1</v>
      </c>
      <c r="AX228" s="29">
        <f t="shared" ca="1" si="130"/>
        <v>4</v>
      </c>
      <c r="AY228" s="29">
        <f t="shared" ca="1" si="130"/>
        <v>3</v>
      </c>
      <c r="AZ228" s="29">
        <f t="shared" ca="1" si="130"/>
        <v>3</v>
      </c>
      <c r="BA228" s="29">
        <f t="shared" ca="1" si="130"/>
        <v>5</v>
      </c>
      <c r="BB228" s="29">
        <f t="shared" ca="1" si="130"/>
        <v>1</v>
      </c>
      <c r="BC228" s="29">
        <f t="shared" ca="1" si="130"/>
        <v>1</v>
      </c>
      <c r="BD228" s="29">
        <f t="shared" ca="1" si="130"/>
        <v>2</v>
      </c>
      <c r="BE228" s="29">
        <f t="shared" ca="1" si="130"/>
        <v>2</v>
      </c>
      <c r="BF228" s="29">
        <f t="shared" ca="1" si="130"/>
        <v>3</v>
      </c>
      <c r="BG228" s="29">
        <f t="shared" ca="1" si="130"/>
        <v>1</v>
      </c>
      <c r="BH228" s="29">
        <f t="shared" ca="1" si="130"/>
        <v>3</v>
      </c>
      <c r="BI228" s="29">
        <f t="shared" ca="1" si="130"/>
        <v>2</v>
      </c>
      <c r="BJ228" s="29">
        <f t="shared" ca="1" si="130"/>
        <v>4</v>
      </c>
      <c r="BK228" s="29">
        <f t="shared" ca="1" si="130"/>
        <v>2</v>
      </c>
      <c r="BL228" s="29">
        <f t="shared" ca="1" si="129"/>
        <v>1</v>
      </c>
      <c r="BM228" s="29">
        <f t="shared" ca="1" si="129"/>
        <v>2</v>
      </c>
      <c r="BN228" s="29">
        <f t="shared" ca="1" si="129"/>
        <v>2</v>
      </c>
      <c r="BO228" s="29">
        <f t="shared" ca="1" si="129"/>
        <v>2</v>
      </c>
      <c r="BP228" s="29">
        <f t="shared" ca="1" si="129"/>
        <v>3</v>
      </c>
      <c r="BQ228" s="29">
        <f t="shared" ca="1" si="129"/>
        <v>4</v>
      </c>
      <c r="BR228" s="29">
        <f t="shared" ca="1" si="129"/>
        <v>4</v>
      </c>
      <c r="BS228" s="29">
        <f t="shared" ca="1" si="129"/>
        <v>4</v>
      </c>
      <c r="BT228" s="29">
        <f t="shared" ca="1" si="129"/>
        <v>3</v>
      </c>
      <c r="BU228" s="29">
        <f t="shared" ca="1" si="129"/>
        <v>4</v>
      </c>
      <c r="BV228" s="29">
        <f t="shared" ca="1" si="129"/>
        <v>1</v>
      </c>
      <c r="BW228" s="29">
        <f t="shared" ca="1" si="129"/>
        <v>3</v>
      </c>
      <c r="BX228" s="29">
        <f t="shared" ca="1" si="129"/>
        <v>0</v>
      </c>
      <c r="BY228" s="29">
        <f t="shared" ca="1" si="129"/>
        <v>5</v>
      </c>
      <c r="BZ228" s="29">
        <f t="shared" ca="1" si="129"/>
        <v>2</v>
      </c>
      <c r="CA228" s="29">
        <f t="shared" ca="1" si="126"/>
        <v>0</v>
      </c>
      <c r="CB228" s="29">
        <f t="shared" ca="1" si="126"/>
        <v>2</v>
      </c>
      <c r="CC228" s="29">
        <f t="shared" ca="1" si="126"/>
        <v>1</v>
      </c>
      <c r="CD228" s="29">
        <f t="shared" ca="1" si="126"/>
        <v>2</v>
      </c>
      <c r="CE228" s="29">
        <f t="shared" ca="1" si="126"/>
        <v>5</v>
      </c>
      <c r="CF228" s="29">
        <f t="shared" ca="1" si="126"/>
        <v>4</v>
      </c>
      <c r="CG228" s="29">
        <f t="shared" ca="1" si="126"/>
        <v>2</v>
      </c>
      <c r="CH228" s="29">
        <f t="shared" ca="1" si="126"/>
        <v>5</v>
      </c>
      <c r="CI228" s="29">
        <f t="shared" ca="1" si="126"/>
        <v>1</v>
      </c>
      <c r="CJ228" s="29">
        <f t="shared" ca="1" si="126"/>
        <v>3</v>
      </c>
      <c r="CK228" s="29">
        <f t="shared" ca="1" si="126"/>
        <v>3</v>
      </c>
      <c r="CL228" s="29">
        <f t="shared" ca="1" si="126"/>
        <v>0</v>
      </c>
      <c r="CM228" s="29">
        <f t="shared" ca="1" si="126"/>
        <v>3</v>
      </c>
      <c r="CN228" s="29">
        <f t="shared" ca="1" si="126"/>
        <v>2</v>
      </c>
      <c r="CO228" s="29">
        <f t="shared" ca="1" si="126"/>
        <v>2</v>
      </c>
      <c r="CP228" s="29">
        <f t="shared" ref="CP228:DE243" ca="1" si="131">_xlfn.BINOM.INV(50,$E228,RAND())</f>
        <v>5</v>
      </c>
      <c r="CQ228" s="29">
        <f t="shared" ca="1" si="131"/>
        <v>1</v>
      </c>
      <c r="CR228" s="29">
        <f t="shared" ca="1" si="131"/>
        <v>3</v>
      </c>
      <c r="CS228" s="29">
        <f t="shared" ca="1" si="131"/>
        <v>1</v>
      </c>
      <c r="CT228" s="29">
        <f t="shared" ca="1" si="131"/>
        <v>5</v>
      </c>
      <c r="CU228" s="29">
        <f t="shared" ca="1" si="131"/>
        <v>6</v>
      </c>
      <c r="CV228" s="29">
        <f t="shared" ca="1" si="131"/>
        <v>7</v>
      </c>
      <c r="CW228" s="29">
        <f t="shared" ca="1" si="131"/>
        <v>4</v>
      </c>
      <c r="CX228" s="29">
        <f t="shared" ca="1" si="131"/>
        <v>4</v>
      </c>
      <c r="CY228" s="29">
        <f t="shared" ca="1" si="131"/>
        <v>2</v>
      </c>
      <c r="CZ228" s="29">
        <f t="shared" ca="1" si="131"/>
        <v>7</v>
      </c>
      <c r="DA228" s="29">
        <f t="shared" ca="1" si="131"/>
        <v>3</v>
      </c>
      <c r="DB228" s="29">
        <f t="shared" ca="1" si="131"/>
        <v>3</v>
      </c>
      <c r="DC228" s="29">
        <f t="shared" ca="1" si="131"/>
        <v>1</v>
      </c>
      <c r="DD228" s="29">
        <f t="shared" ca="1" si="131"/>
        <v>3</v>
      </c>
      <c r="DE228" s="29">
        <f t="shared" ca="1" si="131"/>
        <v>1</v>
      </c>
      <c r="DF228" s="29">
        <f t="shared" ca="1" si="117"/>
        <v>3</v>
      </c>
      <c r="DG228" s="29">
        <f t="shared" ca="1" si="117"/>
        <v>3</v>
      </c>
      <c r="DH228" s="29">
        <f t="shared" ca="1" si="117"/>
        <v>1</v>
      </c>
      <c r="DI228" s="29">
        <f t="shared" ca="1" si="117"/>
        <v>3</v>
      </c>
      <c r="DJ228" s="29">
        <f t="shared" ca="1" si="117"/>
        <v>6</v>
      </c>
      <c r="DK228" s="29">
        <f t="shared" ca="1" si="117"/>
        <v>2</v>
      </c>
      <c r="DL228" s="29">
        <f t="shared" ca="1" si="117"/>
        <v>4</v>
      </c>
    </row>
    <row r="229" spans="1:116" ht="14.4" x14ac:dyDescent="0.3">
      <c r="A229" s="31">
        <v>106</v>
      </c>
      <c r="B229" s="28">
        <v>8.52</v>
      </c>
      <c r="C229" s="30">
        <v>20.9</v>
      </c>
      <c r="D229" s="28">
        <v>3.18</v>
      </c>
      <c r="E229" s="34">
        <f t="shared" si="110"/>
        <v>6.3600000000000004E-2</v>
      </c>
      <c r="F229" s="35">
        <f t="shared" si="111"/>
        <v>5.2249999999999996</v>
      </c>
      <c r="G229" s="34">
        <f t="shared" si="112"/>
        <v>79.5</v>
      </c>
      <c r="H229" s="33">
        <f t="shared" si="113"/>
        <v>8.717723004694836</v>
      </c>
      <c r="I229" s="28">
        <f t="shared" si="118"/>
        <v>703.80000000000064</v>
      </c>
      <c r="J229" s="32">
        <v>0</v>
      </c>
      <c r="K229" s="30">
        <f t="shared" si="114"/>
        <v>79.5</v>
      </c>
      <c r="L229" s="30"/>
      <c r="M229" s="30"/>
      <c r="N229" s="30"/>
      <c r="O229" s="30"/>
      <c r="Q229" s="29">
        <f t="shared" ca="1" si="115"/>
        <v>1</v>
      </c>
      <c r="R229" s="29">
        <f t="shared" ca="1" si="128"/>
        <v>7</v>
      </c>
      <c r="S229" s="29">
        <f t="shared" ca="1" si="128"/>
        <v>2</v>
      </c>
      <c r="T229" s="29">
        <f t="shared" ca="1" si="128"/>
        <v>3</v>
      </c>
      <c r="U229" s="29">
        <f t="shared" ca="1" si="128"/>
        <v>6</v>
      </c>
      <c r="V229" s="29">
        <f t="shared" ca="1" si="128"/>
        <v>0</v>
      </c>
      <c r="W229" s="29">
        <f t="shared" ca="1" si="128"/>
        <v>5</v>
      </c>
      <c r="X229" s="29">
        <f t="shared" ca="1" si="128"/>
        <v>3</v>
      </c>
      <c r="Y229" s="29">
        <f t="shared" ca="1" si="128"/>
        <v>1</v>
      </c>
      <c r="Z229" s="29">
        <f t="shared" ca="1" si="128"/>
        <v>4</v>
      </c>
      <c r="AA229" s="29">
        <f t="shared" ca="1" si="128"/>
        <v>1</v>
      </c>
      <c r="AB229" s="29">
        <f t="shared" ca="1" si="128"/>
        <v>5</v>
      </c>
      <c r="AC229" s="29">
        <f t="shared" ca="1" si="128"/>
        <v>3</v>
      </c>
      <c r="AD229" s="29">
        <f t="shared" ca="1" si="128"/>
        <v>3</v>
      </c>
      <c r="AE229" s="29">
        <f t="shared" ca="1" si="128"/>
        <v>4</v>
      </c>
      <c r="AF229" s="29">
        <f t="shared" ca="1" si="128"/>
        <v>4</v>
      </c>
      <c r="AG229" s="29">
        <f t="shared" ca="1" si="127"/>
        <v>2</v>
      </c>
      <c r="AH229" s="29">
        <f t="shared" ca="1" si="127"/>
        <v>4</v>
      </c>
      <c r="AI229" s="29">
        <f t="shared" ca="1" si="127"/>
        <v>2</v>
      </c>
      <c r="AJ229" s="29">
        <f t="shared" ca="1" si="127"/>
        <v>4</v>
      </c>
      <c r="AK229" s="29">
        <f t="shared" ca="1" si="127"/>
        <v>3</v>
      </c>
      <c r="AL229" s="29">
        <f t="shared" ca="1" si="127"/>
        <v>2</v>
      </c>
      <c r="AM229" s="29">
        <f t="shared" ca="1" si="127"/>
        <v>2</v>
      </c>
      <c r="AN229" s="29">
        <f t="shared" ca="1" si="127"/>
        <v>5</v>
      </c>
      <c r="AO229" s="29">
        <f t="shared" ca="1" si="127"/>
        <v>4</v>
      </c>
      <c r="AP229" s="29">
        <f t="shared" ca="1" si="127"/>
        <v>1</v>
      </c>
      <c r="AQ229" s="29">
        <f t="shared" ca="1" si="127"/>
        <v>4</v>
      </c>
      <c r="AR229" s="29">
        <f t="shared" ca="1" si="127"/>
        <v>3</v>
      </c>
      <c r="AS229" s="29">
        <f t="shared" ca="1" si="127"/>
        <v>5</v>
      </c>
      <c r="AT229" s="29">
        <f t="shared" ca="1" si="127"/>
        <v>3</v>
      </c>
      <c r="AU229" s="29">
        <f t="shared" ca="1" si="127"/>
        <v>3</v>
      </c>
      <c r="AV229" s="29">
        <f t="shared" ca="1" si="130"/>
        <v>3</v>
      </c>
      <c r="AW229" s="29">
        <f t="shared" ca="1" si="130"/>
        <v>3</v>
      </c>
      <c r="AX229" s="29">
        <f t="shared" ca="1" si="130"/>
        <v>3</v>
      </c>
      <c r="AY229" s="29">
        <f t="shared" ca="1" si="130"/>
        <v>1</v>
      </c>
      <c r="AZ229" s="29">
        <f t="shared" ca="1" si="130"/>
        <v>2</v>
      </c>
      <c r="BA229" s="29">
        <f t="shared" ca="1" si="130"/>
        <v>2</v>
      </c>
      <c r="BB229" s="29">
        <f t="shared" ca="1" si="130"/>
        <v>3</v>
      </c>
      <c r="BC229" s="29">
        <f t="shared" ca="1" si="130"/>
        <v>6</v>
      </c>
      <c r="BD229" s="29">
        <f t="shared" ca="1" si="130"/>
        <v>3</v>
      </c>
      <c r="BE229" s="29">
        <f t="shared" ca="1" si="130"/>
        <v>5</v>
      </c>
      <c r="BF229" s="29">
        <f t="shared" ca="1" si="130"/>
        <v>2</v>
      </c>
      <c r="BG229" s="29">
        <f t="shared" ca="1" si="130"/>
        <v>10</v>
      </c>
      <c r="BH229" s="29">
        <f t="shared" ca="1" si="130"/>
        <v>4</v>
      </c>
      <c r="BI229" s="29">
        <f t="shared" ca="1" si="130"/>
        <v>3</v>
      </c>
      <c r="BJ229" s="29">
        <f t="shared" ca="1" si="130"/>
        <v>4</v>
      </c>
      <c r="BK229" s="29">
        <f t="shared" ca="1" si="130"/>
        <v>3</v>
      </c>
      <c r="BL229" s="29">
        <f t="shared" ca="1" si="129"/>
        <v>2</v>
      </c>
      <c r="BM229" s="29">
        <f t="shared" ca="1" si="129"/>
        <v>7</v>
      </c>
      <c r="BN229" s="29">
        <f t="shared" ca="1" si="129"/>
        <v>2</v>
      </c>
      <c r="BO229" s="29">
        <f t="shared" ca="1" si="129"/>
        <v>6</v>
      </c>
      <c r="BP229" s="29">
        <f t="shared" ca="1" si="129"/>
        <v>3</v>
      </c>
      <c r="BQ229" s="29">
        <f t="shared" ca="1" si="129"/>
        <v>4</v>
      </c>
      <c r="BR229" s="29">
        <f t="shared" ca="1" si="129"/>
        <v>2</v>
      </c>
      <c r="BS229" s="29">
        <f t="shared" ca="1" si="129"/>
        <v>4</v>
      </c>
      <c r="BT229" s="29">
        <f t="shared" ca="1" si="129"/>
        <v>3</v>
      </c>
      <c r="BU229" s="29">
        <f t="shared" ca="1" si="129"/>
        <v>3</v>
      </c>
      <c r="BV229" s="29">
        <f t="shared" ca="1" si="129"/>
        <v>0</v>
      </c>
      <c r="BW229" s="29">
        <f t="shared" ca="1" si="129"/>
        <v>2</v>
      </c>
      <c r="BX229" s="29">
        <f t="shared" ca="1" si="129"/>
        <v>4</v>
      </c>
      <c r="BY229" s="29">
        <f t="shared" ca="1" si="129"/>
        <v>4</v>
      </c>
      <c r="BZ229" s="29">
        <f t="shared" ca="1" si="129"/>
        <v>1</v>
      </c>
      <c r="CA229" s="29">
        <f t="shared" ref="CA229:CP244" ca="1" si="132">_xlfn.BINOM.INV(50,$E229,RAND())</f>
        <v>2</v>
      </c>
      <c r="CB229" s="29">
        <f t="shared" ca="1" si="132"/>
        <v>6</v>
      </c>
      <c r="CC229" s="29">
        <f t="shared" ca="1" si="132"/>
        <v>8</v>
      </c>
      <c r="CD229" s="29">
        <f t="shared" ca="1" si="132"/>
        <v>5</v>
      </c>
      <c r="CE229" s="29">
        <f t="shared" ca="1" si="132"/>
        <v>1</v>
      </c>
      <c r="CF229" s="29">
        <f t="shared" ca="1" si="132"/>
        <v>4</v>
      </c>
      <c r="CG229" s="29">
        <f t="shared" ca="1" si="132"/>
        <v>5</v>
      </c>
      <c r="CH229" s="29">
        <f t="shared" ca="1" si="132"/>
        <v>3</v>
      </c>
      <c r="CI229" s="29">
        <f t="shared" ca="1" si="132"/>
        <v>7</v>
      </c>
      <c r="CJ229" s="29">
        <f t="shared" ca="1" si="132"/>
        <v>1</v>
      </c>
      <c r="CK229" s="29">
        <f t="shared" ca="1" si="132"/>
        <v>5</v>
      </c>
      <c r="CL229" s="29">
        <f t="shared" ca="1" si="132"/>
        <v>10</v>
      </c>
      <c r="CM229" s="29">
        <f t="shared" ca="1" si="132"/>
        <v>7</v>
      </c>
      <c r="CN229" s="29">
        <f t="shared" ca="1" si="132"/>
        <v>2</v>
      </c>
      <c r="CO229" s="29">
        <f t="shared" ca="1" si="132"/>
        <v>3</v>
      </c>
      <c r="CP229" s="29">
        <f t="shared" ca="1" si="132"/>
        <v>3</v>
      </c>
      <c r="CQ229" s="29">
        <f t="shared" ca="1" si="131"/>
        <v>5</v>
      </c>
      <c r="CR229" s="29">
        <f t="shared" ca="1" si="131"/>
        <v>3</v>
      </c>
      <c r="CS229" s="29">
        <f t="shared" ca="1" si="131"/>
        <v>4</v>
      </c>
      <c r="CT229" s="29">
        <f t="shared" ca="1" si="131"/>
        <v>4</v>
      </c>
      <c r="CU229" s="29">
        <f t="shared" ca="1" si="131"/>
        <v>5</v>
      </c>
      <c r="CV229" s="29">
        <f t="shared" ca="1" si="131"/>
        <v>5</v>
      </c>
      <c r="CW229" s="29">
        <f t="shared" ca="1" si="131"/>
        <v>2</v>
      </c>
      <c r="CX229" s="29">
        <f t="shared" ca="1" si="131"/>
        <v>0</v>
      </c>
      <c r="CY229" s="29">
        <f t="shared" ca="1" si="131"/>
        <v>1</v>
      </c>
      <c r="CZ229" s="29">
        <f t="shared" ca="1" si="131"/>
        <v>6</v>
      </c>
      <c r="DA229" s="29">
        <f t="shared" ca="1" si="131"/>
        <v>3</v>
      </c>
      <c r="DB229" s="29">
        <f t="shared" ca="1" si="131"/>
        <v>2</v>
      </c>
      <c r="DC229" s="29">
        <f t="shared" ca="1" si="131"/>
        <v>3</v>
      </c>
      <c r="DD229" s="29">
        <f t="shared" ca="1" si="131"/>
        <v>1</v>
      </c>
      <c r="DE229" s="29">
        <f t="shared" ca="1" si="131"/>
        <v>3</v>
      </c>
      <c r="DF229" s="29">
        <f t="shared" ca="1" si="117"/>
        <v>3</v>
      </c>
      <c r="DG229" s="29">
        <f t="shared" ca="1" si="117"/>
        <v>2</v>
      </c>
      <c r="DH229" s="29">
        <f t="shared" ca="1" si="117"/>
        <v>2</v>
      </c>
      <c r="DI229" s="29">
        <f t="shared" ca="1" si="117"/>
        <v>1</v>
      </c>
      <c r="DJ229" s="29">
        <f t="shared" ca="1" si="117"/>
        <v>2</v>
      </c>
      <c r="DK229" s="29">
        <f t="shared" ca="1" si="117"/>
        <v>2</v>
      </c>
      <c r="DL229" s="29">
        <f t="shared" ca="1" si="117"/>
        <v>1</v>
      </c>
    </row>
    <row r="230" spans="1:116" ht="14.4" x14ac:dyDescent="0.3">
      <c r="A230" s="31">
        <v>238</v>
      </c>
      <c r="B230" s="28">
        <v>6.45</v>
      </c>
      <c r="C230" s="30">
        <v>93.65</v>
      </c>
      <c r="D230" s="28">
        <v>3.18</v>
      </c>
      <c r="E230" s="34">
        <f t="shared" si="110"/>
        <v>6.3600000000000004E-2</v>
      </c>
      <c r="F230" s="35">
        <f t="shared" si="111"/>
        <v>23.412500000000001</v>
      </c>
      <c r="G230" s="34">
        <f t="shared" si="112"/>
        <v>79.5</v>
      </c>
      <c r="H230" s="33">
        <f t="shared" si="113"/>
        <v>8.695736434108527</v>
      </c>
      <c r="I230" s="28">
        <f t="shared" si="118"/>
        <v>710.25000000000068</v>
      </c>
      <c r="J230" s="32">
        <v>0</v>
      </c>
      <c r="K230" s="30">
        <f t="shared" si="114"/>
        <v>79.5</v>
      </c>
      <c r="L230" s="30"/>
      <c r="M230" s="30"/>
      <c r="N230" s="30"/>
      <c r="O230" s="30"/>
      <c r="Q230" s="29">
        <f t="shared" ca="1" si="115"/>
        <v>2</v>
      </c>
      <c r="R230" s="29">
        <f t="shared" ca="1" si="128"/>
        <v>7</v>
      </c>
      <c r="S230" s="29">
        <f t="shared" ca="1" si="128"/>
        <v>4</v>
      </c>
      <c r="T230" s="29">
        <f t="shared" ca="1" si="128"/>
        <v>2</v>
      </c>
      <c r="U230" s="29">
        <f t="shared" ca="1" si="128"/>
        <v>1</v>
      </c>
      <c r="V230" s="29">
        <f t="shared" ca="1" si="128"/>
        <v>3</v>
      </c>
      <c r="W230" s="29">
        <f t="shared" ca="1" si="128"/>
        <v>3</v>
      </c>
      <c r="X230" s="29">
        <f t="shared" ca="1" si="128"/>
        <v>1</v>
      </c>
      <c r="Y230" s="29">
        <f t="shared" ca="1" si="128"/>
        <v>1</v>
      </c>
      <c r="Z230" s="29">
        <f t="shared" ca="1" si="128"/>
        <v>3</v>
      </c>
      <c r="AA230" s="29">
        <f t="shared" ca="1" si="128"/>
        <v>6</v>
      </c>
      <c r="AB230" s="29">
        <f t="shared" ca="1" si="128"/>
        <v>2</v>
      </c>
      <c r="AC230" s="29">
        <f t="shared" ca="1" si="128"/>
        <v>3</v>
      </c>
      <c r="AD230" s="29">
        <f t="shared" ca="1" si="128"/>
        <v>4</v>
      </c>
      <c r="AE230" s="29">
        <f t="shared" ca="1" si="128"/>
        <v>3</v>
      </c>
      <c r="AF230" s="29">
        <f t="shared" ca="1" si="128"/>
        <v>0</v>
      </c>
      <c r="AG230" s="29">
        <f t="shared" ca="1" si="127"/>
        <v>3</v>
      </c>
      <c r="AH230" s="29">
        <f t="shared" ca="1" si="127"/>
        <v>4</v>
      </c>
      <c r="AI230" s="29">
        <f t="shared" ca="1" si="127"/>
        <v>2</v>
      </c>
      <c r="AJ230" s="29">
        <f t="shared" ca="1" si="127"/>
        <v>6</v>
      </c>
      <c r="AK230" s="29">
        <f t="shared" ca="1" si="127"/>
        <v>1</v>
      </c>
      <c r="AL230" s="29">
        <f t="shared" ca="1" si="127"/>
        <v>1</v>
      </c>
      <c r="AM230" s="29">
        <f t="shared" ca="1" si="127"/>
        <v>4</v>
      </c>
      <c r="AN230" s="29">
        <f t="shared" ca="1" si="127"/>
        <v>1</v>
      </c>
      <c r="AO230" s="29">
        <f t="shared" ca="1" si="127"/>
        <v>4</v>
      </c>
      <c r="AP230" s="29">
        <f t="shared" ca="1" si="127"/>
        <v>3</v>
      </c>
      <c r="AQ230" s="29">
        <f t="shared" ca="1" si="127"/>
        <v>3</v>
      </c>
      <c r="AR230" s="29">
        <f t="shared" ca="1" si="127"/>
        <v>7</v>
      </c>
      <c r="AS230" s="29">
        <f t="shared" ca="1" si="127"/>
        <v>3</v>
      </c>
      <c r="AT230" s="29">
        <f t="shared" ca="1" si="127"/>
        <v>2</v>
      </c>
      <c r="AU230" s="29">
        <f t="shared" ca="1" si="127"/>
        <v>1</v>
      </c>
      <c r="AV230" s="29">
        <f t="shared" ca="1" si="130"/>
        <v>3</v>
      </c>
      <c r="AW230" s="29">
        <f t="shared" ca="1" si="130"/>
        <v>3</v>
      </c>
      <c r="AX230" s="29">
        <f t="shared" ca="1" si="130"/>
        <v>5</v>
      </c>
      <c r="AY230" s="29">
        <f t="shared" ca="1" si="130"/>
        <v>0</v>
      </c>
      <c r="AZ230" s="29">
        <f t="shared" ca="1" si="130"/>
        <v>2</v>
      </c>
      <c r="BA230" s="29">
        <f t="shared" ca="1" si="130"/>
        <v>1</v>
      </c>
      <c r="BB230" s="29">
        <f t="shared" ca="1" si="130"/>
        <v>3</v>
      </c>
      <c r="BC230" s="29">
        <f t="shared" ca="1" si="130"/>
        <v>3</v>
      </c>
      <c r="BD230" s="29">
        <f t="shared" ca="1" si="130"/>
        <v>7</v>
      </c>
      <c r="BE230" s="29">
        <f t="shared" ca="1" si="130"/>
        <v>1</v>
      </c>
      <c r="BF230" s="29">
        <f t="shared" ca="1" si="130"/>
        <v>1</v>
      </c>
      <c r="BG230" s="29">
        <f t="shared" ca="1" si="130"/>
        <v>0</v>
      </c>
      <c r="BH230" s="29">
        <f t="shared" ca="1" si="130"/>
        <v>6</v>
      </c>
      <c r="BI230" s="29">
        <f t="shared" ca="1" si="130"/>
        <v>3</v>
      </c>
      <c r="BJ230" s="29">
        <f t="shared" ca="1" si="130"/>
        <v>2</v>
      </c>
      <c r="BK230" s="29">
        <f t="shared" ca="1" si="130"/>
        <v>5</v>
      </c>
      <c r="BL230" s="29">
        <f t="shared" ca="1" si="129"/>
        <v>2</v>
      </c>
      <c r="BM230" s="29">
        <f t="shared" ca="1" si="129"/>
        <v>5</v>
      </c>
      <c r="BN230" s="29">
        <f t="shared" ca="1" si="129"/>
        <v>2</v>
      </c>
      <c r="BO230" s="29">
        <f t="shared" ca="1" si="129"/>
        <v>3</v>
      </c>
      <c r="BP230" s="29">
        <f t="shared" ca="1" si="129"/>
        <v>2</v>
      </c>
      <c r="BQ230" s="29">
        <f t="shared" ca="1" si="129"/>
        <v>2</v>
      </c>
      <c r="BR230" s="29">
        <f t="shared" ca="1" si="129"/>
        <v>1</v>
      </c>
      <c r="BS230" s="29">
        <f t="shared" ca="1" si="129"/>
        <v>1</v>
      </c>
      <c r="BT230" s="29">
        <f t="shared" ca="1" si="129"/>
        <v>1</v>
      </c>
      <c r="BU230" s="29">
        <f t="shared" ca="1" si="129"/>
        <v>2</v>
      </c>
      <c r="BV230" s="29">
        <f t="shared" ca="1" si="129"/>
        <v>2</v>
      </c>
      <c r="BW230" s="29">
        <f t="shared" ca="1" si="129"/>
        <v>3</v>
      </c>
      <c r="BX230" s="29">
        <f t="shared" ca="1" si="129"/>
        <v>5</v>
      </c>
      <c r="BY230" s="29">
        <f t="shared" ca="1" si="129"/>
        <v>1</v>
      </c>
      <c r="BZ230" s="29">
        <f t="shared" ca="1" si="129"/>
        <v>1</v>
      </c>
      <c r="CA230" s="29">
        <f t="shared" ca="1" si="132"/>
        <v>2</v>
      </c>
      <c r="CB230" s="29">
        <f t="shared" ca="1" si="132"/>
        <v>3</v>
      </c>
      <c r="CC230" s="29">
        <f t="shared" ca="1" si="132"/>
        <v>5</v>
      </c>
      <c r="CD230" s="29">
        <f t="shared" ca="1" si="132"/>
        <v>2</v>
      </c>
      <c r="CE230" s="29">
        <f t="shared" ca="1" si="132"/>
        <v>0</v>
      </c>
      <c r="CF230" s="29">
        <f t="shared" ca="1" si="132"/>
        <v>8</v>
      </c>
      <c r="CG230" s="29">
        <f t="shared" ca="1" si="132"/>
        <v>1</v>
      </c>
      <c r="CH230" s="29">
        <f t="shared" ca="1" si="132"/>
        <v>4</v>
      </c>
      <c r="CI230" s="29">
        <f t="shared" ca="1" si="132"/>
        <v>6</v>
      </c>
      <c r="CJ230" s="29">
        <f t="shared" ca="1" si="132"/>
        <v>4</v>
      </c>
      <c r="CK230" s="29">
        <f t="shared" ca="1" si="132"/>
        <v>2</v>
      </c>
      <c r="CL230" s="29">
        <f t="shared" ca="1" si="132"/>
        <v>2</v>
      </c>
      <c r="CM230" s="29">
        <f t="shared" ca="1" si="132"/>
        <v>2</v>
      </c>
      <c r="CN230" s="29">
        <f t="shared" ca="1" si="132"/>
        <v>3</v>
      </c>
      <c r="CO230" s="29">
        <f t="shared" ca="1" si="132"/>
        <v>2</v>
      </c>
      <c r="CP230" s="29">
        <f t="shared" ca="1" si="132"/>
        <v>0</v>
      </c>
      <c r="CQ230" s="29">
        <f t="shared" ca="1" si="131"/>
        <v>2</v>
      </c>
      <c r="CR230" s="29">
        <f t="shared" ca="1" si="131"/>
        <v>3</v>
      </c>
      <c r="CS230" s="29">
        <f t="shared" ca="1" si="131"/>
        <v>2</v>
      </c>
      <c r="CT230" s="29">
        <f t="shared" ca="1" si="131"/>
        <v>5</v>
      </c>
      <c r="CU230" s="29">
        <f t="shared" ca="1" si="131"/>
        <v>5</v>
      </c>
      <c r="CV230" s="29">
        <f t="shared" ca="1" si="131"/>
        <v>5</v>
      </c>
      <c r="CW230" s="29">
        <f t="shared" ca="1" si="131"/>
        <v>5</v>
      </c>
      <c r="CX230" s="29">
        <f t="shared" ca="1" si="131"/>
        <v>4</v>
      </c>
      <c r="CY230" s="29">
        <f t="shared" ca="1" si="131"/>
        <v>2</v>
      </c>
      <c r="CZ230" s="29">
        <f t="shared" ca="1" si="131"/>
        <v>2</v>
      </c>
      <c r="DA230" s="29">
        <f t="shared" ca="1" si="131"/>
        <v>4</v>
      </c>
      <c r="DB230" s="29">
        <f t="shared" ca="1" si="131"/>
        <v>1</v>
      </c>
      <c r="DC230" s="29">
        <f t="shared" ca="1" si="131"/>
        <v>1</v>
      </c>
      <c r="DD230" s="29">
        <f t="shared" ca="1" si="131"/>
        <v>5</v>
      </c>
      <c r="DE230" s="29">
        <f t="shared" ca="1" si="131"/>
        <v>3</v>
      </c>
      <c r="DF230" s="29">
        <f t="shared" ca="1" si="117"/>
        <v>3</v>
      </c>
      <c r="DG230" s="29">
        <f t="shared" ca="1" si="117"/>
        <v>3</v>
      </c>
      <c r="DH230" s="29">
        <f t="shared" ca="1" si="117"/>
        <v>6</v>
      </c>
      <c r="DI230" s="29">
        <f t="shared" ca="1" si="117"/>
        <v>1</v>
      </c>
      <c r="DJ230" s="29">
        <f t="shared" ca="1" si="117"/>
        <v>9</v>
      </c>
      <c r="DK230" s="29">
        <f t="shared" ca="1" si="117"/>
        <v>5</v>
      </c>
      <c r="DL230" s="29">
        <f t="shared" ca="1" si="117"/>
        <v>2</v>
      </c>
    </row>
    <row r="231" spans="1:116" ht="14.4" x14ac:dyDescent="0.3">
      <c r="A231" s="31">
        <v>822</v>
      </c>
      <c r="B231" s="28">
        <v>1.3</v>
      </c>
      <c r="C231" s="30">
        <v>57.07</v>
      </c>
      <c r="D231" s="28">
        <v>1.02</v>
      </c>
      <c r="E231" s="34">
        <f t="shared" si="110"/>
        <v>2.0400000000000001E-2</v>
      </c>
      <c r="F231" s="35">
        <f t="shared" si="111"/>
        <v>14.2675</v>
      </c>
      <c r="G231" s="34">
        <f t="shared" si="112"/>
        <v>25.5</v>
      </c>
      <c r="H231" s="33">
        <f t="shared" si="113"/>
        <v>8.6403846153846153</v>
      </c>
      <c r="I231" s="28">
        <f t="shared" si="118"/>
        <v>711.55000000000064</v>
      </c>
      <c r="J231" s="32">
        <v>0</v>
      </c>
      <c r="K231" s="30">
        <f t="shared" si="114"/>
        <v>25.5</v>
      </c>
      <c r="L231" s="30"/>
      <c r="M231" s="30"/>
      <c r="N231" s="30"/>
      <c r="O231" s="30"/>
      <c r="Q231" s="29">
        <f t="shared" ca="1" si="115"/>
        <v>0</v>
      </c>
      <c r="R231" s="29">
        <f t="shared" ca="1" si="128"/>
        <v>1</v>
      </c>
      <c r="S231" s="29">
        <f t="shared" ca="1" si="128"/>
        <v>1</v>
      </c>
      <c r="T231" s="29">
        <f t="shared" ca="1" si="128"/>
        <v>0</v>
      </c>
      <c r="U231" s="29">
        <f t="shared" ca="1" si="128"/>
        <v>0</v>
      </c>
      <c r="V231" s="29">
        <f t="shared" ca="1" si="128"/>
        <v>0</v>
      </c>
      <c r="W231" s="29">
        <f t="shared" ca="1" si="128"/>
        <v>1</v>
      </c>
      <c r="X231" s="29">
        <f t="shared" ca="1" si="128"/>
        <v>2</v>
      </c>
      <c r="Y231" s="29">
        <f t="shared" ca="1" si="128"/>
        <v>2</v>
      </c>
      <c r="Z231" s="29">
        <f t="shared" ca="1" si="128"/>
        <v>2</v>
      </c>
      <c r="AA231" s="29">
        <f t="shared" ca="1" si="128"/>
        <v>1</v>
      </c>
      <c r="AB231" s="29">
        <f t="shared" ca="1" si="128"/>
        <v>2</v>
      </c>
      <c r="AC231" s="29">
        <f t="shared" ca="1" si="128"/>
        <v>0</v>
      </c>
      <c r="AD231" s="29">
        <f t="shared" ca="1" si="128"/>
        <v>0</v>
      </c>
      <c r="AE231" s="29">
        <f t="shared" ca="1" si="128"/>
        <v>1</v>
      </c>
      <c r="AF231" s="29">
        <f t="shared" ca="1" si="128"/>
        <v>1</v>
      </c>
      <c r="AG231" s="29">
        <f t="shared" ca="1" si="127"/>
        <v>0</v>
      </c>
      <c r="AH231" s="29">
        <f t="shared" ca="1" si="127"/>
        <v>2</v>
      </c>
      <c r="AI231" s="29">
        <f t="shared" ca="1" si="127"/>
        <v>0</v>
      </c>
      <c r="AJ231" s="29">
        <f t="shared" ca="1" si="127"/>
        <v>0</v>
      </c>
      <c r="AK231" s="29">
        <f t="shared" ca="1" si="127"/>
        <v>1</v>
      </c>
      <c r="AL231" s="29">
        <f t="shared" ca="1" si="127"/>
        <v>3</v>
      </c>
      <c r="AM231" s="29">
        <f t="shared" ca="1" si="127"/>
        <v>3</v>
      </c>
      <c r="AN231" s="29">
        <f t="shared" ca="1" si="127"/>
        <v>1</v>
      </c>
      <c r="AO231" s="29">
        <f t="shared" ca="1" si="127"/>
        <v>0</v>
      </c>
      <c r="AP231" s="29">
        <f t="shared" ca="1" si="127"/>
        <v>1</v>
      </c>
      <c r="AQ231" s="29">
        <f t="shared" ca="1" si="127"/>
        <v>0</v>
      </c>
      <c r="AR231" s="29">
        <f t="shared" ca="1" si="127"/>
        <v>0</v>
      </c>
      <c r="AS231" s="29">
        <f t="shared" ca="1" si="127"/>
        <v>2</v>
      </c>
      <c r="AT231" s="29">
        <f t="shared" ca="1" si="127"/>
        <v>3</v>
      </c>
      <c r="AU231" s="29">
        <f t="shared" ca="1" si="127"/>
        <v>3</v>
      </c>
      <c r="AV231" s="29">
        <f t="shared" ca="1" si="130"/>
        <v>1</v>
      </c>
      <c r="AW231" s="29">
        <f t="shared" ca="1" si="130"/>
        <v>0</v>
      </c>
      <c r="AX231" s="29">
        <f t="shared" ca="1" si="130"/>
        <v>2</v>
      </c>
      <c r="AY231" s="29">
        <f t="shared" ca="1" si="130"/>
        <v>0</v>
      </c>
      <c r="AZ231" s="29">
        <f t="shared" ca="1" si="130"/>
        <v>2</v>
      </c>
      <c r="BA231" s="29">
        <f t="shared" ca="1" si="130"/>
        <v>0</v>
      </c>
      <c r="BB231" s="29">
        <f t="shared" ca="1" si="130"/>
        <v>1</v>
      </c>
      <c r="BC231" s="29">
        <f t="shared" ca="1" si="130"/>
        <v>3</v>
      </c>
      <c r="BD231" s="29">
        <f t="shared" ca="1" si="130"/>
        <v>2</v>
      </c>
      <c r="BE231" s="29">
        <f t="shared" ca="1" si="130"/>
        <v>0</v>
      </c>
      <c r="BF231" s="29">
        <f t="shared" ca="1" si="130"/>
        <v>0</v>
      </c>
      <c r="BG231" s="29">
        <f t="shared" ca="1" si="130"/>
        <v>0</v>
      </c>
      <c r="BH231" s="29">
        <f t="shared" ca="1" si="130"/>
        <v>2</v>
      </c>
      <c r="BI231" s="29">
        <f t="shared" ca="1" si="130"/>
        <v>2</v>
      </c>
      <c r="BJ231" s="29">
        <f t="shared" ca="1" si="130"/>
        <v>0</v>
      </c>
      <c r="BK231" s="29">
        <f t="shared" ca="1" si="130"/>
        <v>0</v>
      </c>
      <c r="BL231" s="29">
        <f t="shared" ca="1" si="129"/>
        <v>1</v>
      </c>
      <c r="BM231" s="29">
        <f t="shared" ca="1" si="129"/>
        <v>0</v>
      </c>
      <c r="BN231" s="29">
        <f t="shared" ca="1" si="129"/>
        <v>0</v>
      </c>
      <c r="BO231" s="29">
        <f t="shared" ca="1" si="129"/>
        <v>1</v>
      </c>
      <c r="BP231" s="29">
        <f t="shared" ca="1" si="129"/>
        <v>1</v>
      </c>
      <c r="BQ231" s="29">
        <f t="shared" ca="1" si="129"/>
        <v>0</v>
      </c>
      <c r="BR231" s="29">
        <f t="shared" ca="1" si="129"/>
        <v>1</v>
      </c>
      <c r="BS231" s="29">
        <f t="shared" ca="1" si="129"/>
        <v>1</v>
      </c>
      <c r="BT231" s="29">
        <f t="shared" ca="1" si="129"/>
        <v>2</v>
      </c>
      <c r="BU231" s="29">
        <f t="shared" ca="1" si="129"/>
        <v>1</v>
      </c>
      <c r="BV231" s="29">
        <f t="shared" ca="1" si="129"/>
        <v>1</v>
      </c>
      <c r="BW231" s="29">
        <f t="shared" ca="1" si="129"/>
        <v>1</v>
      </c>
      <c r="BX231" s="29">
        <f t="shared" ca="1" si="129"/>
        <v>0</v>
      </c>
      <c r="BY231" s="29">
        <f t="shared" ca="1" si="129"/>
        <v>0</v>
      </c>
      <c r="BZ231" s="29">
        <f t="shared" ca="1" si="129"/>
        <v>0</v>
      </c>
      <c r="CA231" s="29">
        <f t="shared" ca="1" si="132"/>
        <v>1</v>
      </c>
      <c r="CB231" s="29">
        <f t="shared" ca="1" si="132"/>
        <v>0</v>
      </c>
      <c r="CC231" s="29">
        <f t="shared" ca="1" si="132"/>
        <v>0</v>
      </c>
      <c r="CD231" s="29">
        <f t="shared" ca="1" si="132"/>
        <v>0</v>
      </c>
      <c r="CE231" s="29">
        <f t="shared" ca="1" si="132"/>
        <v>0</v>
      </c>
      <c r="CF231" s="29">
        <f t="shared" ca="1" si="132"/>
        <v>0</v>
      </c>
      <c r="CG231" s="29">
        <f t="shared" ca="1" si="132"/>
        <v>0</v>
      </c>
      <c r="CH231" s="29">
        <f t="shared" ca="1" si="132"/>
        <v>1</v>
      </c>
      <c r="CI231" s="29">
        <f t="shared" ca="1" si="132"/>
        <v>0</v>
      </c>
      <c r="CJ231" s="29">
        <f t="shared" ca="1" si="132"/>
        <v>0</v>
      </c>
      <c r="CK231" s="29">
        <f t="shared" ca="1" si="132"/>
        <v>3</v>
      </c>
      <c r="CL231" s="29">
        <f t="shared" ca="1" si="132"/>
        <v>0</v>
      </c>
      <c r="CM231" s="29">
        <f t="shared" ca="1" si="132"/>
        <v>0</v>
      </c>
      <c r="CN231" s="29">
        <f t="shared" ca="1" si="132"/>
        <v>2</v>
      </c>
      <c r="CO231" s="29">
        <f t="shared" ca="1" si="132"/>
        <v>0</v>
      </c>
      <c r="CP231" s="29">
        <f t="shared" ca="1" si="132"/>
        <v>3</v>
      </c>
      <c r="CQ231" s="29">
        <f t="shared" ca="1" si="131"/>
        <v>0</v>
      </c>
      <c r="CR231" s="29">
        <f t="shared" ca="1" si="131"/>
        <v>0</v>
      </c>
      <c r="CS231" s="29">
        <f t="shared" ca="1" si="131"/>
        <v>0</v>
      </c>
      <c r="CT231" s="29">
        <f t="shared" ca="1" si="131"/>
        <v>1</v>
      </c>
      <c r="CU231" s="29">
        <f t="shared" ca="1" si="131"/>
        <v>2</v>
      </c>
      <c r="CV231" s="29">
        <f t="shared" ca="1" si="131"/>
        <v>1</v>
      </c>
      <c r="CW231" s="29">
        <f t="shared" ca="1" si="131"/>
        <v>0</v>
      </c>
      <c r="CX231" s="29">
        <f t="shared" ca="1" si="131"/>
        <v>2</v>
      </c>
      <c r="CY231" s="29">
        <f t="shared" ca="1" si="131"/>
        <v>2</v>
      </c>
      <c r="CZ231" s="29">
        <f t="shared" ca="1" si="131"/>
        <v>0</v>
      </c>
      <c r="DA231" s="29">
        <f t="shared" ca="1" si="131"/>
        <v>0</v>
      </c>
      <c r="DB231" s="29">
        <f t="shared" ca="1" si="131"/>
        <v>1</v>
      </c>
      <c r="DC231" s="29">
        <f t="shared" ca="1" si="131"/>
        <v>1</v>
      </c>
      <c r="DD231" s="29">
        <f t="shared" ca="1" si="131"/>
        <v>0</v>
      </c>
      <c r="DE231" s="29">
        <f t="shared" ca="1" si="131"/>
        <v>0</v>
      </c>
      <c r="DF231" s="29">
        <f t="shared" ca="1" si="117"/>
        <v>3</v>
      </c>
      <c r="DG231" s="29">
        <f t="shared" ca="1" si="117"/>
        <v>1</v>
      </c>
      <c r="DH231" s="29">
        <f t="shared" ca="1" si="117"/>
        <v>1</v>
      </c>
      <c r="DI231" s="29">
        <f t="shared" ref="DI231:DL231" ca="1" si="133">_xlfn.BINOM.INV(50,$E231,RAND())</f>
        <v>1</v>
      </c>
      <c r="DJ231" s="29">
        <f t="shared" ca="1" si="133"/>
        <v>3</v>
      </c>
      <c r="DK231" s="29">
        <f t="shared" ca="1" si="133"/>
        <v>3</v>
      </c>
      <c r="DL231" s="29">
        <f t="shared" ca="1" si="133"/>
        <v>2</v>
      </c>
    </row>
    <row r="232" spans="1:116" ht="14.4" x14ac:dyDescent="0.3">
      <c r="A232" s="31">
        <v>408</v>
      </c>
      <c r="B232" s="28">
        <v>4.46</v>
      </c>
      <c r="C232" s="30">
        <v>94.18</v>
      </c>
      <c r="D232" s="28">
        <v>2.48</v>
      </c>
      <c r="E232" s="34">
        <f t="shared" si="110"/>
        <v>4.9599999999999998E-2</v>
      </c>
      <c r="F232" s="35">
        <f t="shared" si="111"/>
        <v>23.545000000000002</v>
      </c>
      <c r="G232" s="34">
        <f t="shared" si="112"/>
        <v>62</v>
      </c>
      <c r="H232" s="33">
        <f t="shared" si="113"/>
        <v>8.6221973094170394</v>
      </c>
      <c r="I232" s="28">
        <f t="shared" si="118"/>
        <v>716.01000000000067</v>
      </c>
      <c r="J232" s="32">
        <v>0</v>
      </c>
      <c r="K232" s="30">
        <f t="shared" si="114"/>
        <v>62</v>
      </c>
      <c r="L232" s="30"/>
      <c r="M232" s="30"/>
      <c r="N232" s="30"/>
      <c r="O232" s="30"/>
      <c r="Q232" s="29">
        <f t="shared" ca="1" si="115"/>
        <v>3</v>
      </c>
      <c r="R232" s="29">
        <f t="shared" ca="1" si="128"/>
        <v>1</v>
      </c>
      <c r="S232" s="29">
        <f t="shared" ca="1" si="128"/>
        <v>2</v>
      </c>
      <c r="T232" s="29">
        <f t="shared" ca="1" si="128"/>
        <v>7</v>
      </c>
      <c r="U232" s="29">
        <f t="shared" ca="1" si="128"/>
        <v>6</v>
      </c>
      <c r="V232" s="29">
        <f t="shared" ca="1" si="128"/>
        <v>1</v>
      </c>
      <c r="W232" s="29">
        <f t="shared" ca="1" si="128"/>
        <v>3</v>
      </c>
      <c r="X232" s="29">
        <f t="shared" ca="1" si="128"/>
        <v>2</v>
      </c>
      <c r="Y232" s="29">
        <f t="shared" ca="1" si="128"/>
        <v>2</v>
      </c>
      <c r="Z232" s="29">
        <f t="shared" ca="1" si="128"/>
        <v>0</v>
      </c>
      <c r="AA232" s="29">
        <f t="shared" ca="1" si="128"/>
        <v>3</v>
      </c>
      <c r="AB232" s="29">
        <f t="shared" ca="1" si="128"/>
        <v>3</v>
      </c>
      <c r="AC232" s="29">
        <f t="shared" ca="1" si="128"/>
        <v>3</v>
      </c>
      <c r="AD232" s="29">
        <f t="shared" ca="1" si="128"/>
        <v>1</v>
      </c>
      <c r="AE232" s="29">
        <f t="shared" ca="1" si="128"/>
        <v>6</v>
      </c>
      <c r="AF232" s="29">
        <f t="shared" ca="1" si="128"/>
        <v>2</v>
      </c>
      <c r="AG232" s="29">
        <f t="shared" ca="1" si="127"/>
        <v>4</v>
      </c>
      <c r="AH232" s="29">
        <f t="shared" ca="1" si="127"/>
        <v>6</v>
      </c>
      <c r="AI232" s="29">
        <f t="shared" ca="1" si="127"/>
        <v>2</v>
      </c>
      <c r="AJ232" s="29">
        <f t="shared" ca="1" si="127"/>
        <v>3</v>
      </c>
      <c r="AK232" s="29">
        <f t="shared" ca="1" si="127"/>
        <v>1</v>
      </c>
      <c r="AL232" s="29">
        <f t="shared" ca="1" si="127"/>
        <v>1</v>
      </c>
      <c r="AM232" s="29">
        <f t="shared" ca="1" si="127"/>
        <v>0</v>
      </c>
      <c r="AN232" s="29">
        <f t="shared" ca="1" si="127"/>
        <v>3</v>
      </c>
      <c r="AO232" s="29">
        <f t="shared" ca="1" si="127"/>
        <v>7</v>
      </c>
      <c r="AP232" s="29">
        <f t="shared" ca="1" si="127"/>
        <v>1</v>
      </c>
      <c r="AQ232" s="29">
        <f t="shared" ca="1" si="127"/>
        <v>1</v>
      </c>
      <c r="AR232" s="29">
        <f t="shared" ca="1" si="127"/>
        <v>1</v>
      </c>
      <c r="AS232" s="29">
        <f t="shared" ca="1" si="127"/>
        <v>5</v>
      </c>
      <c r="AT232" s="29">
        <f t="shared" ca="1" si="127"/>
        <v>0</v>
      </c>
      <c r="AU232" s="29">
        <f t="shared" ca="1" si="127"/>
        <v>4</v>
      </c>
      <c r="AV232" s="29">
        <f t="shared" ca="1" si="130"/>
        <v>1</v>
      </c>
      <c r="AW232" s="29">
        <f t="shared" ca="1" si="130"/>
        <v>0</v>
      </c>
      <c r="AX232" s="29">
        <f t="shared" ca="1" si="130"/>
        <v>4</v>
      </c>
      <c r="AY232" s="29">
        <f t="shared" ca="1" si="130"/>
        <v>1</v>
      </c>
      <c r="AZ232" s="29">
        <f t="shared" ca="1" si="130"/>
        <v>1</v>
      </c>
      <c r="BA232" s="29">
        <f t="shared" ca="1" si="130"/>
        <v>1</v>
      </c>
      <c r="BB232" s="29">
        <f t="shared" ca="1" si="130"/>
        <v>3</v>
      </c>
      <c r="BC232" s="29">
        <f t="shared" ca="1" si="130"/>
        <v>2</v>
      </c>
      <c r="BD232" s="29">
        <f t="shared" ca="1" si="130"/>
        <v>3</v>
      </c>
      <c r="BE232" s="29">
        <f t="shared" ca="1" si="130"/>
        <v>0</v>
      </c>
      <c r="BF232" s="29">
        <f t="shared" ca="1" si="130"/>
        <v>3</v>
      </c>
      <c r="BG232" s="29">
        <f t="shared" ca="1" si="130"/>
        <v>3</v>
      </c>
      <c r="BH232" s="29">
        <f t="shared" ca="1" si="130"/>
        <v>3</v>
      </c>
      <c r="BI232" s="29">
        <f t="shared" ca="1" si="130"/>
        <v>3</v>
      </c>
      <c r="BJ232" s="29">
        <f t="shared" ca="1" si="130"/>
        <v>3</v>
      </c>
      <c r="BK232" s="29">
        <f t="shared" ca="1" si="130"/>
        <v>2</v>
      </c>
      <c r="BL232" s="29">
        <f t="shared" ca="1" si="129"/>
        <v>3</v>
      </c>
      <c r="BM232" s="29">
        <f t="shared" ca="1" si="129"/>
        <v>0</v>
      </c>
      <c r="BN232" s="29">
        <f t="shared" ca="1" si="129"/>
        <v>1</v>
      </c>
      <c r="BO232" s="29">
        <f t="shared" ca="1" si="129"/>
        <v>4</v>
      </c>
      <c r="BP232" s="29">
        <f t="shared" ca="1" si="129"/>
        <v>5</v>
      </c>
      <c r="BQ232" s="29">
        <f t="shared" ca="1" si="129"/>
        <v>1</v>
      </c>
      <c r="BR232" s="29">
        <f t="shared" ca="1" si="129"/>
        <v>1</v>
      </c>
      <c r="BS232" s="29">
        <f t="shared" ca="1" si="129"/>
        <v>3</v>
      </c>
      <c r="BT232" s="29">
        <f t="shared" ca="1" si="129"/>
        <v>3</v>
      </c>
      <c r="BU232" s="29">
        <f t="shared" ca="1" si="129"/>
        <v>3</v>
      </c>
      <c r="BV232" s="29">
        <f t="shared" ca="1" si="129"/>
        <v>4</v>
      </c>
      <c r="BW232" s="29">
        <f t="shared" ca="1" si="129"/>
        <v>1</v>
      </c>
      <c r="BX232" s="29">
        <f t="shared" ca="1" si="129"/>
        <v>1</v>
      </c>
      <c r="BY232" s="29">
        <f t="shared" ca="1" si="129"/>
        <v>1</v>
      </c>
      <c r="BZ232" s="29">
        <f t="shared" ca="1" si="129"/>
        <v>2</v>
      </c>
      <c r="CA232" s="29">
        <f t="shared" ca="1" si="132"/>
        <v>1</v>
      </c>
      <c r="CB232" s="29">
        <f t="shared" ca="1" si="132"/>
        <v>1</v>
      </c>
      <c r="CC232" s="29">
        <f t="shared" ca="1" si="132"/>
        <v>2</v>
      </c>
      <c r="CD232" s="29">
        <f t="shared" ca="1" si="132"/>
        <v>5</v>
      </c>
      <c r="CE232" s="29">
        <f t="shared" ca="1" si="132"/>
        <v>3</v>
      </c>
      <c r="CF232" s="29">
        <f t="shared" ca="1" si="132"/>
        <v>0</v>
      </c>
      <c r="CG232" s="29">
        <f t="shared" ca="1" si="132"/>
        <v>3</v>
      </c>
      <c r="CH232" s="29">
        <f t="shared" ca="1" si="132"/>
        <v>2</v>
      </c>
      <c r="CI232" s="29">
        <f t="shared" ca="1" si="132"/>
        <v>2</v>
      </c>
      <c r="CJ232" s="29">
        <f t="shared" ca="1" si="132"/>
        <v>2</v>
      </c>
      <c r="CK232" s="29">
        <f t="shared" ca="1" si="132"/>
        <v>1</v>
      </c>
      <c r="CL232" s="29">
        <f t="shared" ca="1" si="132"/>
        <v>3</v>
      </c>
      <c r="CM232" s="29">
        <f t="shared" ca="1" si="132"/>
        <v>3</v>
      </c>
      <c r="CN232" s="29">
        <f t="shared" ca="1" si="132"/>
        <v>1</v>
      </c>
      <c r="CO232" s="29">
        <f t="shared" ca="1" si="132"/>
        <v>1</v>
      </c>
      <c r="CP232" s="29">
        <f t="shared" ca="1" si="132"/>
        <v>2</v>
      </c>
      <c r="CQ232" s="29">
        <f t="shared" ca="1" si="131"/>
        <v>4</v>
      </c>
      <c r="CR232" s="29">
        <f t="shared" ca="1" si="131"/>
        <v>3</v>
      </c>
      <c r="CS232" s="29">
        <f t="shared" ca="1" si="131"/>
        <v>3</v>
      </c>
      <c r="CT232" s="29">
        <f t="shared" ca="1" si="131"/>
        <v>4</v>
      </c>
      <c r="CU232" s="29">
        <f t="shared" ca="1" si="131"/>
        <v>0</v>
      </c>
      <c r="CV232" s="29">
        <f t="shared" ca="1" si="131"/>
        <v>4</v>
      </c>
      <c r="CW232" s="29">
        <f t="shared" ca="1" si="131"/>
        <v>3</v>
      </c>
      <c r="CX232" s="29">
        <f t="shared" ca="1" si="131"/>
        <v>4</v>
      </c>
      <c r="CY232" s="29">
        <f t="shared" ca="1" si="131"/>
        <v>2</v>
      </c>
      <c r="CZ232" s="29">
        <f t="shared" ca="1" si="131"/>
        <v>3</v>
      </c>
      <c r="DA232" s="29">
        <f t="shared" ca="1" si="131"/>
        <v>2</v>
      </c>
      <c r="DB232" s="29">
        <f t="shared" ca="1" si="131"/>
        <v>6</v>
      </c>
      <c r="DC232" s="29">
        <f t="shared" ca="1" si="131"/>
        <v>2</v>
      </c>
      <c r="DD232" s="29">
        <f t="shared" ca="1" si="131"/>
        <v>3</v>
      </c>
      <c r="DE232" s="29">
        <f t="shared" ca="1" si="131"/>
        <v>3</v>
      </c>
      <c r="DF232" s="29">
        <f t="shared" ref="DF232:DL268" ca="1" si="134">_xlfn.BINOM.INV(50,$E232,RAND())</f>
        <v>4</v>
      </c>
      <c r="DG232" s="29">
        <f t="shared" ca="1" si="134"/>
        <v>2</v>
      </c>
      <c r="DH232" s="29">
        <f t="shared" ca="1" si="134"/>
        <v>2</v>
      </c>
      <c r="DI232" s="29">
        <f t="shared" ca="1" si="134"/>
        <v>2</v>
      </c>
      <c r="DJ232" s="29">
        <f t="shared" ca="1" si="134"/>
        <v>4</v>
      </c>
      <c r="DK232" s="29">
        <f t="shared" ca="1" si="134"/>
        <v>2</v>
      </c>
      <c r="DL232" s="29">
        <f t="shared" ca="1" si="134"/>
        <v>2</v>
      </c>
    </row>
    <row r="233" spans="1:116" ht="14.4" x14ac:dyDescent="0.3">
      <c r="A233" s="31">
        <v>927</v>
      </c>
      <c r="B233" s="28">
        <v>7.34</v>
      </c>
      <c r="C233" s="30">
        <v>0.8</v>
      </c>
      <c r="D233" s="28">
        <v>2.5299999999999998</v>
      </c>
      <c r="E233" s="34">
        <f t="shared" si="110"/>
        <v>5.0599999999999999E-2</v>
      </c>
      <c r="F233" s="35">
        <f t="shared" si="111"/>
        <v>0.2</v>
      </c>
      <c r="G233" s="34">
        <f t="shared" si="112"/>
        <v>63.249999999999993</v>
      </c>
      <c r="H233" s="33">
        <f t="shared" si="113"/>
        <v>8.5899182561307885</v>
      </c>
      <c r="I233" s="28">
        <f t="shared" si="118"/>
        <v>723.3500000000007</v>
      </c>
      <c r="J233" s="32">
        <v>0</v>
      </c>
      <c r="K233" s="30">
        <f t="shared" si="114"/>
        <v>63.249999999999993</v>
      </c>
      <c r="L233" s="30"/>
      <c r="M233" s="30"/>
      <c r="N233" s="30"/>
      <c r="O233" s="30"/>
      <c r="Q233" s="29">
        <f t="shared" ca="1" si="115"/>
        <v>2</v>
      </c>
      <c r="R233" s="29">
        <f t="shared" ca="1" si="128"/>
        <v>1</v>
      </c>
      <c r="S233" s="29">
        <f t="shared" ca="1" si="128"/>
        <v>4</v>
      </c>
      <c r="T233" s="29">
        <f t="shared" ca="1" si="128"/>
        <v>1</v>
      </c>
      <c r="U233" s="29">
        <f t="shared" ca="1" si="128"/>
        <v>2</v>
      </c>
      <c r="V233" s="29">
        <f t="shared" ca="1" si="128"/>
        <v>5</v>
      </c>
      <c r="W233" s="29">
        <f t="shared" ca="1" si="128"/>
        <v>2</v>
      </c>
      <c r="X233" s="29">
        <f t="shared" ca="1" si="128"/>
        <v>1</v>
      </c>
      <c r="Y233" s="29">
        <f t="shared" ca="1" si="128"/>
        <v>3</v>
      </c>
      <c r="Z233" s="29">
        <f t="shared" ca="1" si="128"/>
        <v>4</v>
      </c>
      <c r="AA233" s="29">
        <f t="shared" ca="1" si="128"/>
        <v>6</v>
      </c>
      <c r="AB233" s="29">
        <f t="shared" ca="1" si="128"/>
        <v>2</v>
      </c>
      <c r="AC233" s="29">
        <f t="shared" ca="1" si="128"/>
        <v>2</v>
      </c>
      <c r="AD233" s="29">
        <f t="shared" ca="1" si="128"/>
        <v>0</v>
      </c>
      <c r="AE233" s="29">
        <f t="shared" ca="1" si="128"/>
        <v>2</v>
      </c>
      <c r="AF233" s="29">
        <f t="shared" ref="AF233:AU248" ca="1" si="135">_xlfn.BINOM.INV(50,$E233,RAND())</f>
        <v>4</v>
      </c>
      <c r="AG233" s="29">
        <f t="shared" ca="1" si="135"/>
        <v>5</v>
      </c>
      <c r="AH233" s="29">
        <f t="shared" ca="1" si="135"/>
        <v>2</v>
      </c>
      <c r="AI233" s="29">
        <f t="shared" ca="1" si="135"/>
        <v>2</v>
      </c>
      <c r="AJ233" s="29">
        <f t="shared" ca="1" si="135"/>
        <v>3</v>
      </c>
      <c r="AK233" s="29">
        <f t="shared" ca="1" si="135"/>
        <v>2</v>
      </c>
      <c r="AL233" s="29">
        <f t="shared" ca="1" si="135"/>
        <v>1</v>
      </c>
      <c r="AM233" s="29">
        <f t="shared" ca="1" si="135"/>
        <v>2</v>
      </c>
      <c r="AN233" s="29">
        <f t="shared" ca="1" si="135"/>
        <v>0</v>
      </c>
      <c r="AO233" s="29">
        <f t="shared" ca="1" si="135"/>
        <v>0</v>
      </c>
      <c r="AP233" s="29">
        <f t="shared" ca="1" si="135"/>
        <v>1</v>
      </c>
      <c r="AQ233" s="29">
        <f t="shared" ca="1" si="135"/>
        <v>4</v>
      </c>
      <c r="AR233" s="29">
        <f t="shared" ca="1" si="135"/>
        <v>3</v>
      </c>
      <c r="AS233" s="29">
        <f t="shared" ca="1" si="135"/>
        <v>3</v>
      </c>
      <c r="AT233" s="29">
        <f t="shared" ca="1" si="135"/>
        <v>3</v>
      </c>
      <c r="AU233" s="29">
        <f t="shared" ca="1" si="135"/>
        <v>1</v>
      </c>
      <c r="AV233" s="29">
        <f t="shared" ca="1" si="130"/>
        <v>0</v>
      </c>
      <c r="AW233" s="29">
        <f t="shared" ca="1" si="130"/>
        <v>3</v>
      </c>
      <c r="AX233" s="29">
        <f t="shared" ca="1" si="130"/>
        <v>5</v>
      </c>
      <c r="AY233" s="29">
        <f t="shared" ca="1" si="130"/>
        <v>2</v>
      </c>
      <c r="AZ233" s="29">
        <f t="shared" ca="1" si="130"/>
        <v>2</v>
      </c>
      <c r="BA233" s="29">
        <f t="shared" ca="1" si="130"/>
        <v>4</v>
      </c>
      <c r="BB233" s="29">
        <f t="shared" ca="1" si="130"/>
        <v>0</v>
      </c>
      <c r="BC233" s="29">
        <f t="shared" ca="1" si="130"/>
        <v>2</v>
      </c>
      <c r="BD233" s="29">
        <f t="shared" ca="1" si="130"/>
        <v>5</v>
      </c>
      <c r="BE233" s="29">
        <f t="shared" ca="1" si="130"/>
        <v>1</v>
      </c>
      <c r="BF233" s="29">
        <f t="shared" ca="1" si="130"/>
        <v>1</v>
      </c>
      <c r="BG233" s="29">
        <f t="shared" ca="1" si="130"/>
        <v>2</v>
      </c>
      <c r="BH233" s="29">
        <f t="shared" ca="1" si="130"/>
        <v>1</v>
      </c>
      <c r="BI233" s="29">
        <f t="shared" ca="1" si="130"/>
        <v>2</v>
      </c>
      <c r="BJ233" s="29">
        <f t="shared" ca="1" si="130"/>
        <v>3</v>
      </c>
      <c r="BK233" s="29">
        <f t="shared" ca="1" si="130"/>
        <v>2</v>
      </c>
      <c r="BL233" s="29">
        <f t="shared" ca="1" si="129"/>
        <v>6</v>
      </c>
      <c r="BM233" s="29">
        <f t="shared" ca="1" si="129"/>
        <v>2</v>
      </c>
      <c r="BN233" s="29">
        <f t="shared" ca="1" si="129"/>
        <v>2</v>
      </c>
      <c r="BO233" s="29">
        <f t="shared" ca="1" si="129"/>
        <v>1</v>
      </c>
      <c r="BP233" s="29">
        <f t="shared" ca="1" si="129"/>
        <v>3</v>
      </c>
      <c r="BQ233" s="29">
        <f t="shared" ca="1" si="129"/>
        <v>2</v>
      </c>
      <c r="BR233" s="29">
        <f t="shared" ca="1" si="129"/>
        <v>2</v>
      </c>
      <c r="BS233" s="29">
        <f t="shared" ca="1" si="129"/>
        <v>0</v>
      </c>
      <c r="BT233" s="29">
        <f t="shared" ca="1" si="129"/>
        <v>0</v>
      </c>
      <c r="BU233" s="29">
        <f t="shared" ca="1" si="129"/>
        <v>3</v>
      </c>
      <c r="BV233" s="29">
        <f t="shared" ca="1" si="129"/>
        <v>2</v>
      </c>
      <c r="BW233" s="29">
        <f t="shared" ca="1" si="129"/>
        <v>2</v>
      </c>
      <c r="BX233" s="29">
        <f t="shared" ca="1" si="129"/>
        <v>2</v>
      </c>
      <c r="BY233" s="29">
        <f t="shared" ca="1" si="129"/>
        <v>2</v>
      </c>
      <c r="BZ233" s="29">
        <f t="shared" ca="1" si="129"/>
        <v>2</v>
      </c>
      <c r="CA233" s="29">
        <f t="shared" ca="1" si="132"/>
        <v>3</v>
      </c>
      <c r="CB233" s="29">
        <f t="shared" ca="1" si="132"/>
        <v>4</v>
      </c>
      <c r="CC233" s="29">
        <f t="shared" ca="1" si="132"/>
        <v>2</v>
      </c>
      <c r="CD233" s="29">
        <f t="shared" ca="1" si="132"/>
        <v>4</v>
      </c>
      <c r="CE233" s="29">
        <f t="shared" ca="1" si="132"/>
        <v>4</v>
      </c>
      <c r="CF233" s="29">
        <f t="shared" ca="1" si="132"/>
        <v>2</v>
      </c>
      <c r="CG233" s="29">
        <f t="shared" ca="1" si="132"/>
        <v>7</v>
      </c>
      <c r="CH233" s="29">
        <f t="shared" ca="1" si="132"/>
        <v>4</v>
      </c>
      <c r="CI233" s="29">
        <f t="shared" ca="1" si="132"/>
        <v>3</v>
      </c>
      <c r="CJ233" s="29">
        <f t="shared" ca="1" si="132"/>
        <v>2</v>
      </c>
      <c r="CK233" s="29">
        <f t="shared" ca="1" si="132"/>
        <v>1</v>
      </c>
      <c r="CL233" s="29">
        <f t="shared" ca="1" si="132"/>
        <v>4</v>
      </c>
      <c r="CM233" s="29">
        <f t="shared" ca="1" si="132"/>
        <v>1</v>
      </c>
      <c r="CN233" s="29">
        <f t="shared" ca="1" si="132"/>
        <v>4</v>
      </c>
      <c r="CO233" s="29">
        <f t="shared" ca="1" si="132"/>
        <v>4</v>
      </c>
      <c r="CP233" s="29">
        <f t="shared" ca="1" si="132"/>
        <v>0</v>
      </c>
      <c r="CQ233" s="29">
        <f t="shared" ca="1" si="131"/>
        <v>2</v>
      </c>
      <c r="CR233" s="29">
        <f t="shared" ca="1" si="131"/>
        <v>5</v>
      </c>
      <c r="CS233" s="29">
        <f t="shared" ca="1" si="131"/>
        <v>2</v>
      </c>
      <c r="CT233" s="29">
        <f t="shared" ca="1" si="131"/>
        <v>1</v>
      </c>
      <c r="CU233" s="29">
        <f t="shared" ca="1" si="131"/>
        <v>2</v>
      </c>
      <c r="CV233" s="29">
        <f t="shared" ca="1" si="131"/>
        <v>5</v>
      </c>
      <c r="CW233" s="29">
        <f t="shared" ca="1" si="131"/>
        <v>2</v>
      </c>
      <c r="CX233" s="29">
        <f t="shared" ca="1" si="131"/>
        <v>1</v>
      </c>
      <c r="CY233" s="29">
        <f t="shared" ca="1" si="131"/>
        <v>2</v>
      </c>
      <c r="CZ233" s="29">
        <f t="shared" ca="1" si="131"/>
        <v>2</v>
      </c>
      <c r="DA233" s="29">
        <f t="shared" ca="1" si="131"/>
        <v>1</v>
      </c>
      <c r="DB233" s="29">
        <f t="shared" ca="1" si="131"/>
        <v>3</v>
      </c>
      <c r="DC233" s="29">
        <f t="shared" ca="1" si="131"/>
        <v>1</v>
      </c>
      <c r="DD233" s="29">
        <f t="shared" ca="1" si="131"/>
        <v>0</v>
      </c>
      <c r="DE233" s="29">
        <f t="shared" ca="1" si="131"/>
        <v>2</v>
      </c>
      <c r="DF233" s="29">
        <f t="shared" ca="1" si="134"/>
        <v>6</v>
      </c>
      <c r="DG233" s="29">
        <f t="shared" ca="1" si="134"/>
        <v>3</v>
      </c>
      <c r="DH233" s="29">
        <f t="shared" ca="1" si="134"/>
        <v>5</v>
      </c>
      <c r="DI233" s="29">
        <f t="shared" ca="1" si="134"/>
        <v>3</v>
      </c>
      <c r="DJ233" s="29">
        <f t="shared" ca="1" si="134"/>
        <v>4</v>
      </c>
      <c r="DK233" s="29">
        <f t="shared" ca="1" si="134"/>
        <v>2</v>
      </c>
      <c r="DL233" s="29">
        <f t="shared" ca="1" si="134"/>
        <v>5</v>
      </c>
    </row>
    <row r="234" spans="1:116" ht="14.4" x14ac:dyDescent="0.3">
      <c r="A234" s="31">
        <v>256</v>
      </c>
      <c r="B234" s="28">
        <v>7.36</v>
      </c>
      <c r="C234" s="30">
        <v>48.59</v>
      </c>
      <c r="D234" s="28">
        <v>3</v>
      </c>
      <c r="E234" s="34">
        <f t="shared" si="110"/>
        <v>0.06</v>
      </c>
      <c r="F234" s="35">
        <f t="shared" si="111"/>
        <v>12.147500000000001</v>
      </c>
      <c r="G234" s="34">
        <f t="shared" si="112"/>
        <v>75</v>
      </c>
      <c r="H234" s="33">
        <f t="shared" si="113"/>
        <v>8.539741847826086</v>
      </c>
      <c r="I234" s="28">
        <f t="shared" si="118"/>
        <v>730.71000000000072</v>
      </c>
      <c r="J234" s="32">
        <v>0</v>
      </c>
      <c r="K234" s="30">
        <f t="shared" si="114"/>
        <v>75</v>
      </c>
      <c r="L234" s="30"/>
      <c r="M234" s="30"/>
      <c r="N234" s="30"/>
      <c r="O234" s="30"/>
      <c r="Q234" s="29">
        <f t="shared" ca="1" si="115"/>
        <v>3</v>
      </c>
      <c r="R234" s="29">
        <f t="shared" ref="R234:AF249" ca="1" si="136">_xlfn.BINOM.INV(50,$E234,RAND())</f>
        <v>5</v>
      </c>
      <c r="S234" s="29">
        <f t="shared" ca="1" si="136"/>
        <v>0</v>
      </c>
      <c r="T234" s="29">
        <f t="shared" ca="1" si="136"/>
        <v>1</v>
      </c>
      <c r="U234" s="29">
        <f t="shared" ca="1" si="136"/>
        <v>4</v>
      </c>
      <c r="V234" s="29">
        <f t="shared" ca="1" si="136"/>
        <v>4</v>
      </c>
      <c r="W234" s="29">
        <f t="shared" ca="1" si="136"/>
        <v>4</v>
      </c>
      <c r="X234" s="29">
        <f t="shared" ca="1" si="136"/>
        <v>5</v>
      </c>
      <c r="Y234" s="29">
        <f t="shared" ca="1" si="136"/>
        <v>1</v>
      </c>
      <c r="Z234" s="29">
        <f t="shared" ca="1" si="136"/>
        <v>1</v>
      </c>
      <c r="AA234" s="29">
        <f t="shared" ca="1" si="136"/>
        <v>4</v>
      </c>
      <c r="AB234" s="29">
        <f t="shared" ca="1" si="136"/>
        <v>3</v>
      </c>
      <c r="AC234" s="29">
        <f t="shared" ca="1" si="136"/>
        <v>2</v>
      </c>
      <c r="AD234" s="29">
        <f t="shared" ca="1" si="136"/>
        <v>4</v>
      </c>
      <c r="AE234" s="29">
        <f t="shared" ca="1" si="136"/>
        <v>2</v>
      </c>
      <c r="AF234" s="29">
        <f t="shared" ca="1" si="136"/>
        <v>5</v>
      </c>
      <c r="AG234" s="29">
        <f t="shared" ca="1" si="135"/>
        <v>3</v>
      </c>
      <c r="AH234" s="29">
        <f t="shared" ca="1" si="135"/>
        <v>6</v>
      </c>
      <c r="AI234" s="29">
        <f t="shared" ca="1" si="135"/>
        <v>2</v>
      </c>
      <c r="AJ234" s="29">
        <f t="shared" ca="1" si="135"/>
        <v>4</v>
      </c>
      <c r="AK234" s="29">
        <f t="shared" ca="1" si="135"/>
        <v>4</v>
      </c>
      <c r="AL234" s="29">
        <f t="shared" ca="1" si="135"/>
        <v>0</v>
      </c>
      <c r="AM234" s="29">
        <f t="shared" ca="1" si="135"/>
        <v>3</v>
      </c>
      <c r="AN234" s="29">
        <f t="shared" ca="1" si="135"/>
        <v>3</v>
      </c>
      <c r="AO234" s="29">
        <f t="shared" ca="1" si="135"/>
        <v>3</v>
      </c>
      <c r="AP234" s="29">
        <f t="shared" ca="1" si="135"/>
        <v>5</v>
      </c>
      <c r="AQ234" s="29">
        <f t="shared" ca="1" si="135"/>
        <v>7</v>
      </c>
      <c r="AR234" s="29">
        <f t="shared" ca="1" si="135"/>
        <v>4</v>
      </c>
      <c r="AS234" s="29">
        <f t="shared" ca="1" si="135"/>
        <v>4</v>
      </c>
      <c r="AT234" s="29">
        <f t="shared" ca="1" si="135"/>
        <v>4</v>
      </c>
      <c r="AU234" s="29">
        <f t="shared" ca="1" si="135"/>
        <v>1</v>
      </c>
      <c r="AV234" s="29">
        <f t="shared" ca="1" si="130"/>
        <v>4</v>
      </c>
      <c r="AW234" s="29">
        <f t="shared" ca="1" si="130"/>
        <v>1</v>
      </c>
      <c r="AX234" s="29">
        <f t="shared" ca="1" si="130"/>
        <v>4</v>
      </c>
      <c r="AY234" s="29">
        <f t="shared" ca="1" si="130"/>
        <v>4</v>
      </c>
      <c r="AZ234" s="29">
        <f t="shared" ca="1" si="130"/>
        <v>7</v>
      </c>
      <c r="BA234" s="29">
        <f t="shared" ca="1" si="130"/>
        <v>1</v>
      </c>
      <c r="BB234" s="29">
        <f t="shared" ca="1" si="130"/>
        <v>3</v>
      </c>
      <c r="BC234" s="29">
        <f t="shared" ca="1" si="130"/>
        <v>2</v>
      </c>
      <c r="BD234" s="29">
        <f t="shared" ca="1" si="130"/>
        <v>2</v>
      </c>
      <c r="BE234" s="29">
        <f t="shared" ca="1" si="130"/>
        <v>4</v>
      </c>
      <c r="BF234" s="29">
        <f t="shared" ca="1" si="130"/>
        <v>3</v>
      </c>
      <c r="BG234" s="29">
        <f t="shared" ca="1" si="130"/>
        <v>2</v>
      </c>
      <c r="BH234" s="29">
        <f t="shared" ca="1" si="130"/>
        <v>3</v>
      </c>
      <c r="BI234" s="29">
        <f t="shared" ca="1" si="130"/>
        <v>2</v>
      </c>
      <c r="BJ234" s="29">
        <f t="shared" ca="1" si="130"/>
        <v>5</v>
      </c>
      <c r="BK234" s="29">
        <f t="shared" ca="1" si="130"/>
        <v>1</v>
      </c>
      <c r="BL234" s="29">
        <f t="shared" ca="1" si="129"/>
        <v>5</v>
      </c>
      <c r="BM234" s="29">
        <f t="shared" ca="1" si="129"/>
        <v>5</v>
      </c>
      <c r="BN234" s="29">
        <f t="shared" ca="1" si="129"/>
        <v>0</v>
      </c>
      <c r="BO234" s="29">
        <f t="shared" ca="1" si="129"/>
        <v>4</v>
      </c>
      <c r="BP234" s="29">
        <f t="shared" ca="1" si="129"/>
        <v>3</v>
      </c>
      <c r="BQ234" s="29">
        <f t="shared" ca="1" si="129"/>
        <v>2</v>
      </c>
      <c r="BR234" s="29">
        <f t="shared" ca="1" si="129"/>
        <v>2</v>
      </c>
      <c r="BS234" s="29">
        <f t="shared" ca="1" si="129"/>
        <v>0</v>
      </c>
      <c r="BT234" s="29">
        <f t="shared" ca="1" si="129"/>
        <v>2</v>
      </c>
      <c r="BU234" s="29">
        <f t="shared" ca="1" si="129"/>
        <v>3</v>
      </c>
      <c r="BV234" s="29">
        <f t="shared" ca="1" si="129"/>
        <v>3</v>
      </c>
      <c r="BW234" s="29">
        <f t="shared" ca="1" si="129"/>
        <v>6</v>
      </c>
      <c r="BX234" s="29">
        <f t="shared" ca="1" si="129"/>
        <v>4</v>
      </c>
      <c r="BY234" s="29">
        <f t="shared" ca="1" si="129"/>
        <v>4</v>
      </c>
      <c r="BZ234" s="29">
        <f t="shared" ca="1" si="129"/>
        <v>3</v>
      </c>
      <c r="CA234" s="29">
        <f t="shared" ca="1" si="132"/>
        <v>2</v>
      </c>
      <c r="CB234" s="29">
        <f t="shared" ca="1" si="132"/>
        <v>1</v>
      </c>
      <c r="CC234" s="29">
        <f t="shared" ca="1" si="132"/>
        <v>4</v>
      </c>
      <c r="CD234" s="29">
        <f t="shared" ca="1" si="132"/>
        <v>1</v>
      </c>
      <c r="CE234" s="29">
        <f t="shared" ca="1" si="132"/>
        <v>4</v>
      </c>
      <c r="CF234" s="29">
        <f t="shared" ca="1" si="132"/>
        <v>4</v>
      </c>
      <c r="CG234" s="29">
        <f t="shared" ca="1" si="132"/>
        <v>1</v>
      </c>
      <c r="CH234" s="29">
        <f t="shared" ca="1" si="132"/>
        <v>6</v>
      </c>
      <c r="CI234" s="29">
        <f t="shared" ca="1" si="132"/>
        <v>3</v>
      </c>
      <c r="CJ234" s="29">
        <f t="shared" ca="1" si="132"/>
        <v>3</v>
      </c>
      <c r="CK234" s="29">
        <f t="shared" ca="1" si="132"/>
        <v>2</v>
      </c>
      <c r="CL234" s="29">
        <f t="shared" ca="1" si="132"/>
        <v>3</v>
      </c>
      <c r="CM234" s="29">
        <f t="shared" ca="1" si="132"/>
        <v>5</v>
      </c>
      <c r="CN234" s="29">
        <f t="shared" ca="1" si="132"/>
        <v>1</v>
      </c>
      <c r="CO234" s="29">
        <f t="shared" ca="1" si="132"/>
        <v>2</v>
      </c>
      <c r="CP234" s="29">
        <f t="shared" ca="1" si="132"/>
        <v>2</v>
      </c>
      <c r="CQ234" s="29">
        <f t="shared" ca="1" si="131"/>
        <v>4</v>
      </c>
      <c r="CR234" s="29">
        <f t="shared" ca="1" si="131"/>
        <v>2</v>
      </c>
      <c r="CS234" s="29">
        <f t="shared" ca="1" si="131"/>
        <v>3</v>
      </c>
      <c r="CT234" s="29">
        <f t="shared" ca="1" si="131"/>
        <v>0</v>
      </c>
      <c r="CU234" s="29">
        <f t="shared" ca="1" si="131"/>
        <v>3</v>
      </c>
      <c r="CV234" s="29">
        <f t="shared" ca="1" si="131"/>
        <v>2</v>
      </c>
      <c r="CW234" s="29">
        <f t="shared" ca="1" si="131"/>
        <v>3</v>
      </c>
      <c r="CX234" s="29">
        <f t="shared" ca="1" si="131"/>
        <v>5</v>
      </c>
      <c r="CY234" s="29">
        <f t="shared" ca="1" si="131"/>
        <v>3</v>
      </c>
      <c r="CZ234" s="29">
        <f t="shared" ca="1" si="131"/>
        <v>1</v>
      </c>
      <c r="DA234" s="29">
        <f t="shared" ca="1" si="131"/>
        <v>1</v>
      </c>
      <c r="DB234" s="29">
        <f t="shared" ca="1" si="131"/>
        <v>3</v>
      </c>
      <c r="DC234" s="29">
        <f t="shared" ca="1" si="131"/>
        <v>4</v>
      </c>
      <c r="DD234" s="29">
        <f t="shared" ca="1" si="131"/>
        <v>2</v>
      </c>
      <c r="DE234" s="29">
        <f t="shared" ca="1" si="131"/>
        <v>3</v>
      </c>
      <c r="DF234" s="29">
        <f t="shared" ca="1" si="134"/>
        <v>2</v>
      </c>
      <c r="DG234" s="29">
        <f t="shared" ca="1" si="134"/>
        <v>1</v>
      </c>
      <c r="DH234" s="29">
        <f t="shared" ca="1" si="134"/>
        <v>4</v>
      </c>
      <c r="DI234" s="29">
        <f t="shared" ca="1" si="134"/>
        <v>3</v>
      </c>
      <c r="DJ234" s="29">
        <f t="shared" ca="1" si="134"/>
        <v>2</v>
      </c>
      <c r="DK234" s="29">
        <f t="shared" ca="1" si="134"/>
        <v>7</v>
      </c>
      <c r="DL234" s="29">
        <f t="shared" ca="1" si="134"/>
        <v>5</v>
      </c>
    </row>
    <row r="235" spans="1:116" ht="14.4" x14ac:dyDescent="0.3">
      <c r="A235" s="31">
        <v>142</v>
      </c>
      <c r="B235" s="28">
        <v>7.18</v>
      </c>
      <c r="C235" s="30">
        <v>4.8600000000000003</v>
      </c>
      <c r="D235" s="28">
        <v>2.48</v>
      </c>
      <c r="E235" s="34">
        <f t="shared" si="110"/>
        <v>4.9599999999999998E-2</v>
      </c>
      <c r="F235" s="35">
        <f t="shared" si="111"/>
        <v>1.2150000000000001</v>
      </c>
      <c r="G235" s="34">
        <f t="shared" si="112"/>
        <v>62</v>
      </c>
      <c r="H235" s="33">
        <f t="shared" si="113"/>
        <v>8.465877437325906</v>
      </c>
      <c r="I235" s="28">
        <f t="shared" si="118"/>
        <v>737.89000000000067</v>
      </c>
      <c r="J235" s="32">
        <v>0</v>
      </c>
      <c r="K235" s="30">
        <f t="shared" si="114"/>
        <v>62</v>
      </c>
      <c r="L235" s="30"/>
      <c r="M235" s="30"/>
      <c r="N235" s="30"/>
      <c r="O235" s="30"/>
      <c r="Q235" s="29">
        <f t="shared" ca="1" si="115"/>
        <v>3</v>
      </c>
      <c r="R235" s="29">
        <f t="shared" ca="1" si="136"/>
        <v>2</v>
      </c>
      <c r="S235" s="29">
        <f t="shared" ca="1" si="136"/>
        <v>2</v>
      </c>
      <c r="T235" s="29">
        <f t="shared" ca="1" si="136"/>
        <v>2</v>
      </c>
      <c r="U235" s="29">
        <f t="shared" ca="1" si="136"/>
        <v>2</v>
      </c>
      <c r="V235" s="29">
        <f t="shared" ca="1" si="136"/>
        <v>2</v>
      </c>
      <c r="W235" s="29">
        <f t="shared" ca="1" si="136"/>
        <v>2</v>
      </c>
      <c r="X235" s="29">
        <f t="shared" ca="1" si="136"/>
        <v>2</v>
      </c>
      <c r="Y235" s="29">
        <f t="shared" ca="1" si="136"/>
        <v>3</v>
      </c>
      <c r="Z235" s="29">
        <f t="shared" ca="1" si="136"/>
        <v>4</v>
      </c>
      <c r="AA235" s="29">
        <f t="shared" ca="1" si="136"/>
        <v>1</v>
      </c>
      <c r="AB235" s="29">
        <f t="shared" ca="1" si="136"/>
        <v>0</v>
      </c>
      <c r="AC235" s="29">
        <f t="shared" ca="1" si="136"/>
        <v>2</v>
      </c>
      <c r="AD235" s="29">
        <f t="shared" ca="1" si="136"/>
        <v>2</v>
      </c>
      <c r="AE235" s="29">
        <f t="shared" ca="1" si="136"/>
        <v>0</v>
      </c>
      <c r="AF235" s="29">
        <f t="shared" ca="1" si="136"/>
        <v>7</v>
      </c>
      <c r="AG235" s="29">
        <f t="shared" ca="1" si="135"/>
        <v>3</v>
      </c>
      <c r="AH235" s="29">
        <f t="shared" ca="1" si="135"/>
        <v>1</v>
      </c>
      <c r="AI235" s="29">
        <f t="shared" ca="1" si="135"/>
        <v>2</v>
      </c>
      <c r="AJ235" s="29">
        <f t="shared" ca="1" si="135"/>
        <v>0</v>
      </c>
      <c r="AK235" s="29">
        <f t="shared" ca="1" si="135"/>
        <v>4</v>
      </c>
      <c r="AL235" s="29">
        <f t="shared" ca="1" si="135"/>
        <v>3</v>
      </c>
      <c r="AM235" s="29">
        <f t="shared" ca="1" si="135"/>
        <v>0</v>
      </c>
      <c r="AN235" s="29">
        <f t="shared" ca="1" si="135"/>
        <v>8</v>
      </c>
      <c r="AO235" s="29">
        <f t="shared" ca="1" si="135"/>
        <v>2</v>
      </c>
      <c r="AP235" s="29">
        <f t="shared" ca="1" si="135"/>
        <v>0</v>
      </c>
      <c r="AQ235" s="29">
        <f t="shared" ca="1" si="135"/>
        <v>0</v>
      </c>
      <c r="AR235" s="29">
        <f t="shared" ca="1" si="135"/>
        <v>1</v>
      </c>
      <c r="AS235" s="29">
        <f t="shared" ca="1" si="135"/>
        <v>1</v>
      </c>
      <c r="AT235" s="29">
        <f t="shared" ca="1" si="135"/>
        <v>5</v>
      </c>
      <c r="AU235" s="29">
        <f t="shared" ca="1" si="135"/>
        <v>2</v>
      </c>
      <c r="AV235" s="29">
        <f t="shared" ca="1" si="130"/>
        <v>7</v>
      </c>
      <c r="AW235" s="29">
        <f t="shared" ca="1" si="130"/>
        <v>4</v>
      </c>
      <c r="AX235" s="29">
        <f t="shared" ca="1" si="130"/>
        <v>1</v>
      </c>
      <c r="AY235" s="29">
        <f t="shared" ca="1" si="130"/>
        <v>1</v>
      </c>
      <c r="AZ235" s="29">
        <f t="shared" ca="1" si="130"/>
        <v>3</v>
      </c>
      <c r="BA235" s="29">
        <f t="shared" ca="1" si="130"/>
        <v>2</v>
      </c>
      <c r="BB235" s="29">
        <f t="shared" ca="1" si="130"/>
        <v>1</v>
      </c>
      <c r="BC235" s="29">
        <f t="shared" ca="1" si="130"/>
        <v>1</v>
      </c>
      <c r="BD235" s="29">
        <f t="shared" ca="1" si="130"/>
        <v>3</v>
      </c>
      <c r="BE235" s="29">
        <f t="shared" ca="1" si="130"/>
        <v>4</v>
      </c>
      <c r="BF235" s="29">
        <f t="shared" ca="1" si="130"/>
        <v>4</v>
      </c>
      <c r="BG235" s="29">
        <f t="shared" ca="1" si="130"/>
        <v>1</v>
      </c>
      <c r="BH235" s="29">
        <f t="shared" ca="1" si="130"/>
        <v>0</v>
      </c>
      <c r="BI235" s="29">
        <f t="shared" ca="1" si="130"/>
        <v>2</v>
      </c>
      <c r="BJ235" s="29">
        <f t="shared" ca="1" si="130"/>
        <v>1</v>
      </c>
      <c r="BK235" s="29">
        <f t="shared" ca="1" si="130"/>
        <v>1</v>
      </c>
      <c r="BL235" s="29">
        <f t="shared" ca="1" si="129"/>
        <v>2</v>
      </c>
      <c r="BM235" s="29">
        <f t="shared" ca="1" si="129"/>
        <v>4</v>
      </c>
      <c r="BN235" s="29">
        <f t="shared" ca="1" si="129"/>
        <v>2</v>
      </c>
      <c r="BO235" s="29">
        <f t="shared" ca="1" si="129"/>
        <v>1</v>
      </c>
      <c r="BP235" s="29">
        <f t="shared" ca="1" si="129"/>
        <v>6</v>
      </c>
      <c r="BQ235" s="29">
        <f t="shared" ca="1" si="129"/>
        <v>4</v>
      </c>
      <c r="BR235" s="29">
        <f t="shared" ca="1" si="129"/>
        <v>3</v>
      </c>
      <c r="BS235" s="29">
        <f t="shared" ca="1" si="129"/>
        <v>3</v>
      </c>
      <c r="BT235" s="29">
        <f t="shared" ca="1" si="129"/>
        <v>3</v>
      </c>
      <c r="BU235" s="29">
        <f t="shared" ca="1" si="129"/>
        <v>0</v>
      </c>
      <c r="BV235" s="29">
        <f t="shared" ca="1" si="129"/>
        <v>6</v>
      </c>
      <c r="BW235" s="29">
        <f t="shared" ca="1" si="129"/>
        <v>2</v>
      </c>
      <c r="BX235" s="29">
        <f t="shared" ca="1" si="129"/>
        <v>0</v>
      </c>
      <c r="BY235" s="29">
        <f t="shared" ca="1" si="129"/>
        <v>3</v>
      </c>
      <c r="BZ235" s="29">
        <f t="shared" ca="1" si="129"/>
        <v>2</v>
      </c>
      <c r="CA235" s="29">
        <f t="shared" ca="1" si="132"/>
        <v>5</v>
      </c>
      <c r="CB235" s="29">
        <f t="shared" ca="1" si="132"/>
        <v>2</v>
      </c>
      <c r="CC235" s="29">
        <f t="shared" ca="1" si="132"/>
        <v>2</v>
      </c>
      <c r="CD235" s="29">
        <f t="shared" ca="1" si="132"/>
        <v>2</v>
      </c>
      <c r="CE235" s="29">
        <f t="shared" ca="1" si="132"/>
        <v>3</v>
      </c>
      <c r="CF235" s="29">
        <f t="shared" ca="1" si="132"/>
        <v>4</v>
      </c>
      <c r="CG235" s="29">
        <f t="shared" ca="1" si="132"/>
        <v>0</v>
      </c>
      <c r="CH235" s="29">
        <f t="shared" ca="1" si="132"/>
        <v>1</v>
      </c>
      <c r="CI235" s="29">
        <f t="shared" ca="1" si="132"/>
        <v>1</v>
      </c>
      <c r="CJ235" s="29">
        <f t="shared" ca="1" si="132"/>
        <v>7</v>
      </c>
      <c r="CK235" s="29">
        <f t="shared" ca="1" si="132"/>
        <v>2</v>
      </c>
      <c r="CL235" s="29">
        <f t="shared" ca="1" si="132"/>
        <v>1</v>
      </c>
      <c r="CM235" s="29">
        <f t="shared" ca="1" si="132"/>
        <v>0</v>
      </c>
      <c r="CN235" s="29">
        <f t="shared" ca="1" si="132"/>
        <v>1</v>
      </c>
      <c r="CO235" s="29">
        <f t="shared" ca="1" si="132"/>
        <v>2</v>
      </c>
      <c r="CP235" s="29">
        <f t="shared" ca="1" si="132"/>
        <v>4</v>
      </c>
      <c r="CQ235" s="29">
        <f t="shared" ca="1" si="131"/>
        <v>4</v>
      </c>
      <c r="CR235" s="29">
        <f t="shared" ca="1" si="131"/>
        <v>1</v>
      </c>
      <c r="CS235" s="29">
        <f t="shared" ca="1" si="131"/>
        <v>2</v>
      </c>
      <c r="CT235" s="29">
        <f t="shared" ca="1" si="131"/>
        <v>5</v>
      </c>
      <c r="CU235" s="29">
        <f t="shared" ca="1" si="131"/>
        <v>6</v>
      </c>
      <c r="CV235" s="29">
        <f t="shared" ca="1" si="131"/>
        <v>5</v>
      </c>
      <c r="CW235" s="29">
        <f t="shared" ca="1" si="131"/>
        <v>2</v>
      </c>
      <c r="CX235" s="29">
        <f t="shared" ca="1" si="131"/>
        <v>4</v>
      </c>
      <c r="CY235" s="29">
        <f t="shared" ca="1" si="131"/>
        <v>3</v>
      </c>
      <c r="CZ235" s="29">
        <f t="shared" ca="1" si="131"/>
        <v>5</v>
      </c>
      <c r="DA235" s="29">
        <f t="shared" ca="1" si="131"/>
        <v>2</v>
      </c>
      <c r="DB235" s="29">
        <f t="shared" ca="1" si="131"/>
        <v>4</v>
      </c>
      <c r="DC235" s="29">
        <f t="shared" ca="1" si="131"/>
        <v>4</v>
      </c>
      <c r="DD235" s="29">
        <f t="shared" ca="1" si="131"/>
        <v>4</v>
      </c>
      <c r="DE235" s="29">
        <f t="shared" ca="1" si="131"/>
        <v>7</v>
      </c>
      <c r="DF235" s="29">
        <f t="shared" ca="1" si="134"/>
        <v>2</v>
      </c>
      <c r="DG235" s="29">
        <f t="shared" ca="1" si="134"/>
        <v>4</v>
      </c>
      <c r="DH235" s="29">
        <f t="shared" ca="1" si="134"/>
        <v>4</v>
      </c>
      <c r="DI235" s="29">
        <f t="shared" ca="1" si="134"/>
        <v>1</v>
      </c>
      <c r="DJ235" s="29">
        <f t="shared" ca="1" si="134"/>
        <v>2</v>
      </c>
      <c r="DK235" s="29">
        <f t="shared" ca="1" si="134"/>
        <v>1</v>
      </c>
      <c r="DL235" s="29">
        <f t="shared" ca="1" si="134"/>
        <v>3</v>
      </c>
    </row>
    <row r="236" spans="1:116" ht="14.4" x14ac:dyDescent="0.3">
      <c r="A236" s="31">
        <v>337</v>
      </c>
      <c r="B236" s="28">
        <v>9.1300000000000008</v>
      </c>
      <c r="C236" s="30">
        <v>8.93</v>
      </c>
      <c r="D236" s="28">
        <v>3.18</v>
      </c>
      <c r="E236" s="34">
        <f t="shared" si="110"/>
        <v>6.3600000000000004E-2</v>
      </c>
      <c r="F236" s="35">
        <f t="shared" si="111"/>
        <v>2.2324999999999999</v>
      </c>
      <c r="G236" s="34">
        <f t="shared" si="112"/>
        <v>79.5</v>
      </c>
      <c r="H236" s="33">
        <f t="shared" si="113"/>
        <v>8.4630339539978081</v>
      </c>
      <c r="I236" s="28">
        <f t="shared" si="118"/>
        <v>747.02000000000066</v>
      </c>
      <c r="J236" s="32">
        <v>0</v>
      </c>
      <c r="K236" s="30">
        <f t="shared" si="114"/>
        <v>79.5</v>
      </c>
      <c r="L236" s="30"/>
      <c r="M236" s="30"/>
      <c r="N236" s="30"/>
      <c r="O236" s="30"/>
      <c r="Q236" s="29">
        <f t="shared" ca="1" si="115"/>
        <v>4</v>
      </c>
      <c r="R236" s="29">
        <f t="shared" ca="1" si="136"/>
        <v>3</v>
      </c>
      <c r="S236" s="29">
        <f t="shared" ca="1" si="136"/>
        <v>3</v>
      </c>
      <c r="T236" s="29">
        <f t="shared" ca="1" si="136"/>
        <v>2</v>
      </c>
      <c r="U236" s="29">
        <f t="shared" ca="1" si="136"/>
        <v>4</v>
      </c>
      <c r="V236" s="29">
        <f t="shared" ca="1" si="136"/>
        <v>4</v>
      </c>
      <c r="W236" s="29">
        <f t="shared" ca="1" si="136"/>
        <v>1</v>
      </c>
      <c r="X236" s="29">
        <f t="shared" ca="1" si="136"/>
        <v>4</v>
      </c>
      <c r="Y236" s="29">
        <f t="shared" ca="1" si="136"/>
        <v>2</v>
      </c>
      <c r="Z236" s="29">
        <f t="shared" ca="1" si="136"/>
        <v>4</v>
      </c>
      <c r="AA236" s="29">
        <f t="shared" ca="1" si="136"/>
        <v>3</v>
      </c>
      <c r="AB236" s="29">
        <f t="shared" ca="1" si="136"/>
        <v>1</v>
      </c>
      <c r="AC236" s="29">
        <f t="shared" ca="1" si="136"/>
        <v>4</v>
      </c>
      <c r="AD236" s="29">
        <f t="shared" ca="1" si="136"/>
        <v>3</v>
      </c>
      <c r="AE236" s="29">
        <f t="shared" ca="1" si="136"/>
        <v>5</v>
      </c>
      <c r="AF236" s="29">
        <f t="shared" ca="1" si="136"/>
        <v>8</v>
      </c>
      <c r="AG236" s="29">
        <f t="shared" ca="1" si="135"/>
        <v>4</v>
      </c>
      <c r="AH236" s="29">
        <f t="shared" ca="1" si="135"/>
        <v>5</v>
      </c>
      <c r="AI236" s="29">
        <f t="shared" ca="1" si="135"/>
        <v>4</v>
      </c>
      <c r="AJ236" s="29">
        <f t="shared" ca="1" si="135"/>
        <v>3</v>
      </c>
      <c r="AK236" s="29">
        <f t="shared" ca="1" si="135"/>
        <v>4</v>
      </c>
      <c r="AL236" s="29">
        <f t="shared" ca="1" si="135"/>
        <v>2</v>
      </c>
      <c r="AM236" s="29">
        <f t="shared" ca="1" si="135"/>
        <v>4</v>
      </c>
      <c r="AN236" s="29">
        <f t="shared" ca="1" si="135"/>
        <v>8</v>
      </c>
      <c r="AO236" s="29">
        <f t="shared" ca="1" si="135"/>
        <v>2</v>
      </c>
      <c r="AP236" s="29">
        <f t="shared" ca="1" si="135"/>
        <v>2</v>
      </c>
      <c r="AQ236" s="29">
        <f t="shared" ca="1" si="135"/>
        <v>2</v>
      </c>
      <c r="AR236" s="29">
        <f t="shared" ca="1" si="135"/>
        <v>3</v>
      </c>
      <c r="AS236" s="29">
        <f t="shared" ca="1" si="135"/>
        <v>0</v>
      </c>
      <c r="AT236" s="29">
        <f t="shared" ca="1" si="135"/>
        <v>2</v>
      </c>
      <c r="AU236" s="29">
        <f t="shared" ca="1" si="135"/>
        <v>2</v>
      </c>
      <c r="AV236" s="29">
        <f t="shared" ca="1" si="130"/>
        <v>2</v>
      </c>
      <c r="AW236" s="29">
        <f t="shared" ca="1" si="130"/>
        <v>2</v>
      </c>
      <c r="AX236" s="29">
        <f t="shared" ca="1" si="130"/>
        <v>4</v>
      </c>
      <c r="AY236" s="29">
        <f t="shared" ca="1" si="130"/>
        <v>4</v>
      </c>
      <c r="AZ236" s="29">
        <f t="shared" ca="1" si="130"/>
        <v>6</v>
      </c>
      <c r="BA236" s="29">
        <f t="shared" ca="1" si="130"/>
        <v>4</v>
      </c>
      <c r="BB236" s="29">
        <f t="shared" ca="1" si="130"/>
        <v>3</v>
      </c>
      <c r="BC236" s="29">
        <f t="shared" ca="1" si="130"/>
        <v>0</v>
      </c>
      <c r="BD236" s="29">
        <f t="shared" ca="1" si="130"/>
        <v>1</v>
      </c>
      <c r="BE236" s="29">
        <f t="shared" ca="1" si="130"/>
        <v>3</v>
      </c>
      <c r="BF236" s="29">
        <f t="shared" ca="1" si="130"/>
        <v>6</v>
      </c>
      <c r="BG236" s="29">
        <f t="shared" ca="1" si="130"/>
        <v>2</v>
      </c>
      <c r="BH236" s="29">
        <f t="shared" ca="1" si="130"/>
        <v>4</v>
      </c>
      <c r="BI236" s="29">
        <f t="shared" ca="1" si="130"/>
        <v>4</v>
      </c>
      <c r="BJ236" s="29">
        <f t="shared" ca="1" si="130"/>
        <v>3</v>
      </c>
      <c r="BK236" s="29">
        <f t="shared" ref="BK236:BZ251" ca="1" si="137">_xlfn.BINOM.INV(50,$E236,RAND())</f>
        <v>0</v>
      </c>
      <c r="BL236" s="29">
        <f t="shared" ca="1" si="137"/>
        <v>4</v>
      </c>
      <c r="BM236" s="29">
        <f t="shared" ca="1" si="137"/>
        <v>2</v>
      </c>
      <c r="BN236" s="29">
        <f t="shared" ca="1" si="137"/>
        <v>2</v>
      </c>
      <c r="BO236" s="29">
        <f t="shared" ca="1" si="137"/>
        <v>2</v>
      </c>
      <c r="BP236" s="29">
        <f t="shared" ca="1" si="137"/>
        <v>5</v>
      </c>
      <c r="BQ236" s="29">
        <f t="shared" ca="1" si="137"/>
        <v>3</v>
      </c>
      <c r="BR236" s="29">
        <f t="shared" ca="1" si="137"/>
        <v>7</v>
      </c>
      <c r="BS236" s="29">
        <f t="shared" ca="1" si="137"/>
        <v>4</v>
      </c>
      <c r="BT236" s="29">
        <f t="shared" ca="1" si="137"/>
        <v>0</v>
      </c>
      <c r="BU236" s="29">
        <f t="shared" ca="1" si="137"/>
        <v>4</v>
      </c>
      <c r="BV236" s="29">
        <f t="shared" ca="1" si="137"/>
        <v>3</v>
      </c>
      <c r="BW236" s="29">
        <f t="shared" ca="1" si="137"/>
        <v>4</v>
      </c>
      <c r="BX236" s="29">
        <f t="shared" ca="1" si="137"/>
        <v>2</v>
      </c>
      <c r="BY236" s="29">
        <f t="shared" ca="1" si="137"/>
        <v>1</v>
      </c>
      <c r="BZ236" s="29">
        <f t="shared" ca="1" si="137"/>
        <v>2</v>
      </c>
      <c r="CA236" s="29">
        <f t="shared" ca="1" si="132"/>
        <v>0</v>
      </c>
      <c r="CB236" s="29">
        <f t="shared" ca="1" si="132"/>
        <v>7</v>
      </c>
      <c r="CC236" s="29">
        <f t="shared" ca="1" si="132"/>
        <v>2</v>
      </c>
      <c r="CD236" s="29">
        <f t="shared" ca="1" si="132"/>
        <v>2</v>
      </c>
      <c r="CE236" s="29">
        <f t="shared" ca="1" si="132"/>
        <v>5</v>
      </c>
      <c r="CF236" s="29">
        <f t="shared" ca="1" si="132"/>
        <v>5</v>
      </c>
      <c r="CG236" s="29">
        <f t="shared" ca="1" si="132"/>
        <v>4</v>
      </c>
      <c r="CH236" s="29">
        <f t="shared" ca="1" si="132"/>
        <v>6</v>
      </c>
      <c r="CI236" s="29">
        <f t="shared" ca="1" si="132"/>
        <v>2</v>
      </c>
      <c r="CJ236" s="29">
        <f t="shared" ca="1" si="132"/>
        <v>4</v>
      </c>
      <c r="CK236" s="29">
        <f t="shared" ca="1" si="132"/>
        <v>0</v>
      </c>
      <c r="CL236" s="29">
        <f t="shared" ca="1" si="132"/>
        <v>4</v>
      </c>
      <c r="CM236" s="29">
        <f t="shared" ca="1" si="132"/>
        <v>3</v>
      </c>
      <c r="CN236" s="29">
        <f t="shared" ca="1" si="132"/>
        <v>3</v>
      </c>
      <c r="CO236" s="29">
        <f t="shared" ca="1" si="132"/>
        <v>5</v>
      </c>
      <c r="CP236" s="29">
        <f t="shared" ca="1" si="132"/>
        <v>3</v>
      </c>
      <c r="CQ236" s="29">
        <f t="shared" ca="1" si="131"/>
        <v>3</v>
      </c>
      <c r="CR236" s="29">
        <f t="shared" ca="1" si="131"/>
        <v>3</v>
      </c>
      <c r="CS236" s="29">
        <f t="shared" ca="1" si="131"/>
        <v>3</v>
      </c>
      <c r="CT236" s="29">
        <f t="shared" ca="1" si="131"/>
        <v>1</v>
      </c>
      <c r="CU236" s="29">
        <f t="shared" ca="1" si="131"/>
        <v>5</v>
      </c>
      <c r="CV236" s="29">
        <f t="shared" ca="1" si="131"/>
        <v>0</v>
      </c>
      <c r="CW236" s="29">
        <f t="shared" ca="1" si="131"/>
        <v>3</v>
      </c>
      <c r="CX236" s="29">
        <f t="shared" ca="1" si="131"/>
        <v>1</v>
      </c>
      <c r="CY236" s="29">
        <f t="shared" ca="1" si="131"/>
        <v>6</v>
      </c>
      <c r="CZ236" s="29">
        <f t="shared" ca="1" si="131"/>
        <v>1</v>
      </c>
      <c r="DA236" s="29">
        <f t="shared" ca="1" si="131"/>
        <v>2</v>
      </c>
      <c r="DB236" s="29">
        <f t="shared" ca="1" si="131"/>
        <v>5</v>
      </c>
      <c r="DC236" s="29">
        <f t="shared" ca="1" si="131"/>
        <v>4</v>
      </c>
      <c r="DD236" s="29">
        <f t="shared" ca="1" si="131"/>
        <v>2</v>
      </c>
      <c r="DE236" s="29">
        <f t="shared" ca="1" si="131"/>
        <v>3</v>
      </c>
      <c r="DF236" s="29">
        <f t="shared" ca="1" si="134"/>
        <v>3</v>
      </c>
      <c r="DG236" s="29">
        <f t="shared" ca="1" si="134"/>
        <v>5</v>
      </c>
      <c r="DH236" s="29">
        <f t="shared" ca="1" si="134"/>
        <v>3</v>
      </c>
      <c r="DI236" s="29">
        <f t="shared" ca="1" si="134"/>
        <v>2</v>
      </c>
      <c r="DJ236" s="29">
        <f t="shared" ca="1" si="134"/>
        <v>4</v>
      </c>
      <c r="DK236" s="29">
        <f t="shared" ca="1" si="134"/>
        <v>2</v>
      </c>
      <c r="DL236" s="29">
        <f t="shared" ca="1" si="134"/>
        <v>2</v>
      </c>
    </row>
    <row r="237" spans="1:116" ht="14.4" x14ac:dyDescent="0.3">
      <c r="A237" s="31">
        <v>581</v>
      </c>
      <c r="B237" s="28">
        <v>6.46</v>
      </c>
      <c r="C237" s="30">
        <v>73.53</v>
      </c>
      <c r="D237" s="28">
        <v>2.92</v>
      </c>
      <c r="E237" s="34">
        <f t="shared" si="110"/>
        <v>5.8400000000000001E-2</v>
      </c>
      <c r="F237" s="35">
        <f t="shared" si="111"/>
        <v>18.3825</v>
      </c>
      <c r="G237" s="34">
        <f t="shared" si="112"/>
        <v>73</v>
      </c>
      <c r="H237" s="33">
        <f t="shared" si="113"/>
        <v>8.4547213622291029</v>
      </c>
      <c r="I237" s="28">
        <f t="shared" si="118"/>
        <v>753.4800000000007</v>
      </c>
      <c r="J237" s="32">
        <v>0</v>
      </c>
      <c r="K237" s="30">
        <f t="shared" si="114"/>
        <v>73</v>
      </c>
      <c r="L237" s="30"/>
      <c r="M237" s="30"/>
      <c r="N237" s="30"/>
      <c r="O237" s="30"/>
      <c r="Q237" s="29">
        <f t="shared" ca="1" si="115"/>
        <v>1</v>
      </c>
      <c r="R237" s="29">
        <f t="shared" ca="1" si="136"/>
        <v>3</v>
      </c>
      <c r="S237" s="29">
        <f t="shared" ca="1" si="136"/>
        <v>2</v>
      </c>
      <c r="T237" s="29">
        <f t="shared" ca="1" si="136"/>
        <v>3</v>
      </c>
      <c r="U237" s="29">
        <f t="shared" ca="1" si="136"/>
        <v>3</v>
      </c>
      <c r="V237" s="29">
        <f t="shared" ca="1" si="136"/>
        <v>2</v>
      </c>
      <c r="W237" s="29">
        <f t="shared" ca="1" si="136"/>
        <v>5</v>
      </c>
      <c r="X237" s="29">
        <f t="shared" ca="1" si="136"/>
        <v>4</v>
      </c>
      <c r="Y237" s="29">
        <f t="shared" ca="1" si="136"/>
        <v>4</v>
      </c>
      <c r="Z237" s="29">
        <f t="shared" ca="1" si="136"/>
        <v>3</v>
      </c>
      <c r="AA237" s="29">
        <f t="shared" ca="1" si="136"/>
        <v>3</v>
      </c>
      <c r="AB237" s="29">
        <f t="shared" ca="1" si="136"/>
        <v>5</v>
      </c>
      <c r="AC237" s="29">
        <f t="shared" ca="1" si="136"/>
        <v>2</v>
      </c>
      <c r="AD237" s="29">
        <f t="shared" ca="1" si="136"/>
        <v>4</v>
      </c>
      <c r="AE237" s="29">
        <f t="shared" ca="1" si="136"/>
        <v>5</v>
      </c>
      <c r="AF237" s="29">
        <f t="shared" ca="1" si="136"/>
        <v>1</v>
      </c>
      <c r="AG237" s="29">
        <f t="shared" ca="1" si="135"/>
        <v>1</v>
      </c>
      <c r="AH237" s="29">
        <f t="shared" ca="1" si="135"/>
        <v>5</v>
      </c>
      <c r="AI237" s="29">
        <f t="shared" ca="1" si="135"/>
        <v>4</v>
      </c>
      <c r="AJ237" s="29">
        <f t="shared" ca="1" si="135"/>
        <v>1</v>
      </c>
      <c r="AK237" s="29">
        <f t="shared" ca="1" si="135"/>
        <v>3</v>
      </c>
      <c r="AL237" s="29">
        <f t="shared" ca="1" si="135"/>
        <v>2</v>
      </c>
      <c r="AM237" s="29">
        <f t="shared" ca="1" si="135"/>
        <v>0</v>
      </c>
      <c r="AN237" s="29">
        <f t="shared" ca="1" si="135"/>
        <v>3</v>
      </c>
      <c r="AO237" s="29">
        <f t="shared" ca="1" si="135"/>
        <v>2</v>
      </c>
      <c r="AP237" s="29">
        <f t="shared" ca="1" si="135"/>
        <v>2</v>
      </c>
      <c r="AQ237" s="29">
        <f t="shared" ca="1" si="135"/>
        <v>1</v>
      </c>
      <c r="AR237" s="29">
        <f t="shared" ca="1" si="135"/>
        <v>1</v>
      </c>
      <c r="AS237" s="29">
        <f t="shared" ca="1" si="135"/>
        <v>4</v>
      </c>
      <c r="AT237" s="29">
        <f t="shared" ca="1" si="135"/>
        <v>3</v>
      </c>
      <c r="AU237" s="29">
        <f t="shared" ca="1" si="135"/>
        <v>4</v>
      </c>
      <c r="AV237" s="29">
        <f t="shared" ref="AV237:BK252" ca="1" si="138">_xlfn.BINOM.INV(50,$E237,RAND())</f>
        <v>5</v>
      </c>
      <c r="AW237" s="29">
        <f t="shared" ca="1" si="138"/>
        <v>2</v>
      </c>
      <c r="AX237" s="29">
        <f t="shared" ca="1" si="138"/>
        <v>0</v>
      </c>
      <c r="AY237" s="29">
        <f t="shared" ca="1" si="138"/>
        <v>2</v>
      </c>
      <c r="AZ237" s="29">
        <f t="shared" ca="1" si="138"/>
        <v>2</v>
      </c>
      <c r="BA237" s="29">
        <f t="shared" ca="1" si="138"/>
        <v>2</v>
      </c>
      <c r="BB237" s="29">
        <f t="shared" ca="1" si="138"/>
        <v>2</v>
      </c>
      <c r="BC237" s="29">
        <f t="shared" ca="1" si="138"/>
        <v>1</v>
      </c>
      <c r="BD237" s="29">
        <f t="shared" ca="1" si="138"/>
        <v>1</v>
      </c>
      <c r="BE237" s="29">
        <f t="shared" ca="1" si="138"/>
        <v>1</v>
      </c>
      <c r="BF237" s="29">
        <f t="shared" ca="1" si="138"/>
        <v>4</v>
      </c>
      <c r="BG237" s="29">
        <f t="shared" ca="1" si="138"/>
        <v>3</v>
      </c>
      <c r="BH237" s="29">
        <f t="shared" ca="1" si="138"/>
        <v>4</v>
      </c>
      <c r="BI237" s="29">
        <f t="shared" ca="1" si="138"/>
        <v>3</v>
      </c>
      <c r="BJ237" s="29">
        <f t="shared" ca="1" si="138"/>
        <v>1</v>
      </c>
      <c r="BK237" s="29">
        <f t="shared" ca="1" si="138"/>
        <v>2</v>
      </c>
      <c r="BL237" s="29">
        <f t="shared" ca="1" si="137"/>
        <v>2</v>
      </c>
      <c r="BM237" s="29">
        <f t="shared" ca="1" si="137"/>
        <v>2</v>
      </c>
      <c r="BN237" s="29">
        <f t="shared" ca="1" si="137"/>
        <v>4</v>
      </c>
      <c r="BO237" s="29">
        <f t="shared" ca="1" si="137"/>
        <v>5</v>
      </c>
      <c r="BP237" s="29">
        <f t="shared" ca="1" si="137"/>
        <v>4</v>
      </c>
      <c r="BQ237" s="29">
        <f t="shared" ca="1" si="137"/>
        <v>4</v>
      </c>
      <c r="BR237" s="29">
        <f t="shared" ca="1" si="137"/>
        <v>4</v>
      </c>
      <c r="BS237" s="29">
        <f t="shared" ca="1" si="137"/>
        <v>1</v>
      </c>
      <c r="BT237" s="29">
        <f t="shared" ca="1" si="137"/>
        <v>3</v>
      </c>
      <c r="BU237" s="29">
        <f t="shared" ca="1" si="137"/>
        <v>3</v>
      </c>
      <c r="BV237" s="29">
        <f t="shared" ca="1" si="137"/>
        <v>1</v>
      </c>
      <c r="BW237" s="29">
        <f t="shared" ca="1" si="137"/>
        <v>6</v>
      </c>
      <c r="BX237" s="29">
        <f t="shared" ca="1" si="137"/>
        <v>4</v>
      </c>
      <c r="BY237" s="29">
        <f t="shared" ca="1" si="137"/>
        <v>3</v>
      </c>
      <c r="BZ237" s="29">
        <f t="shared" ca="1" si="137"/>
        <v>3</v>
      </c>
      <c r="CA237" s="29">
        <f t="shared" ca="1" si="132"/>
        <v>6</v>
      </c>
      <c r="CB237" s="29">
        <f t="shared" ca="1" si="132"/>
        <v>1</v>
      </c>
      <c r="CC237" s="29">
        <f t="shared" ca="1" si="132"/>
        <v>5</v>
      </c>
      <c r="CD237" s="29">
        <f t="shared" ca="1" si="132"/>
        <v>1</v>
      </c>
      <c r="CE237" s="29">
        <f t="shared" ca="1" si="132"/>
        <v>4</v>
      </c>
      <c r="CF237" s="29">
        <f t="shared" ca="1" si="132"/>
        <v>2</v>
      </c>
      <c r="CG237" s="29">
        <f t="shared" ca="1" si="132"/>
        <v>1</v>
      </c>
      <c r="CH237" s="29">
        <f t="shared" ca="1" si="132"/>
        <v>5</v>
      </c>
      <c r="CI237" s="29">
        <f t="shared" ca="1" si="132"/>
        <v>0</v>
      </c>
      <c r="CJ237" s="29">
        <f t="shared" ca="1" si="132"/>
        <v>3</v>
      </c>
      <c r="CK237" s="29">
        <f t="shared" ca="1" si="132"/>
        <v>3</v>
      </c>
      <c r="CL237" s="29">
        <f t="shared" ca="1" si="132"/>
        <v>1</v>
      </c>
      <c r="CM237" s="29">
        <f t="shared" ca="1" si="132"/>
        <v>1</v>
      </c>
      <c r="CN237" s="29">
        <f t="shared" ca="1" si="132"/>
        <v>3</v>
      </c>
      <c r="CO237" s="29">
        <f t="shared" ca="1" si="132"/>
        <v>1</v>
      </c>
      <c r="CP237" s="29">
        <f t="shared" ca="1" si="132"/>
        <v>7</v>
      </c>
      <c r="CQ237" s="29">
        <f t="shared" ca="1" si="131"/>
        <v>2</v>
      </c>
      <c r="CR237" s="29">
        <f t="shared" ca="1" si="131"/>
        <v>5</v>
      </c>
      <c r="CS237" s="29">
        <f t="shared" ca="1" si="131"/>
        <v>3</v>
      </c>
      <c r="CT237" s="29">
        <f t="shared" ca="1" si="131"/>
        <v>2</v>
      </c>
      <c r="CU237" s="29">
        <f t="shared" ca="1" si="131"/>
        <v>1</v>
      </c>
      <c r="CV237" s="29">
        <f t="shared" ca="1" si="131"/>
        <v>2</v>
      </c>
      <c r="CW237" s="29">
        <f t="shared" ca="1" si="131"/>
        <v>5</v>
      </c>
      <c r="CX237" s="29">
        <f t="shared" ca="1" si="131"/>
        <v>3</v>
      </c>
      <c r="CY237" s="29">
        <f t="shared" ca="1" si="131"/>
        <v>2</v>
      </c>
      <c r="CZ237" s="29">
        <f t="shared" ca="1" si="131"/>
        <v>1</v>
      </c>
      <c r="DA237" s="29">
        <f t="shared" ca="1" si="131"/>
        <v>2</v>
      </c>
      <c r="DB237" s="29">
        <f t="shared" ca="1" si="131"/>
        <v>1</v>
      </c>
      <c r="DC237" s="29">
        <f t="shared" ca="1" si="131"/>
        <v>2</v>
      </c>
      <c r="DD237" s="29">
        <f t="shared" ca="1" si="131"/>
        <v>4</v>
      </c>
      <c r="DE237" s="29">
        <f t="shared" ca="1" si="131"/>
        <v>5</v>
      </c>
      <c r="DF237" s="29">
        <f t="shared" ca="1" si="134"/>
        <v>3</v>
      </c>
      <c r="DG237" s="29">
        <f t="shared" ca="1" si="134"/>
        <v>4</v>
      </c>
      <c r="DH237" s="29">
        <f t="shared" ca="1" si="134"/>
        <v>2</v>
      </c>
      <c r="DI237" s="29">
        <f t="shared" ca="1" si="134"/>
        <v>1</v>
      </c>
      <c r="DJ237" s="29">
        <f t="shared" ca="1" si="134"/>
        <v>1</v>
      </c>
      <c r="DK237" s="29">
        <f t="shared" ca="1" si="134"/>
        <v>3</v>
      </c>
      <c r="DL237" s="29">
        <f t="shared" ca="1" si="134"/>
        <v>4</v>
      </c>
    </row>
    <row r="238" spans="1:116" ht="14.4" x14ac:dyDescent="0.3">
      <c r="A238" s="31">
        <v>658</v>
      </c>
      <c r="B238" s="28">
        <v>7.11</v>
      </c>
      <c r="C238" s="30">
        <v>68.709999999999994</v>
      </c>
      <c r="D238" s="28">
        <v>3.09</v>
      </c>
      <c r="E238" s="34">
        <f t="shared" si="110"/>
        <v>6.1799999999999994E-2</v>
      </c>
      <c r="F238" s="35">
        <f t="shared" si="111"/>
        <v>17.177499999999998</v>
      </c>
      <c r="G238" s="34">
        <f t="shared" si="112"/>
        <v>77.25</v>
      </c>
      <c r="H238" s="33">
        <f t="shared" si="113"/>
        <v>8.4490154711673711</v>
      </c>
      <c r="I238" s="28">
        <f t="shared" si="118"/>
        <v>760.59000000000071</v>
      </c>
      <c r="J238" s="32">
        <v>0</v>
      </c>
      <c r="K238" s="30">
        <f t="shared" si="114"/>
        <v>77.25</v>
      </c>
      <c r="L238" s="30"/>
      <c r="M238" s="30"/>
      <c r="N238" s="30"/>
      <c r="O238" s="30"/>
      <c r="Q238" s="29">
        <f t="shared" ca="1" si="115"/>
        <v>3</v>
      </c>
      <c r="R238" s="29">
        <f t="shared" ca="1" si="136"/>
        <v>2</v>
      </c>
      <c r="S238" s="29">
        <f t="shared" ca="1" si="136"/>
        <v>2</v>
      </c>
      <c r="T238" s="29">
        <f t="shared" ca="1" si="136"/>
        <v>2</v>
      </c>
      <c r="U238" s="29">
        <f t="shared" ca="1" si="136"/>
        <v>2</v>
      </c>
      <c r="V238" s="29">
        <f t="shared" ca="1" si="136"/>
        <v>4</v>
      </c>
      <c r="W238" s="29">
        <f t="shared" ca="1" si="136"/>
        <v>1</v>
      </c>
      <c r="X238" s="29">
        <f t="shared" ca="1" si="136"/>
        <v>1</v>
      </c>
      <c r="Y238" s="29">
        <f t="shared" ca="1" si="136"/>
        <v>5</v>
      </c>
      <c r="Z238" s="29">
        <f t="shared" ca="1" si="136"/>
        <v>0</v>
      </c>
      <c r="AA238" s="29">
        <f t="shared" ca="1" si="136"/>
        <v>2</v>
      </c>
      <c r="AB238" s="29">
        <f t="shared" ca="1" si="136"/>
        <v>6</v>
      </c>
      <c r="AC238" s="29">
        <f t="shared" ca="1" si="136"/>
        <v>6</v>
      </c>
      <c r="AD238" s="29">
        <f t="shared" ca="1" si="136"/>
        <v>3</v>
      </c>
      <c r="AE238" s="29">
        <f t="shared" ca="1" si="136"/>
        <v>3</v>
      </c>
      <c r="AF238" s="29">
        <f t="shared" ca="1" si="136"/>
        <v>4</v>
      </c>
      <c r="AG238" s="29">
        <f t="shared" ca="1" si="135"/>
        <v>3</v>
      </c>
      <c r="AH238" s="29">
        <f t="shared" ca="1" si="135"/>
        <v>3</v>
      </c>
      <c r="AI238" s="29">
        <f t="shared" ca="1" si="135"/>
        <v>3</v>
      </c>
      <c r="AJ238" s="29">
        <f t="shared" ca="1" si="135"/>
        <v>2</v>
      </c>
      <c r="AK238" s="29">
        <f t="shared" ca="1" si="135"/>
        <v>3</v>
      </c>
      <c r="AL238" s="29">
        <f t="shared" ca="1" si="135"/>
        <v>4</v>
      </c>
      <c r="AM238" s="29">
        <f t="shared" ca="1" si="135"/>
        <v>0</v>
      </c>
      <c r="AN238" s="29">
        <f t="shared" ca="1" si="135"/>
        <v>7</v>
      </c>
      <c r="AO238" s="29">
        <f t="shared" ca="1" si="135"/>
        <v>3</v>
      </c>
      <c r="AP238" s="29">
        <f t="shared" ca="1" si="135"/>
        <v>3</v>
      </c>
      <c r="AQ238" s="29">
        <f t="shared" ca="1" si="135"/>
        <v>2</v>
      </c>
      <c r="AR238" s="29">
        <f t="shared" ca="1" si="135"/>
        <v>5</v>
      </c>
      <c r="AS238" s="29">
        <f t="shared" ca="1" si="135"/>
        <v>1</v>
      </c>
      <c r="AT238" s="29">
        <f t="shared" ca="1" si="135"/>
        <v>2</v>
      </c>
      <c r="AU238" s="29">
        <f t="shared" ca="1" si="135"/>
        <v>3</v>
      </c>
      <c r="AV238" s="29">
        <f t="shared" ca="1" si="138"/>
        <v>1</v>
      </c>
      <c r="AW238" s="29">
        <f t="shared" ca="1" si="138"/>
        <v>1</v>
      </c>
      <c r="AX238" s="29">
        <f t="shared" ca="1" si="138"/>
        <v>2</v>
      </c>
      <c r="AY238" s="29">
        <f t="shared" ca="1" si="138"/>
        <v>6</v>
      </c>
      <c r="AZ238" s="29">
        <f t="shared" ca="1" si="138"/>
        <v>4</v>
      </c>
      <c r="BA238" s="29">
        <f t="shared" ca="1" si="138"/>
        <v>9</v>
      </c>
      <c r="BB238" s="29">
        <f t="shared" ca="1" si="138"/>
        <v>1</v>
      </c>
      <c r="BC238" s="29">
        <f t="shared" ca="1" si="138"/>
        <v>5</v>
      </c>
      <c r="BD238" s="29">
        <f t="shared" ca="1" si="138"/>
        <v>1</v>
      </c>
      <c r="BE238" s="29">
        <f t="shared" ca="1" si="138"/>
        <v>2</v>
      </c>
      <c r="BF238" s="29">
        <f t="shared" ca="1" si="138"/>
        <v>4</v>
      </c>
      <c r="BG238" s="29">
        <f t="shared" ca="1" si="138"/>
        <v>3</v>
      </c>
      <c r="BH238" s="29">
        <f t="shared" ca="1" si="138"/>
        <v>4</v>
      </c>
      <c r="BI238" s="29">
        <f t="shared" ca="1" si="138"/>
        <v>2</v>
      </c>
      <c r="BJ238" s="29">
        <f t="shared" ca="1" si="138"/>
        <v>0</v>
      </c>
      <c r="BK238" s="29">
        <f t="shared" ca="1" si="138"/>
        <v>2</v>
      </c>
      <c r="BL238" s="29">
        <f t="shared" ca="1" si="137"/>
        <v>0</v>
      </c>
      <c r="BM238" s="29">
        <f t="shared" ca="1" si="137"/>
        <v>6</v>
      </c>
      <c r="BN238" s="29">
        <f t="shared" ca="1" si="137"/>
        <v>6</v>
      </c>
      <c r="BO238" s="29">
        <f t="shared" ca="1" si="137"/>
        <v>1</v>
      </c>
      <c r="BP238" s="29">
        <f t="shared" ca="1" si="137"/>
        <v>2</v>
      </c>
      <c r="BQ238" s="29">
        <f t="shared" ca="1" si="137"/>
        <v>2</v>
      </c>
      <c r="BR238" s="29">
        <f t="shared" ca="1" si="137"/>
        <v>3</v>
      </c>
      <c r="BS238" s="29">
        <f t="shared" ca="1" si="137"/>
        <v>2</v>
      </c>
      <c r="BT238" s="29">
        <f t="shared" ca="1" si="137"/>
        <v>3</v>
      </c>
      <c r="BU238" s="29">
        <f t="shared" ca="1" si="137"/>
        <v>4</v>
      </c>
      <c r="BV238" s="29">
        <f t="shared" ca="1" si="137"/>
        <v>3</v>
      </c>
      <c r="BW238" s="29">
        <f t="shared" ca="1" si="137"/>
        <v>4</v>
      </c>
      <c r="BX238" s="29">
        <f t="shared" ca="1" si="137"/>
        <v>2</v>
      </c>
      <c r="BY238" s="29">
        <f t="shared" ca="1" si="137"/>
        <v>3</v>
      </c>
      <c r="BZ238" s="29">
        <f t="shared" ca="1" si="137"/>
        <v>1</v>
      </c>
      <c r="CA238" s="29">
        <f t="shared" ca="1" si="132"/>
        <v>4</v>
      </c>
      <c r="CB238" s="29">
        <f t="shared" ca="1" si="132"/>
        <v>1</v>
      </c>
      <c r="CC238" s="29">
        <f t="shared" ca="1" si="132"/>
        <v>1</v>
      </c>
      <c r="CD238" s="29">
        <f t="shared" ca="1" si="132"/>
        <v>2</v>
      </c>
      <c r="CE238" s="29">
        <f t="shared" ca="1" si="132"/>
        <v>4</v>
      </c>
      <c r="CF238" s="29">
        <f t="shared" ca="1" si="132"/>
        <v>3</v>
      </c>
      <c r="CG238" s="29">
        <f t="shared" ca="1" si="132"/>
        <v>1</v>
      </c>
      <c r="CH238" s="29">
        <f t="shared" ca="1" si="132"/>
        <v>4</v>
      </c>
      <c r="CI238" s="29">
        <f t="shared" ca="1" si="132"/>
        <v>4</v>
      </c>
      <c r="CJ238" s="29">
        <f t="shared" ca="1" si="132"/>
        <v>4</v>
      </c>
      <c r="CK238" s="29">
        <f t="shared" ca="1" si="132"/>
        <v>6</v>
      </c>
      <c r="CL238" s="29">
        <f t="shared" ca="1" si="132"/>
        <v>2</v>
      </c>
      <c r="CM238" s="29">
        <f t="shared" ca="1" si="132"/>
        <v>3</v>
      </c>
      <c r="CN238" s="29">
        <f t="shared" ca="1" si="132"/>
        <v>3</v>
      </c>
      <c r="CO238" s="29">
        <f t="shared" ca="1" si="132"/>
        <v>6</v>
      </c>
      <c r="CP238" s="29">
        <f t="shared" ca="1" si="132"/>
        <v>2</v>
      </c>
      <c r="CQ238" s="29">
        <f t="shared" ca="1" si="131"/>
        <v>2</v>
      </c>
      <c r="CR238" s="29">
        <f t="shared" ca="1" si="131"/>
        <v>3</v>
      </c>
      <c r="CS238" s="29">
        <f t="shared" ca="1" si="131"/>
        <v>4</v>
      </c>
      <c r="CT238" s="29">
        <f t="shared" ca="1" si="131"/>
        <v>1</v>
      </c>
      <c r="CU238" s="29">
        <f t="shared" ca="1" si="131"/>
        <v>2</v>
      </c>
      <c r="CV238" s="29">
        <f t="shared" ca="1" si="131"/>
        <v>2</v>
      </c>
      <c r="CW238" s="29">
        <f t="shared" ca="1" si="131"/>
        <v>4</v>
      </c>
      <c r="CX238" s="29">
        <f t="shared" ca="1" si="131"/>
        <v>5</v>
      </c>
      <c r="CY238" s="29">
        <f t="shared" ca="1" si="131"/>
        <v>2</v>
      </c>
      <c r="CZ238" s="29">
        <f t="shared" ca="1" si="131"/>
        <v>0</v>
      </c>
      <c r="DA238" s="29">
        <f t="shared" ca="1" si="131"/>
        <v>10</v>
      </c>
      <c r="DB238" s="29">
        <f t="shared" ca="1" si="131"/>
        <v>1</v>
      </c>
      <c r="DC238" s="29">
        <f t="shared" ca="1" si="131"/>
        <v>6</v>
      </c>
      <c r="DD238" s="29">
        <f t="shared" ca="1" si="131"/>
        <v>3</v>
      </c>
      <c r="DE238" s="29">
        <f t="shared" ca="1" si="131"/>
        <v>4</v>
      </c>
      <c r="DF238" s="29">
        <f t="shared" ca="1" si="134"/>
        <v>2</v>
      </c>
      <c r="DG238" s="29">
        <f t="shared" ca="1" si="134"/>
        <v>3</v>
      </c>
      <c r="DH238" s="29">
        <f t="shared" ca="1" si="134"/>
        <v>4</v>
      </c>
      <c r="DI238" s="29">
        <f t="shared" ca="1" si="134"/>
        <v>6</v>
      </c>
      <c r="DJ238" s="29">
        <f t="shared" ca="1" si="134"/>
        <v>6</v>
      </c>
      <c r="DK238" s="29">
        <f t="shared" ca="1" si="134"/>
        <v>2</v>
      </c>
      <c r="DL238" s="29">
        <f t="shared" ca="1" si="134"/>
        <v>1</v>
      </c>
    </row>
    <row r="239" spans="1:116" ht="14.4" x14ac:dyDescent="0.3">
      <c r="A239" s="31">
        <v>516</v>
      </c>
      <c r="B239" s="28">
        <v>2.98</v>
      </c>
      <c r="C239" s="30">
        <v>77.67</v>
      </c>
      <c r="D239" s="28">
        <v>1.78</v>
      </c>
      <c r="E239" s="34">
        <f t="shared" si="110"/>
        <v>3.56E-2</v>
      </c>
      <c r="F239" s="35">
        <f t="shared" si="111"/>
        <v>19.4175</v>
      </c>
      <c r="G239" s="34">
        <f t="shared" si="112"/>
        <v>44.5</v>
      </c>
      <c r="H239" s="33">
        <f t="shared" si="113"/>
        <v>8.4169463087248317</v>
      </c>
      <c r="I239" s="28">
        <f t="shared" si="118"/>
        <v>763.57000000000073</v>
      </c>
      <c r="J239" s="32">
        <v>0</v>
      </c>
      <c r="K239" s="30">
        <f t="shared" si="114"/>
        <v>44.5</v>
      </c>
      <c r="L239" s="30"/>
      <c r="M239" s="30"/>
      <c r="N239" s="30"/>
      <c r="O239" s="30"/>
      <c r="Q239" s="29">
        <f t="shared" ca="1" si="115"/>
        <v>1</v>
      </c>
      <c r="R239" s="29">
        <f t="shared" ca="1" si="136"/>
        <v>2</v>
      </c>
      <c r="S239" s="29">
        <f t="shared" ca="1" si="136"/>
        <v>3</v>
      </c>
      <c r="T239" s="29">
        <f t="shared" ca="1" si="136"/>
        <v>3</v>
      </c>
      <c r="U239" s="29">
        <f t="shared" ca="1" si="136"/>
        <v>4</v>
      </c>
      <c r="V239" s="29">
        <f t="shared" ca="1" si="136"/>
        <v>2</v>
      </c>
      <c r="W239" s="29">
        <f t="shared" ca="1" si="136"/>
        <v>1</v>
      </c>
      <c r="X239" s="29">
        <f t="shared" ca="1" si="136"/>
        <v>1</v>
      </c>
      <c r="Y239" s="29">
        <f t="shared" ca="1" si="136"/>
        <v>3</v>
      </c>
      <c r="Z239" s="29">
        <f t="shared" ca="1" si="136"/>
        <v>3</v>
      </c>
      <c r="AA239" s="29">
        <f t="shared" ca="1" si="136"/>
        <v>3</v>
      </c>
      <c r="AB239" s="29">
        <f t="shared" ca="1" si="136"/>
        <v>1</v>
      </c>
      <c r="AC239" s="29">
        <f t="shared" ca="1" si="136"/>
        <v>1</v>
      </c>
      <c r="AD239" s="29">
        <f t="shared" ca="1" si="136"/>
        <v>0</v>
      </c>
      <c r="AE239" s="29">
        <f t="shared" ca="1" si="136"/>
        <v>2</v>
      </c>
      <c r="AF239" s="29">
        <f t="shared" ca="1" si="136"/>
        <v>2</v>
      </c>
      <c r="AG239" s="29">
        <f t="shared" ca="1" si="135"/>
        <v>3</v>
      </c>
      <c r="AH239" s="29">
        <f t="shared" ca="1" si="135"/>
        <v>1</v>
      </c>
      <c r="AI239" s="29">
        <f t="shared" ca="1" si="135"/>
        <v>3</v>
      </c>
      <c r="AJ239" s="29">
        <f t="shared" ca="1" si="135"/>
        <v>0</v>
      </c>
      <c r="AK239" s="29">
        <f t="shared" ca="1" si="135"/>
        <v>4</v>
      </c>
      <c r="AL239" s="29">
        <f t="shared" ca="1" si="135"/>
        <v>3</v>
      </c>
      <c r="AM239" s="29">
        <f t="shared" ca="1" si="135"/>
        <v>1</v>
      </c>
      <c r="AN239" s="29">
        <f t="shared" ca="1" si="135"/>
        <v>1</v>
      </c>
      <c r="AO239" s="29">
        <f t="shared" ca="1" si="135"/>
        <v>5</v>
      </c>
      <c r="AP239" s="29">
        <f t="shared" ca="1" si="135"/>
        <v>1</v>
      </c>
      <c r="AQ239" s="29">
        <f t="shared" ca="1" si="135"/>
        <v>4</v>
      </c>
      <c r="AR239" s="29">
        <f t="shared" ca="1" si="135"/>
        <v>0</v>
      </c>
      <c r="AS239" s="29">
        <f t="shared" ca="1" si="135"/>
        <v>1</v>
      </c>
      <c r="AT239" s="29">
        <f t="shared" ca="1" si="135"/>
        <v>2</v>
      </c>
      <c r="AU239" s="29">
        <f t="shared" ca="1" si="135"/>
        <v>2</v>
      </c>
      <c r="AV239" s="29">
        <f t="shared" ca="1" si="138"/>
        <v>2</v>
      </c>
      <c r="AW239" s="29">
        <f t="shared" ca="1" si="138"/>
        <v>1</v>
      </c>
      <c r="AX239" s="29">
        <f t="shared" ca="1" si="138"/>
        <v>1</v>
      </c>
      <c r="AY239" s="29">
        <f t="shared" ca="1" si="138"/>
        <v>1</v>
      </c>
      <c r="AZ239" s="29">
        <f t="shared" ca="1" si="138"/>
        <v>1</v>
      </c>
      <c r="BA239" s="29">
        <f t="shared" ca="1" si="138"/>
        <v>1</v>
      </c>
      <c r="BB239" s="29">
        <f t="shared" ca="1" si="138"/>
        <v>1</v>
      </c>
      <c r="BC239" s="29">
        <f t="shared" ca="1" si="138"/>
        <v>2</v>
      </c>
      <c r="BD239" s="29">
        <f t="shared" ca="1" si="138"/>
        <v>2</v>
      </c>
      <c r="BE239" s="29">
        <f t="shared" ca="1" si="138"/>
        <v>2</v>
      </c>
      <c r="BF239" s="29">
        <f t="shared" ca="1" si="138"/>
        <v>3</v>
      </c>
      <c r="BG239" s="29">
        <f t="shared" ca="1" si="138"/>
        <v>3</v>
      </c>
      <c r="BH239" s="29">
        <f t="shared" ca="1" si="138"/>
        <v>4</v>
      </c>
      <c r="BI239" s="29">
        <f t="shared" ca="1" si="138"/>
        <v>1</v>
      </c>
      <c r="BJ239" s="29">
        <f t="shared" ca="1" si="138"/>
        <v>4</v>
      </c>
      <c r="BK239" s="29">
        <f t="shared" ca="1" si="138"/>
        <v>1</v>
      </c>
      <c r="BL239" s="29">
        <f t="shared" ca="1" si="137"/>
        <v>1</v>
      </c>
      <c r="BM239" s="29">
        <f t="shared" ca="1" si="137"/>
        <v>1</v>
      </c>
      <c r="BN239" s="29">
        <f t="shared" ca="1" si="137"/>
        <v>2</v>
      </c>
      <c r="BO239" s="29">
        <f t="shared" ca="1" si="137"/>
        <v>4</v>
      </c>
      <c r="BP239" s="29">
        <f t="shared" ca="1" si="137"/>
        <v>1</v>
      </c>
      <c r="BQ239" s="29">
        <f t="shared" ca="1" si="137"/>
        <v>0</v>
      </c>
      <c r="BR239" s="29">
        <f t="shared" ca="1" si="137"/>
        <v>3</v>
      </c>
      <c r="BS239" s="29">
        <f t="shared" ca="1" si="137"/>
        <v>2</v>
      </c>
      <c r="BT239" s="29">
        <f t="shared" ca="1" si="137"/>
        <v>1</v>
      </c>
      <c r="BU239" s="29">
        <f t="shared" ca="1" si="137"/>
        <v>1</v>
      </c>
      <c r="BV239" s="29">
        <f t="shared" ca="1" si="137"/>
        <v>2</v>
      </c>
      <c r="BW239" s="29">
        <f t="shared" ca="1" si="137"/>
        <v>1</v>
      </c>
      <c r="BX239" s="29">
        <f t="shared" ca="1" si="137"/>
        <v>1</v>
      </c>
      <c r="BY239" s="29">
        <f t="shared" ca="1" si="137"/>
        <v>1</v>
      </c>
      <c r="BZ239" s="29">
        <f t="shared" ca="1" si="137"/>
        <v>0</v>
      </c>
      <c r="CA239" s="29">
        <f t="shared" ca="1" si="132"/>
        <v>2</v>
      </c>
      <c r="CB239" s="29">
        <f t="shared" ca="1" si="132"/>
        <v>1</v>
      </c>
      <c r="CC239" s="29">
        <f t="shared" ca="1" si="132"/>
        <v>0</v>
      </c>
      <c r="CD239" s="29">
        <f t="shared" ca="1" si="132"/>
        <v>1</v>
      </c>
      <c r="CE239" s="29">
        <f t="shared" ca="1" si="132"/>
        <v>1</v>
      </c>
      <c r="CF239" s="29">
        <f t="shared" ca="1" si="132"/>
        <v>2</v>
      </c>
      <c r="CG239" s="29">
        <f t="shared" ca="1" si="132"/>
        <v>3</v>
      </c>
      <c r="CH239" s="29">
        <f t="shared" ca="1" si="132"/>
        <v>5</v>
      </c>
      <c r="CI239" s="29">
        <f t="shared" ca="1" si="132"/>
        <v>1</v>
      </c>
      <c r="CJ239" s="29">
        <f t="shared" ca="1" si="132"/>
        <v>3</v>
      </c>
      <c r="CK239" s="29">
        <f t="shared" ca="1" si="132"/>
        <v>4</v>
      </c>
      <c r="CL239" s="29">
        <f t="shared" ca="1" si="132"/>
        <v>0</v>
      </c>
      <c r="CM239" s="29">
        <f t="shared" ca="1" si="132"/>
        <v>0</v>
      </c>
      <c r="CN239" s="29">
        <f t="shared" ca="1" si="132"/>
        <v>1</v>
      </c>
      <c r="CO239" s="29">
        <f t="shared" ca="1" si="132"/>
        <v>2</v>
      </c>
      <c r="CP239" s="29">
        <f t="shared" ca="1" si="132"/>
        <v>0</v>
      </c>
      <c r="CQ239" s="29">
        <f t="shared" ca="1" si="131"/>
        <v>1</v>
      </c>
      <c r="CR239" s="29">
        <f t="shared" ca="1" si="131"/>
        <v>0</v>
      </c>
      <c r="CS239" s="29">
        <f t="shared" ca="1" si="131"/>
        <v>1</v>
      </c>
      <c r="CT239" s="29">
        <f t="shared" ca="1" si="131"/>
        <v>1</v>
      </c>
      <c r="CU239" s="29">
        <f t="shared" ca="1" si="131"/>
        <v>1</v>
      </c>
      <c r="CV239" s="29">
        <f t="shared" ca="1" si="131"/>
        <v>1</v>
      </c>
      <c r="CW239" s="29">
        <f t="shared" ca="1" si="131"/>
        <v>1</v>
      </c>
      <c r="CX239" s="29">
        <f t="shared" ca="1" si="131"/>
        <v>0</v>
      </c>
      <c r="CY239" s="29">
        <f t="shared" ca="1" si="131"/>
        <v>1</v>
      </c>
      <c r="CZ239" s="29">
        <f t="shared" ca="1" si="131"/>
        <v>0</v>
      </c>
      <c r="DA239" s="29">
        <f t="shared" ca="1" si="131"/>
        <v>3</v>
      </c>
      <c r="DB239" s="29">
        <f t="shared" ca="1" si="131"/>
        <v>2</v>
      </c>
      <c r="DC239" s="29">
        <f t="shared" ca="1" si="131"/>
        <v>1</v>
      </c>
      <c r="DD239" s="29">
        <f t="shared" ca="1" si="131"/>
        <v>0</v>
      </c>
      <c r="DE239" s="29">
        <f t="shared" ca="1" si="131"/>
        <v>0</v>
      </c>
      <c r="DF239" s="29">
        <f t="shared" ca="1" si="134"/>
        <v>1</v>
      </c>
      <c r="DG239" s="29">
        <f t="shared" ca="1" si="134"/>
        <v>0</v>
      </c>
      <c r="DH239" s="29">
        <f t="shared" ca="1" si="134"/>
        <v>2</v>
      </c>
      <c r="DI239" s="29">
        <f t="shared" ca="1" si="134"/>
        <v>2</v>
      </c>
      <c r="DJ239" s="29">
        <f t="shared" ca="1" si="134"/>
        <v>3</v>
      </c>
      <c r="DK239" s="29">
        <f t="shared" ca="1" si="134"/>
        <v>2</v>
      </c>
      <c r="DL239" s="29">
        <f t="shared" ca="1" si="134"/>
        <v>3</v>
      </c>
    </row>
    <row r="240" spans="1:116" ht="14.4" x14ac:dyDescent="0.3">
      <c r="A240" s="31">
        <v>351</v>
      </c>
      <c r="B240" s="28">
        <v>7.91</v>
      </c>
      <c r="C240" s="30">
        <v>19.309999999999999</v>
      </c>
      <c r="D240" s="28">
        <v>2.84</v>
      </c>
      <c r="E240" s="34">
        <f t="shared" si="110"/>
        <v>5.6799999999999996E-2</v>
      </c>
      <c r="F240" s="35">
        <f t="shared" si="111"/>
        <v>4.8274999999999997</v>
      </c>
      <c r="G240" s="34">
        <f t="shared" si="112"/>
        <v>71</v>
      </c>
      <c r="H240" s="33">
        <f t="shared" si="113"/>
        <v>8.36567635903919</v>
      </c>
      <c r="I240" s="28">
        <f t="shared" si="118"/>
        <v>771.4800000000007</v>
      </c>
      <c r="J240" s="32">
        <v>0</v>
      </c>
      <c r="K240" s="30">
        <f t="shared" si="114"/>
        <v>71</v>
      </c>
      <c r="L240" s="30"/>
      <c r="M240" s="30"/>
      <c r="N240" s="30"/>
      <c r="O240" s="30"/>
      <c r="Q240" s="29">
        <f t="shared" ca="1" si="115"/>
        <v>1</v>
      </c>
      <c r="R240" s="29">
        <f t="shared" ca="1" si="136"/>
        <v>1</v>
      </c>
      <c r="S240" s="29">
        <f t="shared" ca="1" si="136"/>
        <v>2</v>
      </c>
      <c r="T240" s="29">
        <f t="shared" ca="1" si="136"/>
        <v>5</v>
      </c>
      <c r="U240" s="29">
        <f t="shared" ca="1" si="136"/>
        <v>2</v>
      </c>
      <c r="V240" s="29">
        <f t="shared" ca="1" si="136"/>
        <v>3</v>
      </c>
      <c r="W240" s="29">
        <f t="shared" ca="1" si="136"/>
        <v>0</v>
      </c>
      <c r="X240" s="29">
        <f t="shared" ca="1" si="136"/>
        <v>1</v>
      </c>
      <c r="Y240" s="29">
        <f t="shared" ca="1" si="136"/>
        <v>5</v>
      </c>
      <c r="Z240" s="29">
        <f t="shared" ca="1" si="136"/>
        <v>3</v>
      </c>
      <c r="AA240" s="29">
        <f t="shared" ca="1" si="136"/>
        <v>6</v>
      </c>
      <c r="AB240" s="29">
        <f t="shared" ca="1" si="136"/>
        <v>2</v>
      </c>
      <c r="AC240" s="29">
        <f t="shared" ca="1" si="136"/>
        <v>7</v>
      </c>
      <c r="AD240" s="29">
        <f t="shared" ca="1" si="136"/>
        <v>3</v>
      </c>
      <c r="AE240" s="29">
        <f t="shared" ca="1" si="136"/>
        <v>5</v>
      </c>
      <c r="AF240" s="29">
        <f t="shared" ca="1" si="136"/>
        <v>1</v>
      </c>
      <c r="AG240" s="29">
        <f t="shared" ca="1" si="135"/>
        <v>2</v>
      </c>
      <c r="AH240" s="29">
        <f t="shared" ca="1" si="135"/>
        <v>3</v>
      </c>
      <c r="AI240" s="29">
        <f t="shared" ca="1" si="135"/>
        <v>1</v>
      </c>
      <c r="AJ240" s="29">
        <f t="shared" ca="1" si="135"/>
        <v>5</v>
      </c>
      <c r="AK240" s="29">
        <f t="shared" ca="1" si="135"/>
        <v>5</v>
      </c>
      <c r="AL240" s="29">
        <f t="shared" ca="1" si="135"/>
        <v>2</v>
      </c>
      <c r="AM240" s="29">
        <f t="shared" ca="1" si="135"/>
        <v>2</v>
      </c>
      <c r="AN240" s="29">
        <f t="shared" ca="1" si="135"/>
        <v>2</v>
      </c>
      <c r="AO240" s="29">
        <f t="shared" ca="1" si="135"/>
        <v>3</v>
      </c>
      <c r="AP240" s="29">
        <f t="shared" ca="1" si="135"/>
        <v>3</v>
      </c>
      <c r="AQ240" s="29">
        <f t="shared" ca="1" si="135"/>
        <v>6</v>
      </c>
      <c r="AR240" s="29">
        <f t="shared" ca="1" si="135"/>
        <v>3</v>
      </c>
      <c r="AS240" s="29">
        <f t="shared" ca="1" si="135"/>
        <v>2</v>
      </c>
      <c r="AT240" s="29">
        <f t="shared" ca="1" si="135"/>
        <v>4</v>
      </c>
      <c r="AU240" s="29">
        <f t="shared" ca="1" si="135"/>
        <v>2</v>
      </c>
      <c r="AV240" s="29">
        <f t="shared" ca="1" si="138"/>
        <v>2</v>
      </c>
      <c r="AW240" s="29">
        <f t="shared" ca="1" si="138"/>
        <v>5</v>
      </c>
      <c r="AX240" s="29">
        <f t="shared" ca="1" si="138"/>
        <v>5</v>
      </c>
      <c r="AY240" s="29">
        <f t="shared" ca="1" si="138"/>
        <v>5</v>
      </c>
      <c r="AZ240" s="29">
        <f t="shared" ca="1" si="138"/>
        <v>5</v>
      </c>
      <c r="BA240" s="29">
        <f t="shared" ca="1" si="138"/>
        <v>2</v>
      </c>
      <c r="BB240" s="29">
        <f t="shared" ca="1" si="138"/>
        <v>2</v>
      </c>
      <c r="BC240" s="29">
        <f t="shared" ca="1" si="138"/>
        <v>1</v>
      </c>
      <c r="BD240" s="29">
        <f t="shared" ca="1" si="138"/>
        <v>1</v>
      </c>
      <c r="BE240" s="29">
        <f t="shared" ca="1" si="138"/>
        <v>3</v>
      </c>
      <c r="BF240" s="29">
        <f t="shared" ca="1" si="138"/>
        <v>3</v>
      </c>
      <c r="BG240" s="29">
        <f t="shared" ca="1" si="138"/>
        <v>0</v>
      </c>
      <c r="BH240" s="29">
        <f t="shared" ca="1" si="138"/>
        <v>6</v>
      </c>
      <c r="BI240" s="29">
        <f t="shared" ca="1" si="138"/>
        <v>2</v>
      </c>
      <c r="BJ240" s="29">
        <f t="shared" ca="1" si="138"/>
        <v>4</v>
      </c>
      <c r="BK240" s="29">
        <f t="shared" ca="1" si="138"/>
        <v>0</v>
      </c>
      <c r="BL240" s="29">
        <f t="shared" ca="1" si="137"/>
        <v>2</v>
      </c>
      <c r="BM240" s="29">
        <f t="shared" ca="1" si="137"/>
        <v>2</v>
      </c>
      <c r="BN240" s="29">
        <f t="shared" ca="1" si="137"/>
        <v>3</v>
      </c>
      <c r="BO240" s="29">
        <f t="shared" ca="1" si="137"/>
        <v>4</v>
      </c>
      <c r="BP240" s="29">
        <f t="shared" ca="1" si="137"/>
        <v>2</v>
      </c>
      <c r="BQ240" s="29">
        <f t="shared" ca="1" si="137"/>
        <v>1</v>
      </c>
      <c r="BR240" s="29">
        <f t="shared" ca="1" si="137"/>
        <v>6</v>
      </c>
      <c r="BS240" s="29">
        <f t="shared" ca="1" si="137"/>
        <v>3</v>
      </c>
      <c r="BT240" s="29">
        <f t="shared" ca="1" si="137"/>
        <v>2</v>
      </c>
      <c r="BU240" s="29">
        <f t="shared" ca="1" si="137"/>
        <v>4</v>
      </c>
      <c r="BV240" s="29">
        <f t="shared" ca="1" si="137"/>
        <v>1</v>
      </c>
      <c r="BW240" s="29">
        <f t="shared" ca="1" si="137"/>
        <v>6</v>
      </c>
      <c r="BX240" s="29">
        <f t="shared" ca="1" si="137"/>
        <v>4</v>
      </c>
      <c r="BY240" s="29">
        <f t="shared" ca="1" si="137"/>
        <v>2</v>
      </c>
      <c r="BZ240" s="29">
        <f t="shared" ca="1" si="137"/>
        <v>5</v>
      </c>
      <c r="CA240" s="29">
        <f t="shared" ca="1" si="132"/>
        <v>5</v>
      </c>
      <c r="CB240" s="29">
        <f t="shared" ca="1" si="132"/>
        <v>3</v>
      </c>
      <c r="CC240" s="29">
        <f t="shared" ca="1" si="132"/>
        <v>3</v>
      </c>
      <c r="CD240" s="29">
        <f t="shared" ca="1" si="132"/>
        <v>2</v>
      </c>
      <c r="CE240" s="29">
        <f t="shared" ca="1" si="132"/>
        <v>4</v>
      </c>
      <c r="CF240" s="29">
        <f t="shared" ca="1" si="132"/>
        <v>3</v>
      </c>
      <c r="CG240" s="29">
        <f t="shared" ca="1" si="132"/>
        <v>2</v>
      </c>
      <c r="CH240" s="29">
        <f t="shared" ca="1" si="132"/>
        <v>0</v>
      </c>
      <c r="CI240" s="29">
        <f t="shared" ca="1" si="132"/>
        <v>8</v>
      </c>
      <c r="CJ240" s="29">
        <f t="shared" ca="1" si="132"/>
        <v>0</v>
      </c>
      <c r="CK240" s="29">
        <f t="shared" ca="1" si="132"/>
        <v>4</v>
      </c>
      <c r="CL240" s="29">
        <f t="shared" ca="1" si="132"/>
        <v>0</v>
      </c>
      <c r="CM240" s="29">
        <f t="shared" ca="1" si="132"/>
        <v>2</v>
      </c>
      <c r="CN240" s="29">
        <f t="shared" ca="1" si="132"/>
        <v>3</v>
      </c>
      <c r="CO240" s="29">
        <f t="shared" ca="1" si="132"/>
        <v>4</v>
      </c>
      <c r="CP240" s="29">
        <f t="shared" ca="1" si="132"/>
        <v>1</v>
      </c>
      <c r="CQ240" s="29">
        <f t="shared" ca="1" si="131"/>
        <v>3</v>
      </c>
      <c r="CR240" s="29">
        <f t="shared" ca="1" si="131"/>
        <v>0</v>
      </c>
      <c r="CS240" s="29">
        <f t="shared" ca="1" si="131"/>
        <v>1</v>
      </c>
      <c r="CT240" s="29">
        <f t="shared" ca="1" si="131"/>
        <v>2</v>
      </c>
      <c r="CU240" s="29">
        <f t="shared" ca="1" si="131"/>
        <v>6</v>
      </c>
      <c r="CV240" s="29">
        <f t="shared" ca="1" si="131"/>
        <v>6</v>
      </c>
      <c r="CW240" s="29">
        <f t="shared" ca="1" si="131"/>
        <v>1</v>
      </c>
      <c r="CX240" s="29">
        <f t="shared" ca="1" si="131"/>
        <v>1</v>
      </c>
      <c r="CY240" s="29">
        <f t="shared" ca="1" si="131"/>
        <v>4</v>
      </c>
      <c r="CZ240" s="29">
        <f t="shared" ca="1" si="131"/>
        <v>2</v>
      </c>
      <c r="DA240" s="29">
        <f t="shared" ca="1" si="131"/>
        <v>1</v>
      </c>
      <c r="DB240" s="29">
        <f t="shared" ca="1" si="131"/>
        <v>3</v>
      </c>
      <c r="DC240" s="29">
        <f t="shared" ca="1" si="131"/>
        <v>3</v>
      </c>
      <c r="DD240" s="29">
        <f t="shared" ca="1" si="131"/>
        <v>4</v>
      </c>
      <c r="DE240" s="29">
        <f t="shared" ca="1" si="131"/>
        <v>3</v>
      </c>
      <c r="DF240" s="29">
        <f t="shared" ca="1" si="134"/>
        <v>6</v>
      </c>
      <c r="DG240" s="29">
        <f t="shared" ca="1" si="134"/>
        <v>4</v>
      </c>
      <c r="DH240" s="29">
        <f t="shared" ca="1" si="134"/>
        <v>5</v>
      </c>
      <c r="DI240" s="29">
        <f t="shared" ca="1" si="134"/>
        <v>3</v>
      </c>
      <c r="DJ240" s="29">
        <f t="shared" ca="1" si="134"/>
        <v>3</v>
      </c>
      <c r="DK240" s="29">
        <f t="shared" ca="1" si="134"/>
        <v>4</v>
      </c>
      <c r="DL240" s="29">
        <f t="shared" ca="1" si="134"/>
        <v>3</v>
      </c>
    </row>
    <row r="241" spans="1:116" ht="14.4" x14ac:dyDescent="0.3">
      <c r="A241" s="31">
        <v>532</v>
      </c>
      <c r="B241" s="28">
        <v>2.4900000000000002</v>
      </c>
      <c r="C241" s="30">
        <v>16.149999999999999</v>
      </c>
      <c r="D241" s="28">
        <v>0.99</v>
      </c>
      <c r="E241" s="34">
        <f t="shared" si="110"/>
        <v>1.9799999999999998E-2</v>
      </c>
      <c r="F241" s="35">
        <f t="shared" si="111"/>
        <v>4.0374999999999996</v>
      </c>
      <c r="G241" s="34">
        <f t="shared" si="112"/>
        <v>24.75</v>
      </c>
      <c r="H241" s="33">
        <f t="shared" si="113"/>
        <v>8.318273092369477</v>
      </c>
      <c r="I241" s="28">
        <f t="shared" si="118"/>
        <v>773.97000000000071</v>
      </c>
      <c r="J241" s="32">
        <v>0</v>
      </c>
      <c r="K241" s="30">
        <f t="shared" si="114"/>
        <v>24.75</v>
      </c>
      <c r="L241" s="30"/>
      <c r="M241" s="30"/>
      <c r="N241" s="30"/>
      <c r="O241" s="30"/>
      <c r="Q241" s="29">
        <f t="shared" ca="1" si="115"/>
        <v>1</v>
      </c>
      <c r="R241" s="29">
        <f t="shared" ca="1" si="136"/>
        <v>1</v>
      </c>
      <c r="S241" s="29">
        <f t="shared" ca="1" si="136"/>
        <v>1</v>
      </c>
      <c r="T241" s="29">
        <f t="shared" ca="1" si="136"/>
        <v>0</v>
      </c>
      <c r="U241" s="29">
        <f t="shared" ca="1" si="136"/>
        <v>0</v>
      </c>
      <c r="V241" s="29">
        <f t="shared" ca="1" si="136"/>
        <v>2</v>
      </c>
      <c r="W241" s="29">
        <f t="shared" ca="1" si="136"/>
        <v>0</v>
      </c>
      <c r="X241" s="29">
        <f t="shared" ca="1" si="136"/>
        <v>0</v>
      </c>
      <c r="Y241" s="29">
        <f t="shared" ca="1" si="136"/>
        <v>0</v>
      </c>
      <c r="Z241" s="29">
        <f t="shared" ca="1" si="136"/>
        <v>2</v>
      </c>
      <c r="AA241" s="29">
        <f t="shared" ca="1" si="136"/>
        <v>1</v>
      </c>
      <c r="AB241" s="29">
        <f t="shared" ca="1" si="136"/>
        <v>2</v>
      </c>
      <c r="AC241" s="29">
        <f t="shared" ca="1" si="136"/>
        <v>1</v>
      </c>
      <c r="AD241" s="29">
        <f t="shared" ca="1" si="136"/>
        <v>4</v>
      </c>
      <c r="AE241" s="29">
        <f t="shared" ca="1" si="136"/>
        <v>0</v>
      </c>
      <c r="AF241" s="29">
        <f t="shared" ca="1" si="136"/>
        <v>4</v>
      </c>
      <c r="AG241" s="29">
        <f t="shared" ca="1" si="135"/>
        <v>0</v>
      </c>
      <c r="AH241" s="29">
        <f t="shared" ca="1" si="135"/>
        <v>0</v>
      </c>
      <c r="AI241" s="29">
        <f t="shared" ca="1" si="135"/>
        <v>0</v>
      </c>
      <c r="AJ241" s="29">
        <f t="shared" ca="1" si="135"/>
        <v>1</v>
      </c>
      <c r="AK241" s="29">
        <f t="shared" ca="1" si="135"/>
        <v>2</v>
      </c>
      <c r="AL241" s="29">
        <f t="shared" ca="1" si="135"/>
        <v>0</v>
      </c>
      <c r="AM241" s="29">
        <f t="shared" ca="1" si="135"/>
        <v>2</v>
      </c>
      <c r="AN241" s="29">
        <f t="shared" ca="1" si="135"/>
        <v>0</v>
      </c>
      <c r="AO241" s="29">
        <f t="shared" ca="1" si="135"/>
        <v>3</v>
      </c>
      <c r="AP241" s="29">
        <f t="shared" ca="1" si="135"/>
        <v>0</v>
      </c>
      <c r="AQ241" s="29">
        <f t="shared" ca="1" si="135"/>
        <v>1</v>
      </c>
      <c r="AR241" s="29">
        <f t="shared" ca="1" si="135"/>
        <v>0</v>
      </c>
      <c r="AS241" s="29">
        <f t="shared" ca="1" si="135"/>
        <v>0</v>
      </c>
      <c r="AT241" s="29">
        <f t="shared" ca="1" si="135"/>
        <v>0</v>
      </c>
      <c r="AU241" s="29">
        <f t="shared" ca="1" si="135"/>
        <v>0</v>
      </c>
      <c r="AV241" s="29">
        <f t="shared" ca="1" si="138"/>
        <v>1</v>
      </c>
      <c r="AW241" s="29">
        <f t="shared" ca="1" si="138"/>
        <v>1</v>
      </c>
      <c r="AX241" s="29">
        <f t="shared" ca="1" si="138"/>
        <v>0</v>
      </c>
      <c r="AY241" s="29">
        <f t="shared" ca="1" si="138"/>
        <v>1</v>
      </c>
      <c r="AZ241" s="29">
        <f t="shared" ca="1" si="138"/>
        <v>1</v>
      </c>
      <c r="BA241" s="29">
        <f t="shared" ca="1" si="138"/>
        <v>1</v>
      </c>
      <c r="BB241" s="29">
        <f t="shared" ca="1" si="138"/>
        <v>1</v>
      </c>
      <c r="BC241" s="29">
        <f t="shared" ca="1" si="138"/>
        <v>1</v>
      </c>
      <c r="BD241" s="29">
        <f t="shared" ca="1" si="138"/>
        <v>0</v>
      </c>
      <c r="BE241" s="29">
        <f t="shared" ca="1" si="138"/>
        <v>0</v>
      </c>
      <c r="BF241" s="29">
        <f t="shared" ca="1" si="138"/>
        <v>1</v>
      </c>
      <c r="BG241" s="29">
        <f t="shared" ca="1" si="138"/>
        <v>1</v>
      </c>
      <c r="BH241" s="29">
        <f t="shared" ca="1" si="138"/>
        <v>1</v>
      </c>
      <c r="BI241" s="29">
        <f t="shared" ca="1" si="138"/>
        <v>4</v>
      </c>
      <c r="BJ241" s="29">
        <f t="shared" ca="1" si="138"/>
        <v>0</v>
      </c>
      <c r="BK241" s="29">
        <f t="shared" ca="1" si="138"/>
        <v>0</v>
      </c>
      <c r="BL241" s="29">
        <f t="shared" ca="1" si="137"/>
        <v>1</v>
      </c>
      <c r="BM241" s="29">
        <f t="shared" ca="1" si="137"/>
        <v>0</v>
      </c>
      <c r="BN241" s="29">
        <f t="shared" ca="1" si="137"/>
        <v>2</v>
      </c>
      <c r="BO241" s="29">
        <f t="shared" ca="1" si="137"/>
        <v>0</v>
      </c>
      <c r="BP241" s="29">
        <f t="shared" ca="1" si="137"/>
        <v>1</v>
      </c>
      <c r="BQ241" s="29">
        <f t="shared" ca="1" si="137"/>
        <v>2</v>
      </c>
      <c r="BR241" s="29">
        <f t="shared" ca="1" si="137"/>
        <v>2</v>
      </c>
      <c r="BS241" s="29">
        <f t="shared" ca="1" si="137"/>
        <v>0</v>
      </c>
      <c r="BT241" s="29">
        <f t="shared" ca="1" si="137"/>
        <v>1</v>
      </c>
      <c r="BU241" s="29">
        <f t="shared" ca="1" si="137"/>
        <v>1</v>
      </c>
      <c r="BV241" s="29">
        <f t="shared" ca="1" si="137"/>
        <v>3</v>
      </c>
      <c r="BW241" s="29">
        <f t="shared" ca="1" si="137"/>
        <v>0</v>
      </c>
      <c r="BX241" s="29">
        <f t="shared" ca="1" si="137"/>
        <v>0</v>
      </c>
      <c r="BY241" s="29">
        <f t="shared" ca="1" si="137"/>
        <v>0</v>
      </c>
      <c r="BZ241" s="29">
        <f t="shared" ca="1" si="137"/>
        <v>1</v>
      </c>
      <c r="CA241" s="29">
        <f t="shared" ca="1" si="132"/>
        <v>1</v>
      </c>
      <c r="CB241" s="29">
        <f t="shared" ca="1" si="132"/>
        <v>2</v>
      </c>
      <c r="CC241" s="29">
        <f t="shared" ca="1" si="132"/>
        <v>1</v>
      </c>
      <c r="CD241" s="29">
        <f t="shared" ca="1" si="132"/>
        <v>0</v>
      </c>
      <c r="CE241" s="29">
        <f t="shared" ca="1" si="132"/>
        <v>1</v>
      </c>
      <c r="CF241" s="29">
        <f t="shared" ca="1" si="132"/>
        <v>1</v>
      </c>
      <c r="CG241" s="29">
        <f t="shared" ca="1" si="132"/>
        <v>3</v>
      </c>
      <c r="CH241" s="29">
        <f t="shared" ca="1" si="132"/>
        <v>0</v>
      </c>
      <c r="CI241" s="29">
        <f t="shared" ca="1" si="132"/>
        <v>3</v>
      </c>
      <c r="CJ241" s="29">
        <f t="shared" ca="1" si="132"/>
        <v>0</v>
      </c>
      <c r="CK241" s="29">
        <f t="shared" ca="1" si="132"/>
        <v>0</v>
      </c>
      <c r="CL241" s="29">
        <f t="shared" ca="1" si="132"/>
        <v>1</v>
      </c>
      <c r="CM241" s="29">
        <f t="shared" ca="1" si="132"/>
        <v>2</v>
      </c>
      <c r="CN241" s="29">
        <f t="shared" ca="1" si="132"/>
        <v>0</v>
      </c>
      <c r="CO241" s="29">
        <f t="shared" ca="1" si="132"/>
        <v>3</v>
      </c>
      <c r="CP241" s="29">
        <f t="shared" ca="1" si="132"/>
        <v>0</v>
      </c>
      <c r="CQ241" s="29">
        <f t="shared" ca="1" si="131"/>
        <v>1</v>
      </c>
      <c r="CR241" s="29">
        <f t="shared" ca="1" si="131"/>
        <v>2</v>
      </c>
      <c r="CS241" s="29">
        <f t="shared" ca="1" si="131"/>
        <v>2</v>
      </c>
      <c r="CT241" s="29">
        <f t="shared" ca="1" si="131"/>
        <v>0</v>
      </c>
      <c r="CU241" s="29">
        <f t="shared" ca="1" si="131"/>
        <v>0</v>
      </c>
      <c r="CV241" s="29">
        <f t="shared" ca="1" si="131"/>
        <v>2</v>
      </c>
      <c r="CW241" s="29">
        <f t="shared" ca="1" si="131"/>
        <v>1</v>
      </c>
      <c r="CX241" s="29">
        <f t="shared" ca="1" si="131"/>
        <v>1</v>
      </c>
      <c r="CY241" s="29">
        <f t="shared" ca="1" si="131"/>
        <v>0</v>
      </c>
      <c r="CZ241" s="29">
        <f t="shared" ca="1" si="131"/>
        <v>2</v>
      </c>
      <c r="DA241" s="29">
        <f t="shared" ca="1" si="131"/>
        <v>3</v>
      </c>
      <c r="DB241" s="29">
        <f t="shared" ca="1" si="131"/>
        <v>0</v>
      </c>
      <c r="DC241" s="29">
        <f t="shared" ca="1" si="131"/>
        <v>0</v>
      </c>
      <c r="DD241" s="29">
        <f t="shared" ca="1" si="131"/>
        <v>2</v>
      </c>
      <c r="DE241" s="29">
        <f t="shared" ca="1" si="131"/>
        <v>2</v>
      </c>
      <c r="DF241" s="29">
        <f t="shared" ca="1" si="134"/>
        <v>0</v>
      </c>
      <c r="DG241" s="29">
        <f t="shared" ca="1" si="134"/>
        <v>3</v>
      </c>
      <c r="DH241" s="29">
        <f t="shared" ca="1" si="134"/>
        <v>1</v>
      </c>
      <c r="DI241" s="29">
        <f t="shared" ca="1" si="134"/>
        <v>1</v>
      </c>
      <c r="DJ241" s="29">
        <f t="shared" ca="1" si="134"/>
        <v>1</v>
      </c>
      <c r="DK241" s="29">
        <f t="shared" ca="1" si="134"/>
        <v>0</v>
      </c>
      <c r="DL241" s="29">
        <f t="shared" ca="1" si="134"/>
        <v>1</v>
      </c>
    </row>
    <row r="242" spans="1:116" ht="14.4" x14ac:dyDescent="0.3">
      <c r="A242" s="31">
        <v>693</v>
      </c>
      <c r="B242" s="28">
        <v>7.07</v>
      </c>
      <c r="C242" s="30">
        <v>83.95</v>
      </c>
      <c r="D242" s="28">
        <v>3.18</v>
      </c>
      <c r="E242" s="34">
        <f t="shared" si="110"/>
        <v>6.3600000000000004E-2</v>
      </c>
      <c r="F242" s="35">
        <f t="shared" si="111"/>
        <v>20.987500000000001</v>
      </c>
      <c r="G242" s="34">
        <f t="shared" si="112"/>
        <v>79.5</v>
      </c>
      <c r="H242" s="33">
        <f t="shared" si="113"/>
        <v>8.2761669024045261</v>
      </c>
      <c r="I242" s="28">
        <f t="shared" si="118"/>
        <v>781.04000000000076</v>
      </c>
      <c r="J242" s="32">
        <v>0</v>
      </c>
      <c r="K242" s="30">
        <f t="shared" si="114"/>
        <v>79.5</v>
      </c>
      <c r="L242" s="30"/>
      <c r="M242" s="30"/>
      <c r="N242" s="30"/>
      <c r="O242" s="30"/>
      <c r="Q242" s="29">
        <f t="shared" ca="1" si="115"/>
        <v>2</v>
      </c>
      <c r="R242" s="29">
        <f t="shared" ca="1" si="136"/>
        <v>2</v>
      </c>
      <c r="S242" s="29">
        <f t="shared" ca="1" si="136"/>
        <v>2</v>
      </c>
      <c r="T242" s="29">
        <f t="shared" ca="1" si="136"/>
        <v>4</v>
      </c>
      <c r="U242" s="29">
        <f t="shared" ca="1" si="136"/>
        <v>2</v>
      </c>
      <c r="V242" s="29">
        <f t="shared" ca="1" si="136"/>
        <v>4</v>
      </c>
      <c r="W242" s="29">
        <f t="shared" ca="1" si="136"/>
        <v>3</v>
      </c>
      <c r="X242" s="29">
        <f t="shared" ca="1" si="136"/>
        <v>3</v>
      </c>
      <c r="Y242" s="29">
        <f t="shared" ca="1" si="136"/>
        <v>1</v>
      </c>
      <c r="Z242" s="29">
        <f t="shared" ca="1" si="136"/>
        <v>0</v>
      </c>
      <c r="AA242" s="29">
        <f t="shared" ca="1" si="136"/>
        <v>1</v>
      </c>
      <c r="AB242" s="29">
        <f t="shared" ca="1" si="136"/>
        <v>3</v>
      </c>
      <c r="AC242" s="29">
        <f t="shared" ca="1" si="136"/>
        <v>3</v>
      </c>
      <c r="AD242" s="29">
        <f t="shared" ca="1" si="136"/>
        <v>4</v>
      </c>
      <c r="AE242" s="29">
        <f t="shared" ca="1" si="136"/>
        <v>6</v>
      </c>
      <c r="AF242" s="29">
        <f t="shared" ca="1" si="136"/>
        <v>8</v>
      </c>
      <c r="AG242" s="29">
        <f t="shared" ca="1" si="135"/>
        <v>6</v>
      </c>
      <c r="AH242" s="29">
        <f t="shared" ca="1" si="135"/>
        <v>5</v>
      </c>
      <c r="AI242" s="29">
        <f t="shared" ca="1" si="135"/>
        <v>3</v>
      </c>
      <c r="AJ242" s="29">
        <f t="shared" ca="1" si="135"/>
        <v>3</v>
      </c>
      <c r="AK242" s="29">
        <f t="shared" ca="1" si="135"/>
        <v>2</v>
      </c>
      <c r="AL242" s="29">
        <f t="shared" ca="1" si="135"/>
        <v>5</v>
      </c>
      <c r="AM242" s="29">
        <f t="shared" ca="1" si="135"/>
        <v>2</v>
      </c>
      <c r="AN242" s="29">
        <f t="shared" ca="1" si="135"/>
        <v>4</v>
      </c>
      <c r="AO242" s="29">
        <f t="shared" ca="1" si="135"/>
        <v>2</v>
      </c>
      <c r="AP242" s="29">
        <f t="shared" ca="1" si="135"/>
        <v>5</v>
      </c>
      <c r="AQ242" s="29">
        <f t="shared" ca="1" si="135"/>
        <v>3</v>
      </c>
      <c r="AR242" s="29">
        <f t="shared" ca="1" si="135"/>
        <v>1</v>
      </c>
      <c r="AS242" s="29">
        <f t="shared" ca="1" si="135"/>
        <v>5</v>
      </c>
      <c r="AT242" s="29">
        <f t="shared" ca="1" si="135"/>
        <v>5</v>
      </c>
      <c r="AU242" s="29">
        <f t="shared" ca="1" si="135"/>
        <v>4</v>
      </c>
      <c r="AV242" s="29">
        <f t="shared" ca="1" si="138"/>
        <v>5</v>
      </c>
      <c r="AW242" s="29">
        <f t="shared" ca="1" si="138"/>
        <v>4</v>
      </c>
      <c r="AX242" s="29">
        <f t="shared" ca="1" si="138"/>
        <v>5</v>
      </c>
      <c r="AY242" s="29">
        <f t="shared" ca="1" si="138"/>
        <v>4</v>
      </c>
      <c r="AZ242" s="29">
        <f t="shared" ca="1" si="138"/>
        <v>3</v>
      </c>
      <c r="BA242" s="29">
        <f t="shared" ca="1" si="138"/>
        <v>3</v>
      </c>
      <c r="BB242" s="29">
        <f t="shared" ca="1" si="138"/>
        <v>2</v>
      </c>
      <c r="BC242" s="29">
        <f t="shared" ca="1" si="138"/>
        <v>5</v>
      </c>
      <c r="BD242" s="29">
        <f t="shared" ca="1" si="138"/>
        <v>3</v>
      </c>
      <c r="BE242" s="29">
        <f t="shared" ca="1" si="138"/>
        <v>5</v>
      </c>
      <c r="BF242" s="29">
        <f t="shared" ca="1" si="138"/>
        <v>3</v>
      </c>
      <c r="BG242" s="29">
        <f t="shared" ca="1" si="138"/>
        <v>2</v>
      </c>
      <c r="BH242" s="29">
        <f t="shared" ca="1" si="138"/>
        <v>3</v>
      </c>
      <c r="BI242" s="29">
        <f t="shared" ca="1" si="138"/>
        <v>2</v>
      </c>
      <c r="BJ242" s="29">
        <f t="shared" ca="1" si="138"/>
        <v>2</v>
      </c>
      <c r="BK242" s="29">
        <f t="shared" ca="1" si="138"/>
        <v>4</v>
      </c>
      <c r="BL242" s="29">
        <f t="shared" ca="1" si="137"/>
        <v>3</v>
      </c>
      <c r="BM242" s="29">
        <f t="shared" ca="1" si="137"/>
        <v>1</v>
      </c>
      <c r="BN242" s="29">
        <f t="shared" ca="1" si="137"/>
        <v>3</v>
      </c>
      <c r="BO242" s="29">
        <f t="shared" ca="1" si="137"/>
        <v>3</v>
      </c>
      <c r="BP242" s="29">
        <f t="shared" ca="1" si="137"/>
        <v>4</v>
      </c>
      <c r="BQ242" s="29">
        <f t="shared" ca="1" si="137"/>
        <v>6</v>
      </c>
      <c r="BR242" s="29">
        <f t="shared" ca="1" si="137"/>
        <v>3</v>
      </c>
      <c r="BS242" s="29">
        <f t="shared" ca="1" si="137"/>
        <v>2</v>
      </c>
      <c r="BT242" s="29">
        <f t="shared" ca="1" si="137"/>
        <v>7</v>
      </c>
      <c r="BU242" s="29">
        <f t="shared" ca="1" si="137"/>
        <v>1</v>
      </c>
      <c r="BV242" s="29">
        <f t="shared" ca="1" si="137"/>
        <v>2</v>
      </c>
      <c r="BW242" s="29">
        <f t="shared" ca="1" si="137"/>
        <v>5</v>
      </c>
      <c r="BX242" s="29">
        <f t="shared" ca="1" si="137"/>
        <v>3</v>
      </c>
      <c r="BY242" s="29">
        <f t="shared" ca="1" si="137"/>
        <v>3</v>
      </c>
      <c r="BZ242" s="29">
        <f t="shared" ca="1" si="137"/>
        <v>6</v>
      </c>
      <c r="CA242" s="29">
        <f t="shared" ca="1" si="132"/>
        <v>4</v>
      </c>
      <c r="CB242" s="29">
        <f t="shared" ca="1" si="132"/>
        <v>1</v>
      </c>
      <c r="CC242" s="29">
        <f t="shared" ca="1" si="132"/>
        <v>7</v>
      </c>
      <c r="CD242" s="29">
        <f t="shared" ca="1" si="132"/>
        <v>3</v>
      </c>
      <c r="CE242" s="29">
        <f t="shared" ca="1" si="132"/>
        <v>2</v>
      </c>
      <c r="CF242" s="29">
        <f t="shared" ca="1" si="132"/>
        <v>5</v>
      </c>
      <c r="CG242" s="29">
        <f t="shared" ca="1" si="132"/>
        <v>7</v>
      </c>
      <c r="CH242" s="29">
        <f t="shared" ca="1" si="132"/>
        <v>3</v>
      </c>
      <c r="CI242" s="29">
        <f t="shared" ca="1" si="132"/>
        <v>3</v>
      </c>
      <c r="CJ242" s="29">
        <f t="shared" ca="1" si="132"/>
        <v>0</v>
      </c>
      <c r="CK242" s="29">
        <f t="shared" ca="1" si="132"/>
        <v>2</v>
      </c>
      <c r="CL242" s="29">
        <f t="shared" ca="1" si="132"/>
        <v>1</v>
      </c>
      <c r="CM242" s="29">
        <f t="shared" ca="1" si="132"/>
        <v>6</v>
      </c>
      <c r="CN242" s="29">
        <f t="shared" ca="1" si="132"/>
        <v>1</v>
      </c>
      <c r="CO242" s="29">
        <f t="shared" ca="1" si="132"/>
        <v>2</v>
      </c>
      <c r="CP242" s="29">
        <f t="shared" ca="1" si="132"/>
        <v>6</v>
      </c>
      <c r="CQ242" s="29">
        <f t="shared" ca="1" si="131"/>
        <v>4</v>
      </c>
      <c r="CR242" s="29">
        <f t="shared" ca="1" si="131"/>
        <v>6</v>
      </c>
      <c r="CS242" s="29">
        <f t="shared" ca="1" si="131"/>
        <v>2</v>
      </c>
      <c r="CT242" s="29">
        <f t="shared" ca="1" si="131"/>
        <v>2</v>
      </c>
      <c r="CU242" s="29">
        <f t="shared" ca="1" si="131"/>
        <v>7</v>
      </c>
      <c r="CV242" s="29">
        <f t="shared" ca="1" si="131"/>
        <v>4</v>
      </c>
      <c r="CW242" s="29">
        <f t="shared" ca="1" si="131"/>
        <v>0</v>
      </c>
      <c r="CX242" s="29">
        <f t="shared" ca="1" si="131"/>
        <v>4</v>
      </c>
      <c r="CY242" s="29">
        <f t="shared" ca="1" si="131"/>
        <v>4</v>
      </c>
      <c r="CZ242" s="29">
        <f t="shared" ca="1" si="131"/>
        <v>4</v>
      </c>
      <c r="DA242" s="29">
        <f t="shared" ca="1" si="131"/>
        <v>3</v>
      </c>
      <c r="DB242" s="29">
        <f t="shared" ca="1" si="131"/>
        <v>6</v>
      </c>
      <c r="DC242" s="29">
        <f t="shared" ca="1" si="131"/>
        <v>3</v>
      </c>
      <c r="DD242" s="29">
        <f t="shared" ca="1" si="131"/>
        <v>4</v>
      </c>
      <c r="DE242" s="29">
        <f t="shared" ca="1" si="131"/>
        <v>7</v>
      </c>
      <c r="DF242" s="29">
        <f t="shared" ca="1" si="134"/>
        <v>1</v>
      </c>
      <c r="DG242" s="29">
        <f t="shared" ca="1" si="134"/>
        <v>1</v>
      </c>
      <c r="DH242" s="29">
        <f t="shared" ca="1" si="134"/>
        <v>3</v>
      </c>
      <c r="DI242" s="29">
        <f t="shared" ca="1" si="134"/>
        <v>4</v>
      </c>
      <c r="DJ242" s="29">
        <f t="shared" ca="1" si="134"/>
        <v>2</v>
      </c>
      <c r="DK242" s="29">
        <f t="shared" ca="1" si="134"/>
        <v>3</v>
      </c>
      <c r="DL242" s="29">
        <f t="shared" ca="1" si="134"/>
        <v>6</v>
      </c>
    </row>
    <row r="243" spans="1:116" ht="14.4" x14ac:dyDescent="0.3">
      <c r="A243" s="31">
        <v>719</v>
      </c>
      <c r="B243" s="28">
        <v>7.96</v>
      </c>
      <c r="C243" s="30">
        <v>15.76</v>
      </c>
      <c r="D243" s="28">
        <v>2.79</v>
      </c>
      <c r="E243" s="34">
        <f t="shared" si="110"/>
        <v>5.5800000000000002E-2</v>
      </c>
      <c r="F243" s="35">
        <f t="shared" si="111"/>
        <v>3.94</v>
      </c>
      <c r="G243" s="34">
        <f t="shared" si="112"/>
        <v>69.75</v>
      </c>
      <c r="H243" s="33">
        <f t="shared" si="113"/>
        <v>8.2675879396984921</v>
      </c>
      <c r="I243" s="28">
        <f t="shared" si="118"/>
        <v>789.0000000000008</v>
      </c>
      <c r="J243" s="32">
        <v>0</v>
      </c>
      <c r="K243" s="30">
        <f t="shared" si="114"/>
        <v>69.75</v>
      </c>
      <c r="L243" s="30"/>
      <c r="M243" s="30"/>
      <c r="N243" s="30"/>
      <c r="O243" s="30"/>
      <c r="Q243" s="29">
        <f t="shared" ca="1" si="115"/>
        <v>2</v>
      </c>
      <c r="R243" s="29">
        <f t="shared" ca="1" si="136"/>
        <v>1</v>
      </c>
      <c r="S243" s="29">
        <f t="shared" ca="1" si="136"/>
        <v>4</v>
      </c>
      <c r="T243" s="29">
        <f t="shared" ca="1" si="136"/>
        <v>2</v>
      </c>
      <c r="U243" s="29">
        <f t="shared" ca="1" si="136"/>
        <v>4</v>
      </c>
      <c r="V243" s="29">
        <f t="shared" ca="1" si="136"/>
        <v>3</v>
      </c>
      <c r="W243" s="29">
        <f t="shared" ca="1" si="136"/>
        <v>3</v>
      </c>
      <c r="X243" s="29">
        <f t="shared" ca="1" si="136"/>
        <v>1</v>
      </c>
      <c r="Y243" s="29">
        <f t="shared" ca="1" si="136"/>
        <v>3</v>
      </c>
      <c r="Z243" s="29">
        <f t="shared" ca="1" si="136"/>
        <v>2</v>
      </c>
      <c r="AA243" s="29">
        <f t="shared" ca="1" si="136"/>
        <v>2</v>
      </c>
      <c r="AB243" s="29">
        <f t="shared" ca="1" si="136"/>
        <v>2</v>
      </c>
      <c r="AC243" s="29">
        <f t="shared" ca="1" si="136"/>
        <v>2</v>
      </c>
      <c r="AD243" s="29">
        <f t="shared" ca="1" si="136"/>
        <v>3</v>
      </c>
      <c r="AE243" s="29">
        <f t="shared" ca="1" si="136"/>
        <v>7</v>
      </c>
      <c r="AF243" s="29">
        <f t="shared" ca="1" si="136"/>
        <v>3</v>
      </c>
      <c r="AG243" s="29">
        <f t="shared" ca="1" si="135"/>
        <v>2</v>
      </c>
      <c r="AH243" s="29">
        <f t="shared" ca="1" si="135"/>
        <v>6</v>
      </c>
      <c r="AI243" s="29">
        <f t="shared" ca="1" si="135"/>
        <v>3</v>
      </c>
      <c r="AJ243" s="29">
        <f t="shared" ca="1" si="135"/>
        <v>2</v>
      </c>
      <c r="AK243" s="29">
        <f t="shared" ca="1" si="135"/>
        <v>4</v>
      </c>
      <c r="AL243" s="29">
        <f t="shared" ca="1" si="135"/>
        <v>3</v>
      </c>
      <c r="AM243" s="29">
        <f t="shared" ca="1" si="135"/>
        <v>5</v>
      </c>
      <c r="AN243" s="29">
        <f t="shared" ca="1" si="135"/>
        <v>1</v>
      </c>
      <c r="AO243" s="29">
        <f t="shared" ca="1" si="135"/>
        <v>7</v>
      </c>
      <c r="AP243" s="29">
        <f t="shared" ca="1" si="135"/>
        <v>2</v>
      </c>
      <c r="AQ243" s="29">
        <f t="shared" ca="1" si="135"/>
        <v>1</v>
      </c>
      <c r="AR243" s="29">
        <f t="shared" ca="1" si="135"/>
        <v>3</v>
      </c>
      <c r="AS243" s="29">
        <f t="shared" ca="1" si="135"/>
        <v>3</v>
      </c>
      <c r="AT243" s="29">
        <f t="shared" ca="1" si="135"/>
        <v>1</v>
      </c>
      <c r="AU243" s="29">
        <f t="shared" ca="1" si="135"/>
        <v>1</v>
      </c>
      <c r="AV243" s="29">
        <f t="shared" ca="1" si="138"/>
        <v>6</v>
      </c>
      <c r="AW243" s="29">
        <f t="shared" ca="1" si="138"/>
        <v>2</v>
      </c>
      <c r="AX243" s="29">
        <f t="shared" ca="1" si="138"/>
        <v>5</v>
      </c>
      <c r="AY243" s="29">
        <f t="shared" ca="1" si="138"/>
        <v>2</v>
      </c>
      <c r="AZ243" s="29">
        <f t="shared" ca="1" si="138"/>
        <v>3</v>
      </c>
      <c r="BA243" s="29">
        <f t="shared" ca="1" si="138"/>
        <v>2</v>
      </c>
      <c r="BB243" s="29">
        <f t="shared" ca="1" si="138"/>
        <v>2</v>
      </c>
      <c r="BC243" s="29">
        <f t="shared" ca="1" si="138"/>
        <v>0</v>
      </c>
      <c r="BD243" s="29">
        <f t="shared" ca="1" si="138"/>
        <v>3</v>
      </c>
      <c r="BE243" s="29">
        <f t="shared" ca="1" si="138"/>
        <v>1</v>
      </c>
      <c r="BF243" s="29">
        <f t="shared" ca="1" si="138"/>
        <v>1</v>
      </c>
      <c r="BG243" s="29">
        <f t="shared" ca="1" si="138"/>
        <v>2</v>
      </c>
      <c r="BH243" s="29">
        <f t="shared" ca="1" si="138"/>
        <v>1</v>
      </c>
      <c r="BI243" s="29">
        <f t="shared" ca="1" si="138"/>
        <v>5</v>
      </c>
      <c r="BJ243" s="29">
        <f t="shared" ca="1" si="138"/>
        <v>3</v>
      </c>
      <c r="BK243" s="29">
        <f t="shared" ca="1" si="138"/>
        <v>1</v>
      </c>
      <c r="BL243" s="29">
        <f t="shared" ca="1" si="137"/>
        <v>2</v>
      </c>
      <c r="BM243" s="29">
        <f t="shared" ca="1" si="137"/>
        <v>7</v>
      </c>
      <c r="BN243" s="29">
        <f t="shared" ca="1" si="137"/>
        <v>4</v>
      </c>
      <c r="BO243" s="29">
        <f t="shared" ca="1" si="137"/>
        <v>3</v>
      </c>
      <c r="BP243" s="29">
        <f t="shared" ca="1" si="137"/>
        <v>6</v>
      </c>
      <c r="BQ243" s="29">
        <f t="shared" ca="1" si="137"/>
        <v>4</v>
      </c>
      <c r="BR243" s="29">
        <f t="shared" ca="1" si="137"/>
        <v>2</v>
      </c>
      <c r="BS243" s="29">
        <f t="shared" ca="1" si="137"/>
        <v>3</v>
      </c>
      <c r="BT243" s="29">
        <f t="shared" ca="1" si="137"/>
        <v>1</v>
      </c>
      <c r="BU243" s="29">
        <f t="shared" ca="1" si="137"/>
        <v>4</v>
      </c>
      <c r="BV243" s="29">
        <f t="shared" ca="1" si="137"/>
        <v>1</v>
      </c>
      <c r="BW243" s="29">
        <f t="shared" ca="1" si="137"/>
        <v>2</v>
      </c>
      <c r="BX243" s="29">
        <f t="shared" ca="1" si="137"/>
        <v>3</v>
      </c>
      <c r="BY243" s="29">
        <f t="shared" ca="1" si="137"/>
        <v>3</v>
      </c>
      <c r="BZ243" s="29">
        <f t="shared" ca="1" si="137"/>
        <v>4</v>
      </c>
      <c r="CA243" s="29">
        <f t="shared" ca="1" si="132"/>
        <v>4</v>
      </c>
      <c r="CB243" s="29">
        <f t="shared" ca="1" si="132"/>
        <v>3</v>
      </c>
      <c r="CC243" s="29">
        <f t="shared" ca="1" si="132"/>
        <v>4</v>
      </c>
      <c r="CD243" s="29">
        <f t="shared" ca="1" si="132"/>
        <v>0</v>
      </c>
      <c r="CE243" s="29">
        <f t="shared" ca="1" si="132"/>
        <v>1</v>
      </c>
      <c r="CF243" s="29">
        <f t="shared" ca="1" si="132"/>
        <v>4</v>
      </c>
      <c r="CG243" s="29">
        <f t="shared" ca="1" si="132"/>
        <v>2</v>
      </c>
      <c r="CH243" s="29">
        <f t="shared" ca="1" si="132"/>
        <v>4</v>
      </c>
      <c r="CI243" s="29">
        <f t="shared" ca="1" si="132"/>
        <v>4</v>
      </c>
      <c r="CJ243" s="29">
        <f t="shared" ca="1" si="132"/>
        <v>2</v>
      </c>
      <c r="CK243" s="29">
        <f t="shared" ca="1" si="132"/>
        <v>1</v>
      </c>
      <c r="CL243" s="29">
        <f t="shared" ca="1" si="132"/>
        <v>1</v>
      </c>
      <c r="CM243" s="29">
        <f t="shared" ca="1" si="132"/>
        <v>3</v>
      </c>
      <c r="CN243" s="29">
        <f t="shared" ca="1" si="132"/>
        <v>7</v>
      </c>
      <c r="CO243" s="29">
        <f t="shared" ca="1" si="132"/>
        <v>5</v>
      </c>
      <c r="CP243" s="29">
        <f t="shared" ca="1" si="132"/>
        <v>4</v>
      </c>
      <c r="CQ243" s="29">
        <f t="shared" ca="1" si="131"/>
        <v>3</v>
      </c>
      <c r="CR243" s="29">
        <f t="shared" ca="1" si="131"/>
        <v>2</v>
      </c>
      <c r="CS243" s="29">
        <f t="shared" ca="1" si="131"/>
        <v>3</v>
      </c>
      <c r="CT243" s="29">
        <f t="shared" ca="1" si="131"/>
        <v>2</v>
      </c>
      <c r="CU243" s="29">
        <f t="shared" ca="1" si="131"/>
        <v>2</v>
      </c>
      <c r="CV243" s="29">
        <f t="shared" ca="1" si="131"/>
        <v>1</v>
      </c>
      <c r="CW243" s="29">
        <f t="shared" ca="1" si="131"/>
        <v>5</v>
      </c>
      <c r="CX243" s="29">
        <f t="shared" ca="1" si="131"/>
        <v>3</v>
      </c>
      <c r="CY243" s="29">
        <f t="shared" ca="1" si="131"/>
        <v>2</v>
      </c>
      <c r="CZ243" s="29">
        <f t="shared" ca="1" si="131"/>
        <v>3</v>
      </c>
      <c r="DA243" s="29">
        <f t="shared" ca="1" si="131"/>
        <v>3</v>
      </c>
      <c r="DB243" s="29">
        <f t="shared" ca="1" si="131"/>
        <v>3</v>
      </c>
      <c r="DC243" s="29">
        <f t="shared" ca="1" si="131"/>
        <v>2</v>
      </c>
      <c r="DD243" s="29">
        <f t="shared" ca="1" si="131"/>
        <v>1</v>
      </c>
      <c r="DE243" s="29">
        <f t="shared" ca="1" si="131"/>
        <v>3</v>
      </c>
      <c r="DF243" s="29">
        <f t="shared" ca="1" si="134"/>
        <v>0</v>
      </c>
      <c r="DG243" s="29">
        <f t="shared" ca="1" si="134"/>
        <v>4</v>
      </c>
      <c r="DH243" s="29">
        <f t="shared" ca="1" si="134"/>
        <v>2</v>
      </c>
      <c r="DI243" s="29">
        <f t="shared" ca="1" si="134"/>
        <v>8</v>
      </c>
      <c r="DJ243" s="29">
        <f t="shared" ca="1" si="134"/>
        <v>2</v>
      </c>
      <c r="DK243" s="29">
        <f t="shared" ca="1" si="134"/>
        <v>3</v>
      </c>
      <c r="DL243" s="29">
        <f t="shared" ca="1" si="134"/>
        <v>3</v>
      </c>
    </row>
    <row r="244" spans="1:116" ht="14.4" x14ac:dyDescent="0.3">
      <c r="A244" s="31">
        <v>558</v>
      </c>
      <c r="B244" s="28">
        <v>4.12</v>
      </c>
      <c r="C244" s="30">
        <v>69.27</v>
      </c>
      <c r="D244" s="28">
        <v>2.0499999999999998</v>
      </c>
      <c r="E244" s="34">
        <f t="shared" si="110"/>
        <v>4.0999999999999995E-2</v>
      </c>
      <c r="F244" s="35">
        <f t="shared" si="111"/>
        <v>17.317499999999999</v>
      </c>
      <c r="G244" s="34">
        <f t="shared" si="112"/>
        <v>51.249999999999993</v>
      </c>
      <c r="H244" s="33">
        <f t="shared" si="113"/>
        <v>8.2360436893203861</v>
      </c>
      <c r="I244" s="28">
        <f t="shared" si="118"/>
        <v>793.1200000000008</v>
      </c>
      <c r="J244" s="32">
        <v>0</v>
      </c>
      <c r="K244" s="30">
        <f t="shared" si="114"/>
        <v>51.249999999999993</v>
      </c>
      <c r="L244" s="30"/>
      <c r="M244" s="30"/>
      <c r="N244" s="30"/>
      <c r="O244" s="30"/>
      <c r="Q244" s="29">
        <f t="shared" ca="1" si="115"/>
        <v>4</v>
      </c>
      <c r="R244" s="29">
        <f t="shared" ca="1" si="136"/>
        <v>3</v>
      </c>
      <c r="S244" s="29">
        <f t="shared" ca="1" si="136"/>
        <v>5</v>
      </c>
      <c r="T244" s="29">
        <f t="shared" ca="1" si="136"/>
        <v>4</v>
      </c>
      <c r="U244" s="29">
        <f t="shared" ca="1" si="136"/>
        <v>3</v>
      </c>
      <c r="V244" s="29">
        <f t="shared" ca="1" si="136"/>
        <v>0</v>
      </c>
      <c r="W244" s="29">
        <f t="shared" ca="1" si="136"/>
        <v>3</v>
      </c>
      <c r="X244" s="29">
        <f t="shared" ca="1" si="136"/>
        <v>1</v>
      </c>
      <c r="Y244" s="29">
        <f t="shared" ca="1" si="136"/>
        <v>3</v>
      </c>
      <c r="Z244" s="29">
        <f t="shared" ca="1" si="136"/>
        <v>2</v>
      </c>
      <c r="AA244" s="29">
        <f t="shared" ca="1" si="136"/>
        <v>1</v>
      </c>
      <c r="AB244" s="29">
        <f t="shared" ca="1" si="136"/>
        <v>2</v>
      </c>
      <c r="AC244" s="29">
        <f t="shared" ca="1" si="136"/>
        <v>2</v>
      </c>
      <c r="AD244" s="29">
        <f t="shared" ca="1" si="136"/>
        <v>3</v>
      </c>
      <c r="AE244" s="29">
        <f t="shared" ca="1" si="136"/>
        <v>4</v>
      </c>
      <c r="AF244" s="29">
        <f t="shared" ca="1" si="136"/>
        <v>5</v>
      </c>
      <c r="AG244" s="29">
        <f t="shared" ca="1" si="135"/>
        <v>4</v>
      </c>
      <c r="AH244" s="29">
        <f t="shared" ca="1" si="135"/>
        <v>1</v>
      </c>
      <c r="AI244" s="29">
        <f t="shared" ca="1" si="135"/>
        <v>7</v>
      </c>
      <c r="AJ244" s="29">
        <f t="shared" ca="1" si="135"/>
        <v>2</v>
      </c>
      <c r="AK244" s="29">
        <f t="shared" ca="1" si="135"/>
        <v>3</v>
      </c>
      <c r="AL244" s="29">
        <f t="shared" ca="1" si="135"/>
        <v>2</v>
      </c>
      <c r="AM244" s="29">
        <f t="shared" ca="1" si="135"/>
        <v>2</v>
      </c>
      <c r="AN244" s="29">
        <f t="shared" ca="1" si="135"/>
        <v>0</v>
      </c>
      <c r="AO244" s="29">
        <f t="shared" ca="1" si="135"/>
        <v>4</v>
      </c>
      <c r="AP244" s="29">
        <f t="shared" ca="1" si="135"/>
        <v>4</v>
      </c>
      <c r="AQ244" s="29">
        <f t="shared" ca="1" si="135"/>
        <v>2</v>
      </c>
      <c r="AR244" s="29">
        <f t="shared" ca="1" si="135"/>
        <v>1</v>
      </c>
      <c r="AS244" s="29">
        <f t="shared" ca="1" si="135"/>
        <v>0</v>
      </c>
      <c r="AT244" s="29">
        <f t="shared" ca="1" si="135"/>
        <v>0</v>
      </c>
      <c r="AU244" s="29">
        <f t="shared" ca="1" si="135"/>
        <v>2</v>
      </c>
      <c r="AV244" s="29">
        <f t="shared" ca="1" si="138"/>
        <v>4</v>
      </c>
      <c r="AW244" s="29">
        <f t="shared" ca="1" si="138"/>
        <v>2</v>
      </c>
      <c r="AX244" s="29">
        <f t="shared" ca="1" si="138"/>
        <v>1</v>
      </c>
      <c r="AY244" s="29">
        <f t="shared" ca="1" si="138"/>
        <v>1</v>
      </c>
      <c r="AZ244" s="29">
        <f t="shared" ca="1" si="138"/>
        <v>3</v>
      </c>
      <c r="BA244" s="29">
        <f t="shared" ca="1" si="138"/>
        <v>2</v>
      </c>
      <c r="BB244" s="29">
        <f t="shared" ca="1" si="138"/>
        <v>2</v>
      </c>
      <c r="BC244" s="29">
        <f t="shared" ca="1" si="138"/>
        <v>2</v>
      </c>
      <c r="BD244" s="29">
        <f t="shared" ca="1" si="138"/>
        <v>4</v>
      </c>
      <c r="BE244" s="29">
        <f t="shared" ca="1" si="138"/>
        <v>1</v>
      </c>
      <c r="BF244" s="29">
        <f t="shared" ca="1" si="138"/>
        <v>2</v>
      </c>
      <c r="BG244" s="29">
        <f t="shared" ca="1" si="138"/>
        <v>0</v>
      </c>
      <c r="BH244" s="29">
        <f t="shared" ca="1" si="138"/>
        <v>4</v>
      </c>
      <c r="BI244" s="29">
        <f t="shared" ca="1" si="138"/>
        <v>5</v>
      </c>
      <c r="BJ244" s="29">
        <f t="shared" ca="1" si="138"/>
        <v>2</v>
      </c>
      <c r="BK244" s="29">
        <f t="shared" ca="1" si="138"/>
        <v>0</v>
      </c>
      <c r="BL244" s="29">
        <f t="shared" ca="1" si="137"/>
        <v>4</v>
      </c>
      <c r="BM244" s="29">
        <f t="shared" ca="1" si="137"/>
        <v>3</v>
      </c>
      <c r="BN244" s="29">
        <f t="shared" ca="1" si="137"/>
        <v>0</v>
      </c>
      <c r="BO244" s="29">
        <f t="shared" ca="1" si="137"/>
        <v>4</v>
      </c>
      <c r="BP244" s="29">
        <f t="shared" ca="1" si="137"/>
        <v>1</v>
      </c>
      <c r="BQ244" s="29">
        <f t="shared" ca="1" si="137"/>
        <v>3</v>
      </c>
      <c r="BR244" s="29">
        <f t="shared" ca="1" si="137"/>
        <v>2</v>
      </c>
      <c r="BS244" s="29">
        <f t="shared" ca="1" si="137"/>
        <v>2</v>
      </c>
      <c r="BT244" s="29">
        <f t="shared" ca="1" si="137"/>
        <v>1</v>
      </c>
      <c r="BU244" s="29">
        <f t="shared" ca="1" si="137"/>
        <v>2</v>
      </c>
      <c r="BV244" s="29">
        <f t="shared" ca="1" si="137"/>
        <v>0</v>
      </c>
      <c r="BW244" s="29">
        <f t="shared" ca="1" si="137"/>
        <v>3</v>
      </c>
      <c r="BX244" s="29">
        <f t="shared" ca="1" si="137"/>
        <v>2</v>
      </c>
      <c r="BY244" s="29">
        <f t="shared" ca="1" si="137"/>
        <v>3</v>
      </c>
      <c r="BZ244" s="29">
        <f t="shared" ca="1" si="137"/>
        <v>3</v>
      </c>
      <c r="CA244" s="29">
        <f t="shared" ca="1" si="132"/>
        <v>2</v>
      </c>
      <c r="CB244" s="29">
        <f t="shared" ca="1" si="132"/>
        <v>1</v>
      </c>
      <c r="CC244" s="29">
        <f t="shared" ca="1" si="132"/>
        <v>2</v>
      </c>
      <c r="CD244" s="29">
        <f t="shared" ca="1" si="132"/>
        <v>3</v>
      </c>
      <c r="CE244" s="29">
        <f t="shared" ca="1" si="132"/>
        <v>2</v>
      </c>
      <c r="CF244" s="29">
        <f t="shared" ca="1" si="132"/>
        <v>0</v>
      </c>
      <c r="CG244" s="29">
        <f t="shared" ca="1" si="132"/>
        <v>1</v>
      </c>
      <c r="CH244" s="29">
        <f t="shared" ca="1" si="132"/>
        <v>3</v>
      </c>
      <c r="CI244" s="29">
        <f t="shared" ca="1" si="132"/>
        <v>2</v>
      </c>
      <c r="CJ244" s="29">
        <f t="shared" ca="1" si="132"/>
        <v>3</v>
      </c>
      <c r="CK244" s="29">
        <f t="shared" ca="1" si="132"/>
        <v>2</v>
      </c>
      <c r="CL244" s="29">
        <f t="shared" ca="1" si="132"/>
        <v>2</v>
      </c>
      <c r="CM244" s="29">
        <f t="shared" ca="1" si="132"/>
        <v>1</v>
      </c>
      <c r="CN244" s="29">
        <f t="shared" ca="1" si="132"/>
        <v>4</v>
      </c>
      <c r="CO244" s="29">
        <f t="shared" ca="1" si="132"/>
        <v>2</v>
      </c>
      <c r="CP244" s="29">
        <f t="shared" ref="CP244:DE259" ca="1" si="139">_xlfn.BINOM.INV(50,$E244,RAND())</f>
        <v>2</v>
      </c>
      <c r="CQ244" s="29">
        <f t="shared" ca="1" si="139"/>
        <v>0</v>
      </c>
      <c r="CR244" s="29">
        <f t="shared" ca="1" si="139"/>
        <v>1</v>
      </c>
      <c r="CS244" s="29">
        <f t="shared" ca="1" si="139"/>
        <v>3</v>
      </c>
      <c r="CT244" s="29">
        <f t="shared" ca="1" si="139"/>
        <v>6</v>
      </c>
      <c r="CU244" s="29">
        <f t="shared" ca="1" si="139"/>
        <v>1</v>
      </c>
      <c r="CV244" s="29">
        <f t="shared" ca="1" si="139"/>
        <v>2</v>
      </c>
      <c r="CW244" s="29">
        <f t="shared" ca="1" si="139"/>
        <v>3</v>
      </c>
      <c r="CX244" s="29">
        <f t="shared" ca="1" si="139"/>
        <v>1</v>
      </c>
      <c r="CY244" s="29">
        <f t="shared" ca="1" si="139"/>
        <v>2</v>
      </c>
      <c r="CZ244" s="29">
        <f t="shared" ca="1" si="139"/>
        <v>4</v>
      </c>
      <c r="DA244" s="29">
        <f t="shared" ca="1" si="139"/>
        <v>6</v>
      </c>
      <c r="DB244" s="29">
        <f t="shared" ca="1" si="139"/>
        <v>1</v>
      </c>
      <c r="DC244" s="29">
        <f t="shared" ca="1" si="139"/>
        <v>4</v>
      </c>
      <c r="DD244" s="29">
        <f t="shared" ca="1" si="139"/>
        <v>2</v>
      </c>
      <c r="DE244" s="29">
        <f t="shared" ca="1" si="139"/>
        <v>2</v>
      </c>
      <c r="DF244" s="29">
        <f t="shared" ca="1" si="134"/>
        <v>1</v>
      </c>
      <c r="DG244" s="29">
        <f t="shared" ca="1" si="134"/>
        <v>2</v>
      </c>
      <c r="DH244" s="29">
        <f t="shared" ca="1" si="134"/>
        <v>2</v>
      </c>
      <c r="DI244" s="29">
        <f t="shared" ca="1" si="134"/>
        <v>3</v>
      </c>
      <c r="DJ244" s="29">
        <f t="shared" ca="1" si="134"/>
        <v>0</v>
      </c>
      <c r="DK244" s="29">
        <f t="shared" ca="1" si="134"/>
        <v>2</v>
      </c>
      <c r="DL244" s="29">
        <f t="shared" ca="1" si="134"/>
        <v>2</v>
      </c>
    </row>
    <row r="245" spans="1:116" ht="14.4" x14ac:dyDescent="0.3">
      <c r="A245" s="31">
        <v>505</v>
      </c>
      <c r="B245" s="28">
        <v>1.96</v>
      </c>
      <c r="C245" s="30">
        <v>84.83</v>
      </c>
      <c r="D245" s="28">
        <v>1.49</v>
      </c>
      <c r="E245" s="34">
        <f t="shared" si="110"/>
        <v>2.98E-2</v>
      </c>
      <c r="F245" s="35">
        <f t="shared" si="111"/>
        <v>21.2075</v>
      </c>
      <c r="G245" s="34">
        <f t="shared" si="112"/>
        <v>37.25</v>
      </c>
      <c r="H245" s="33">
        <f t="shared" si="113"/>
        <v>8.1849489795918373</v>
      </c>
      <c r="I245" s="28">
        <f t="shared" si="118"/>
        <v>795.08000000000084</v>
      </c>
      <c r="J245" s="32">
        <v>0</v>
      </c>
      <c r="K245" s="30">
        <f t="shared" si="114"/>
        <v>37.25</v>
      </c>
      <c r="L245" s="30"/>
      <c r="M245" s="30"/>
      <c r="N245" s="30"/>
      <c r="O245" s="30"/>
      <c r="Q245" s="29">
        <f t="shared" ca="1" si="115"/>
        <v>3</v>
      </c>
      <c r="R245" s="29">
        <f t="shared" ca="1" si="136"/>
        <v>2</v>
      </c>
      <c r="S245" s="29">
        <f t="shared" ca="1" si="136"/>
        <v>0</v>
      </c>
      <c r="T245" s="29">
        <f t="shared" ca="1" si="136"/>
        <v>0</v>
      </c>
      <c r="U245" s="29">
        <f t="shared" ca="1" si="136"/>
        <v>0</v>
      </c>
      <c r="V245" s="29">
        <f t="shared" ca="1" si="136"/>
        <v>3</v>
      </c>
      <c r="W245" s="29">
        <f t="shared" ca="1" si="136"/>
        <v>1</v>
      </c>
      <c r="X245" s="29">
        <f t="shared" ca="1" si="136"/>
        <v>0</v>
      </c>
      <c r="Y245" s="29">
        <f t="shared" ca="1" si="136"/>
        <v>1</v>
      </c>
      <c r="Z245" s="29">
        <f t="shared" ca="1" si="136"/>
        <v>1</v>
      </c>
      <c r="AA245" s="29">
        <f t="shared" ca="1" si="136"/>
        <v>3</v>
      </c>
      <c r="AB245" s="29">
        <f t="shared" ca="1" si="136"/>
        <v>2</v>
      </c>
      <c r="AC245" s="29">
        <f t="shared" ca="1" si="136"/>
        <v>2</v>
      </c>
      <c r="AD245" s="29">
        <f t="shared" ca="1" si="136"/>
        <v>2</v>
      </c>
      <c r="AE245" s="29">
        <f t="shared" ca="1" si="136"/>
        <v>2</v>
      </c>
      <c r="AF245" s="29">
        <f t="shared" ca="1" si="136"/>
        <v>4</v>
      </c>
      <c r="AG245" s="29">
        <f t="shared" ca="1" si="135"/>
        <v>4</v>
      </c>
      <c r="AH245" s="29">
        <f t="shared" ca="1" si="135"/>
        <v>1</v>
      </c>
      <c r="AI245" s="29">
        <f t="shared" ca="1" si="135"/>
        <v>2</v>
      </c>
      <c r="AJ245" s="29">
        <f t="shared" ca="1" si="135"/>
        <v>1</v>
      </c>
      <c r="AK245" s="29">
        <f t="shared" ca="1" si="135"/>
        <v>1</v>
      </c>
      <c r="AL245" s="29">
        <f t="shared" ca="1" si="135"/>
        <v>1</v>
      </c>
      <c r="AM245" s="29">
        <f t="shared" ca="1" si="135"/>
        <v>1</v>
      </c>
      <c r="AN245" s="29">
        <f t="shared" ca="1" si="135"/>
        <v>2</v>
      </c>
      <c r="AO245" s="29">
        <f t="shared" ca="1" si="135"/>
        <v>3</v>
      </c>
      <c r="AP245" s="29">
        <f t="shared" ca="1" si="135"/>
        <v>2</v>
      </c>
      <c r="AQ245" s="29">
        <f t="shared" ca="1" si="135"/>
        <v>1</v>
      </c>
      <c r="AR245" s="29">
        <f t="shared" ca="1" si="135"/>
        <v>1</v>
      </c>
      <c r="AS245" s="29">
        <f t="shared" ca="1" si="135"/>
        <v>1</v>
      </c>
      <c r="AT245" s="29">
        <f t="shared" ca="1" si="135"/>
        <v>1</v>
      </c>
      <c r="AU245" s="29">
        <f t="shared" ca="1" si="135"/>
        <v>1</v>
      </c>
      <c r="AV245" s="29">
        <f t="shared" ca="1" si="138"/>
        <v>1</v>
      </c>
      <c r="AW245" s="29">
        <f t="shared" ca="1" si="138"/>
        <v>2</v>
      </c>
      <c r="AX245" s="29">
        <f t="shared" ca="1" si="138"/>
        <v>0</v>
      </c>
      <c r="AY245" s="29">
        <f t="shared" ca="1" si="138"/>
        <v>2</v>
      </c>
      <c r="AZ245" s="29">
        <f t="shared" ca="1" si="138"/>
        <v>1</v>
      </c>
      <c r="BA245" s="29">
        <f t="shared" ca="1" si="138"/>
        <v>5</v>
      </c>
      <c r="BB245" s="29">
        <f t="shared" ca="1" si="138"/>
        <v>1</v>
      </c>
      <c r="BC245" s="29">
        <f t="shared" ca="1" si="138"/>
        <v>0</v>
      </c>
      <c r="BD245" s="29">
        <f t="shared" ca="1" si="138"/>
        <v>1</v>
      </c>
      <c r="BE245" s="29">
        <f t="shared" ca="1" si="138"/>
        <v>1</v>
      </c>
      <c r="BF245" s="29">
        <f t="shared" ca="1" si="138"/>
        <v>1</v>
      </c>
      <c r="BG245" s="29">
        <f t="shared" ca="1" si="138"/>
        <v>0</v>
      </c>
      <c r="BH245" s="29">
        <f t="shared" ca="1" si="138"/>
        <v>1</v>
      </c>
      <c r="BI245" s="29">
        <f t="shared" ca="1" si="138"/>
        <v>2</v>
      </c>
      <c r="BJ245" s="29">
        <f t="shared" ca="1" si="138"/>
        <v>1</v>
      </c>
      <c r="BK245" s="29">
        <f t="shared" ca="1" si="138"/>
        <v>2</v>
      </c>
      <c r="BL245" s="29">
        <f t="shared" ca="1" si="137"/>
        <v>1</v>
      </c>
      <c r="BM245" s="29">
        <f t="shared" ca="1" si="137"/>
        <v>2</v>
      </c>
      <c r="BN245" s="29">
        <f t="shared" ca="1" si="137"/>
        <v>2</v>
      </c>
      <c r="BO245" s="29">
        <f t="shared" ca="1" si="137"/>
        <v>0</v>
      </c>
      <c r="BP245" s="29">
        <f t="shared" ca="1" si="137"/>
        <v>0</v>
      </c>
      <c r="BQ245" s="29">
        <f t="shared" ca="1" si="137"/>
        <v>2</v>
      </c>
      <c r="BR245" s="29">
        <f t="shared" ca="1" si="137"/>
        <v>2</v>
      </c>
      <c r="BS245" s="29">
        <f t="shared" ca="1" si="137"/>
        <v>1</v>
      </c>
      <c r="BT245" s="29">
        <f t="shared" ca="1" si="137"/>
        <v>2</v>
      </c>
      <c r="BU245" s="29">
        <f t="shared" ca="1" si="137"/>
        <v>3</v>
      </c>
      <c r="BV245" s="29">
        <f t="shared" ca="1" si="137"/>
        <v>3</v>
      </c>
      <c r="BW245" s="29">
        <f t="shared" ca="1" si="137"/>
        <v>2</v>
      </c>
      <c r="BX245" s="29">
        <f t="shared" ca="1" si="137"/>
        <v>1</v>
      </c>
      <c r="BY245" s="29">
        <f t="shared" ca="1" si="137"/>
        <v>2</v>
      </c>
      <c r="BZ245" s="29">
        <f t="shared" ca="1" si="137"/>
        <v>1</v>
      </c>
      <c r="CA245" s="29">
        <f t="shared" ref="CA245:CP260" ca="1" si="140">_xlfn.BINOM.INV(50,$E245,RAND())</f>
        <v>1</v>
      </c>
      <c r="CB245" s="29">
        <f t="shared" ca="1" si="140"/>
        <v>0</v>
      </c>
      <c r="CC245" s="29">
        <f t="shared" ca="1" si="140"/>
        <v>1</v>
      </c>
      <c r="CD245" s="29">
        <f t="shared" ca="1" si="140"/>
        <v>2</v>
      </c>
      <c r="CE245" s="29">
        <f t="shared" ca="1" si="140"/>
        <v>1</v>
      </c>
      <c r="CF245" s="29">
        <f t="shared" ca="1" si="140"/>
        <v>2</v>
      </c>
      <c r="CG245" s="29">
        <f t="shared" ca="1" si="140"/>
        <v>0</v>
      </c>
      <c r="CH245" s="29">
        <f t="shared" ca="1" si="140"/>
        <v>1</v>
      </c>
      <c r="CI245" s="29">
        <f t="shared" ca="1" si="140"/>
        <v>1</v>
      </c>
      <c r="CJ245" s="29">
        <f t="shared" ca="1" si="140"/>
        <v>2</v>
      </c>
      <c r="CK245" s="29">
        <f t="shared" ca="1" si="140"/>
        <v>2</v>
      </c>
      <c r="CL245" s="29">
        <f t="shared" ca="1" si="140"/>
        <v>2</v>
      </c>
      <c r="CM245" s="29">
        <f t="shared" ca="1" si="140"/>
        <v>3</v>
      </c>
      <c r="CN245" s="29">
        <f t="shared" ca="1" si="140"/>
        <v>1</v>
      </c>
      <c r="CO245" s="29">
        <f t="shared" ca="1" si="140"/>
        <v>1</v>
      </c>
      <c r="CP245" s="29">
        <f t="shared" ca="1" si="140"/>
        <v>2</v>
      </c>
      <c r="CQ245" s="29">
        <f t="shared" ca="1" si="139"/>
        <v>1</v>
      </c>
      <c r="CR245" s="29">
        <f t="shared" ca="1" si="139"/>
        <v>0</v>
      </c>
      <c r="CS245" s="29">
        <f t="shared" ca="1" si="139"/>
        <v>2</v>
      </c>
      <c r="CT245" s="29">
        <f t="shared" ca="1" si="139"/>
        <v>2</v>
      </c>
      <c r="CU245" s="29">
        <f t="shared" ca="1" si="139"/>
        <v>2</v>
      </c>
      <c r="CV245" s="29">
        <f t="shared" ca="1" si="139"/>
        <v>1</v>
      </c>
      <c r="CW245" s="29">
        <f t="shared" ca="1" si="139"/>
        <v>2</v>
      </c>
      <c r="CX245" s="29">
        <f t="shared" ca="1" si="139"/>
        <v>3</v>
      </c>
      <c r="CY245" s="29">
        <f t="shared" ca="1" si="139"/>
        <v>1</v>
      </c>
      <c r="CZ245" s="29">
        <f t="shared" ca="1" si="139"/>
        <v>2</v>
      </c>
      <c r="DA245" s="29">
        <f t="shared" ca="1" si="139"/>
        <v>0</v>
      </c>
      <c r="DB245" s="29">
        <f t="shared" ca="1" si="139"/>
        <v>0</v>
      </c>
      <c r="DC245" s="29">
        <f t="shared" ca="1" si="139"/>
        <v>3</v>
      </c>
      <c r="DD245" s="29">
        <f t="shared" ca="1" si="139"/>
        <v>2</v>
      </c>
      <c r="DE245" s="29">
        <f t="shared" ca="1" si="139"/>
        <v>1</v>
      </c>
      <c r="DF245" s="29">
        <f t="shared" ca="1" si="134"/>
        <v>1</v>
      </c>
      <c r="DG245" s="29">
        <f t="shared" ca="1" si="134"/>
        <v>4</v>
      </c>
      <c r="DH245" s="29">
        <f t="shared" ca="1" si="134"/>
        <v>3</v>
      </c>
      <c r="DI245" s="29">
        <f t="shared" ca="1" si="134"/>
        <v>3</v>
      </c>
      <c r="DJ245" s="29">
        <f t="shared" ca="1" si="134"/>
        <v>1</v>
      </c>
      <c r="DK245" s="29">
        <f t="shared" ca="1" si="134"/>
        <v>2</v>
      </c>
      <c r="DL245" s="29">
        <f t="shared" ca="1" si="134"/>
        <v>0</v>
      </c>
    </row>
    <row r="246" spans="1:116" ht="14.4" x14ac:dyDescent="0.3">
      <c r="A246" s="31">
        <v>541</v>
      </c>
      <c r="B246" s="28">
        <v>9.24</v>
      </c>
      <c r="C246" s="30">
        <v>13.69</v>
      </c>
      <c r="D246" s="28">
        <v>3.11</v>
      </c>
      <c r="E246" s="34">
        <f t="shared" si="110"/>
        <v>6.2199999999999998E-2</v>
      </c>
      <c r="F246" s="35">
        <f t="shared" si="111"/>
        <v>3.4224999999999999</v>
      </c>
      <c r="G246" s="34">
        <f t="shared" si="112"/>
        <v>77.75</v>
      </c>
      <c r="H246" s="33">
        <f t="shared" si="113"/>
        <v>8.0441017316017316</v>
      </c>
      <c r="I246" s="28">
        <f t="shared" si="118"/>
        <v>804.32000000000085</v>
      </c>
      <c r="J246" s="32">
        <v>0</v>
      </c>
      <c r="K246" s="30">
        <f t="shared" si="114"/>
        <v>77.75</v>
      </c>
      <c r="L246" s="30"/>
      <c r="M246" s="30"/>
      <c r="N246" s="30"/>
      <c r="O246" s="30"/>
      <c r="Q246" s="29">
        <f t="shared" ca="1" si="115"/>
        <v>2</v>
      </c>
      <c r="R246" s="29">
        <f t="shared" ca="1" si="136"/>
        <v>2</v>
      </c>
      <c r="S246" s="29">
        <f t="shared" ca="1" si="136"/>
        <v>4</v>
      </c>
      <c r="T246" s="29">
        <f t="shared" ca="1" si="136"/>
        <v>3</v>
      </c>
      <c r="U246" s="29">
        <f t="shared" ca="1" si="136"/>
        <v>1</v>
      </c>
      <c r="V246" s="29">
        <f t="shared" ca="1" si="136"/>
        <v>5</v>
      </c>
      <c r="W246" s="29">
        <f t="shared" ca="1" si="136"/>
        <v>2</v>
      </c>
      <c r="X246" s="29">
        <f t="shared" ca="1" si="136"/>
        <v>2</v>
      </c>
      <c r="Y246" s="29">
        <f t="shared" ca="1" si="136"/>
        <v>5</v>
      </c>
      <c r="Z246" s="29">
        <f t="shared" ca="1" si="136"/>
        <v>8</v>
      </c>
      <c r="AA246" s="29">
        <f t="shared" ca="1" si="136"/>
        <v>5</v>
      </c>
      <c r="AB246" s="29">
        <f t="shared" ca="1" si="136"/>
        <v>3</v>
      </c>
      <c r="AC246" s="29">
        <f t="shared" ca="1" si="136"/>
        <v>6</v>
      </c>
      <c r="AD246" s="29">
        <f t="shared" ca="1" si="136"/>
        <v>3</v>
      </c>
      <c r="AE246" s="29">
        <f t="shared" ca="1" si="136"/>
        <v>4</v>
      </c>
      <c r="AF246" s="29">
        <f t="shared" ca="1" si="136"/>
        <v>4</v>
      </c>
      <c r="AG246" s="29">
        <f t="shared" ca="1" si="135"/>
        <v>3</v>
      </c>
      <c r="AH246" s="29">
        <f t="shared" ca="1" si="135"/>
        <v>2</v>
      </c>
      <c r="AI246" s="29">
        <f t="shared" ca="1" si="135"/>
        <v>1</v>
      </c>
      <c r="AJ246" s="29">
        <f t="shared" ca="1" si="135"/>
        <v>4</v>
      </c>
      <c r="AK246" s="29">
        <f t="shared" ca="1" si="135"/>
        <v>6</v>
      </c>
      <c r="AL246" s="29">
        <f t="shared" ca="1" si="135"/>
        <v>4</v>
      </c>
      <c r="AM246" s="29">
        <f t="shared" ca="1" si="135"/>
        <v>5</v>
      </c>
      <c r="AN246" s="29">
        <f t="shared" ca="1" si="135"/>
        <v>2</v>
      </c>
      <c r="AO246" s="29">
        <f t="shared" ca="1" si="135"/>
        <v>2</v>
      </c>
      <c r="AP246" s="29">
        <f t="shared" ca="1" si="135"/>
        <v>2</v>
      </c>
      <c r="AQ246" s="29">
        <f t="shared" ca="1" si="135"/>
        <v>8</v>
      </c>
      <c r="AR246" s="29">
        <f t="shared" ca="1" si="135"/>
        <v>3</v>
      </c>
      <c r="AS246" s="29">
        <f t="shared" ca="1" si="135"/>
        <v>0</v>
      </c>
      <c r="AT246" s="29">
        <f t="shared" ca="1" si="135"/>
        <v>5</v>
      </c>
      <c r="AU246" s="29">
        <f t="shared" ca="1" si="135"/>
        <v>0</v>
      </c>
      <c r="AV246" s="29">
        <f t="shared" ca="1" si="138"/>
        <v>1</v>
      </c>
      <c r="AW246" s="29">
        <f t="shared" ca="1" si="138"/>
        <v>5</v>
      </c>
      <c r="AX246" s="29">
        <f t="shared" ca="1" si="138"/>
        <v>6</v>
      </c>
      <c r="AY246" s="29">
        <f t="shared" ca="1" si="138"/>
        <v>1</v>
      </c>
      <c r="AZ246" s="29">
        <f t="shared" ca="1" si="138"/>
        <v>1</v>
      </c>
      <c r="BA246" s="29">
        <f t="shared" ca="1" si="138"/>
        <v>8</v>
      </c>
      <c r="BB246" s="29">
        <f t="shared" ca="1" si="138"/>
        <v>1</v>
      </c>
      <c r="BC246" s="29">
        <f t="shared" ca="1" si="138"/>
        <v>3</v>
      </c>
      <c r="BD246" s="29">
        <f t="shared" ca="1" si="138"/>
        <v>2</v>
      </c>
      <c r="BE246" s="29">
        <f t="shared" ca="1" si="138"/>
        <v>4</v>
      </c>
      <c r="BF246" s="29">
        <f t="shared" ca="1" si="138"/>
        <v>0</v>
      </c>
      <c r="BG246" s="29">
        <f t="shared" ca="1" si="138"/>
        <v>4</v>
      </c>
      <c r="BH246" s="29">
        <f t="shared" ca="1" si="138"/>
        <v>5</v>
      </c>
      <c r="BI246" s="29">
        <f t="shared" ca="1" si="138"/>
        <v>2</v>
      </c>
      <c r="BJ246" s="29">
        <f t="shared" ca="1" si="138"/>
        <v>2</v>
      </c>
      <c r="BK246" s="29">
        <f t="shared" ca="1" si="138"/>
        <v>2</v>
      </c>
      <c r="BL246" s="29">
        <f t="shared" ca="1" si="137"/>
        <v>4</v>
      </c>
      <c r="BM246" s="29">
        <f t="shared" ca="1" si="137"/>
        <v>3</v>
      </c>
      <c r="BN246" s="29">
        <f t="shared" ca="1" si="137"/>
        <v>8</v>
      </c>
      <c r="BO246" s="29">
        <f t="shared" ca="1" si="137"/>
        <v>1</v>
      </c>
      <c r="BP246" s="29">
        <f t="shared" ca="1" si="137"/>
        <v>6</v>
      </c>
      <c r="BQ246" s="29">
        <f t="shared" ca="1" si="137"/>
        <v>1</v>
      </c>
      <c r="BR246" s="29">
        <f t="shared" ca="1" si="137"/>
        <v>4</v>
      </c>
      <c r="BS246" s="29">
        <f t="shared" ca="1" si="137"/>
        <v>1</v>
      </c>
      <c r="BT246" s="29">
        <f t="shared" ca="1" si="137"/>
        <v>4</v>
      </c>
      <c r="BU246" s="29">
        <f t="shared" ca="1" si="137"/>
        <v>2</v>
      </c>
      <c r="BV246" s="29">
        <f t="shared" ca="1" si="137"/>
        <v>2</v>
      </c>
      <c r="BW246" s="29">
        <f t="shared" ca="1" si="137"/>
        <v>3</v>
      </c>
      <c r="BX246" s="29">
        <f t="shared" ca="1" si="137"/>
        <v>1</v>
      </c>
      <c r="BY246" s="29">
        <f t="shared" ca="1" si="137"/>
        <v>3</v>
      </c>
      <c r="BZ246" s="29">
        <f t="shared" ca="1" si="137"/>
        <v>0</v>
      </c>
      <c r="CA246" s="29">
        <f t="shared" ca="1" si="140"/>
        <v>5</v>
      </c>
      <c r="CB246" s="29">
        <f t="shared" ca="1" si="140"/>
        <v>1</v>
      </c>
      <c r="CC246" s="29">
        <f t="shared" ca="1" si="140"/>
        <v>2</v>
      </c>
      <c r="CD246" s="29">
        <f t="shared" ca="1" si="140"/>
        <v>3</v>
      </c>
      <c r="CE246" s="29">
        <f t="shared" ca="1" si="140"/>
        <v>3</v>
      </c>
      <c r="CF246" s="29">
        <f t="shared" ca="1" si="140"/>
        <v>2</v>
      </c>
      <c r="CG246" s="29">
        <f t="shared" ca="1" si="140"/>
        <v>4</v>
      </c>
      <c r="CH246" s="29">
        <f t="shared" ca="1" si="140"/>
        <v>1</v>
      </c>
      <c r="CI246" s="29">
        <f t="shared" ca="1" si="140"/>
        <v>2</v>
      </c>
      <c r="CJ246" s="29">
        <f t="shared" ca="1" si="140"/>
        <v>2</v>
      </c>
      <c r="CK246" s="29">
        <f t="shared" ca="1" si="140"/>
        <v>3</v>
      </c>
      <c r="CL246" s="29">
        <f t="shared" ca="1" si="140"/>
        <v>4</v>
      </c>
      <c r="CM246" s="29">
        <f t="shared" ca="1" si="140"/>
        <v>1</v>
      </c>
      <c r="CN246" s="29">
        <f t="shared" ca="1" si="140"/>
        <v>1</v>
      </c>
      <c r="CO246" s="29">
        <f t="shared" ca="1" si="140"/>
        <v>4</v>
      </c>
      <c r="CP246" s="29">
        <f t="shared" ca="1" si="140"/>
        <v>5</v>
      </c>
      <c r="CQ246" s="29">
        <f t="shared" ca="1" si="139"/>
        <v>3</v>
      </c>
      <c r="CR246" s="29">
        <f t="shared" ca="1" si="139"/>
        <v>2</v>
      </c>
      <c r="CS246" s="29">
        <f t="shared" ca="1" si="139"/>
        <v>2</v>
      </c>
      <c r="CT246" s="29">
        <f t="shared" ca="1" si="139"/>
        <v>4</v>
      </c>
      <c r="CU246" s="29">
        <f t="shared" ca="1" si="139"/>
        <v>1</v>
      </c>
      <c r="CV246" s="29">
        <f t="shared" ca="1" si="139"/>
        <v>7</v>
      </c>
      <c r="CW246" s="29">
        <f t="shared" ca="1" si="139"/>
        <v>5</v>
      </c>
      <c r="CX246" s="29">
        <f t="shared" ca="1" si="139"/>
        <v>2</v>
      </c>
      <c r="CY246" s="29">
        <f t="shared" ca="1" si="139"/>
        <v>6</v>
      </c>
      <c r="CZ246" s="29">
        <f t="shared" ca="1" si="139"/>
        <v>0</v>
      </c>
      <c r="DA246" s="29">
        <f t="shared" ca="1" si="139"/>
        <v>3</v>
      </c>
      <c r="DB246" s="29">
        <f t="shared" ca="1" si="139"/>
        <v>4</v>
      </c>
      <c r="DC246" s="29">
        <f t="shared" ca="1" si="139"/>
        <v>3</v>
      </c>
      <c r="DD246" s="29">
        <f t="shared" ca="1" si="139"/>
        <v>3</v>
      </c>
      <c r="DE246" s="29">
        <f t="shared" ca="1" si="139"/>
        <v>4</v>
      </c>
      <c r="DF246" s="29">
        <f t="shared" ca="1" si="134"/>
        <v>6</v>
      </c>
      <c r="DG246" s="29">
        <f t="shared" ca="1" si="134"/>
        <v>3</v>
      </c>
      <c r="DH246" s="29">
        <f t="shared" ca="1" si="134"/>
        <v>3</v>
      </c>
      <c r="DI246" s="29">
        <f t="shared" ca="1" si="134"/>
        <v>3</v>
      </c>
      <c r="DJ246" s="29">
        <f t="shared" ca="1" si="134"/>
        <v>2</v>
      </c>
      <c r="DK246" s="29">
        <f t="shared" ca="1" si="134"/>
        <v>6</v>
      </c>
      <c r="DL246" s="29">
        <f t="shared" ca="1" si="134"/>
        <v>2</v>
      </c>
    </row>
    <row r="247" spans="1:116" ht="14.4" x14ac:dyDescent="0.3">
      <c r="A247" s="31">
        <v>437</v>
      </c>
      <c r="B247" s="28">
        <v>6.54</v>
      </c>
      <c r="C247" s="30">
        <v>83.82</v>
      </c>
      <c r="D247" s="28">
        <v>2.94</v>
      </c>
      <c r="E247" s="34">
        <f t="shared" si="110"/>
        <v>5.8799999999999998E-2</v>
      </c>
      <c r="F247" s="35">
        <f t="shared" si="111"/>
        <v>20.954999999999998</v>
      </c>
      <c r="G247" s="34">
        <f t="shared" si="112"/>
        <v>73.5</v>
      </c>
      <c r="H247" s="33">
        <f t="shared" si="113"/>
        <v>8.0344036697247709</v>
      </c>
      <c r="I247" s="28">
        <f t="shared" si="118"/>
        <v>810.86000000000081</v>
      </c>
      <c r="J247" s="32">
        <v>0</v>
      </c>
      <c r="K247" s="30">
        <f t="shared" si="114"/>
        <v>73.5</v>
      </c>
      <c r="L247" s="30"/>
      <c r="M247" s="30"/>
      <c r="N247" s="30"/>
      <c r="O247" s="30"/>
      <c r="Q247" s="29">
        <f t="shared" ca="1" si="115"/>
        <v>3</v>
      </c>
      <c r="R247" s="29">
        <f t="shared" ca="1" si="136"/>
        <v>3</v>
      </c>
      <c r="S247" s="29">
        <f t="shared" ca="1" si="136"/>
        <v>2</v>
      </c>
      <c r="T247" s="29">
        <f t="shared" ca="1" si="136"/>
        <v>5</v>
      </c>
      <c r="U247" s="29">
        <f t="shared" ca="1" si="136"/>
        <v>1</v>
      </c>
      <c r="V247" s="29">
        <f t="shared" ca="1" si="136"/>
        <v>0</v>
      </c>
      <c r="W247" s="29">
        <f t="shared" ca="1" si="136"/>
        <v>3</v>
      </c>
      <c r="X247" s="29">
        <f t="shared" ca="1" si="136"/>
        <v>2</v>
      </c>
      <c r="Y247" s="29">
        <f t="shared" ca="1" si="136"/>
        <v>2</v>
      </c>
      <c r="Z247" s="29">
        <f t="shared" ca="1" si="136"/>
        <v>2</v>
      </c>
      <c r="AA247" s="29">
        <f t="shared" ca="1" si="136"/>
        <v>4</v>
      </c>
      <c r="AB247" s="29">
        <f t="shared" ca="1" si="136"/>
        <v>4</v>
      </c>
      <c r="AC247" s="29">
        <f t="shared" ca="1" si="136"/>
        <v>2</v>
      </c>
      <c r="AD247" s="29">
        <f t="shared" ca="1" si="136"/>
        <v>3</v>
      </c>
      <c r="AE247" s="29">
        <f t="shared" ca="1" si="136"/>
        <v>3</v>
      </c>
      <c r="AF247" s="29">
        <f t="shared" ca="1" si="136"/>
        <v>2</v>
      </c>
      <c r="AG247" s="29">
        <f t="shared" ca="1" si="135"/>
        <v>2</v>
      </c>
      <c r="AH247" s="29">
        <f t="shared" ca="1" si="135"/>
        <v>2</v>
      </c>
      <c r="AI247" s="29">
        <f t="shared" ca="1" si="135"/>
        <v>2</v>
      </c>
      <c r="AJ247" s="29">
        <f t="shared" ca="1" si="135"/>
        <v>2</v>
      </c>
      <c r="AK247" s="29">
        <f t="shared" ca="1" si="135"/>
        <v>2</v>
      </c>
      <c r="AL247" s="29">
        <f t="shared" ca="1" si="135"/>
        <v>3</v>
      </c>
      <c r="AM247" s="29">
        <f t="shared" ca="1" si="135"/>
        <v>6</v>
      </c>
      <c r="AN247" s="29">
        <f t="shared" ca="1" si="135"/>
        <v>2</v>
      </c>
      <c r="AO247" s="29">
        <f t="shared" ca="1" si="135"/>
        <v>3</v>
      </c>
      <c r="AP247" s="29">
        <f t="shared" ca="1" si="135"/>
        <v>1</v>
      </c>
      <c r="AQ247" s="29">
        <f t="shared" ca="1" si="135"/>
        <v>3</v>
      </c>
      <c r="AR247" s="29">
        <f t="shared" ca="1" si="135"/>
        <v>2</v>
      </c>
      <c r="AS247" s="29">
        <f t="shared" ca="1" si="135"/>
        <v>3</v>
      </c>
      <c r="AT247" s="29">
        <f t="shared" ca="1" si="135"/>
        <v>3</v>
      </c>
      <c r="AU247" s="29">
        <f t="shared" ca="1" si="135"/>
        <v>2</v>
      </c>
      <c r="AV247" s="29">
        <f t="shared" ca="1" si="138"/>
        <v>2</v>
      </c>
      <c r="AW247" s="29">
        <f t="shared" ca="1" si="138"/>
        <v>5</v>
      </c>
      <c r="AX247" s="29">
        <f t="shared" ca="1" si="138"/>
        <v>2</v>
      </c>
      <c r="AY247" s="29">
        <f t="shared" ca="1" si="138"/>
        <v>1</v>
      </c>
      <c r="AZ247" s="29">
        <f t="shared" ca="1" si="138"/>
        <v>1</v>
      </c>
      <c r="BA247" s="29">
        <f t="shared" ca="1" si="138"/>
        <v>6</v>
      </c>
      <c r="BB247" s="29">
        <f t="shared" ca="1" si="138"/>
        <v>3</v>
      </c>
      <c r="BC247" s="29">
        <f t="shared" ca="1" si="138"/>
        <v>2</v>
      </c>
      <c r="BD247" s="29">
        <f t="shared" ca="1" si="138"/>
        <v>1</v>
      </c>
      <c r="BE247" s="29">
        <f t="shared" ca="1" si="138"/>
        <v>4</v>
      </c>
      <c r="BF247" s="29">
        <f t="shared" ca="1" si="138"/>
        <v>4</v>
      </c>
      <c r="BG247" s="29">
        <f t="shared" ca="1" si="138"/>
        <v>3</v>
      </c>
      <c r="BH247" s="29">
        <f t="shared" ca="1" si="138"/>
        <v>7</v>
      </c>
      <c r="BI247" s="29">
        <f t="shared" ca="1" si="138"/>
        <v>4</v>
      </c>
      <c r="BJ247" s="29">
        <f t="shared" ca="1" si="138"/>
        <v>1</v>
      </c>
      <c r="BK247" s="29">
        <f t="shared" ca="1" si="138"/>
        <v>2</v>
      </c>
      <c r="BL247" s="29">
        <f t="shared" ca="1" si="137"/>
        <v>4</v>
      </c>
      <c r="BM247" s="29">
        <f t="shared" ca="1" si="137"/>
        <v>2</v>
      </c>
      <c r="BN247" s="29">
        <f t="shared" ca="1" si="137"/>
        <v>1</v>
      </c>
      <c r="BO247" s="29">
        <f t="shared" ca="1" si="137"/>
        <v>3</v>
      </c>
      <c r="BP247" s="29">
        <f t="shared" ca="1" si="137"/>
        <v>3</v>
      </c>
      <c r="BQ247" s="29">
        <f t="shared" ca="1" si="137"/>
        <v>4</v>
      </c>
      <c r="BR247" s="29">
        <f t="shared" ca="1" si="137"/>
        <v>0</v>
      </c>
      <c r="BS247" s="29">
        <f t="shared" ca="1" si="137"/>
        <v>3</v>
      </c>
      <c r="BT247" s="29">
        <f t="shared" ca="1" si="137"/>
        <v>3</v>
      </c>
      <c r="BU247" s="29">
        <f t="shared" ca="1" si="137"/>
        <v>3</v>
      </c>
      <c r="BV247" s="29">
        <f t="shared" ca="1" si="137"/>
        <v>1</v>
      </c>
      <c r="BW247" s="29">
        <f t="shared" ca="1" si="137"/>
        <v>4</v>
      </c>
      <c r="BX247" s="29">
        <f t="shared" ca="1" si="137"/>
        <v>3</v>
      </c>
      <c r="BY247" s="29">
        <f t="shared" ca="1" si="137"/>
        <v>0</v>
      </c>
      <c r="BZ247" s="29">
        <f t="shared" ca="1" si="137"/>
        <v>6</v>
      </c>
      <c r="CA247" s="29">
        <f t="shared" ca="1" si="140"/>
        <v>4</v>
      </c>
      <c r="CB247" s="29">
        <f t="shared" ca="1" si="140"/>
        <v>1</v>
      </c>
      <c r="CC247" s="29">
        <f t="shared" ca="1" si="140"/>
        <v>6</v>
      </c>
      <c r="CD247" s="29">
        <f t="shared" ca="1" si="140"/>
        <v>2</v>
      </c>
      <c r="CE247" s="29">
        <f t="shared" ca="1" si="140"/>
        <v>1</v>
      </c>
      <c r="CF247" s="29">
        <f t="shared" ca="1" si="140"/>
        <v>3</v>
      </c>
      <c r="CG247" s="29">
        <f t="shared" ca="1" si="140"/>
        <v>3</v>
      </c>
      <c r="CH247" s="29">
        <f t="shared" ca="1" si="140"/>
        <v>4</v>
      </c>
      <c r="CI247" s="29">
        <f t="shared" ca="1" si="140"/>
        <v>7</v>
      </c>
      <c r="CJ247" s="29">
        <f t="shared" ca="1" si="140"/>
        <v>0</v>
      </c>
      <c r="CK247" s="29">
        <f t="shared" ca="1" si="140"/>
        <v>3</v>
      </c>
      <c r="CL247" s="29">
        <f t="shared" ca="1" si="140"/>
        <v>4</v>
      </c>
      <c r="CM247" s="29">
        <f t="shared" ca="1" si="140"/>
        <v>2</v>
      </c>
      <c r="CN247" s="29">
        <f t="shared" ca="1" si="140"/>
        <v>5</v>
      </c>
      <c r="CO247" s="29">
        <f t="shared" ca="1" si="140"/>
        <v>4</v>
      </c>
      <c r="CP247" s="29">
        <f t="shared" ca="1" si="140"/>
        <v>1</v>
      </c>
      <c r="CQ247" s="29">
        <f t="shared" ca="1" si="139"/>
        <v>3</v>
      </c>
      <c r="CR247" s="29">
        <f t="shared" ca="1" si="139"/>
        <v>4</v>
      </c>
      <c r="CS247" s="29">
        <f t="shared" ca="1" si="139"/>
        <v>2</v>
      </c>
      <c r="CT247" s="29">
        <f t="shared" ca="1" si="139"/>
        <v>2</v>
      </c>
      <c r="CU247" s="29">
        <f t="shared" ca="1" si="139"/>
        <v>1</v>
      </c>
      <c r="CV247" s="29">
        <f t="shared" ca="1" si="139"/>
        <v>4</v>
      </c>
      <c r="CW247" s="29">
        <f t="shared" ca="1" si="139"/>
        <v>1</v>
      </c>
      <c r="CX247" s="29">
        <f t="shared" ca="1" si="139"/>
        <v>5</v>
      </c>
      <c r="CY247" s="29">
        <f t="shared" ca="1" si="139"/>
        <v>4</v>
      </c>
      <c r="CZ247" s="29">
        <f t="shared" ca="1" si="139"/>
        <v>2</v>
      </c>
      <c r="DA247" s="29">
        <f t="shared" ca="1" si="139"/>
        <v>1</v>
      </c>
      <c r="DB247" s="29">
        <f t="shared" ca="1" si="139"/>
        <v>5</v>
      </c>
      <c r="DC247" s="29">
        <f t="shared" ca="1" si="139"/>
        <v>2</v>
      </c>
      <c r="DD247" s="29">
        <f t="shared" ca="1" si="139"/>
        <v>4</v>
      </c>
      <c r="DE247" s="29">
        <f t="shared" ca="1" si="139"/>
        <v>3</v>
      </c>
      <c r="DF247" s="29">
        <f t="shared" ca="1" si="134"/>
        <v>3</v>
      </c>
      <c r="DG247" s="29">
        <f t="shared" ca="1" si="134"/>
        <v>3</v>
      </c>
      <c r="DH247" s="29">
        <f t="shared" ca="1" si="134"/>
        <v>1</v>
      </c>
      <c r="DI247" s="29">
        <f t="shared" ca="1" si="134"/>
        <v>3</v>
      </c>
      <c r="DJ247" s="29">
        <f t="shared" ca="1" si="134"/>
        <v>7</v>
      </c>
      <c r="DK247" s="29">
        <f t="shared" ca="1" si="134"/>
        <v>6</v>
      </c>
      <c r="DL247" s="29">
        <f t="shared" ca="1" si="134"/>
        <v>2</v>
      </c>
    </row>
    <row r="248" spans="1:116" ht="14.4" x14ac:dyDescent="0.3">
      <c r="A248" s="31">
        <v>279</v>
      </c>
      <c r="B248" s="28">
        <v>9.1</v>
      </c>
      <c r="C248" s="30">
        <v>4.7</v>
      </c>
      <c r="D248" s="28">
        <v>2.96</v>
      </c>
      <c r="E248" s="34">
        <f t="shared" si="110"/>
        <v>5.9200000000000003E-2</v>
      </c>
      <c r="F248" s="35">
        <f t="shared" si="111"/>
        <v>1.175</v>
      </c>
      <c r="G248" s="34">
        <f t="shared" si="112"/>
        <v>74</v>
      </c>
      <c r="H248" s="33">
        <f t="shared" si="113"/>
        <v>8.0027472527472536</v>
      </c>
      <c r="I248" s="28">
        <f t="shared" si="118"/>
        <v>819.96000000000083</v>
      </c>
      <c r="J248" s="32">
        <v>0</v>
      </c>
      <c r="K248" s="30">
        <f t="shared" si="114"/>
        <v>74</v>
      </c>
      <c r="L248" s="30"/>
      <c r="M248" s="30"/>
      <c r="N248" s="30"/>
      <c r="O248" s="30"/>
      <c r="Q248" s="29">
        <f t="shared" ca="1" si="115"/>
        <v>4</v>
      </c>
      <c r="R248" s="29">
        <f t="shared" ca="1" si="136"/>
        <v>3</v>
      </c>
      <c r="S248" s="29">
        <f t="shared" ca="1" si="136"/>
        <v>4</v>
      </c>
      <c r="T248" s="29">
        <f t="shared" ca="1" si="136"/>
        <v>3</v>
      </c>
      <c r="U248" s="29">
        <f t="shared" ca="1" si="136"/>
        <v>3</v>
      </c>
      <c r="V248" s="29">
        <f t="shared" ca="1" si="136"/>
        <v>1</v>
      </c>
      <c r="W248" s="29">
        <f t="shared" ca="1" si="136"/>
        <v>1</v>
      </c>
      <c r="X248" s="29">
        <f t="shared" ca="1" si="136"/>
        <v>1</v>
      </c>
      <c r="Y248" s="29">
        <f t="shared" ca="1" si="136"/>
        <v>5</v>
      </c>
      <c r="Z248" s="29">
        <f t="shared" ca="1" si="136"/>
        <v>5</v>
      </c>
      <c r="AA248" s="29">
        <f t="shared" ca="1" si="136"/>
        <v>2</v>
      </c>
      <c r="AB248" s="29">
        <f t="shared" ca="1" si="136"/>
        <v>2</v>
      </c>
      <c r="AC248" s="29">
        <f t="shared" ca="1" si="136"/>
        <v>2</v>
      </c>
      <c r="AD248" s="29">
        <f t="shared" ca="1" si="136"/>
        <v>2</v>
      </c>
      <c r="AE248" s="29">
        <f t="shared" ca="1" si="136"/>
        <v>2</v>
      </c>
      <c r="AF248" s="29">
        <f t="shared" ca="1" si="136"/>
        <v>0</v>
      </c>
      <c r="AG248" s="29">
        <f t="shared" ca="1" si="135"/>
        <v>1</v>
      </c>
      <c r="AH248" s="29">
        <f t="shared" ca="1" si="135"/>
        <v>2</v>
      </c>
      <c r="AI248" s="29">
        <f t="shared" ca="1" si="135"/>
        <v>6</v>
      </c>
      <c r="AJ248" s="29">
        <f t="shared" ca="1" si="135"/>
        <v>5</v>
      </c>
      <c r="AK248" s="29">
        <f t="shared" ca="1" si="135"/>
        <v>2</v>
      </c>
      <c r="AL248" s="29">
        <f t="shared" ca="1" si="135"/>
        <v>3</v>
      </c>
      <c r="AM248" s="29">
        <f t="shared" ca="1" si="135"/>
        <v>2</v>
      </c>
      <c r="AN248" s="29">
        <f t="shared" ca="1" si="135"/>
        <v>2</v>
      </c>
      <c r="AO248" s="29">
        <f t="shared" ca="1" si="135"/>
        <v>0</v>
      </c>
      <c r="AP248" s="29">
        <f t="shared" ca="1" si="135"/>
        <v>6</v>
      </c>
      <c r="AQ248" s="29">
        <f t="shared" ca="1" si="135"/>
        <v>5</v>
      </c>
      <c r="AR248" s="29">
        <f t="shared" ca="1" si="135"/>
        <v>1</v>
      </c>
      <c r="AS248" s="29">
        <f t="shared" ca="1" si="135"/>
        <v>3</v>
      </c>
      <c r="AT248" s="29">
        <f t="shared" ca="1" si="135"/>
        <v>4</v>
      </c>
      <c r="AU248" s="29">
        <f t="shared" ca="1" si="135"/>
        <v>2</v>
      </c>
      <c r="AV248" s="29">
        <f t="shared" ca="1" si="138"/>
        <v>2</v>
      </c>
      <c r="AW248" s="29">
        <f t="shared" ca="1" si="138"/>
        <v>2</v>
      </c>
      <c r="AX248" s="29">
        <f t="shared" ca="1" si="138"/>
        <v>4</v>
      </c>
      <c r="AY248" s="29">
        <f t="shared" ca="1" si="138"/>
        <v>2</v>
      </c>
      <c r="AZ248" s="29">
        <f t="shared" ca="1" si="138"/>
        <v>0</v>
      </c>
      <c r="BA248" s="29">
        <f t="shared" ca="1" si="138"/>
        <v>7</v>
      </c>
      <c r="BB248" s="29">
        <f t="shared" ca="1" si="138"/>
        <v>2</v>
      </c>
      <c r="BC248" s="29">
        <f t="shared" ca="1" si="138"/>
        <v>5</v>
      </c>
      <c r="BD248" s="29">
        <f t="shared" ca="1" si="138"/>
        <v>3</v>
      </c>
      <c r="BE248" s="29">
        <f t="shared" ca="1" si="138"/>
        <v>2</v>
      </c>
      <c r="BF248" s="29">
        <f t="shared" ca="1" si="138"/>
        <v>1</v>
      </c>
      <c r="BG248" s="29">
        <f t="shared" ca="1" si="138"/>
        <v>3</v>
      </c>
      <c r="BH248" s="29">
        <f t="shared" ca="1" si="138"/>
        <v>2</v>
      </c>
      <c r="BI248" s="29">
        <f t="shared" ca="1" si="138"/>
        <v>3</v>
      </c>
      <c r="BJ248" s="29">
        <f t="shared" ca="1" si="138"/>
        <v>4</v>
      </c>
      <c r="BK248" s="29">
        <f t="shared" ca="1" si="138"/>
        <v>5</v>
      </c>
      <c r="BL248" s="29">
        <f t="shared" ca="1" si="137"/>
        <v>5</v>
      </c>
      <c r="BM248" s="29">
        <f t="shared" ca="1" si="137"/>
        <v>0</v>
      </c>
      <c r="BN248" s="29">
        <f t="shared" ca="1" si="137"/>
        <v>2</v>
      </c>
      <c r="BO248" s="29">
        <f t="shared" ca="1" si="137"/>
        <v>3</v>
      </c>
      <c r="BP248" s="29">
        <f t="shared" ca="1" si="137"/>
        <v>1</v>
      </c>
      <c r="BQ248" s="29">
        <f t="shared" ca="1" si="137"/>
        <v>4</v>
      </c>
      <c r="BR248" s="29">
        <f t="shared" ca="1" si="137"/>
        <v>2</v>
      </c>
      <c r="BS248" s="29">
        <f t="shared" ca="1" si="137"/>
        <v>5</v>
      </c>
      <c r="BT248" s="29">
        <f t="shared" ca="1" si="137"/>
        <v>1</v>
      </c>
      <c r="BU248" s="29">
        <f t="shared" ca="1" si="137"/>
        <v>1</v>
      </c>
      <c r="BV248" s="29">
        <f t="shared" ca="1" si="137"/>
        <v>4</v>
      </c>
      <c r="BW248" s="29">
        <f t="shared" ca="1" si="137"/>
        <v>1</v>
      </c>
      <c r="BX248" s="29">
        <f t="shared" ca="1" si="137"/>
        <v>1</v>
      </c>
      <c r="BY248" s="29">
        <f t="shared" ca="1" si="137"/>
        <v>4</v>
      </c>
      <c r="BZ248" s="29">
        <f t="shared" ca="1" si="137"/>
        <v>2</v>
      </c>
      <c r="CA248" s="29">
        <f t="shared" ca="1" si="140"/>
        <v>3</v>
      </c>
      <c r="CB248" s="29">
        <f t="shared" ca="1" si="140"/>
        <v>2</v>
      </c>
      <c r="CC248" s="29">
        <f t="shared" ca="1" si="140"/>
        <v>0</v>
      </c>
      <c r="CD248" s="29">
        <f t="shared" ca="1" si="140"/>
        <v>2</v>
      </c>
      <c r="CE248" s="29">
        <f t="shared" ca="1" si="140"/>
        <v>1</v>
      </c>
      <c r="CF248" s="29">
        <f t="shared" ca="1" si="140"/>
        <v>2</v>
      </c>
      <c r="CG248" s="29">
        <f t="shared" ca="1" si="140"/>
        <v>5</v>
      </c>
      <c r="CH248" s="29">
        <f t="shared" ca="1" si="140"/>
        <v>8</v>
      </c>
      <c r="CI248" s="29">
        <f t="shared" ca="1" si="140"/>
        <v>1</v>
      </c>
      <c r="CJ248" s="29">
        <f t="shared" ca="1" si="140"/>
        <v>2</v>
      </c>
      <c r="CK248" s="29">
        <f t="shared" ca="1" si="140"/>
        <v>4</v>
      </c>
      <c r="CL248" s="29">
        <f t="shared" ca="1" si="140"/>
        <v>0</v>
      </c>
      <c r="CM248" s="29">
        <f t="shared" ca="1" si="140"/>
        <v>4</v>
      </c>
      <c r="CN248" s="29">
        <f t="shared" ca="1" si="140"/>
        <v>5</v>
      </c>
      <c r="CO248" s="29">
        <f t="shared" ca="1" si="140"/>
        <v>6</v>
      </c>
      <c r="CP248" s="29">
        <f t="shared" ca="1" si="140"/>
        <v>1</v>
      </c>
      <c r="CQ248" s="29">
        <f t="shared" ca="1" si="139"/>
        <v>3</v>
      </c>
      <c r="CR248" s="29">
        <f t="shared" ca="1" si="139"/>
        <v>3</v>
      </c>
      <c r="CS248" s="29">
        <f t="shared" ca="1" si="139"/>
        <v>5</v>
      </c>
      <c r="CT248" s="29">
        <f t="shared" ca="1" si="139"/>
        <v>4</v>
      </c>
      <c r="CU248" s="29">
        <f t="shared" ca="1" si="139"/>
        <v>6</v>
      </c>
      <c r="CV248" s="29">
        <f t="shared" ca="1" si="139"/>
        <v>2</v>
      </c>
      <c r="CW248" s="29">
        <f t="shared" ca="1" si="139"/>
        <v>2</v>
      </c>
      <c r="CX248" s="29">
        <f t="shared" ca="1" si="139"/>
        <v>4</v>
      </c>
      <c r="CY248" s="29">
        <f t="shared" ca="1" si="139"/>
        <v>2</v>
      </c>
      <c r="CZ248" s="29">
        <f t="shared" ca="1" si="139"/>
        <v>3</v>
      </c>
      <c r="DA248" s="29">
        <f t="shared" ca="1" si="139"/>
        <v>2</v>
      </c>
      <c r="DB248" s="29">
        <f t="shared" ca="1" si="139"/>
        <v>1</v>
      </c>
      <c r="DC248" s="29">
        <f t="shared" ca="1" si="139"/>
        <v>4</v>
      </c>
      <c r="DD248" s="29">
        <f t="shared" ca="1" si="139"/>
        <v>4</v>
      </c>
      <c r="DE248" s="29">
        <f t="shared" ca="1" si="139"/>
        <v>1</v>
      </c>
      <c r="DF248" s="29">
        <f t="shared" ca="1" si="134"/>
        <v>4</v>
      </c>
      <c r="DG248" s="29">
        <f t="shared" ca="1" si="134"/>
        <v>2</v>
      </c>
      <c r="DH248" s="29">
        <f t="shared" ca="1" si="134"/>
        <v>3</v>
      </c>
      <c r="DI248" s="29">
        <f t="shared" ca="1" si="134"/>
        <v>1</v>
      </c>
      <c r="DJ248" s="29">
        <f t="shared" ca="1" si="134"/>
        <v>4</v>
      </c>
      <c r="DK248" s="29">
        <f t="shared" ca="1" si="134"/>
        <v>5</v>
      </c>
      <c r="DL248" s="29">
        <f t="shared" ca="1" si="134"/>
        <v>4</v>
      </c>
    </row>
    <row r="249" spans="1:116" ht="14.4" x14ac:dyDescent="0.3">
      <c r="A249" s="31">
        <v>523</v>
      </c>
      <c r="B249" s="28">
        <v>7.54</v>
      </c>
      <c r="C249" s="30">
        <v>8.16</v>
      </c>
      <c r="D249" s="28">
        <v>2.48</v>
      </c>
      <c r="E249" s="34">
        <f t="shared" si="110"/>
        <v>4.9599999999999998E-2</v>
      </c>
      <c r="F249" s="35">
        <f t="shared" si="111"/>
        <v>2.04</v>
      </c>
      <c r="G249" s="34">
        <f t="shared" si="112"/>
        <v>62</v>
      </c>
      <c r="H249" s="33">
        <f t="shared" si="113"/>
        <v>7.9522546419098141</v>
      </c>
      <c r="I249" s="28">
        <f t="shared" si="118"/>
        <v>827.5000000000008</v>
      </c>
      <c r="J249" s="32">
        <v>0</v>
      </c>
      <c r="K249" s="30">
        <f t="shared" si="114"/>
        <v>62</v>
      </c>
      <c r="L249" s="30"/>
      <c r="M249" s="30"/>
      <c r="N249" s="30"/>
      <c r="O249" s="30"/>
      <c r="Q249" s="29">
        <f t="shared" ca="1" si="115"/>
        <v>3</v>
      </c>
      <c r="R249" s="29">
        <f t="shared" ca="1" si="136"/>
        <v>1</v>
      </c>
      <c r="S249" s="29">
        <f t="shared" ca="1" si="136"/>
        <v>3</v>
      </c>
      <c r="T249" s="29">
        <f t="shared" ca="1" si="136"/>
        <v>1</v>
      </c>
      <c r="U249" s="29">
        <f t="shared" ca="1" si="136"/>
        <v>1</v>
      </c>
      <c r="V249" s="29">
        <f t="shared" ca="1" si="136"/>
        <v>2</v>
      </c>
      <c r="W249" s="29">
        <f t="shared" ca="1" si="136"/>
        <v>5</v>
      </c>
      <c r="X249" s="29">
        <f t="shared" ca="1" si="136"/>
        <v>1</v>
      </c>
      <c r="Y249" s="29">
        <f t="shared" ca="1" si="136"/>
        <v>1</v>
      </c>
      <c r="Z249" s="29">
        <f t="shared" ca="1" si="136"/>
        <v>4</v>
      </c>
      <c r="AA249" s="29">
        <f t="shared" ca="1" si="136"/>
        <v>2</v>
      </c>
      <c r="AB249" s="29">
        <f t="shared" ca="1" si="136"/>
        <v>4</v>
      </c>
      <c r="AC249" s="29">
        <f t="shared" ca="1" si="136"/>
        <v>2</v>
      </c>
      <c r="AD249" s="29">
        <f t="shared" ca="1" si="136"/>
        <v>4</v>
      </c>
      <c r="AE249" s="29">
        <f t="shared" ca="1" si="136"/>
        <v>3</v>
      </c>
      <c r="AF249" s="29">
        <f t="shared" ref="AF249:AU264" ca="1" si="141">_xlfn.BINOM.INV(50,$E249,RAND())</f>
        <v>4</v>
      </c>
      <c r="AG249" s="29">
        <f t="shared" ca="1" si="141"/>
        <v>0</v>
      </c>
      <c r="AH249" s="29">
        <f t="shared" ca="1" si="141"/>
        <v>2</v>
      </c>
      <c r="AI249" s="29">
        <f t="shared" ca="1" si="141"/>
        <v>0</v>
      </c>
      <c r="AJ249" s="29">
        <f t="shared" ca="1" si="141"/>
        <v>1</v>
      </c>
      <c r="AK249" s="29">
        <f t="shared" ca="1" si="141"/>
        <v>3</v>
      </c>
      <c r="AL249" s="29">
        <f t="shared" ca="1" si="141"/>
        <v>3</v>
      </c>
      <c r="AM249" s="29">
        <f t="shared" ca="1" si="141"/>
        <v>2</v>
      </c>
      <c r="AN249" s="29">
        <f t="shared" ca="1" si="141"/>
        <v>3</v>
      </c>
      <c r="AO249" s="29">
        <f t="shared" ca="1" si="141"/>
        <v>0</v>
      </c>
      <c r="AP249" s="29">
        <f t="shared" ca="1" si="141"/>
        <v>4</v>
      </c>
      <c r="AQ249" s="29">
        <f t="shared" ca="1" si="141"/>
        <v>2</v>
      </c>
      <c r="AR249" s="29">
        <f t="shared" ca="1" si="141"/>
        <v>5</v>
      </c>
      <c r="AS249" s="29">
        <f t="shared" ca="1" si="141"/>
        <v>3</v>
      </c>
      <c r="AT249" s="29">
        <f t="shared" ca="1" si="141"/>
        <v>0</v>
      </c>
      <c r="AU249" s="29">
        <f t="shared" ca="1" si="141"/>
        <v>0</v>
      </c>
      <c r="AV249" s="29">
        <f t="shared" ca="1" si="138"/>
        <v>0</v>
      </c>
      <c r="AW249" s="29">
        <f t="shared" ca="1" si="138"/>
        <v>2</v>
      </c>
      <c r="AX249" s="29">
        <f t="shared" ca="1" si="138"/>
        <v>2</v>
      </c>
      <c r="AY249" s="29">
        <f t="shared" ca="1" si="138"/>
        <v>1</v>
      </c>
      <c r="AZ249" s="29">
        <f t="shared" ca="1" si="138"/>
        <v>3</v>
      </c>
      <c r="BA249" s="29">
        <f t="shared" ca="1" si="138"/>
        <v>2</v>
      </c>
      <c r="BB249" s="29">
        <f t="shared" ca="1" si="138"/>
        <v>10</v>
      </c>
      <c r="BC249" s="29">
        <f t="shared" ca="1" si="138"/>
        <v>5</v>
      </c>
      <c r="BD249" s="29">
        <f t="shared" ca="1" si="138"/>
        <v>2</v>
      </c>
      <c r="BE249" s="29">
        <f t="shared" ca="1" si="138"/>
        <v>2</v>
      </c>
      <c r="BF249" s="29">
        <f t="shared" ca="1" si="138"/>
        <v>3</v>
      </c>
      <c r="BG249" s="29">
        <f t="shared" ca="1" si="138"/>
        <v>0</v>
      </c>
      <c r="BH249" s="29">
        <f t="shared" ca="1" si="138"/>
        <v>2</v>
      </c>
      <c r="BI249" s="29">
        <f t="shared" ca="1" si="138"/>
        <v>2</v>
      </c>
      <c r="BJ249" s="29">
        <f t="shared" ca="1" si="138"/>
        <v>6</v>
      </c>
      <c r="BK249" s="29">
        <f t="shared" ca="1" si="138"/>
        <v>7</v>
      </c>
      <c r="BL249" s="29">
        <f t="shared" ca="1" si="137"/>
        <v>2</v>
      </c>
      <c r="BM249" s="29">
        <f t="shared" ca="1" si="137"/>
        <v>1</v>
      </c>
      <c r="BN249" s="29">
        <f t="shared" ca="1" si="137"/>
        <v>3</v>
      </c>
      <c r="BO249" s="29">
        <f t="shared" ca="1" si="137"/>
        <v>3</v>
      </c>
      <c r="BP249" s="29">
        <f t="shared" ca="1" si="137"/>
        <v>2</v>
      </c>
      <c r="BQ249" s="29">
        <f t="shared" ca="1" si="137"/>
        <v>3</v>
      </c>
      <c r="BR249" s="29">
        <f t="shared" ca="1" si="137"/>
        <v>3</v>
      </c>
      <c r="BS249" s="29">
        <f t="shared" ca="1" si="137"/>
        <v>1</v>
      </c>
      <c r="BT249" s="29">
        <f t="shared" ca="1" si="137"/>
        <v>0</v>
      </c>
      <c r="BU249" s="29">
        <f t="shared" ca="1" si="137"/>
        <v>1</v>
      </c>
      <c r="BV249" s="29">
        <f t="shared" ca="1" si="137"/>
        <v>0</v>
      </c>
      <c r="BW249" s="29">
        <f t="shared" ca="1" si="137"/>
        <v>3</v>
      </c>
      <c r="BX249" s="29">
        <f t="shared" ca="1" si="137"/>
        <v>1</v>
      </c>
      <c r="BY249" s="29">
        <f t="shared" ca="1" si="137"/>
        <v>4</v>
      </c>
      <c r="BZ249" s="29">
        <f t="shared" ca="1" si="137"/>
        <v>2</v>
      </c>
      <c r="CA249" s="29">
        <f t="shared" ca="1" si="140"/>
        <v>3</v>
      </c>
      <c r="CB249" s="29">
        <f t="shared" ca="1" si="140"/>
        <v>3</v>
      </c>
      <c r="CC249" s="29">
        <f t="shared" ca="1" si="140"/>
        <v>4</v>
      </c>
      <c r="CD249" s="29">
        <f t="shared" ca="1" si="140"/>
        <v>3</v>
      </c>
      <c r="CE249" s="29">
        <f t="shared" ca="1" si="140"/>
        <v>3</v>
      </c>
      <c r="CF249" s="29">
        <f t="shared" ca="1" si="140"/>
        <v>2</v>
      </c>
      <c r="CG249" s="29">
        <f t="shared" ca="1" si="140"/>
        <v>3</v>
      </c>
      <c r="CH249" s="29">
        <f t="shared" ca="1" si="140"/>
        <v>1</v>
      </c>
      <c r="CI249" s="29">
        <f t="shared" ca="1" si="140"/>
        <v>3</v>
      </c>
      <c r="CJ249" s="29">
        <f t="shared" ca="1" si="140"/>
        <v>0</v>
      </c>
      <c r="CK249" s="29">
        <f t="shared" ca="1" si="140"/>
        <v>3</v>
      </c>
      <c r="CL249" s="29">
        <f t="shared" ca="1" si="140"/>
        <v>4</v>
      </c>
      <c r="CM249" s="29">
        <f t="shared" ca="1" si="140"/>
        <v>4</v>
      </c>
      <c r="CN249" s="29">
        <f t="shared" ca="1" si="140"/>
        <v>3</v>
      </c>
      <c r="CO249" s="29">
        <f t="shared" ca="1" si="140"/>
        <v>4</v>
      </c>
      <c r="CP249" s="29">
        <f t="shared" ca="1" si="140"/>
        <v>4</v>
      </c>
      <c r="CQ249" s="29">
        <f t="shared" ca="1" si="139"/>
        <v>2</v>
      </c>
      <c r="CR249" s="29">
        <f t="shared" ca="1" si="139"/>
        <v>4</v>
      </c>
      <c r="CS249" s="29">
        <f t="shared" ca="1" si="139"/>
        <v>5</v>
      </c>
      <c r="CT249" s="29">
        <f t="shared" ca="1" si="139"/>
        <v>4</v>
      </c>
      <c r="CU249" s="29">
        <f t="shared" ca="1" si="139"/>
        <v>4</v>
      </c>
      <c r="CV249" s="29">
        <f t="shared" ca="1" si="139"/>
        <v>3</v>
      </c>
      <c r="CW249" s="29">
        <f t="shared" ca="1" si="139"/>
        <v>2</v>
      </c>
      <c r="CX249" s="29">
        <f t="shared" ca="1" si="139"/>
        <v>4</v>
      </c>
      <c r="CY249" s="29">
        <f t="shared" ca="1" si="139"/>
        <v>1</v>
      </c>
      <c r="CZ249" s="29">
        <f t="shared" ca="1" si="139"/>
        <v>1</v>
      </c>
      <c r="DA249" s="29">
        <f t="shared" ca="1" si="139"/>
        <v>5</v>
      </c>
      <c r="DB249" s="29">
        <f t="shared" ca="1" si="139"/>
        <v>4</v>
      </c>
      <c r="DC249" s="29">
        <f t="shared" ca="1" si="139"/>
        <v>4</v>
      </c>
      <c r="DD249" s="29">
        <f t="shared" ca="1" si="139"/>
        <v>3</v>
      </c>
      <c r="DE249" s="29">
        <f t="shared" ca="1" si="139"/>
        <v>4</v>
      </c>
      <c r="DF249" s="29">
        <f t="shared" ca="1" si="134"/>
        <v>3</v>
      </c>
      <c r="DG249" s="29">
        <f t="shared" ca="1" si="134"/>
        <v>5</v>
      </c>
      <c r="DH249" s="29">
        <f t="shared" ca="1" si="134"/>
        <v>3</v>
      </c>
      <c r="DI249" s="29">
        <f t="shared" ca="1" si="134"/>
        <v>3</v>
      </c>
      <c r="DJ249" s="29">
        <f t="shared" ca="1" si="134"/>
        <v>2</v>
      </c>
      <c r="DK249" s="29">
        <f t="shared" ca="1" si="134"/>
        <v>4</v>
      </c>
      <c r="DL249" s="29">
        <f t="shared" ca="1" si="134"/>
        <v>1</v>
      </c>
    </row>
    <row r="250" spans="1:116" ht="14.4" x14ac:dyDescent="0.3">
      <c r="A250" s="31">
        <v>656</v>
      </c>
      <c r="B250" s="28">
        <v>2.13</v>
      </c>
      <c r="C250" s="30">
        <v>28.77</v>
      </c>
      <c r="D250" s="28">
        <v>0.96</v>
      </c>
      <c r="E250" s="34">
        <f t="shared" si="110"/>
        <v>1.9199999999999998E-2</v>
      </c>
      <c r="F250" s="35">
        <f t="shared" si="111"/>
        <v>7.1924999999999999</v>
      </c>
      <c r="G250" s="34">
        <f t="shared" si="112"/>
        <v>24</v>
      </c>
      <c r="H250" s="33">
        <f t="shared" si="113"/>
        <v>7.8908450704225359</v>
      </c>
      <c r="I250" s="28">
        <f t="shared" si="118"/>
        <v>829.63000000000079</v>
      </c>
      <c r="J250" s="32">
        <v>0</v>
      </c>
      <c r="K250" s="30">
        <f t="shared" si="114"/>
        <v>24</v>
      </c>
      <c r="L250" s="30"/>
      <c r="M250" s="30"/>
      <c r="N250" s="30"/>
      <c r="O250" s="30"/>
      <c r="Q250" s="29">
        <f t="shared" ca="1" si="115"/>
        <v>1</v>
      </c>
      <c r="R250" s="29">
        <f t="shared" ref="R250:AF265" ca="1" si="142">_xlfn.BINOM.INV(50,$E250,RAND())</f>
        <v>1</v>
      </c>
      <c r="S250" s="29">
        <f t="shared" ca="1" si="142"/>
        <v>0</v>
      </c>
      <c r="T250" s="29">
        <f t="shared" ca="1" si="142"/>
        <v>1</v>
      </c>
      <c r="U250" s="29">
        <f t="shared" ca="1" si="142"/>
        <v>0</v>
      </c>
      <c r="V250" s="29">
        <f t="shared" ca="1" si="142"/>
        <v>1</v>
      </c>
      <c r="W250" s="29">
        <f t="shared" ca="1" si="142"/>
        <v>0</v>
      </c>
      <c r="X250" s="29">
        <f t="shared" ca="1" si="142"/>
        <v>1</v>
      </c>
      <c r="Y250" s="29">
        <f t="shared" ca="1" si="142"/>
        <v>0</v>
      </c>
      <c r="Z250" s="29">
        <f t="shared" ca="1" si="142"/>
        <v>1</v>
      </c>
      <c r="AA250" s="29">
        <f t="shared" ca="1" si="142"/>
        <v>2</v>
      </c>
      <c r="AB250" s="29">
        <f t="shared" ca="1" si="142"/>
        <v>0</v>
      </c>
      <c r="AC250" s="29">
        <f t="shared" ca="1" si="142"/>
        <v>2</v>
      </c>
      <c r="AD250" s="29">
        <f t="shared" ca="1" si="142"/>
        <v>1</v>
      </c>
      <c r="AE250" s="29">
        <f t="shared" ca="1" si="142"/>
        <v>1</v>
      </c>
      <c r="AF250" s="29">
        <f t="shared" ca="1" si="142"/>
        <v>0</v>
      </c>
      <c r="AG250" s="29">
        <f t="shared" ca="1" si="141"/>
        <v>2</v>
      </c>
      <c r="AH250" s="29">
        <f t="shared" ca="1" si="141"/>
        <v>0</v>
      </c>
      <c r="AI250" s="29">
        <f t="shared" ca="1" si="141"/>
        <v>1</v>
      </c>
      <c r="AJ250" s="29">
        <f t="shared" ca="1" si="141"/>
        <v>0</v>
      </c>
      <c r="AK250" s="29">
        <f t="shared" ca="1" si="141"/>
        <v>2</v>
      </c>
      <c r="AL250" s="29">
        <f t="shared" ca="1" si="141"/>
        <v>1</v>
      </c>
      <c r="AM250" s="29">
        <f t="shared" ca="1" si="141"/>
        <v>2</v>
      </c>
      <c r="AN250" s="29">
        <f t="shared" ca="1" si="141"/>
        <v>0</v>
      </c>
      <c r="AO250" s="29">
        <f t="shared" ca="1" si="141"/>
        <v>1</v>
      </c>
      <c r="AP250" s="29">
        <f t="shared" ca="1" si="141"/>
        <v>2</v>
      </c>
      <c r="AQ250" s="29">
        <f t="shared" ca="1" si="141"/>
        <v>1</v>
      </c>
      <c r="AR250" s="29">
        <f t="shared" ca="1" si="141"/>
        <v>1</v>
      </c>
      <c r="AS250" s="29">
        <f t="shared" ca="1" si="141"/>
        <v>0</v>
      </c>
      <c r="AT250" s="29">
        <f t="shared" ca="1" si="141"/>
        <v>0</v>
      </c>
      <c r="AU250" s="29">
        <f t="shared" ca="1" si="141"/>
        <v>1</v>
      </c>
      <c r="AV250" s="29">
        <f t="shared" ca="1" si="138"/>
        <v>1</v>
      </c>
      <c r="AW250" s="29">
        <f t="shared" ca="1" si="138"/>
        <v>2</v>
      </c>
      <c r="AX250" s="29">
        <f t="shared" ca="1" si="138"/>
        <v>2</v>
      </c>
      <c r="AY250" s="29">
        <f t="shared" ca="1" si="138"/>
        <v>0</v>
      </c>
      <c r="AZ250" s="29">
        <f t="shared" ca="1" si="138"/>
        <v>3</v>
      </c>
      <c r="BA250" s="29">
        <f t="shared" ca="1" si="138"/>
        <v>1</v>
      </c>
      <c r="BB250" s="29">
        <f t="shared" ca="1" si="138"/>
        <v>1</v>
      </c>
      <c r="BC250" s="29">
        <f t="shared" ca="1" si="138"/>
        <v>2</v>
      </c>
      <c r="BD250" s="29">
        <f t="shared" ca="1" si="138"/>
        <v>1</v>
      </c>
      <c r="BE250" s="29">
        <f t="shared" ca="1" si="138"/>
        <v>0</v>
      </c>
      <c r="BF250" s="29">
        <f t="shared" ca="1" si="138"/>
        <v>1</v>
      </c>
      <c r="BG250" s="29">
        <f t="shared" ca="1" si="138"/>
        <v>2</v>
      </c>
      <c r="BH250" s="29">
        <f t="shared" ca="1" si="138"/>
        <v>2</v>
      </c>
      <c r="BI250" s="29">
        <f t="shared" ca="1" si="138"/>
        <v>2</v>
      </c>
      <c r="BJ250" s="29">
        <f t="shared" ca="1" si="138"/>
        <v>0</v>
      </c>
      <c r="BK250" s="29">
        <f t="shared" ca="1" si="138"/>
        <v>1</v>
      </c>
      <c r="BL250" s="29">
        <f t="shared" ca="1" si="137"/>
        <v>2</v>
      </c>
      <c r="BM250" s="29">
        <f t="shared" ca="1" si="137"/>
        <v>3</v>
      </c>
      <c r="BN250" s="29">
        <f t="shared" ca="1" si="137"/>
        <v>2</v>
      </c>
      <c r="BO250" s="29">
        <f t="shared" ca="1" si="137"/>
        <v>1</v>
      </c>
      <c r="BP250" s="29">
        <f t="shared" ca="1" si="137"/>
        <v>1</v>
      </c>
      <c r="BQ250" s="29">
        <f t="shared" ca="1" si="137"/>
        <v>2</v>
      </c>
      <c r="BR250" s="29">
        <f t="shared" ca="1" si="137"/>
        <v>1</v>
      </c>
      <c r="BS250" s="29">
        <f t="shared" ca="1" si="137"/>
        <v>1</v>
      </c>
      <c r="BT250" s="29">
        <f t="shared" ca="1" si="137"/>
        <v>3</v>
      </c>
      <c r="BU250" s="29">
        <f t="shared" ca="1" si="137"/>
        <v>0</v>
      </c>
      <c r="BV250" s="29">
        <f t="shared" ca="1" si="137"/>
        <v>2</v>
      </c>
      <c r="BW250" s="29">
        <f t="shared" ca="1" si="137"/>
        <v>1</v>
      </c>
      <c r="BX250" s="29">
        <f t="shared" ca="1" si="137"/>
        <v>2</v>
      </c>
      <c r="BY250" s="29">
        <f t="shared" ca="1" si="137"/>
        <v>0</v>
      </c>
      <c r="BZ250" s="29">
        <f t="shared" ca="1" si="137"/>
        <v>2</v>
      </c>
      <c r="CA250" s="29">
        <f t="shared" ca="1" si="140"/>
        <v>0</v>
      </c>
      <c r="CB250" s="29">
        <f t="shared" ca="1" si="140"/>
        <v>0</v>
      </c>
      <c r="CC250" s="29">
        <f t="shared" ca="1" si="140"/>
        <v>0</v>
      </c>
      <c r="CD250" s="29">
        <f t="shared" ca="1" si="140"/>
        <v>1</v>
      </c>
      <c r="CE250" s="29">
        <f t="shared" ca="1" si="140"/>
        <v>0</v>
      </c>
      <c r="CF250" s="29">
        <f t="shared" ca="1" si="140"/>
        <v>2</v>
      </c>
      <c r="CG250" s="29">
        <f t="shared" ca="1" si="140"/>
        <v>1</v>
      </c>
      <c r="CH250" s="29">
        <f t="shared" ca="1" si="140"/>
        <v>3</v>
      </c>
      <c r="CI250" s="29">
        <f t="shared" ca="1" si="140"/>
        <v>0</v>
      </c>
      <c r="CJ250" s="29">
        <f t="shared" ca="1" si="140"/>
        <v>1</v>
      </c>
      <c r="CK250" s="29">
        <f t="shared" ca="1" si="140"/>
        <v>1</v>
      </c>
      <c r="CL250" s="29">
        <f t="shared" ca="1" si="140"/>
        <v>0</v>
      </c>
      <c r="CM250" s="29">
        <f t="shared" ca="1" si="140"/>
        <v>0</v>
      </c>
      <c r="CN250" s="29">
        <f t="shared" ca="1" si="140"/>
        <v>0</v>
      </c>
      <c r="CO250" s="29">
        <f t="shared" ca="1" si="140"/>
        <v>0</v>
      </c>
      <c r="CP250" s="29">
        <f t="shared" ca="1" si="140"/>
        <v>1</v>
      </c>
      <c r="CQ250" s="29">
        <f t="shared" ca="1" si="139"/>
        <v>2</v>
      </c>
      <c r="CR250" s="29">
        <f t="shared" ca="1" si="139"/>
        <v>2</v>
      </c>
      <c r="CS250" s="29">
        <f t="shared" ca="1" si="139"/>
        <v>2</v>
      </c>
      <c r="CT250" s="29">
        <f t="shared" ca="1" si="139"/>
        <v>3</v>
      </c>
      <c r="CU250" s="29">
        <f t="shared" ca="1" si="139"/>
        <v>2</v>
      </c>
      <c r="CV250" s="29">
        <f t="shared" ca="1" si="139"/>
        <v>0</v>
      </c>
      <c r="CW250" s="29">
        <f t="shared" ca="1" si="139"/>
        <v>0</v>
      </c>
      <c r="CX250" s="29">
        <f t="shared" ca="1" si="139"/>
        <v>1</v>
      </c>
      <c r="CY250" s="29">
        <f t="shared" ca="1" si="139"/>
        <v>1</v>
      </c>
      <c r="CZ250" s="29">
        <f t="shared" ca="1" si="139"/>
        <v>1</v>
      </c>
      <c r="DA250" s="29">
        <f t="shared" ca="1" si="139"/>
        <v>0</v>
      </c>
      <c r="DB250" s="29">
        <f t="shared" ca="1" si="139"/>
        <v>0</v>
      </c>
      <c r="DC250" s="29">
        <f t="shared" ca="1" si="139"/>
        <v>1</v>
      </c>
      <c r="DD250" s="29">
        <f t="shared" ca="1" si="139"/>
        <v>0</v>
      </c>
      <c r="DE250" s="29">
        <f t="shared" ca="1" si="139"/>
        <v>0</v>
      </c>
      <c r="DF250" s="29">
        <f t="shared" ca="1" si="134"/>
        <v>1</v>
      </c>
      <c r="DG250" s="29">
        <f t="shared" ca="1" si="134"/>
        <v>1</v>
      </c>
      <c r="DH250" s="29">
        <f t="shared" ca="1" si="134"/>
        <v>1</v>
      </c>
      <c r="DI250" s="29">
        <f t="shared" ca="1" si="134"/>
        <v>0</v>
      </c>
      <c r="DJ250" s="29">
        <f t="shared" ca="1" si="134"/>
        <v>2</v>
      </c>
      <c r="DK250" s="29">
        <f t="shared" ca="1" si="134"/>
        <v>0</v>
      </c>
      <c r="DL250" s="29">
        <f t="shared" ca="1" si="134"/>
        <v>1</v>
      </c>
    </row>
    <row r="251" spans="1:116" ht="14.4" x14ac:dyDescent="0.3">
      <c r="A251" s="31">
        <v>932</v>
      </c>
      <c r="B251" s="28">
        <v>6.63</v>
      </c>
      <c r="C251" s="30">
        <v>88.08</v>
      </c>
      <c r="D251" s="28">
        <v>2.97</v>
      </c>
      <c r="E251" s="34">
        <f t="shared" si="110"/>
        <v>5.9400000000000001E-2</v>
      </c>
      <c r="F251" s="35">
        <f t="shared" si="111"/>
        <v>22.02</v>
      </c>
      <c r="G251" s="34">
        <f t="shared" si="112"/>
        <v>74.25</v>
      </c>
      <c r="H251" s="33">
        <f t="shared" si="113"/>
        <v>7.877828054298643</v>
      </c>
      <c r="I251" s="28">
        <f t="shared" si="118"/>
        <v>836.26000000000079</v>
      </c>
      <c r="J251" s="32">
        <v>0</v>
      </c>
      <c r="K251" s="30">
        <f t="shared" si="114"/>
        <v>74.25</v>
      </c>
      <c r="L251" s="30"/>
      <c r="M251" s="30"/>
      <c r="N251" s="30"/>
      <c r="O251" s="30"/>
      <c r="Q251" s="29">
        <f t="shared" ca="1" si="115"/>
        <v>1</v>
      </c>
      <c r="R251" s="29">
        <f t="shared" ca="1" si="142"/>
        <v>2</v>
      </c>
      <c r="S251" s="29">
        <f t="shared" ca="1" si="142"/>
        <v>3</v>
      </c>
      <c r="T251" s="29">
        <f t="shared" ca="1" si="142"/>
        <v>4</v>
      </c>
      <c r="U251" s="29">
        <f t="shared" ca="1" si="142"/>
        <v>3</v>
      </c>
      <c r="V251" s="29">
        <f t="shared" ca="1" si="142"/>
        <v>4</v>
      </c>
      <c r="W251" s="29">
        <f t="shared" ca="1" si="142"/>
        <v>3</v>
      </c>
      <c r="X251" s="29">
        <f t="shared" ca="1" si="142"/>
        <v>6</v>
      </c>
      <c r="Y251" s="29">
        <f t="shared" ca="1" si="142"/>
        <v>3</v>
      </c>
      <c r="Z251" s="29">
        <f t="shared" ca="1" si="142"/>
        <v>4</v>
      </c>
      <c r="AA251" s="29">
        <f t="shared" ca="1" si="142"/>
        <v>1</v>
      </c>
      <c r="AB251" s="29">
        <f t="shared" ca="1" si="142"/>
        <v>6</v>
      </c>
      <c r="AC251" s="29">
        <f t="shared" ca="1" si="142"/>
        <v>1</v>
      </c>
      <c r="AD251" s="29">
        <f t="shared" ca="1" si="142"/>
        <v>4</v>
      </c>
      <c r="AE251" s="29">
        <f t="shared" ca="1" si="142"/>
        <v>5</v>
      </c>
      <c r="AF251" s="29">
        <f t="shared" ca="1" si="142"/>
        <v>3</v>
      </c>
      <c r="AG251" s="29">
        <f t="shared" ca="1" si="141"/>
        <v>1</v>
      </c>
      <c r="AH251" s="29">
        <f t="shared" ca="1" si="141"/>
        <v>2</v>
      </c>
      <c r="AI251" s="29">
        <f t="shared" ca="1" si="141"/>
        <v>2</v>
      </c>
      <c r="AJ251" s="29">
        <f t="shared" ca="1" si="141"/>
        <v>5</v>
      </c>
      <c r="AK251" s="29">
        <f t="shared" ca="1" si="141"/>
        <v>2</v>
      </c>
      <c r="AL251" s="29">
        <f t="shared" ca="1" si="141"/>
        <v>1</v>
      </c>
      <c r="AM251" s="29">
        <f t="shared" ca="1" si="141"/>
        <v>4</v>
      </c>
      <c r="AN251" s="29">
        <f t="shared" ca="1" si="141"/>
        <v>3</v>
      </c>
      <c r="AO251" s="29">
        <f t="shared" ca="1" si="141"/>
        <v>3</v>
      </c>
      <c r="AP251" s="29">
        <f t="shared" ca="1" si="141"/>
        <v>3</v>
      </c>
      <c r="AQ251" s="29">
        <f t="shared" ca="1" si="141"/>
        <v>4</v>
      </c>
      <c r="AR251" s="29">
        <f t="shared" ca="1" si="141"/>
        <v>3</v>
      </c>
      <c r="AS251" s="29">
        <f t="shared" ca="1" si="141"/>
        <v>3</v>
      </c>
      <c r="AT251" s="29">
        <f t="shared" ca="1" si="141"/>
        <v>4</v>
      </c>
      <c r="AU251" s="29">
        <f t="shared" ca="1" si="141"/>
        <v>6</v>
      </c>
      <c r="AV251" s="29">
        <f t="shared" ca="1" si="138"/>
        <v>7</v>
      </c>
      <c r="AW251" s="29">
        <f t="shared" ca="1" si="138"/>
        <v>5</v>
      </c>
      <c r="AX251" s="29">
        <f t="shared" ca="1" si="138"/>
        <v>5</v>
      </c>
      <c r="AY251" s="29">
        <f t="shared" ca="1" si="138"/>
        <v>6</v>
      </c>
      <c r="AZ251" s="29">
        <f t="shared" ca="1" si="138"/>
        <v>3</v>
      </c>
      <c r="BA251" s="29">
        <f t="shared" ca="1" si="138"/>
        <v>2</v>
      </c>
      <c r="BB251" s="29">
        <f t="shared" ca="1" si="138"/>
        <v>5</v>
      </c>
      <c r="BC251" s="29">
        <f t="shared" ca="1" si="138"/>
        <v>7</v>
      </c>
      <c r="BD251" s="29">
        <f t="shared" ca="1" si="138"/>
        <v>2</v>
      </c>
      <c r="BE251" s="29">
        <f t="shared" ca="1" si="138"/>
        <v>6</v>
      </c>
      <c r="BF251" s="29">
        <f t="shared" ca="1" si="138"/>
        <v>3</v>
      </c>
      <c r="BG251" s="29">
        <f t="shared" ca="1" si="138"/>
        <v>3</v>
      </c>
      <c r="BH251" s="29">
        <f t="shared" ca="1" si="138"/>
        <v>3</v>
      </c>
      <c r="BI251" s="29">
        <f t="shared" ca="1" si="138"/>
        <v>1</v>
      </c>
      <c r="BJ251" s="29">
        <f t="shared" ca="1" si="138"/>
        <v>2</v>
      </c>
      <c r="BK251" s="29">
        <f t="shared" ca="1" si="138"/>
        <v>1</v>
      </c>
      <c r="BL251" s="29">
        <f t="shared" ca="1" si="137"/>
        <v>1</v>
      </c>
      <c r="BM251" s="29">
        <f t="shared" ca="1" si="137"/>
        <v>5</v>
      </c>
      <c r="BN251" s="29">
        <f t="shared" ca="1" si="137"/>
        <v>1</v>
      </c>
      <c r="BO251" s="29">
        <f t="shared" ca="1" si="137"/>
        <v>4</v>
      </c>
      <c r="BP251" s="29">
        <f t="shared" ca="1" si="137"/>
        <v>3</v>
      </c>
      <c r="BQ251" s="29">
        <f t="shared" ca="1" si="137"/>
        <v>1</v>
      </c>
      <c r="BR251" s="29">
        <f t="shared" ca="1" si="137"/>
        <v>4</v>
      </c>
      <c r="BS251" s="29">
        <f t="shared" ca="1" si="137"/>
        <v>6</v>
      </c>
      <c r="BT251" s="29">
        <f t="shared" ca="1" si="137"/>
        <v>1</v>
      </c>
      <c r="BU251" s="29">
        <f t="shared" ca="1" si="137"/>
        <v>2</v>
      </c>
      <c r="BV251" s="29">
        <f t="shared" ca="1" si="137"/>
        <v>1</v>
      </c>
      <c r="BW251" s="29">
        <f t="shared" ca="1" si="137"/>
        <v>5</v>
      </c>
      <c r="BX251" s="29">
        <f t="shared" ca="1" si="137"/>
        <v>1</v>
      </c>
      <c r="BY251" s="29">
        <f t="shared" ca="1" si="137"/>
        <v>3</v>
      </c>
      <c r="BZ251" s="29">
        <f t="shared" ca="1" si="137"/>
        <v>6</v>
      </c>
      <c r="CA251" s="29">
        <f t="shared" ca="1" si="140"/>
        <v>5</v>
      </c>
      <c r="CB251" s="29">
        <f t="shared" ca="1" si="140"/>
        <v>3</v>
      </c>
      <c r="CC251" s="29">
        <f t="shared" ca="1" si="140"/>
        <v>3</v>
      </c>
      <c r="CD251" s="29">
        <f t="shared" ca="1" si="140"/>
        <v>5</v>
      </c>
      <c r="CE251" s="29">
        <f t="shared" ca="1" si="140"/>
        <v>3</v>
      </c>
      <c r="CF251" s="29">
        <f t="shared" ca="1" si="140"/>
        <v>5</v>
      </c>
      <c r="CG251" s="29">
        <f t="shared" ca="1" si="140"/>
        <v>2</v>
      </c>
      <c r="CH251" s="29">
        <f t="shared" ca="1" si="140"/>
        <v>2</v>
      </c>
      <c r="CI251" s="29">
        <f t="shared" ca="1" si="140"/>
        <v>3</v>
      </c>
      <c r="CJ251" s="29">
        <f t="shared" ca="1" si="140"/>
        <v>4</v>
      </c>
      <c r="CK251" s="29">
        <f t="shared" ca="1" si="140"/>
        <v>0</v>
      </c>
      <c r="CL251" s="29">
        <f t="shared" ca="1" si="140"/>
        <v>3</v>
      </c>
      <c r="CM251" s="29">
        <f t="shared" ca="1" si="140"/>
        <v>4</v>
      </c>
      <c r="CN251" s="29">
        <f t="shared" ca="1" si="140"/>
        <v>6</v>
      </c>
      <c r="CO251" s="29">
        <f t="shared" ca="1" si="140"/>
        <v>3</v>
      </c>
      <c r="CP251" s="29">
        <f t="shared" ca="1" si="140"/>
        <v>0</v>
      </c>
      <c r="CQ251" s="29">
        <f t="shared" ca="1" si="139"/>
        <v>2</v>
      </c>
      <c r="CR251" s="29">
        <f t="shared" ca="1" si="139"/>
        <v>2</v>
      </c>
      <c r="CS251" s="29">
        <f t="shared" ca="1" si="139"/>
        <v>2</v>
      </c>
      <c r="CT251" s="29">
        <f t="shared" ca="1" si="139"/>
        <v>3</v>
      </c>
      <c r="CU251" s="29">
        <f t="shared" ca="1" si="139"/>
        <v>6</v>
      </c>
      <c r="CV251" s="29">
        <f t="shared" ca="1" si="139"/>
        <v>4</v>
      </c>
      <c r="CW251" s="29">
        <f t="shared" ca="1" si="139"/>
        <v>6</v>
      </c>
      <c r="CX251" s="29">
        <f t="shared" ca="1" si="139"/>
        <v>3</v>
      </c>
      <c r="CY251" s="29">
        <f t="shared" ca="1" si="139"/>
        <v>3</v>
      </c>
      <c r="CZ251" s="29">
        <f t="shared" ca="1" si="139"/>
        <v>2</v>
      </c>
      <c r="DA251" s="29">
        <f t="shared" ca="1" si="139"/>
        <v>3</v>
      </c>
      <c r="DB251" s="29">
        <f t="shared" ca="1" si="139"/>
        <v>3</v>
      </c>
      <c r="DC251" s="29">
        <f t="shared" ca="1" si="139"/>
        <v>2</v>
      </c>
      <c r="DD251" s="29">
        <f t="shared" ca="1" si="139"/>
        <v>4</v>
      </c>
      <c r="DE251" s="29">
        <f t="shared" ca="1" si="139"/>
        <v>6</v>
      </c>
      <c r="DF251" s="29">
        <f t="shared" ca="1" si="134"/>
        <v>3</v>
      </c>
      <c r="DG251" s="29">
        <f t="shared" ca="1" si="134"/>
        <v>4</v>
      </c>
      <c r="DH251" s="29">
        <f t="shared" ca="1" si="134"/>
        <v>0</v>
      </c>
      <c r="DI251" s="29">
        <f t="shared" ca="1" si="134"/>
        <v>3</v>
      </c>
      <c r="DJ251" s="29">
        <f t="shared" ca="1" si="134"/>
        <v>1</v>
      </c>
      <c r="DK251" s="29">
        <f t="shared" ca="1" si="134"/>
        <v>2</v>
      </c>
      <c r="DL251" s="29">
        <f t="shared" ca="1" si="134"/>
        <v>4</v>
      </c>
    </row>
    <row r="252" spans="1:116" ht="14.4" x14ac:dyDescent="0.3">
      <c r="A252" s="31">
        <v>227</v>
      </c>
      <c r="B252" s="28">
        <v>2.5499999999999998</v>
      </c>
      <c r="C252" s="30">
        <v>29.71</v>
      </c>
      <c r="D252" s="28">
        <v>1.1000000000000001</v>
      </c>
      <c r="E252" s="34">
        <f t="shared" si="110"/>
        <v>2.2000000000000002E-2</v>
      </c>
      <c r="F252" s="35">
        <f t="shared" si="111"/>
        <v>7.4275000000000002</v>
      </c>
      <c r="G252" s="34">
        <f t="shared" si="112"/>
        <v>27.500000000000004</v>
      </c>
      <c r="H252" s="33">
        <f t="shared" si="113"/>
        <v>7.8715686274509826</v>
      </c>
      <c r="I252" s="28">
        <f t="shared" si="118"/>
        <v>838.81000000000074</v>
      </c>
      <c r="J252" s="32">
        <v>0</v>
      </c>
      <c r="K252" s="30">
        <f t="shared" si="114"/>
        <v>27.500000000000004</v>
      </c>
      <c r="L252" s="30"/>
      <c r="M252" s="30"/>
      <c r="N252" s="30"/>
      <c r="O252" s="30"/>
      <c r="Q252" s="29">
        <f t="shared" ca="1" si="115"/>
        <v>0</v>
      </c>
      <c r="R252" s="29">
        <f t="shared" ca="1" si="142"/>
        <v>0</v>
      </c>
      <c r="S252" s="29">
        <f t="shared" ca="1" si="142"/>
        <v>1</v>
      </c>
      <c r="T252" s="29">
        <f t="shared" ca="1" si="142"/>
        <v>0</v>
      </c>
      <c r="U252" s="29">
        <f t="shared" ca="1" si="142"/>
        <v>1</v>
      </c>
      <c r="V252" s="29">
        <f t="shared" ca="1" si="142"/>
        <v>1</v>
      </c>
      <c r="W252" s="29">
        <f t="shared" ca="1" si="142"/>
        <v>3</v>
      </c>
      <c r="X252" s="29">
        <f t="shared" ca="1" si="142"/>
        <v>1</v>
      </c>
      <c r="Y252" s="29">
        <f t="shared" ca="1" si="142"/>
        <v>2</v>
      </c>
      <c r="Z252" s="29">
        <f t="shared" ca="1" si="142"/>
        <v>1</v>
      </c>
      <c r="AA252" s="29">
        <f t="shared" ca="1" si="142"/>
        <v>0</v>
      </c>
      <c r="AB252" s="29">
        <f t="shared" ca="1" si="142"/>
        <v>1</v>
      </c>
      <c r="AC252" s="29">
        <f t="shared" ca="1" si="142"/>
        <v>0</v>
      </c>
      <c r="AD252" s="29">
        <f t="shared" ca="1" si="142"/>
        <v>1</v>
      </c>
      <c r="AE252" s="29">
        <f t="shared" ca="1" si="142"/>
        <v>1</v>
      </c>
      <c r="AF252" s="29">
        <f t="shared" ca="1" si="142"/>
        <v>0</v>
      </c>
      <c r="AG252" s="29">
        <f t="shared" ca="1" si="141"/>
        <v>2</v>
      </c>
      <c r="AH252" s="29">
        <f t="shared" ca="1" si="141"/>
        <v>0</v>
      </c>
      <c r="AI252" s="29">
        <f t="shared" ca="1" si="141"/>
        <v>0</v>
      </c>
      <c r="AJ252" s="29">
        <f t="shared" ca="1" si="141"/>
        <v>1</v>
      </c>
      <c r="AK252" s="29">
        <f t="shared" ca="1" si="141"/>
        <v>2</v>
      </c>
      <c r="AL252" s="29">
        <f t="shared" ca="1" si="141"/>
        <v>0</v>
      </c>
      <c r="AM252" s="29">
        <f t="shared" ca="1" si="141"/>
        <v>0</v>
      </c>
      <c r="AN252" s="29">
        <f t="shared" ca="1" si="141"/>
        <v>1</v>
      </c>
      <c r="AO252" s="29">
        <f t="shared" ca="1" si="141"/>
        <v>3</v>
      </c>
      <c r="AP252" s="29">
        <f t="shared" ca="1" si="141"/>
        <v>0</v>
      </c>
      <c r="AQ252" s="29">
        <f t="shared" ca="1" si="141"/>
        <v>2</v>
      </c>
      <c r="AR252" s="29">
        <f t="shared" ca="1" si="141"/>
        <v>1</v>
      </c>
      <c r="AS252" s="29">
        <f t="shared" ca="1" si="141"/>
        <v>1</v>
      </c>
      <c r="AT252" s="29">
        <f t="shared" ca="1" si="141"/>
        <v>0</v>
      </c>
      <c r="AU252" s="29">
        <f t="shared" ca="1" si="141"/>
        <v>1</v>
      </c>
      <c r="AV252" s="29">
        <f t="shared" ca="1" si="138"/>
        <v>2</v>
      </c>
      <c r="AW252" s="29">
        <f t="shared" ca="1" si="138"/>
        <v>0</v>
      </c>
      <c r="AX252" s="29">
        <f t="shared" ca="1" si="138"/>
        <v>3</v>
      </c>
      <c r="AY252" s="29">
        <f t="shared" ca="1" si="138"/>
        <v>2</v>
      </c>
      <c r="AZ252" s="29">
        <f t="shared" ca="1" si="138"/>
        <v>0</v>
      </c>
      <c r="BA252" s="29">
        <f t="shared" ca="1" si="138"/>
        <v>0</v>
      </c>
      <c r="BB252" s="29">
        <f t="shared" ca="1" si="138"/>
        <v>3</v>
      </c>
      <c r="BC252" s="29">
        <f t="shared" ca="1" si="138"/>
        <v>1</v>
      </c>
      <c r="BD252" s="29">
        <f t="shared" ca="1" si="138"/>
        <v>0</v>
      </c>
      <c r="BE252" s="29">
        <f t="shared" ca="1" si="138"/>
        <v>1</v>
      </c>
      <c r="BF252" s="29">
        <f t="shared" ca="1" si="138"/>
        <v>1</v>
      </c>
      <c r="BG252" s="29">
        <f t="shared" ca="1" si="138"/>
        <v>2</v>
      </c>
      <c r="BH252" s="29">
        <f t="shared" ca="1" si="138"/>
        <v>0</v>
      </c>
      <c r="BI252" s="29">
        <f t="shared" ca="1" si="138"/>
        <v>0</v>
      </c>
      <c r="BJ252" s="29">
        <f t="shared" ca="1" si="138"/>
        <v>0</v>
      </c>
      <c r="BK252" s="29">
        <f t="shared" ref="BK252:BZ267" ca="1" si="143">_xlfn.BINOM.INV(50,$E252,RAND())</f>
        <v>2</v>
      </c>
      <c r="BL252" s="29">
        <f t="shared" ca="1" si="143"/>
        <v>0</v>
      </c>
      <c r="BM252" s="29">
        <f t="shared" ca="1" si="143"/>
        <v>2</v>
      </c>
      <c r="BN252" s="29">
        <f t="shared" ca="1" si="143"/>
        <v>1</v>
      </c>
      <c r="BO252" s="29">
        <f t="shared" ca="1" si="143"/>
        <v>2</v>
      </c>
      <c r="BP252" s="29">
        <f t="shared" ca="1" si="143"/>
        <v>0</v>
      </c>
      <c r="BQ252" s="29">
        <f t="shared" ca="1" si="143"/>
        <v>2</v>
      </c>
      <c r="BR252" s="29">
        <f t="shared" ca="1" si="143"/>
        <v>1</v>
      </c>
      <c r="BS252" s="29">
        <f t="shared" ca="1" si="143"/>
        <v>2</v>
      </c>
      <c r="BT252" s="29">
        <f t="shared" ca="1" si="143"/>
        <v>0</v>
      </c>
      <c r="BU252" s="29">
        <f t="shared" ca="1" si="143"/>
        <v>1</v>
      </c>
      <c r="BV252" s="29">
        <f t="shared" ca="1" si="143"/>
        <v>0</v>
      </c>
      <c r="BW252" s="29">
        <f t="shared" ca="1" si="143"/>
        <v>0</v>
      </c>
      <c r="BX252" s="29">
        <f t="shared" ca="1" si="143"/>
        <v>1</v>
      </c>
      <c r="BY252" s="29">
        <f t="shared" ca="1" si="143"/>
        <v>0</v>
      </c>
      <c r="BZ252" s="29">
        <f t="shared" ca="1" si="143"/>
        <v>2</v>
      </c>
      <c r="CA252" s="29">
        <f t="shared" ca="1" si="140"/>
        <v>0</v>
      </c>
      <c r="CB252" s="29">
        <f t="shared" ca="1" si="140"/>
        <v>1</v>
      </c>
      <c r="CC252" s="29">
        <f t="shared" ca="1" si="140"/>
        <v>0</v>
      </c>
      <c r="CD252" s="29">
        <f t="shared" ca="1" si="140"/>
        <v>2</v>
      </c>
      <c r="CE252" s="29">
        <f t="shared" ca="1" si="140"/>
        <v>1</v>
      </c>
      <c r="CF252" s="29">
        <f t="shared" ca="1" si="140"/>
        <v>2</v>
      </c>
      <c r="CG252" s="29">
        <f t="shared" ca="1" si="140"/>
        <v>1</v>
      </c>
      <c r="CH252" s="29">
        <f t="shared" ca="1" si="140"/>
        <v>1</v>
      </c>
      <c r="CI252" s="29">
        <f t="shared" ca="1" si="140"/>
        <v>2</v>
      </c>
      <c r="CJ252" s="29">
        <f t="shared" ca="1" si="140"/>
        <v>2</v>
      </c>
      <c r="CK252" s="29">
        <f t="shared" ca="1" si="140"/>
        <v>2</v>
      </c>
      <c r="CL252" s="29">
        <f t="shared" ca="1" si="140"/>
        <v>1</v>
      </c>
      <c r="CM252" s="29">
        <f t="shared" ca="1" si="140"/>
        <v>0</v>
      </c>
      <c r="CN252" s="29">
        <f t="shared" ca="1" si="140"/>
        <v>1</v>
      </c>
      <c r="CO252" s="29">
        <f t="shared" ca="1" si="140"/>
        <v>2</v>
      </c>
      <c r="CP252" s="29">
        <f t="shared" ca="1" si="140"/>
        <v>3</v>
      </c>
      <c r="CQ252" s="29">
        <f t="shared" ca="1" si="139"/>
        <v>1</v>
      </c>
      <c r="CR252" s="29">
        <f t="shared" ca="1" si="139"/>
        <v>3</v>
      </c>
      <c r="CS252" s="29">
        <f t="shared" ca="1" si="139"/>
        <v>2</v>
      </c>
      <c r="CT252" s="29">
        <f t="shared" ca="1" si="139"/>
        <v>2</v>
      </c>
      <c r="CU252" s="29">
        <f t="shared" ca="1" si="139"/>
        <v>1</v>
      </c>
      <c r="CV252" s="29">
        <f t="shared" ca="1" si="139"/>
        <v>2</v>
      </c>
      <c r="CW252" s="29">
        <f t="shared" ca="1" si="139"/>
        <v>1</v>
      </c>
      <c r="CX252" s="29">
        <f t="shared" ca="1" si="139"/>
        <v>1</v>
      </c>
      <c r="CY252" s="29">
        <f t="shared" ca="1" si="139"/>
        <v>1</v>
      </c>
      <c r="CZ252" s="29">
        <f t="shared" ca="1" si="139"/>
        <v>2</v>
      </c>
      <c r="DA252" s="29">
        <f t="shared" ca="1" si="139"/>
        <v>0</v>
      </c>
      <c r="DB252" s="29">
        <f t="shared" ca="1" si="139"/>
        <v>0</v>
      </c>
      <c r="DC252" s="29">
        <f t="shared" ca="1" si="139"/>
        <v>1</v>
      </c>
      <c r="DD252" s="29">
        <f t="shared" ca="1" si="139"/>
        <v>1</v>
      </c>
      <c r="DE252" s="29">
        <f t="shared" ca="1" si="139"/>
        <v>2</v>
      </c>
      <c r="DF252" s="29">
        <f t="shared" ca="1" si="134"/>
        <v>0</v>
      </c>
      <c r="DG252" s="29">
        <f t="shared" ca="1" si="134"/>
        <v>1</v>
      </c>
      <c r="DH252" s="29">
        <f t="shared" ca="1" si="134"/>
        <v>0</v>
      </c>
      <c r="DI252" s="29">
        <f t="shared" ca="1" si="134"/>
        <v>2</v>
      </c>
      <c r="DJ252" s="29">
        <f t="shared" ca="1" si="134"/>
        <v>0</v>
      </c>
      <c r="DK252" s="29">
        <f t="shared" ca="1" si="134"/>
        <v>1</v>
      </c>
      <c r="DL252" s="29">
        <f t="shared" ca="1" si="134"/>
        <v>2</v>
      </c>
    </row>
    <row r="253" spans="1:116" ht="14.4" x14ac:dyDescent="0.3">
      <c r="A253" s="31">
        <v>424</v>
      </c>
      <c r="B253" s="28">
        <v>2.79</v>
      </c>
      <c r="C253" s="30">
        <v>5.21</v>
      </c>
      <c r="D253" s="28">
        <v>0.93</v>
      </c>
      <c r="E253" s="34">
        <f t="shared" si="110"/>
        <v>1.8600000000000002E-2</v>
      </c>
      <c r="F253" s="35">
        <f t="shared" si="111"/>
        <v>1.3025</v>
      </c>
      <c r="G253" s="34">
        <f t="shared" si="112"/>
        <v>23.25</v>
      </c>
      <c r="H253" s="33">
        <f t="shared" si="113"/>
        <v>7.8664874551971327</v>
      </c>
      <c r="I253" s="28">
        <f t="shared" si="118"/>
        <v>841.6000000000007</v>
      </c>
      <c r="J253" s="32">
        <v>0</v>
      </c>
      <c r="K253" s="30">
        <f t="shared" si="114"/>
        <v>23.25</v>
      </c>
      <c r="L253" s="30"/>
      <c r="M253" s="30"/>
      <c r="N253" s="30"/>
      <c r="O253" s="30"/>
      <c r="Q253" s="29">
        <f t="shared" ca="1" si="115"/>
        <v>0</v>
      </c>
      <c r="R253" s="29">
        <f t="shared" ca="1" si="142"/>
        <v>1</v>
      </c>
      <c r="S253" s="29">
        <f t="shared" ca="1" si="142"/>
        <v>0</v>
      </c>
      <c r="T253" s="29">
        <f t="shared" ca="1" si="142"/>
        <v>0</v>
      </c>
      <c r="U253" s="29">
        <f t="shared" ca="1" si="142"/>
        <v>0</v>
      </c>
      <c r="V253" s="29">
        <f t="shared" ca="1" si="142"/>
        <v>1</v>
      </c>
      <c r="W253" s="29">
        <f t="shared" ca="1" si="142"/>
        <v>0</v>
      </c>
      <c r="X253" s="29">
        <f t="shared" ca="1" si="142"/>
        <v>2</v>
      </c>
      <c r="Y253" s="29">
        <f t="shared" ca="1" si="142"/>
        <v>0</v>
      </c>
      <c r="Z253" s="29">
        <f t="shared" ca="1" si="142"/>
        <v>3</v>
      </c>
      <c r="AA253" s="29">
        <f t="shared" ca="1" si="142"/>
        <v>1</v>
      </c>
      <c r="AB253" s="29">
        <f t="shared" ca="1" si="142"/>
        <v>1</v>
      </c>
      <c r="AC253" s="29">
        <f t="shared" ca="1" si="142"/>
        <v>1</v>
      </c>
      <c r="AD253" s="29">
        <f t="shared" ca="1" si="142"/>
        <v>0</v>
      </c>
      <c r="AE253" s="29">
        <f t="shared" ca="1" si="142"/>
        <v>1</v>
      </c>
      <c r="AF253" s="29">
        <f t="shared" ca="1" si="142"/>
        <v>1</v>
      </c>
      <c r="AG253" s="29">
        <f t="shared" ca="1" si="141"/>
        <v>1</v>
      </c>
      <c r="AH253" s="29">
        <f t="shared" ca="1" si="141"/>
        <v>1</v>
      </c>
      <c r="AI253" s="29">
        <f t="shared" ca="1" si="141"/>
        <v>2</v>
      </c>
      <c r="AJ253" s="29">
        <f t="shared" ca="1" si="141"/>
        <v>1</v>
      </c>
      <c r="AK253" s="29">
        <f t="shared" ca="1" si="141"/>
        <v>0</v>
      </c>
      <c r="AL253" s="29">
        <f t="shared" ca="1" si="141"/>
        <v>0</v>
      </c>
      <c r="AM253" s="29">
        <f t="shared" ca="1" si="141"/>
        <v>0</v>
      </c>
      <c r="AN253" s="29">
        <f t="shared" ca="1" si="141"/>
        <v>1</v>
      </c>
      <c r="AO253" s="29">
        <f t="shared" ca="1" si="141"/>
        <v>0</v>
      </c>
      <c r="AP253" s="29">
        <f t="shared" ca="1" si="141"/>
        <v>0</v>
      </c>
      <c r="AQ253" s="29">
        <f t="shared" ca="1" si="141"/>
        <v>0</v>
      </c>
      <c r="AR253" s="29">
        <f t="shared" ca="1" si="141"/>
        <v>1</v>
      </c>
      <c r="AS253" s="29">
        <f t="shared" ca="1" si="141"/>
        <v>0</v>
      </c>
      <c r="AT253" s="29">
        <f t="shared" ca="1" si="141"/>
        <v>0</v>
      </c>
      <c r="AU253" s="29">
        <f t="shared" ca="1" si="141"/>
        <v>3</v>
      </c>
      <c r="AV253" s="29">
        <f t="shared" ref="AV253:BK268" ca="1" si="144">_xlfn.BINOM.INV(50,$E253,RAND())</f>
        <v>0</v>
      </c>
      <c r="AW253" s="29">
        <f t="shared" ca="1" si="144"/>
        <v>0</v>
      </c>
      <c r="AX253" s="29">
        <f t="shared" ca="1" si="144"/>
        <v>1</v>
      </c>
      <c r="AY253" s="29">
        <f t="shared" ca="1" si="144"/>
        <v>1</v>
      </c>
      <c r="AZ253" s="29">
        <f t="shared" ca="1" si="144"/>
        <v>1</v>
      </c>
      <c r="BA253" s="29">
        <f t="shared" ca="1" si="144"/>
        <v>1</v>
      </c>
      <c r="BB253" s="29">
        <f t="shared" ca="1" si="144"/>
        <v>2</v>
      </c>
      <c r="BC253" s="29">
        <f t="shared" ca="1" si="144"/>
        <v>0</v>
      </c>
      <c r="BD253" s="29">
        <f t="shared" ca="1" si="144"/>
        <v>0</v>
      </c>
      <c r="BE253" s="29">
        <f t="shared" ca="1" si="144"/>
        <v>2</v>
      </c>
      <c r="BF253" s="29">
        <f t="shared" ca="1" si="144"/>
        <v>1</v>
      </c>
      <c r="BG253" s="29">
        <f t="shared" ca="1" si="144"/>
        <v>1</v>
      </c>
      <c r="BH253" s="29">
        <f t="shared" ca="1" si="144"/>
        <v>2</v>
      </c>
      <c r="BI253" s="29">
        <f t="shared" ca="1" si="144"/>
        <v>2</v>
      </c>
      <c r="BJ253" s="29">
        <f t="shared" ca="1" si="144"/>
        <v>3</v>
      </c>
      <c r="BK253" s="29">
        <f t="shared" ca="1" si="144"/>
        <v>0</v>
      </c>
      <c r="BL253" s="29">
        <f t="shared" ca="1" si="143"/>
        <v>0</v>
      </c>
      <c r="BM253" s="29">
        <f t="shared" ca="1" si="143"/>
        <v>3</v>
      </c>
      <c r="BN253" s="29">
        <f t="shared" ca="1" si="143"/>
        <v>1</v>
      </c>
      <c r="BO253" s="29">
        <f t="shared" ca="1" si="143"/>
        <v>0</v>
      </c>
      <c r="BP253" s="29">
        <f t="shared" ca="1" si="143"/>
        <v>0</v>
      </c>
      <c r="BQ253" s="29">
        <f t="shared" ca="1" si="143"/>
        <v>2</v>
      </c>
      <c r="BR253" s="29">
        <f t="shared" ca="1" si="143"/>
        <v>1</v>
      </c>
      <c r="BS253" s="29">
        <f t="shared" ca="1" si="143"/>
        <v>0</v>
      </c>
      <c r="BT253" s="29">
        <f t="shared" ca="1" si="143"/>
        <v>1</v>
      </c>
      <c r="BU253" s="29">
        <f t="shared" ca="1" si="143"/>
        <v>4</v>
      </c>
      <c r="BV253" s="29">
        <f t="shared" ca="1" si="143"/>
        <v>2</v>
      </c>
      <c r="BW253" s="29">
        <f t="shared" ca="1" si="143"/>
        <v>1</v>
      </c>
      <c r="BX253" s="29">
        <f t="shared" ca="1" si="143"/>
        <v>0</v>
      </c>
      <c r="BY253" s="29">
        <f t="shared" ca="1" si="143"/>
        <v>1</v>
      </c>
      <c r="BZ253" s="29">
        <f t="shared" ca="1" si="143"/>
        <v>0</v>
      </c>
      <c r="CA253" s="29">
        <f t="shared" ca="1" si="140"/>
        <v>1</v>
      </c>
      <c r="CB253" s="29">
        <f t="shared" ca="1" si="140"/>
        <v>1</v>
      </c>
      <c r="CC253" s="29">
        <f t="shared" ca="1" si="140"/>
        <v>1</v>
      </c>
      <c r="CD253" s="29">
        <f t="shared" ca="1" si="140"/>
        <v>2</v>
      </c>
      <c r="CE253" s="29">
        <f t="shared" ca="1" si="140"/>
        <v>1</v>
      </c>
      <c r="CF253" s="29">
        <f t="shared" ca="1" si="140"/>
        <v>2</v>
      </c>
      <c r="CG253" s="29">
        <f t="shared" ca="1" si="140"/>
        <v>1</v>
      </c>
      <c r="CH253" s="29">
        <f t="shared" ca="1" si="140"/>
        <v>3</v>
      </c>
      <c r="CI253" s="29">
        <f t="shared" ca="1" si="140"/>
        <v>3</v>
      </c>
      <c r="CJ253" s="29">
        <f t="shared" ca="1" si="140"/>
        <v>1</v>
      </c>
      <c r="CK253" s="29">
        <f t="shared" ca="1" si="140"/>
        <v>0</v>
      </c>
      <c r="CL253" s="29">
        <f t="shared" ca="1" si="140"/>
        <v>0</v>
      </c>
      <c r="CM253" s="29">
        <f t="shared" ca="1" si="140"/>
        <v>0</v>
      </c>
      <c r="CN253" s="29">
        <f t="shared" ca="1" si="140"/>
        <v>2</v>
      </c>
      <c r="CO253" s="29">
        <f t="shared" ca="1" si="140"/>
        <v>1</v>
      </c>
      <c r="CP253" s="29">
        <f t="shared" ca="1" si="140"/>
        <v>2</v>
      </c>
      <c r="CQ253" s="29">
        <f t="shared" ca="1" si="139"/>
        <v>2</v>
      </c>
      <c r="CR253" s="29">
        <f t="shared" ca="1" si="139"/>
        <v>0</v>
      </c>
      <c r="CS253" s="29">
        <f t="shared" ca="1" si="139"/>
        <v>2</v>
      </c>
      <c r="CT253" s="29">
        <f t="shared" ca="1" si="139"/>
        <v>2</v>
      </c>
      <c r="CU253" s="29">
        <f t="shared" ca="1" si="139"/>
        <v>2</v>
      </c>
      <c r="CV253" s="29">
        <f t="shared" ca="1" si="139"/>
        <v>3</v>
      </c>
      <c r="CW253" s="29">
        <f t="shared" ca="1" si="139"/>
        <v>1</v>
      </c>
      <c r="CX253" s="29">
        <f t="shared" ca="1" si="139"/>
        <v>2</v>
      </c>
      <c r="CY253" s="29">
        <f t="shared" ca="1" si="139"/>
        <v>1</v>
      </c>
      <c r="CZ253" s="29">
        <f t="shared" ca="1" si="139"/>
        <v>1</v>
      </c>
      <c r="DA253" s="29">
        <f t="shared" ca="1" si="139"/>
        <v>0</v>
      </c>
      <c r="DB253" s="29">
        <f t="shared" ca="1" si="139"/>
        <v>0</v>
      </c>
      <c r="DC253" s="29">
        <f t="shared" ca="1" si="139"/>
        <v>0</v>
      </c>
      <c r="DD253" s="29">
        <f t="shared" ca="1" si="139"/>
        <v>0</v>
      </c>
      <c r="DE253" s="29">
        <f t="shared" ca="1" si="139"/>
        <v>2</v>
      </c>
      <c r="DF253" s="29">
        <f t="shared" ca="1" si="134"/>
        <v>0</v>
      </c>
      <c r="DG253" s="29">
        <f t="shared" ca="1" si="134"/>
        <v>1</v>
      </c>
      <c r="DH253" s="29">
        <f t="shared" ca="1" si="134"/>
        <v>0</v>
      </c>
      <c r="DI253" s="29">
        <f t="shared" ca="1" si="134"/>
        <v>3</v>
      </c>
      <c r="DJ253" s="29">
        <f t="shared" ca="1" si="134"/>
        <v>1</v>
      </c>
      <c r="DK253" s="29">
        <f t="shared" ca="1" si="134"/>
        <v>3</v>
      </c>
      <c r="DL253" s="29">
        <f t="shared" ca="1" si="134"/>
        <v>1</v>
      </c>
    </row>
    <row r="254" spans="1:116" ht="14.4" x14ac:dyDescent="0.3">
      <c r="A254" s="31">
        <v>257</v>
      </c>
      <c r="B254" s="28">
        <v>6.9</v>
      </c>
      <c r="C254" s="30">
        <v>83.71</v>
      </c>
      <c r="D254" s="28">
        <v>2.99</v>
      </c>
      <c r="E254" s="34">
        <f t="shared" si="110"/>
        <v>5.9800000000000006E-2</v>
      </c>
      <c r="F254" s="35">
        <f t="shared" si="111"/>
        <v>20.927499999999998</v>
      </c>
      <c r="G254" s="34">
        <f t="shared" si="112"/>
        <v>74.75</v>
      </c>
      <c r="H254" s="33">
        <f t="shared" si="113"/>
        <v>7.8003623188405804</v>
      </c>
      <c r="I254" s="28">
        <f t="shared" si="118"/>
        <v>848.50000000000068</v>
      </c>
      <c r="J254" s="32">
        <v>0</v>
      </c>
      <c r="K254" s="30">
        <f t="shared" si="114"/>
        <v>74.75</v>
      </c>
      <c r="L254" s="30"/>
      <c r="M254" s="30"/>
      <c r="N254" s="30"/>
      <c r="O254" s="30"/>
      <c r="Q254" s="29">
        <f t="shared" ca="1" si="115"/>
        <v>2</v>
      </c>
      <c r="R254" s="29">
        <f t="shared" ca="1" si="142"/>
        <v>4</v>
      </c>
      <c r="S254" s="29">
        <f t="shared" ca="1" si="142"/>
        <v>4</v>
      </c>
      <c r="T254" s="29">
        <f t="shared" ca="1" si="142"/>
        <v>4</v>
      </c>
      <c r="U254" s="29">
        <f t="shared" ca="1" si="142"/>
        <v>4</v>
      </c>
      <c r="V254" s="29">
        <f t="shared" ca="1" si="142"/>
        <v>2</v>
      </c>
      <c r="W254" s="29">
        <f t="shared" ca="1" si="142"/>
        <v>5</v>
      </c>
      <c r="X254" s="29">
        <f t="shared" ca="1" si="142"/>
        <v>5</v>
      </c>
      <c r="Y254" s="29">
        <f t="shared" ca="1" si="142"/>
        <v>3</v>
      </c>
      <c r="Z254" s="29">
        <f t="shared" ca="1" si="142"/>
        <v>3</v>
      </c>
      <c r="AA254" s="29">
        <f t="shared" ca="1" si="142"/>
        <v>6</v>
      </c>
      <c r="AB254" s="29">
        <f t="shared" ca="1" si="142"/>
        <v>2</v>
      </c>
      <c r="AC254" s="29">
        <f t="shared" ca="1" si="142"/>
        <v>5</v>
      </c>
      <c r="AD254" s="29">
        <f t="shared" ca="1" si="142"/>
        <v>3</v>
      </c>
      <c r="AE254" s="29">
        <f t="shared" ca="1" si="142"/>
        <v>3</v>
      </c>
      <c r="AF254" s="29">
        <f t="shared" ca="1" si="142"/>
        <v>3</v>
      </c>
      <c r="AG254" s="29">
        <f t="shared" ca="1" si="141"/>
        <v>2</v>
      </c>
      <c r="AH254" s="29">
        <f t="shared" ca="1" si="141"/>
        <v>2</v>
      </c>
      <c r="AI254" s="29">
        <f t="shared" ca="1" si="141"/>
        <v>1</v>
      </c>
      <c r="AJ254" s="29">
        <f t="shared" ca="1" si="141"/>
        <v>1</v>
      </c>
      <c r="AK254" s="29">
        <f t="shared" ca="1" si="141"/>
        <v>2</v>
      </c>
      <c r="AL254" s="29">
        <f t="shared" ca="1" si="141"/>
        <v>4</v>
      </c>
      <c r="AM254" s="29">
        <f t="shared" ca="1" si="141"/>
        <v>2</v>
      </c>
      <c r="AN254" s="29">
        <f t="shared" ca="1" si="141"/>
        <v>2</v>
      </c>
      <c r="AO254" s="29">
        <f t="shared" ca="1" si="141"/>
        <v>3</v>
      </c>
      <c r="AP254" s="29">
        <f t="shared" ca="1" si="141"/>
        <v>4</v>
      </c>
      <c r="AQ254" s="29">
        <f t="shared" ca="1" si="141"/>
        <v>1</v>
      </c>
      <c r="AR254" s="29">
        <f t="shared" ca="1" si="141"/>
        <v>2</v>
      </c>
      <c r="AS254" s="29">
        <f t="shared" ca="1" si="141"/>
        <v>1</v>
      </c>
      <c r="AT254" s="29">
        <f t="shared" ca="1" si="141"/>
        <v>2</v>
      </c>
      <c r="AU254" s="29">
        <f t="shared" ca="1" si="141"/>
        <v>3</v>
      </c>
      <c r="AV254" s="29">
        <f t="shared" ca="1" si="144"/>
        <v>5</v>
      </c>
      <c r="AW254" s="29">
        <f t="shared" ca="1" si="144"/>
        <v>3</v>
      </c>
      <c r="AX254" s="29">
        <f t="shared" ca="1" si="144"/>
        <v>2</v>
      </c>
      <c r="AY254" s="29">
        <f t="shared" ca="1" si="144"/>
        <v>1</v>
      </c>
      <c r="AZ254" s="29">
        <f t="shared" ca="1" si="144"/>
        <v>3</v>
      </c>
      <c r="BA254" s="29">
        <f t="shared" ca="1" si="144"/>
        <v>2</v>
      </c>
      <c r="BB254" s="29">
        <f t="shared" ca="1" si="144"/>
        <v>4</v>
      </c>
      <c r="BC254" s="29">
        <f t="shared" ca="1" si="144"/>
        <v>4</v>
      </c>
      <c r="BD254" s="29">
        <f t="shared" ca="1" si="144"/>
        <v>4</v>
      </c>
      <c r="BE254" s="29">
        <f t="shared" ca="1" si="144"/>
        <v>2</v>
      </c>
      <c r="BF254" s="29">
        <f t="shared" ca="1" si="144"/>
        <v>4</v>
      </c>
      <c r="BG254" s="29">
        <f t="shared" ca="1" si="144"/>
        <v>3</v>
      </c>
      <c r="BH254" s="29">
        <f t="shared" ca="1" si="144"/>
        <v>1</v>
      </c>
      <c r="BI254" s="29">
        <f t="shared" ca="1" si="144"/>
        <v>6</v>
      </c>
      <c r="BJ254" s="29">
        <f t="shared" ca="1" si="144"/>
        <v>2</v>
      </c>
      <c r="BK254" s="29">
        <f t="shared" ca="1" si="144"/>
        <v>3</v>
      </c>
      <c r="BL254" s="29">
        <f t="shared" ca="1" si="143"/>
        <v>1</v>
      </c>
      <c r="BM254" s="29">
        <f t="shared" ca="1" si="143"/>
        <v>3</v>
      </c>
      <c r="BN254" s="29">
        <f t="shared" ca="1" si="143"/>
        <v>5</v>
      </c>
      <c r="BO254" s="29">
        <f t="shared" ca="1" si="143"/>
        <v>3</v>
      </c>
      <c r="BP254" s="29">
        <f t="shared" ca="1" si="143"/>
        <v>4</v>
      </c>
      <c r="BQ254" s="29">
        <f t="shared" ca="1" si="143"/>
        <v>3</v>
      </c>
      <c r="BR254" s="29">
        <f t="shared" ca="1" si="143"/>
        <v>2</v>
      </c>
      <c r="BS254" s="29">
        <f t="shared" ca="1" si="143"/>
        <v>0</v>
      </c>
      <c r="BT254" s="29">
        <f t="shared" ca="1" si="143"/>
        <v>3</v>
      </c>
      <c r="BU254" s="29">
        <f t="shared" ca="1" si="143"/>
        <v>3</v>
      </c>
      <c r="BV254" s="29">
        <f t="shared" ca="1" si="143"/>
        <v>2</v>
      </c>
      <c r="BW254" s="29">
        <f t="shared" ca="1" si="143"/>
        <v>2</v>
      </c>
      <c r="BX254" s="29">
        <f t="shared" ca="1" si="143"/>
        <v>0</v>
      </c>
      <c r="BY254" s="29">
        <f t="shared" ca="1" si="143"/>
        <v>1</v>
      </c>
      <c r="BZ254" s="29">
        <f t="shared" ca="1" si="143"/>
        <v>4</v>
      </c>
      <c r="CA254" s="29">
        <f t="shared" ca="1" si="140"/>
        <v>6</v>
      </c>
      <c r="CB254" s="29">
        <f t="shared" ca="1" si="140"/>
        <v>3</v>
      </c>
      <c r="CC254" s="29">
        <f t="shared" ca="1" si="140"/>
        <v>2</v>
      </c>
      <c r="CD254" s="29">
        <f t="shared" ca="1" si="140"/>
        <v>3</v>
      </c>
      <c r="CE254" s="29">
        <f t="shared" ca="1" si="140"/>
        <v>4</v>
      </c>
      <c r="CF254" s="29">
        <f t="shared" ca="1" si="140"/>
        <v>3</v>
      </c>
      <c r="CG254" s="29">
        <f t="shared" ca="1" si="140"/>
        <v>3</v>
      </c>
      <c r="CH254" s="29">
        <f t="shared" ca="1" si="140"/>
        <v>3</v>
      </c>
      <c r="CI254" s="29">
        <f t="shared" ca="1" si="140"/>
        <v>2</v>
      </c>
      <c r="CJ254" s="29">
        <f t="shared" ca="1" si="140"/>
        <v>2</v>
      </c>
      <c r="CK254" s="29">
        <f t="shared" ca="1" si="140"/>
        <v>3</v>
      </c>
      <c r="CL254" s="29">
        <f t="shared" ca="1" si="140"/>
        <v>1</v>
      </c>
      <c r="CM254" s="29">
        <f t="shared" ca="1" si="140"/>
        <v>4</v>
      </c>
      <c r="CN254" s="29">
        <f t="shared" ca="1" si="140"/>
        <v>5</v>
      </c>
      <c r="CO254" s="29">
        <f t="shared" ca="1" si="140"/>
        <v>1</v>
      </c>
      <c r="CP254" s="29">
        <f t="shared" ca="1" si="140"/>
        <v>2</v>
      </c>
      <c r="CQ254" s="29">
        <f t="shared" ca="1" si="139"/>
        <v>3</v>
      </c>
      <c r="CR254" s="29">
        <f t="shared" ca="1" si="139"/>
        <v>1</v>
      </c>
      <c r="CS254" s="29">
        <f t="shared" ca="1" si="139"/>
        <v>2</v>
      </c>
      <c r="CT254" s="29">
        <f t="shared" ca="1" si="139"/>
        <v>3</v>
      </c>
      <c r="CU254" s="29">
        <f t="shared" ca="1" si="139"/>
        <v>6</v>
      </c>
      <c r="CV254" s="29">
        <f t="shared" ca="1" si="139"/>
        <v>2</v>
      </c>
      <c r="CW254" s="29">
        <f t="shared" ca="1" si="139"/>
        <v>6</v>
      </c>
      <c r="CX254" s="29">
        <f t="shared" ca="1" si="139"/>
        <v>4</v>
      </c>
      <c r="CY254" s="29">
        <f t="shared" ca="1" si="139"/>
        <v>2</v>
      </c>
      <c r="CZ254" s="29">
        <f t="shared" ca="1" si="139"/>
        <v>3</v>
      </c>
      <c r="DA254" s="29">
        <f t="shared" ca="1" si="139"/>
        <v>3</v>
      </c>
      <c r="DB254" s="29">
        <f t="shared" ca="1" si="139"/>
        <v>3</v>
      </c>
      <c r="DC254" s="29">
        <f t="shared" ca="1" si="139"/>
        <v>4</v>
      </c>
      <c r="DD254" s="29">
        <f t="shared" ca="1" si="139"/>
        <v>2</v>
      </c>
      <c r="DE254" s="29">
        <f t="shared" ca="1" si="139"/>
        <v>2</v>
      </c>
      <c r="DF254" s="29">
        <f t="shared" ca="1" si="134"/>
        <v>6</v>
      </c>
      <c r="DG254" s="29">
        <f t="shared" ca="1" si="134"/>
        <v>4</v>
      </c>
      <c r="DH254" s="29">
        <f t="shared" ca="1" si="134"/>
        <v>0</v>
      </c>
      <c r="DI254" s="29">
        <f t="shared" ca="1" si="134"/>
        <v>2</v>
      </c>
      <c r="DJ254" s="29">
        <f t="shared" ca="1" si="134"/>
        <v>0</v>
      </c>
      <c r="DK254" s="29">
        <f t="shared" ca="1" si="134"/>
        <v>4</v>
      </c>
      <c r="DL254" s="29">
        <f t="shared" ca="1" si="134"/>
        <v>3</v>
      </c>
    </row>
    <row r="255" spans="1:116" ht="14.4" x14ac:dyDescent="0.3">
      <c r="A255" s="31">
        <v>842</v>
      </c>
      <c r="B255" s="28">
        <v>9.6300000000000008</v>
      </c>
      <c r="C255" s="30">
        <v>21.59</v>
      </c>
      <c r="D255" s="28">
        <v>3.22</v>
      </c>
      <c r="E255" s="34">
        <f t="shared" si="110"/>
        <v>6.4399999999999999E-2</v>
      </c>
      <c r="F255" s="35">
        <f t="shared" si="111"/>
        <v>5.3975</v>
      </c>
      <c r="G255" s="34">
        <f t="shared" si="112"/>
        <v>80.5</v>
      </c>
      <c r="H255" s="33">
        <f t="shared" si="113"/>
        <v>7.7988058151609554</v>
      </c>
      <c r="I255" s="28">
        <f t="shared" si="118"/>
        <v>858.13000000000068</v>
      </c>
      <c r="J255" s="32">
        <v>0</v>
      </c>
      <c r="K255" s="30">
        <f t="shared" si="114"/>
        <v>80.5</v>
      </c>
      <c r="L255" s="30"/>
      <c r="M255" s="30"/>
      <c r="N255" s="30"/>
      <c r="O255" s="30"/>
      <c r="Q255" s="29">
        <f t="shared" ca="1" si="115"/>
        <v>4</v>
      </c>
      <c r="R255" s="29">
        <f t="shared" ca="1" si="142"/>
        <v>3</v>
      </c>
      <c r="S255" s="29">
        <f t="shared" ca="1" si="142"/>
        <v>8</v>
      </c>
      <c r="T255" s="29">
        <f t="shared" ca="1" si="142"/>
        <v>4</v>
      </c>
      <c r="U255" s="29">
        <f t="shared" ca="1" si="142"/>
        <v>3</v>
      </c>
      <c r="V255" s="29">
        <f t="shared" ca="1" si="142"/>
        <v>3</v>
      </c>
      <c r="W255" s="29">
        <f t="shared" ca="1" si="142"/>
        <v>1</v>
      </c>
      <c r="X255" s="29">
        <f t="shared" ca="1" si="142"/>
        <v>4</v>
      </c>
      <c r="Y255" s="29">
        <f t="shared" ca="1" si="142"/>
        <v>1</v>
      </c>
      <c r="Z255" s="29">
        <f t="shared" ca="1" si="142"/>
        <v>4</v>
      </c>
      <c r="AA255" s="29">
        <f t="shared" ca="1" si="142"/>
        <v>1</v>
      </c>
      <c r="AB255" s="29">
        <f t="shared" ca="1" si="142"/>
        <v>6</v>
      </c>
      <c r="AC255" s="29">
        <f t="shared" ca="1" si="142"/>
        <v>5</v>
      </c>
      <c r="AD255" s="29">
        <f t="shared" ca="1" si="142"/>
        <v>0</v>
      </c>
      <c r="AE255" s="29">
        <f t="shared" ca="1" si="142"/>
        <v>3</v>
      </c>
      <c r="AF255" s="29">
        <f t="shared" ca="1" si="142"/>
        <v>2</v>
      </c>
      <c r="AG255" s="29">
        <f t="shared" ca="1" si="141"/>
        <v>1</v>
      </c>
      <c r="AH255" s="29">
        <f t="shared" ca="1" si="141"/>
        <v>1</v>
      </c>
      <c r="AI255" s="29">
        <f t="shared" ca="1" si="141"/>
        <v>4</v>
      </c>
      <c r="AJ255" s="29">
        <f t="shared" ca="1" si="141"/>
        <v>2</v>
      </c>
      <c r="AK255" s="29">
        <f t="shared" ca="1" si="141"/>
        <v>1</v>
      </c>
      <c r="AL255" s="29">
        <f t="shared" ca="1" si="141"/>
        <v>3</v>
      </c>
      <c r="AM255" s="29">
        <f t="shared" ca="1" si="141"/>
        <v>5</v>
      </c>
      <c r="AN255" s="29">
        <f t="shared" ca="1" si="141"/>
        <v>4</v>
      </c>
      <c r="AO255" s="29">
        <f t="shared" ca="1" si="141"/>
        <v>3</v>
      </c>
      <c r="AP255" s="29">
        <f t="shared" ca="1" si="141"/>
        <v>3</v>
      </c>
      <c r="AQ255" s="29">
        <f t="shared" ca="1" si="141"/>
        <v>2</v>
      </c>
      <c r="AR255" s="29">
        <f t="shared" ca="1" si="141"/>
        <v>1</v>
      </c>
      <c r="AS255" s="29">
        <f t="shared" ca="1" si="141"/>
        <v>2</v>
      </c>
      <c r="AT255" s="29">
        <f t="shared" ca="1" si="141"/>
        <v>4</v>
      </c>
      <c r="AU255" s="29">
        <f t="shared" ca="1" si="141"/>
        <v>1</v>
      </c>
      <c r="AV255" s="29">
        <f t="shared" ca="1" si="144"/>
        <v>4</v>
      </c>
      <c r="AW255" s="29">
        <f t="shared" ca="1" si="144"/>
        <v>2</v>
      </c>
      <c r="AX255" s="29">
        <f t="shared" ca="1" si="144"/>
        <v>1</v>
      </c>
      <c r="AY255" s="29">
        <f t="shared" ca="1" si="144"/>
        <v>6</v>
      </c>
      <c r="AZ255" s="29">
        <f t="shared" ca="1" si="144"/>
        <v>6</v>
      </c>
      <c r="BA255" s="29">
        <f t="shared" ca="1" si="144"/>
        <v>5</v>
      </c>
      <c r="BB255" s="29">
        <f t="shared" ca="1" si="144"/>
        <v>2</v>
      </c>
      <c r="BC255" s="29">
        <f t="shared" ca="1" si="144"/>
        <v>4</v>
      </c>
      <c r="BD255" s="29">
        <f t="shared" ca="1" si="144"/>
        <v>1</v>
      </c>
      <c r="BE255" s="29">
        <f t="shared" ca="1" si="144"/>
        <v>4</v>
      </c>
      <c r="BF255" s="29">
        <f t="shared" ca="1" si="144"/>
        <v>3</v>
      </c>
      <c r="BG255" s="29">
        <f t="shared" ca="1" si="144"/>
        <v>1</v>
      </c>
      <c r="BH255" s="29">
        <f t="shared" ca="1" si="144"/>
        <v>3</v>
      </c>
      <c r="BI255" s="29">
        <f t="shared" ca="1" si="144"/>
        <v>5</v>
      </c>
      <c r="BJ255" s="29">
        <f t="shared" ca="1" si="144"/>
        <v>5</v>
      </c>
      <c r="BK255" s="29">
        <f t="shared" ca="1" si="144"/>
        <v>3</v>
      </c>
      <c r="BL255" s="29">
        <f t="shared" ca="1" si="143"/>
        <v>5</v>
      </c>
      <c r="BM255" s="29">
        <f t="shared" ca="1" si="143"/>
        <v>4</v>
      </c>
      <c r="BN255" s="29">
        <f t="shared" ca="1" si="143"/>
        <v>6</v>
      </c>
      <c r="BO255" s="29">
        <f t="shared" ca="1" si="143"/>
        <v>4</v>
      </c>
      <c r="BP255" s="29">
        <f t="shared" ca="1" si="143"/>
        <v>1</v>
      </c>
      <c r="BQ255" s="29">
        <f t="shared" ca="1" si="143"/>
        <v>1</v>
      </c>
      <c r="BR255" s="29">
        <f t="shared" ca="1" si="143"/>
        <v>2</v>
      </c>
      <c r="BS255" s="29">
        <f t="shared" ca="1" si="143"/>
        <v>6</v>
      </c>
      <c r="BT255" s="29">
        <f t="shared" ca="1" si="143"/>
        <v>2</v>
      </c>
      <c r="BU255" s="29">
        <f t="shared" ca="1" si="143"/>
        <v>5</v>
      </c>
      <c r="BV255" s="29">
        <f t="shared" ca="1" si="143"/>
        <v>7</v>
      </c>
      <c r="BW255" s="29">
        <f t="shared" ca="1" si="143"/>
        <v>5</v>
      </c>
      <c r="BX255" s="29">
        <f t="shared" ca="1" si="143"/>
        <v>3</v>
      </c>
      <c r="BY255" s="29">
        <f t="shared" ca="1" si="143"/>
        <v>1</v>
      </c>
      <c r="BZ255" s="29">
        <f t="shared" ca="1" si="143"/>
        <v>4</v>
      </c>
      <c r="CA255" s="29">
        <f t="shared" ca="1" si="140"/>
        <v>6</v>
      </c>
      <c r="CB255" s="29">
        <f t="shared" ca="1" si="140"/>
        <v>6</v>
      </c>
      <c r="CC255" s="29">
        <f t="shared" ca="1" si="140"/>
        <v>4</v>
      </c>
      <c r="CD255" s="29">
        <f t="shared" ca="1" si="140"/>
        <v>5</v>
      </c>
      <c r="CE255" s="29">
        <f t="shared" ca="1" si="140"/>
        <v>3</v>
      </c>
      <c r="CF255" s="29">
        <f t="shared" ca="1" si="140"/>
        <v>5</v>
      </c>
      <c r="CG255" s="29">
        <f t="shared" ca="1" si="140"/>
        <v>2</v>
      </c>
      <c r="CH255" s="29">
        <f t="shared" ca="1" si="140"/>
        <v>3</v>
      </c>
      <c r="CI255" s="29">
        <f t="shared" ca="1" si="140"/>
        <v>7</v>
      </c>
      <c r="CJ255" s="29">
        <f t="shared" ca="1" si="140"/>
        <v>6</v>
      </c>
      <c r="CK255" s="29">
        <f t="shared" ca="1" si="140"/>
        <v>8</v>
      </c>
      <c r="CL255" s="29">
        <f t="shared" ca="1" si="140"/>
        <v>3</v>
      </c>
      <c r="CM255" s="29">
        <f t="shared" ca="1" si="140"/>
        <v>1</v>
      </c>
      <c r="CN255" s="29">
        <f t="shared" ca="1" si="140"/>
        <v>4</v>
      </c>
      <c r="CO255" s="29">
        <f t="shared" ca="1" si="140"/>
        <v>1</v>
      </c>
      <c r="CP255" s="29">
        <f t="shared" ca="1" si="140"/>
        <v>3</v>
      </c>
      <c r="CQ255" s="29">
        <f t="shared" ca="1" si="139"/>
        <v>4</v>
      </c>
      <c r="CR255" s="29">
        <f t="shared" ca="1" si="139"/>
        <v>3</v>
      </c>
      <c r="CS255" s="29">
        <f t="shared" ca="1" si="139"/>
        <v>3</v>
      </c>
      <c r="CT255" s="29">
        <f t="shared" ca="1" si="139"/>
        <v>3</v>
      </c>
      <c r="CU255" s="29">
        <f t="shared" ca="1" si="139"/>
        <v>5</v>
      </c>
      <c r="CV255" s="29">
        <f t="shared" ca="1" si="139"/>
        <v>5</v>
      </c>
      <c r="CW255" s="29">
        <f t="shared" ca="1" si="139"/>
        <v>3</v>
      </c>
      <c r="CX255" s="29">
        <f t="shared" ca="1" si="139"/>
        <v>2</v>
      </c>
      <c r="CY255" s="29">
        <f t="shared" ca="1" si="139"/>
        <v>1</v>
      </c>
      <c r="CZ255" s="29">
        <f t="shared" ca="1" si="139"/>
        <v>4</v>
      </c>
      <c r="DA255" s="29">
        <f t="shared" ca="1" si="139"/>
        <v>2</v>
      </c>
      <c r="DB255" s="29">
        <f t="shared" ca="1" si="139"/>
        <v>5</v>
      </c>
      <c r="DC255" s="29">
        <f t="shared" ca="1" si="139"/>
        <v>3</v>
      </c>
      <c r="DD255" s="29">
        <f t="shared" ca="1" si="139"/>
        <v>5</v>
      </c>
      <c r="DE255" s="29">
        <f t="shared" ca="1" si="139"/>
        <v>3</v>
      </c>
      <c r="DF255" s="29">
        <f t="shared" ca="1" si="134"/>
        <v>2</v>
      </c>
      <c r="DG255" s="29">
        <f t="shared" ca="1" si="134"/>
        <v>3</v>
      </c>
      <c r="DH255" s="29">
        <f t="shared" ca="1" si="134"/>
        <v>5</v>
      </c>
      <c r="DI255" s="29">
        <f t="shared" ca="1" si="134"/>
        <v>3</v>
      </c>
      <c r="DJ255" s="29">
        <f t="shared" ca="1" si="134"/>
        <v>8</v>
      </c>
      <c r="DK255" s="29">
        <f t="shared" ca="1" si="134"/>
        <v>2</v>
      </c>
      <c r="DL255" s="29">
        <f t="shared" ca="1" si="134"/>
        <v>4</v>
      </c>
    </row>
    <row r="256" spans="1:116" ht="14.4" x14ac:dyDescent="0.3">
      <c r="A256" s="31">
        <v>1101</v>
      </c>
      <c r="B256" s="28">
        <v>2.37</v>
      </c>
      <c r="C256" s="30">
        <v>67.95</v>
      </c>
      <c r="D256" s="28">
        <v>1.41</v>
      </c>
      <c r="E256" s="34">
        <f t="shared" si="110"/>
        <v>2.8199999999999999E-2</v>
      </c>
      <c r="F256" s="35">
        <f t="shared" si="111"/>
        <v>16.987500000000001</v>
      </c>
      <c r="G256" s="34">
        <f t="shared" si="112"/>
        <v>35.25</v>
      </c>
      <c r="H256" s="33">
        <f t="shared" si="113"/>
        <v>7.7056962025316453</v>
      </c>
      <c r="I256" s="28">
        <f t="shared" si="118"/>
        <v>860.50000000000068</v>
      </c>
      <c r="J256" s="32">
        <v>0</v>
      </c>
      <c r="K256" s="30">
        <f t="shared" si="114"/>
        <v>35.25</v>
      </c>
      <c r="L256" s="30"/>
      <c r="M256" s="30"/>
      <c r="N256" s="30"/>
      <c r="O256" s="30"/>
      <c r="Q256" s="29">
        <f t="shared" ca="1" si="115"/>
        <v>3</v>
      </c>
      <c r="R256" s="29">
        <f t="shared" ca="1" si="142"/>
        <v>5</v>
      </c>
      <c r="S256" s="29">
        <f t="shared" ca="1" si="142"/>
        <v>2</v>
      </c>
      <c r="T256" s="29">
        <f t="shared" ca="1" si="142"/>
        <v>0</v>
      </c>
      <c r="U256" s="29">
        <f t="shared" ca="1" si="142"/>
        <v>2</v>
      </c>
      <c r="V256" s="29">
        <f t="shared" ca="1" si="142"/>
        <v>0</v>
      </c>
      <c r="W256" s="29">
        <f t="shared" ca="1" si="142"/>
        <v>3</v>
      </c>
      <c r="X256" s="29">
        <f t="shared" ca="1" si="142"/>
        <v>3</v>
      </c>
      <c r="Y256" s="29">
        <f t="shared" ca="1" si="142"/>
        <v>2</v>
      </c>
      <c r="Z256" s="29">
        <f t="shared" ca="1" si="142"/>
        <v>4</v>
      </c>
      <c r="AA256" s="29">
        <f t="shared" ca="1" si="142"/>
        <v>0</v>
      </c>
      <c r="AB256" s="29">
        <f t="shared" ca="1" si="142"/>
        <v>1</v>
      </c>
      <c r="AC256" s="29">
        <f t="shared" ca="1" si="142"/>
        <v>1</v>
      </c>
      <c r="AD256" s="29">
        <f t="shared" ca="1" si="142"/>
        <v>1</v>
      </c>
      <c r="AE256" s="29">
        <f t="shared" ca="1" si="142"/>
        <v>4</v>
      </c>
      <c r="AF256" s="29">
        <f t="shared" ca="1" si="142"/>
        <v>0</v>
      </c>
      <c r="AG256" s="29">
        <f t="shared" ca="1" si="141"/>
        <v>0</v>
      </c>
      <c r="AH256" s="29">
        <f t="shared" ca="1" si="141"/>
        <v>1</v>
      </c>
      <c r="AI256" s="29">
        <f t="shared" ca="1" si="141"/>
        <v>2</v>
      </c>
      <c r="AJ256" s="29">
        <f t="shared" ca="1" si="141"/>
        <v>0</v>
      </c>
      <c r="AK256" s="29">
        <f t="shared" ca="1" si="141"/>
        <v>0</v>
      </c>
      <c r="AL256" s="29">
        <f t="shared" ca="1" si="141"/>
        <v>0</v>
      </c>
      <c r="AM256" s="29">
        <f t="shared" ca="1" si="141"/>
        <v>0</v>
      </c>
      <c r="AN256" s="29">
        <f t="shared" ca="1" si="141"/>
        <v>2</v>
      </c>
      <c r="AO256" s="29">
        <f t="shared" ca="1" si="141"/>
        <v>2</v>
      </c>
      <c r="AP256" s="29">
        <f t="shared" ca="1" si="141"/>
        <v>2</v>
      </c>
      <c r="AQ256" s="29">
        <f t="shared" ca="1" si="141"/>
        <v>2</v>
      </c>
      <c r="AR256" s="29">
        <f t="shared" ca="1" si="141"/>
        <v>2</v>
      </c>
      <c r="AS256" s="29">
        <f t="shared" ca="1" si="141"/>
        <v>1</v>
      </c>
      <c r="AT256" s="29">
        <f t="shared" ca="1" si="141"/>
        <v>1</v>
      </c>
      <c r="AU256" s="29">
        <f t="shared" ca="1" si="141"/>
        <v>0</v>
      </c>
      <c r="AV256" s="29">
        <f t="shared" ca="1" si="144"/>
        <v>1</v>
      </c>
      <c r="AW256" s="29">
        <f t="shared" ca="1" si="144"/>
        <v>0</v>
      </c>
      <c r="AX256" s="29">
        <f t="shared" ca="1" si="144"/>
        <v>2</v>
      </c>
      <c r="AY256" s="29">
        <f t="shared" ca="1" si="144"/>
        <v>0</v>
      </c>
      <c r="AZ256" s="29">
        <f t="shared" ca="1" si="144"/>
        <v>2</v>
      </c>
      <c r="BA256" s="29">
        <f t="shared" ca="1" si="144"/>
        <v>1</v>
      </c>
      <c r="BB256" s="29">
        <f t="shared" ca="1" si="144"/>
        <v>0</v>
      </c>
      <c r="BC256" s="29">
        <f t="shared" ca="1" si="144"/>
        <v>1</v>
      </c>
      <c r="BD256" s="29">
        <f t="shared" ca="1" si="144"/>
        <v>2</v>
      </c>
      <c r="BE256" s="29">
        <f t="shared" ca="1" si="144"/>
        <v>2</v>
      </c>
      <c r="BF256" s="29">
        <f t="shared" ca="1" si="144"/>
        <v>0</v>
      </c>
      <c r="BG256" s="29">
        <f t="shared" ca="1" si="144"/>
        <v>3</v>
      </c>
      <c r="BH256" s="29">
        <f t="shared" ca="1" si="144"/>
        <v>0</v>
      </c>
      <c r="BI256" s="29">
        <f t="shared" ca="1" si="144"/>
        <v>1</v>
      </c>
      <c r="BJ256" s="29">
        <f t="shared" ca="1" si="144"/>
        <v>2</v>
      </c>
      <c r="BK256" s="29">
        <f t="shared" ca="1" si="144"/>
        <v>2</v>
      </c>
      <c r="BL256" s="29">
        <f t="shared" ca="1" si="143"/>
        <v>1</v>
      </c>
      <c r="BM256" s="29">
        <f t="shared" ca="1" si="143"/>
        <v>3</v>
      </c>
      <c r="BN256" s="29">
        <f t="shared" ca="1" si="143"/>
        <v>3</v>
      </c>
      <c r="BO256" s="29">
        <f t="shared" ca="1" si="143"/>
        <v>0</v>
      </c>
      <c r="BP256" s="29">
        <f t="shared" ca="1" si="143"/>
        <v>0</v>
      </c>
      <c r="BQ256" s="29">
        <f t="shared" ca="1" si="143"/>
        <v>1</v>
      </c>
      <c r="BR256" s="29">
        <f t="shared" ca="1" si="143"/>
        <v>2</v>
      </c>
      <c r="BS256" s="29">
        <f t="shared" ca="1" si="143"/>
        <v>4</v>
      </c>
      <c r="BT256" s="29">
        <f t="shared" ca="1" si="143"/>
        <v>0</v>
      </c>
      <c r="BU256" s="29">
        <f t="shared" ca="1" si="143"/>
        <v>2</v>
      </c>
      <c r="BV256" s="29">
        <f t="shared" ca="1" si="143"/>
        <v>1</v>
      </c>
      <c r="BW256" s="29">
        <f t="shared" ca="1" si="143"/>
        <v>2</v>
      </c>
      <c r="BX256" s="29">
        <f t="shared" ca="1" si="143"/>
        <v>1</v>
      </c>
      <c r="BY256" s="29">
        <f t="shared" ca="1" si="143"/>
        <v>2</v>
      </c>
      <c r="BZ256" s="29">
        <f t="shared" ca="1" si="143"/>
        <v>2</v>
      </c>
      <c r="CA256" s="29">
        <f t="shared" ca="1" si="140"/>
        <v>1</v>
      </c>
      <c r="CB256" s="29">
        <f t="shared" ca="1" si="140"/>
        <v>2</v>
      </c>
      <c r="CC256" s="29">
        <f t="shared" ca="1" si="140"/>
        <v>2</v>
      </c>
      <c r="CD256" s="29">
        <f t="shared" ca="1" si="140"/>
        <v>2</v>
      </c>
      <c r="CE256" s="29">
        <f t="shared" ca="1" si="140"/>
        <v>3</v>
      </c>
      <c r="CF256" s="29">
        <f t="shared" ca="1" si="140"/>
        <v>1</v>
      </c>
      <c r="CG256" s="29">
        <f t="shared" ca="1" si="140"/>
        <v>2</v>
      </c>
      <c r="CH256" s="29">
        <f t="shared" ca="1" si="140"/>
        <v>2</v>
      </c>
      <c r="CI256" s="29">
        <f t="shared" ca="1" si="140"/>
        <v>4</v>
      </c>
      <c r="CJ256" s="29">
        <f t="shared" ca="1" si="140"/>
        <v>0</v>
      </c>
      <c r="CK256" s="29">
        <f t="shared" ca="1" si="140"/>
        <v>1</v>
      </c>
      <c r="CL256" s="29">
        <f t="shared" ca="1" si="140"/>
        <v>3</v>
      </c>
      <c r="CM256" s="29">
        <f t="shared" ca="1" si="140"/>
        <v>2</v>
      </c>
      <c r="CN256" s="29">
        <f t="shared" ca="1" si="140"/>
        <v>1</v>
      </c>
      <c r="CO256" s="29">
        <f t="shared" ca="1" si="140"/>
        <v>1</v>
      </c>
      <c r="CP256" s="29">
        <f t="shared" ca="1" si="140"/>
        <v>0</v>
      </c>
      <c r="CQ256" s="29">
        <f t="shared" ca="1" si="139"/>
        <v>1</v>
      </c>
      <c r="CR256" s="29">
        <f t="shared" ca="1" si="139"/>
        <v>0</v>
      </c>
      <c r="CS256" s="29">
        <f t="shared" ca="1" si="139"/>
        <v>0</v>
      </c>
      <c r="CT256" s="29">
        <f t="shared" ca="1" si="139"/>
        <v>3</v>
      </c>
      <c r="CU256" s="29">
        <f t="shared" ca="1" si="139"/>
        <v>0</v>
      </c>
      <c r="CV256" s="29">
        <f t="shared" ca="1" si="139"/>
        <v>0</v>
      </c>
      <c r="CW256" s="29">
        <f t="shared" ca="1" si="139"/>
        <v>0</v>
      </c>
      <c r="CX256" s="29">
        <f t="shared" ca="1" si="139"/>
        <v>1</v>
      </c>
      <c r="CY256" s="29">
        <f t="shared" ca="1" si="139"/>
        <v>1</v>
      </c>
      <c r="CZ256" s="29">
        <f t="shared" ca="1" si="139"/>
        <v>3</v>
      </c>
      <c r="DA256" s="29">
        <f t="shared" ca="1" si="139"/>
        <v>1</v>
      </c>
      <c r="DB256" s="29">
        <f t="shared" ca="1" si="139"/>
        <v>2</v>
      </c>
      <c r="DC256" s="29">
        <f t="shared" ca="1" si="139"/>
        <v>1</v>
      </c>
      <c r="DD256" s="29">
        <f t="shared" ca="1" si="139"/>
        <v>2</v>
      </c>
      <c r="DE256" s="29">
        <f t="shared" ca="1" si="139"/>
        <v>0</v>
      </c>
      <c r="DF256" s="29">
        <f t="shared" ca="1" si="134"/>
        <v>1</v>
      </c>
      <c r="DG256" s="29">
        <f t="shared" ca="1" si="134"/>
        <v>2</v>
      </c>
      <c r="DH256" s="29">
        <f t="shared" ca="1" si="134"/>
        <v>1</v>
      </c>
      <c r="DI256" s="29">
        <f t="shared" ca="1" si="134"/>
        <v>0</v>
      </c>
      <c r="DJ256" s="29">
        <f t="shared" ca="1" si="134"/>
        <v>3</v>
      </c>
      <c r="DK256" s="29">
        <f t="shared" ca="1" si="134"/>
        <v>3</v>
      </c>
      <c r="DL256" s="29">
        <f t="shared" ca="1" si="134"/>
        <v>2</v>
      </c>
    </row>
    <row r="257" spans="1:116" ht="14.4" x14ac:dyDescent="0.3">
      <c r="A257" s="31">
        <v>1094</v>
      </c>
      <c r="B257" s="28">
        <v>1.76</v>
      </c>
      <c r="C257" s="30">
        <v>63.94</v>
      </c>
      <c r="D257" s="28">
        <v>1.18</v>
      </c>
      <c r="E257" s="34">
        <f t="shared" si="110"/>
        <v>2.3599999999999999E-2</v>
      </c>
      <c r="F257" s="35">
        <f t="shared" si="111"/>
        <v>15.984999999999999</v>
      </c>
      <c r="G257" s="34">
        <f t="shared" si="112"/>
        <v>29.5</v>
      </c>
      <c r="H257" s="33">
        <f t="shared" si="113"/>
        <v>7.6789772727272734</v>
      </c>
      <c r="I257" s="28">
        <f t="shared" si="118"/>
        <v>862.26000000000067</v>
      </c>
      <c r="J257" s="32">
        <v>0</v>
      </c>
      <c r="K257" s="30">
        <f t="shared" si="114"/>
        <v>29.5</v>
      </c>
      <c r="L257" s="30"/>
      <c r="M257" s="30"/>
      <c r="N257" s="30"/>
      <c r="O257" s="30"/>
      <c r="Q257" s="29">
        <f t="shared" ca="1" si="115"/>
        <v>1</v>
      </c>
      <c r="R257" s="29">
        <f t="shared" ca="1" si="142"/>
        <v>1</v>
      </c>
      <c r="S257" s="29">
        <f t="shared" ca="1" si="142"/>
        <v>1</v>
      </c>
      <c r="T257" s="29">
        <f t="shared" ca="1" si="142"/>
        <v>1</v>
      </c>
      <c r="U257" s="29">
        <f t="shared" ca="1" si="142"/>
        <v>3</v>
      </c>
      <c r="V257" s="29">
        <f t="shared" ca="1" si="142"/>
        <v>1</v>
      </c>
      <c r="W257" s="29">
        <f t="shared" ca="1" si="142"/>
        <v>0</v>
      </c>
      <c r="X257" s="29">
        <f t="shared" ca="1" si="142"/>
        <v>1</v>
      </c>
      <c r="Y257" s="29">
        <f t="shared" ca="1" si="142"/>
        <v>1</v>
      </c>
      <c r="Z257" s="29">
        <f t="shared" ca="1" si="142"/>
        <v>1</v>
      </c>
      <c r="AA257" s="29">
        <f t="shared" ca="1" si="142"/>
        <v>2</v>
      </c>
      <c r="AB257" s="29">
        <f t="shared" ca="1" si="142"/>
        <v>3</v>
      </c>
      <c r="AC257" s="29">
        <f t="shared" ca="1" si="142"/>
        <v>1</v>
      </c>
      <c r="AD257" s="29">
        <f t="shared" ca="1" si="142"/>
        <v>0</v>
      </c>
      <c r="AE257" s="29">
        <f t="shared" ca="1" si="142"/>
        <v>0</v>
      </c>
      <c r="AF257" s="29">
        <f t="shared" ca="1" si="142"/>
        <v>0</v>
      </c>
      <c r="AG257" s="29">
        <f t="shared" ca="1" si="141"/>
        <v>0</v>
      </c>
      <c r="AH257" s="29">
        <f t="shared" ca="1" si="141"/>
        <v>0</v>
      </c>
      <c r="AI257" s="29">
        <f t="shared" ca="1" si="141"/>
        <v>0</v>
      </c>
      <c r="AJ257" s="29">
        <f t="shared" ca="1" si="141"/>
        <v>1</v>
      </c>
      <c r="AK257" s="29">
        <f t="shared" ca="1" si="141"/>
        <v>3</v>
      </c>
      <c r="AL257" s="29">
        <f t="shared" ca="1" si="141"/>
        <v>1</v>
      </c>
      <c r="AM257" s="29">
        <f t="shared" ca="1" si="141"/>
        <v>0</v>
      </c>
      <c r="AN257" s="29">
        <f t="shared" ca="1" si="141"/>
        <v>0</v>
      </c>
      <c r="AO257" s="29">
        <f t="shared" ca="1" si="141"/>
        <v>0</v>
      </c>
      <c r="AP257" s="29">
        <f t="shared" ca="1" si="141"/>
        <v>0</v>
      </c>
      <c r="AQ257" s="29">
        <f t="shared" ca="1" si="141"/>
        <v>1</v>
      </c>
      <c r="AR257" s="29">
        <f t="shared" ca="1" si="141"/>
        <v>1</v>
      </c>
      <c r="AS257" s="29">
        <f t="shared" ca="1" si="141"/>
        <v>0</v>
      </c>
      <c r="AT257" s="29">
        <f t="shared" ca="1" si="141"/>
        <v>1</v>
      </c>
      <c r="AU257" s="29">
        <f t="shared" ca="1" si="141"/>
        <v>1</v>
      </c>
      <c r="AV257" s="29">
        <f t="shared" ca="1" si="144"/>
        <v>2</v>
      </c>
      <c r="AW257" s="29">
        <f t="shared" ca="1" si="144"/>
        <v>2</v>
      </c>
      <c r="AX257" s="29">
        <f t="shared" ca="1" si="144"/>
        <v>1</v>
      </c>
      <c r="AY257" s="29">
        <f t="shared" ca="1" si="144"/>
        <v>1</v>
      </c>
      <c r="AZ257" s="29">
        <f t="shared" ca="1" si="144"/>
        <v>0</v>
      </c>
      <c r="BA257" s="29">
        <f t="shared" ca="1" si="144"/>
        <v>2</v>
      </c>
      <c r="BB257" s="29">
        <f t="shared" ca="1" si="144"/>
        <v>1</v>
      </c>
      <c r="BC257" s="29">
        <f t="shared" ca="1" si="144"/>
        <v>2</v>
      </c>
      <c r="BD257" s="29">
        <f t="shared" ca="1" si="144"/>
        <v>1</v>
      </c>
      <c r="BE257" s="29">
        <f t="shared" ca="1" si="144"/>
        <v>1</v>
      </c>
      <c r="BF257" s="29">
        <f t="shared" ca="1" si="144"/>
        <v>1</v>
      </c>
      <c r="BG257" s="29">
        <f t="shared" ca="1" si="144"/>
        <v>1</v>
      </c>
      <c r="BH257" s="29">
        <f t="shared" ca="1" si="144"/>
        <v>1</v>
      </c>
      <c r="BI257" s="29">
        <f t="shared" ca="1" si="144"/>
        <v>1</v>
      </c>
      <c r="BJ257" s="29">
        <f t="shared" ca="1" si="144"/>
        <v>1</v>
      </c>
      <c r="BK257" s="29">
        <f t="shared" ca="1" si="144"/>
        <v>1</v>
      </c>
      <c r="BL257" s="29">
        <f t="shared" ca="1" si="143"/>
        <v>0</v>
      </c>
      <c r="BM257" s="29">
        <f t="shared" ca="1" si="143"/>
        <v>1</v>
      </c>
      <c r="BN257" s="29">
        <f t="shared" ca="1" si="143"/>
        <v>2</v>
      </c>
      <c r="BO257" s="29">
        <f t="shared" ca="1" si="143"/>
        <v>1</v>
      </c>
      <c r="BP257" s="29">
        <f t="shared" ca="1" si="143"/>
        <v>0</v>
      </c>
      <c r="BQ257" s="29">
        <f t="shared" ca="1" si="143"/>
        <v>1</v>
      </c>
      <c r="BR257" s="29">
        <f t="shared" ca="1" si="143"/>
        <v>1</v>
      </c>
      <c r="BS257" s="29">
        <f t="shared" ca="1" si="143"/>
        <v>2</v>
      </c>
      <c r="BT257" s="29">
        <f t="shared" ca="1" si="143"/>
        <v>3</v>
      </c>
      <c r="BU257" s="29">
        <f t="shared" ca="1" si="143"/>
        <v>0</v>
      </c>
      <c r="BV257" s="29">
        <f t="shared" ca="1" si="143"/>
        <v>1</v>
      </c>
      <c r="BW257" s="29">
        <f t="shared" ca="1" si="143"/>
        <v>1</v>
      </c>
      <c r="BX257" s="29">
        <f t="shared" ca="1" si="143"/>
        <v>0</v>
      </c>
      <c r="BY257" s="29">
        <f t="shared" ca="1" si="143"/>
        <v>0</v>
      </c>
      <c r="BZ257" s="29">
        <f t="shared" ca="1" si="143"/>
        <v>2</v>
      </c>
      <c r="CA257" s="29">
        <f t="shared" ca="1" si="140"/>
        <v>1</v>
      </c>
      <c r="CB257" s="29">
        <f t="shared" ca="1" si="140"/>
        <v>1</v>
      </c>
      <c r="CC257" s="29">
        <f t="shared" ca="1" si="140"/>
        <v>2</v>
      </c>
      <c r="CD257" s="29">
        <f t="shared" ca="1" si="140"/>
        <v>1</v>
      </c>
      <c r="CE257" s="29">
        <f t="shared" ca="1" si="140"/>
        <v>1</v>
      </c>
      <c r="CF257" s="29">
        <f t="shared" ca="1" si="140"/>
        <v>0</v>
      </c>
      <c r="CG257" s="29">
        <f t="shared" ca="1" si="140"/>
        <v>1</v>
      </c>
      <c r="CH257" s="29">
        <f t="shared" ca="1" si="140"/>
        <v>1</v>
      </c>
      <c r="CI257" s="29">
        <f t="shared" ca="1" si="140"/>
        <v>1</v>
      </c>
      <c r="CJ257" s="29">
        <f t="shared" ca="1" si="140"/>
        <v>0</v>
      </c>
      <c r="CK257" s="29">
        <f t="shared" ca="1" si="140"/>
        <v>0</v>
      </c>
      <c r="CL257" s="29">
        <f t="shared" ca="1" si="140"/>
        <v>2</v>
      </c>
      <c r="CM257" s="29">
        <f t="shared" ca="1" si="140"/>
        <v>1</v>
      </c>
      <c r="CN257" s="29">
        <f t="shared" ca="1" si="140"/>
        <v>1</v>
      </c>
      <c r="CO257" s="29">
        <f t="shared" ca="1" si="140"/>
        <v>0</v>
      </c>
      <c r="CP257" s="29">
        <f t="shared" ca="1" si="140"/>
        <v>1</v>
      </c>
      <c r="CQ257" s="29">
        <f t="shared" ca="1" si="139"/>
        <v>2</v>
      </c>
      <c r="CR257" s="29">
        <f t="shared" ca="1" si="139"/>
        <v>1</v>
      </c>
      <c r="CS257" s="29">
        <f t="shared" ca="1" si="139"/>
        <v>0</v>
      </c>
      <c r="CT257" s="29">
        <f t="shared" ca="1" si="139"/>
        <v>0</v>
      </c>
      <c r="CU257" s="29">
        <f t="shared" ca="1" si="139"/>
        <v>2</v>
      </c>
      <c r="CV257" s="29">
        <f t="shared" ca="1" si="139"/>
        <v>2</v>
      </c>
      <c r="CW257" s="29">
        <f t="shared" ca="1" si="139"/>
        <v>2</v>
      </c>
      <c r="CX257" s="29">
        <f t="shared" ca="1" si="139"/>
        <v>3</v>
      </c>
      <c r="CY257" s="29">
        <f t="shared" ca="1" si="139"/>
        <v>0</v>
      </c>
      <c r="CZ257" s="29">
        <f t="shared" ca="1" si="139"/>
        <v>2</v>
      </c>
      <c r="DA257" s="29">
        <f t="shared" ca="1" si="139"/>
        <v>1</v>
      </c>
      <c r="DB257" s="29">
        <f t="shared" ca="1" si="139"/>
        <v>3</v>
      </c>
      <c r="DC257" s="29">
        <f t="shared" ca="1" si="139"/>
        <v>1</v>
      </c>
      <c r="DD257" s="29">
        <f t="shared" ca="1" si="139"/>
        <v>1</v>
      </c>
      <c r="DE257" s="29">
        <f t="shared" ca="1" si="139"/>
        <v>0</v>
      </c>
      <c r="DF257" s="29">
        <f t="shared" ca="1" si="134"/>
        <v>2</v>
      </c>
      <c r="DG257" s="29">
        <f t="shared" ca="1" si="134"/>
        <v>0</v>
      </c>
      <c r="DH257" s="29">
        <f t="shared" ca="1" si="134"/>
        <v>1</v>
      </c>
      <c r="DI257" s="29">
        <f t="shared" ca="1" si="134"/>
        <v>1</v>
      </c>
      <c r="DJ257" s="29">
        <f t="shared" ca="1" si="134"/>
        <v>1</v>
      </c>
      <c r="DK257" s="29">
        <f t="shared" ca="1" si="134"/>
        <v>1</v>
      </c>
      <c r="DL257" s="29">
        <f t="shared" ca="1" si="134"/>
        <v>2</v>
      </c>
    </row>
    <row r="258" spans="1:116" ht="14.4" x14ac:dyDescent="0.3">
      <c r="A258" s="31">
        <v>388</v>
      </c>
      <c r="B258" s="28">
        <v>9.16</v>
      </c>
      <c r="C258" s="30">
        <v>3.85</v>
      </c>
      <c r="D258" s="28">
        <v>2.85</v>
      </c>
      <c r="E258" s="34">
        <f t="shared" ref="E258:E321" si="145">D258/50</f>
        <v>5.7000000000000002E-2</v>
      </c>
      <c r="F258" s="35">
        <f t="shared" ref="F258:F321" si="146">0.25*C258</f>
        <v>0.96250000000000002</v>
      </c>
      <c r="G258" s="34">
        <f t="shared" ref="G258:G321" si="147">25*D258</f>
        <v>71.25</v>
      </c>
      <c r="H258" s="33">
        <f t="shared" ref="H258:H321" si="148">(G258-F258)/B258</f>
        <v>7.6733078602620077</v>
      </c>
      <c r="I258" s="28">
        <f t="shared" si="118"/>
        <v>871.42000000000064</v>
      </c>
      <c r="J258" s="32">
        <v>0</v>
      </c>
      <c r="K258" s="30">
        <f t="shared" ref="K258:K321" si="149">J258*F258+(1-J258)*G258</f>
        <v>71.25</v>
      </c>
      <c r="L258" s="30"/>
      <c r="M258" s="30"/>
      <c r="N258" s="30"/>
      <c r="O258" s="30"/>
      <c r="Q258" s="29">
        <f t="shared" ref="Q258:Q321" ca="1" si="150">_xlfn.BINOM.INV(50,$E258,RAND())</f>
        <v>0</v>
      </c>
      <c r="R258" s="29">
        <f t="shared" ca="1" si="142"/>
        <v>2</v>
      </c>
      <c r="S258" s="29">
        <f t="shared" ca="1" si="142"/>
        <v>1</v>
      </c>
      <c r="T258" s="29">
        <f t="shared" ca="1" si="142"/>
        <v>2</v>
      </c>
      <c r="U258" s="29">
        <f t="shared" ca="1" si="142"/>
        <v>5</v>
      </c>
      <c r="V258" s="29">
        <f t="shared" ca="1" si="142"/>
        <v>5</v>
      </c>
      <c r="W258" s="29">
        <f t="shared" ca="1" si="142"/>
        <v>3</v>
      </c>
      <c r="X258" s="29">
        <f t="shared" ca="1" si="142"/>
        <v>4</v>
      </c>
      <c r="Y258" s="29">
        <f t="shared" ca="1" si="142"/>
        <v>1</v>
      </c>
      <c r="Z258" s="29">
        <f t="shared" ca="1" si="142"/>
        <v>3</v>
      </c>
      <c r="AA258" s="29">
        <f t="shared" ca="1" si="142"/>
        <v>1</v>
      </c>
      <c r="AB258" s="29">
        <f t="shared" ca="1" si="142"/>
        <v>2</v>
      </c>
      <c r="AC258" s="29">
        <f t="shared" ca="1" si="142"/>
        <v>4</v>
      </c>
      <c r="AD258" s="29">
        <f t="shared" ca="1" si="142"/>
        <v>2</v>
      </c>
      <c r="AE258" s="29">
        <f t="shared" ca="1" si="142"/>
        <v>3</v>
      </c>
      <c r="AF258" s="29">
        <f t="shared" ca="1" si="142"/>
        <v>6</v>
      </c>
      <c r="AG258" s="29">
        <f t="shared" ca="1" si="141"/>
        <v>1</v>
      </c>
      <c r="AH258" s="29">
        <f t="shared" ca="1" si="141"/>
        <v>6</v>
      </c>
      <c r="AI258" s="29">
        <f t="shared" ca="1" si="141"/>
        <v>2</v>
      </c>
      <c r="AJ258" s="29">
        <f t="shared" ca="1" si="141"/>
        <v>4</v>
      </c>
      <c r="AK258" s="29">
        <f t="shared" ca="1" si="141"/>
        <v>3</v>
      </c>
      <c r="AL258" s="29">
        <f t="shared" ca="1" si="141"/>
        <v>3</v>
      </c>
      <c r="AM258" s="29">
        <f t="shared" ca="1" si="141"/>
        <v>7</v>
      </c>
      <c r="AN258" s="29">
        <f t="shared" ca="1" si="141"/>
        <v>1</v>
      </c>
      <c r="AO258" s="29">
        <f t="shared" ca="1" si="141"/>
        <v>4</v>
      </c>
      <c r="AP258" s="29">
        <f t="shared" ca="1" si="141"/>
        <v>1</v>
      </c>
      <c r="AQ258" s="29">
        <f t="shared" ca="1" si="141"/>
        <v>6</v>
      </c>
      <c r="AR258" s="29">
        <f t="shared" ca="1" si="141"/>
        <v>5</v>
      </c>
      <c r="AS258" s="29">
        <f t="shared" ca="1" si="141"/>
        <v>1</v>
      </c>
      <c r="AT258" s="29">
        <f t="shared" ca="1" si="141"/>
        <v>4</v>
      </c>
      <c r="AU258" s="29">
        <f t="shared" ca="1" si="141"/>
        <v>2</v>
      </c>
      <c r="AV258" s="29">
        <f t="shared" ca="1" si="144"/>
        <v>1</v>
      </c>
      <c r="AW258" s="29">
        <f t="shared" ca="1" si="144"/>
        <v>4</v>
      </c>
      <c r="AX258" s="29">
        <f t="shared" ca="1" si="144"/>
        <v>1</v>
      </c>
      <c r="AY258" s="29">
        <f t="shared" ca="1" si="144"/>
        <v>2</v>
      </c>
      <c r="AZ258" s="29">
        <f t="shared" ca="1" si="144"/>
        <v>2</v>
      </c>
      <c r="BA258" s="29">
        <f t="shared" ca="1" si="144"/>
        <v>6</v>
      </c>
      <c r="BB258" s="29">
        <f t="shared" ca="1" si="144"/>
        <v>1</v>
      </c>
      <c r="BC258" s="29">
        <f t="shared" ca="1" si="144"/>
        <v>2</v>
      </c>
      <c r="BD258" s="29">
        <f t="shared" ca="1" si="144"/>
        <v>1</v>
      </c>
      <c r="BE258" s="29">
        <f t="shared" ca="1" si="144"/>
        <v>0</v>
      </c>
      <c r="BF258" s="29">
        <f t="shared" ca="1" si="144"/>
        <v>2</v>
      </c>
      <c r="BG258" s="29">
        <f t="shared" ca="1" si="144"/>
        <v>1</v>
      </c>
      <c r="BH258" s="29">
        <f t="shared" ca="1" si="144"/>
        <v>7</v>
      </c>
      <c r="BI258" s="29">
        <f t="shared" ca="1" si="144"/>
        <v>4</v>
      </c>
      <c r="BJ258" s="29">
        <f t="shared" ca="1" si="144"/>
        <v>2</v>
      </c>
      <c r="BK258" s="29">
        <f t="shared" ca="1" si="144"/>
        <v>3</v>
      </c>
      <c r="BL258" s="29">
        <f t="shared" ca="1" si="143"/>
        <v>4</v>
      </c>
      <c r="BM258" s="29">
        <f t="shared" ca="1" si="143"/>
        <v>1</v>
      </c>
      <c r="BN258" s="29">
        <f t="shared" ca="1" si="143"/>
        <v>2</v>
      </c>
      <c r="BO258" s="29">
        <f t="shared" ca="1" si="143"/>
        <v>4</v>
      </c>
      <c r="BP258" s="29">
        <f t="shared" ca="1" si="143"/>
        <v>3</v>
      </c>
      <c r="BQ258" s="29">
        <f t="shared" ca="1" si="143"/>
        <v>0</v>
      </c>
      <c r="BR258" s="29">
        <f t="shared" ca="1" si="143"/>
        <v>2</v>
      </c>
      <c r="BS258" s="29">
        <f t="shared" ca="1" si="143"/>
        <v>3</v>
      </c>
      <c r="BT258" s="29">
        <f t="shared" ca="1" si="143"/>
        <v>7</v>
      </c>
      <c r="BU258" s="29">
        <f t="shared" ca="1" si="143"/>
        <v>6</v>
      </c>
      <c r="BV258" s="29">
        <f t="shared" ca="1" si="143"/>
        <v>7</v>
      </c>
      <c r="BW258" s="29">
        <f t="shared" ca="1" si="143"/>
        <v>4</v>
      </c>
      <c r="BX258" s="29">
        <f t="shared" ca="1" si="143"/>
        <v>2</v>
      </c>
      <c r="BY258" s="29">
        <f t="shared" ca="1" si="143"/>
        <v>2</v>
      </c>
      <c r="BZ258" s="29">
        <f t="shared" ca="1" si="143"/>
        <v>1</v>
      </c>
      <c r="CA258" s="29">
        <f t="shared" ca="1" si="140"/>
        <v>2</v>
      </c>
      <c r="CB258" s="29">
        <f t="shared" ca="1" si="140"/>
        <v>1</v>
      </c>
      <c r="CC258" s="29">
        <f t="shared" ca="1" si="140"/>
        <v>2</v>
      </c>
      <c r="CD258" s="29">
        <f t="shared" ca="1" si="140"/>
        <v>5</v>
      </c>
      <c r="CE258" s="29">
        <f t="shared" ca="1" si="140"/>
        <v>1</v>
      </c>
      <c r="CF258" s="29">
        <f t="shared" ca="1" si="140"/>
        <v>1</v>
      </c>
      <c r="CG258" s="29">
        <f t="shared" ca="1" si="140"/>
        <v>2</v>
      </c>
      <c r="CH258" s="29">
        <f t="shared" ca="1" si="140"/>
        <v>2</v>
      </c>
      <c r="CI258" s="29">
        <f t="shared" ca="1" si="140"/>
        <v>4</v>
      </c>
      <c r="CJ258" s="29">
        <f t="shared" ca="1" si="140"/>
        <v>3</v>
      </c>
      <c r="CK258" s="29">
        <f t="shared" ca="1" si="140"/>
        <v>1</v>
      </c>
      <c r="CL258" s="29">
        <f t="shared" ca="1" si="140"/>
        <v>0</v>
      </c>
      <c r="CM258" s="29">
        <f t="shared" ca="1" si="140"/>
        <v>2</v>
      </c>
      <c r="CN258" s="29">
        <f t="shared" ca="1" si="140"/>
        <v>4</v>
      </c>
      <c r="CO258" s="29">
        <f t="shared" ca="1" si="140"/>
        <v>2</v>
      </c>
      <c r="CP258" s="29">
        <f t="shared" ca="1" si="140"/>
        <v>2</v>
      </c>
      <c r="CQ258" s="29">
        <f t="shared" ca="1" si="139"/>
        <v>6</v>
      </c>
      <c r="CR258" s="29">
        <f t="shared" ca="1" si="139"/>
        <v>3</v>
      </c>
      <c r="CS258" s="29">
        <f t="shared" ca="1" si="139"/>
        <v>2</v>
      </c>
      <c r="CT258" s="29">
        <f t="shared" ca="1" si="139"/>
        <v>8</v>
      </c>
      <c r="CU258" s="29">
        <f t="shared" ca="1" si="139"/>
        <v>3</v>
      </c>
      <c r="CV258" s="29">
        <f t="shared" ca="1" si="139"/>
        <v>2</v>
      </c>
      <c r="CW258" s="29">
        <f t="shared" ca="1" si="139"/>
        <v>5</v>
      </c>
      <c r="CX258" s="29">
        <f t="shared" ca="1" si="139"/>
        <v>2</v>
      </c>
      <c r="CY258" s="29">
        <f t="shared" ca="1" si="139"/>
        <v>1</v>
      </c>
      <c r="CZ258" s="29">
        <f t="shared" ca="1" si="139"/>
        <v>6</v>
      </c>
      <c r="DA258" s="29">
        <f t="shared" ca="1" si="139"/>
        <v>7</v>
      </c>
      <c r="DB258" s="29">
        <f t="shared" ca="1" si="139"/>
        <v>7</v>
      </c>
      <c r="DC258" s="29">
        <f t="shared" ca="1" si="139"/>
        <v>4</v>
      </c>
      <c r="DD258" s="29">
        <f t="shared" ca="1" si="139"/>
        <v>6</v>
      </c>
      <c r="DE258" s="29">
        <f t="shared" ca="1" si="139"/>
        <v>1</v>
      </c>
      <c r="DF258" s="29">
        <f t="shared" ca="1" si="134"/>
        <v>3</v>
      </c>
      <c r="DG258" s="29">
        <f t="shared" ca="1" si="134"/>
        <v>2</v>
      </c>
      <c r="DH258" s="29">
        <f t="shared" ca="1" si="134"/>
        <v>6</v>
      </c>
      <c r="DI258" s="29">
        <f t="shared" ca="1" si="134"/>
        <v>0</v>
      </c>
      <c r="DJ258" s="29">
        <f t="shared" ca="1" si="134"/>
        <v>0</v>
      </c>
      <c r="DK258" s="29">
        <f t="shared" ca="1" si="134"/>
        <v>2</v>
      </c>
      <c r="DL258" s="29">
        <f t="shared" ca="1" si="134"/>
        <v>4</v>
      </c>
    </row>
    <row r="259" spans="1:116" ht="14.4" x14ac:dyDescent="0.3">
      <c r="A259" s="31">
        <v>219</v>
      </c>
      <c r="B259" s="28">
        <v>4.97</v>
      </c>
      <c r="C259" s="30">
        <v>3.83</v>
      </c>
      <c r="D259" s="28">
        <v>1.56</v>
      </c>
      <c r="E259" s="34">
        <f t="shared" si="145"/>
        <v>3.1200000000000002E-2</v>
      </c>
      <c r="F259" s="35">
        <f t="shared" si="146"/>
        <v>0.95750000000000002</v>
      </c>
      <c r="G259" s="34">
        <f t="shared" si="147"/>
        <v>39</v>
      </c>
      <c r="H259" s="33">
        <f t="shared" si="148"/>
        <v>7.6544265593561365</v>
      </c>
      <c r="I259" s="28">
        <f t="shared" si="118"/>
        <v>876.39000000000067</v>
      </c>
      <c r="J259" s="32">
        <v>0</v>
      </c>
      <c r="K259" s="30">
        <f t="shared" si="149"/>
        <v>39</v>
      </c>
      <c r="L259" s="30"/>
      <c r="M259" s="30"/>
      <c r="N259" s="30"/>
      <c r="O259" s="30"/>
      <c r="Q259" s="29">
        <f t="shared" ca="1" si="150"/>
        <v>2</v>
      </c>
      <c r="R259" s="29">
        <f t="shared" ca="1" si="142"/>
        <v>1</v>
      </c>
      <c r="S259" s="29">
        <f t="shared" ca="1" si="142"/>
        <v>3</v>
      </c>
      <c r="T259" s="29">
        <f t="shared" ca="1" si="142"/>
        <v>0</v>
      </c>
      <c r="U259" s="29">
        <f t="shared" ca="1" si="142"/>
        <v>1</v>
      </c>
      <c r="V259" s="29">
        <f t="shared" ca="1" si="142"/>
        <v>4</v>
      </c>
      <c r="W259" s="29">
        <f t="shared" ca="1" si="142"/>
        <v>1</v>
      </c>
      <c r="X259" s="29">
        <f t="shared" ca="1" si="142"/>
        <v>1</v>
      </c>
      <c r="Y259" s="29">
        <f t="shared" ca="1" si="142"/>
        <v>0</v>
      </c>
      <c r="Z259" s="29">
        <f t="shared" ca="1" si="142"/>
        <v>0</v>
      </c>
      <c r="AA259" s="29">
        <f t="shared" ca="1" si="142"/>
        <v>1</v>
      </c>
      <c r="AB259" s="29">
        <f t="shared" ca="1" si="142"/>
        <v>3</v>
      </c>
      <c r="AC259" s="29">
        <f t="shared" ca="1" si="142"/>
        <v>3</v>
      </c>
      <c r="AD259" s="29">
        <f t="shared" ca="1" si="142"/>
        <v>1</v>
      </c>
      <c r="AE259" s="29">
        <f t="shared" ca="1" si="142"/>
        <v>3</v>
      </c>
      <c r="AF259" s="29">
        <f t="shared" ca="1" si="142"/>
        <v>0</v>
      </c>
      <c r="AG259" s="29">
        <f t="shared" ca="1" si="141"/>
        <v>1</v>
      </c>
      <c r="AH259" s="29">
        <f t="shared" ca="1" si="141"/>
        <v>1</v>
      </c>
      <c r="AI259" s="29">
        <f t="shared" ca="1" si="141"/>
        <v>1</v>
      </c>
      <c r="AJ259" s="29">
        <f t="shared" ca="1" si="141"/>
        <v>1</v>
      </c>
      <c r="AK259" s="29">
        <f t="shared" ca="1" si="141"/>
        <v>1</v>
      </c>
      <c r="AL259" s="29">
        <f t="shared" ca="1" si="141"/>
        <v>2</v>
      </c>
      <c r="AM259" s="29">
        <f t="shared" ca="1" si="141"/>
        <v>4</v>
      </c>
      <c r="AN259" s="29">
        <f t="shared" ca="1" si="141"/>
        <v>1</v>
      </c>
      <c r="AO259" s="29">
        <f t="shared" ca="1" si="141"/>
        <v>4</v>
      </c>
      <c r="AP259" s="29">
        <f t="shared" ca="1" si="141"/>
        <v>1</v>
      </c>
      <c r="AQ259" s="29">
        <f t="shared" ca="1" si="141"/>
        <v>3</v>
      </c>
      <c r="AR259" s="29">
        <f t="shared" ca="1" si="141"/>
        <v>3</v>
      </c>
      <c r="AS259" s="29">
        <f t="shared" ca="1" si="141"/>
        <v>3</v>
      </c>
      <c r="AT259" s="29">
        <f t="shared" ca="1" si="141"/>
        <v>6</v>
      </c>
      <c r="AU259" s="29">
        <f t="shared" ca="1" si="141"/>
        <v>2</v>
      </c>
      <c r="AV259" s="29">
        <f t="shared" ca="1" si="144"/>
        <v>0</v>
      </c>
      <c r="AW259" s="29">
        <f t="shared" ca="1" si="144"/>
        <v>1</v>
      </c>
      <c r="AX259" s="29">
        <f t="shared" ca="1" si="144"/>
        <v>3</v>
      </c>
      <c r="AY259" s="29">
        <f t="shared" ca="1" si="144"/>
        <v>1</v>
      </c>
      <c r="AZ259" s="29">
        <f t="shared" ca="1" si="144"/>
        <v>0</v>
      </c>
      <c r="BA259" s="29">
        <f t="shared" ca="1" si="144"/>
        <v>0</v>
      </c>
      <c r="BB259" s="29">
        <f t="shared" ca="1" si="144"/>
        <v>1</v>
      </c>
      <c r="BC259" s="29">
        <f t="shared" ca="1" si="144"/>
        <v>3</v>
      </c>
      <c r="BD259" s="29">
        <f t="shared" ca="1" si="144"/>
        <v>1</v>
      </c>
      <c r="BE259" s="29">
        <f t="shared" ca="1" si="144"/>
        <v>0</v>
      </c>
      <c r="BF259" s="29">
        <f t="shared" ca="1" si="144"/>
        <v>2</v>
      </c>
      <c r="BG259" s="29">
        <f t="shared" ca="1" si="144"/>
        <v>1</v>
      </c>
      <c r="BH259" s="29">
        <f t="shared" ca="1" si="144"/>
        <v>1</v>
      </c>
      <c r="BI259" s="29">
        <f t="shared" ca="1" si="144"/>
        <v>1</v>
      </c>
      <c r="BJ259" s="29">
        <f t="shared" ca="1" si="144"/>
        <v>3</v>
      </c>
      <c r="BK259" s="29">
        <f t="shared" ca="1" si="144"/>
        <v>3</v>
      </c>
      <c r="BL259" s="29">
        <f t="shared" ca="1" si="143"/>
        <v>2</v>
      </c>
      <c r="BM259" s="29">
        <f t="shared" ca="1" si="143"/>
        <v>1</v>
      </c>
      <c r="BN259" s="29">
        <f t="shared" ca="1" si="143"/>
        <v>6</v>
      </c>
      <c r="BO259" s="29">
        <f t="shared" ca="1" si="143"/>
        <v>3</v>
      </c>
      <c r="BP259" s="29">
        <f t="shared" ca="1" si="143"/>
        <v>1</v>
      </c>
      <c r="BQ259" s="29">
        <f t="shared" ca="1" si="143"/>
        <v>3</v>
      </c>
      <c r="BR259" s="29">
        <f t="shared" ca="1" si="143"/>
        <v>4</v>
      </c>
      <c r="BS259" s="29">
        <f t="shared" ca="1" si="143"/>
        <v>1</v>
      </c>
      <c r="BT259" s="29">
        <f t="shared" ca="1" si="143"/>
        <v>3</v>
      </c>
      <c r="BU259" s="29">
        <f t="shared" ca="1" si="143"/>
        <v>2</v>
      </c>
      <c r="BV259" s="29">
        <f t="shared" ca="1" si="143"/>
        <v>1</v>
      </c>
      <c r="BW259" s="29">
        <f t="shared" ca="1" si="143"/>
        <v>1</v>
      </c>
      <c r="BX259" s="29">
        <f t="shared" ca="1" si="143"/>
        <v>1</v>
      </c>
      <c r="BY259" s="29">
        <f t="shared" ca="1" si="143"/>
        <v>1</v>
      </c>
      <c r="BZ259" s="29">
        <f t="shared" ca="1" si="143"/>
        <v>1</v>
      </c>
      <c r="CA259" s="29">
        <f t="shared" ca="1" si="140"/>
        <v>0</v>
      </c>
      <c r="CB259" s="29">
        <f t="shared" ca="1" si="140"/>
        <v>4</v>
      </c>
      <c r="CC259" s="29">
        <f t="shared" ca="1" si="140"/>
        <v>1</v>
      </c>
      <c r="CD259" s="29">
        <f t="shared" ca="1" si="140"/>
        <v>1</v>
      </c>
      <c r="CE259" s="29">
        <f t="shared" ca="1" si="140"/>
        <v>4</v>
      </c>
      <c r="CF259" s="29">
        <f t="shared" ca="1" si="140"/>
        <v>1</v>
      </c>
      <c r="CG259" s="29">
        <f t="shared" ca="1" si="140"/>
        <v>0</v>
      </c>
      <c r="CH259" s="29">
        <f t="shared" ca="1" si="140"/>
        <v>0</v>
      </c>
      <c r="CI259" s="29">
        <f t="shared" ca="1" si="140"/>
        <v>0</v>
      </c>
      <c r="CJ259" s="29">
        <f t="shared" ca="1" si="140"/>
        <v>3</v>
      </c>
      <c r="CK259" s="29">
        <f t="shared" ca="1" si="140"/>
        <v>2</v>
      </c>
      <c r="CL259" s="29">
        <f t="shared" ca="1" si="140"/>
        <v>1</v>
      </c>
      <c r="CM259" s="29">
        <f t="shared" ca="1" si="140"/>
        <v>2</v>
      </c>
      <c r="CN259" s="29">
        <f t="shared" ca="1" si="140"/>
        <v>5</v>
      </c>
      <c r="CO259" s="29">
        <f t="shared" ca="1" si="140"/>
        <v>1</v>
      </c>
      <c r="CP259" s="29">
        <f t="shared" ca="1" si="140"/>
        <v>4</v>
      </c>
      <c r="CQ259" s="29">
        <f t="shared" ca="1" si="139"/>
        <v>1</v>
      </c>
      <c r="CR259" s="29">
        <f t="shared" ca="1" si="139"/>
        <v>1</v>
      </c>
      <c r="CS259" s="29">
        <f t="shared" ca="1" si="139"/>
        <v>2</v>
      </c>
      <c r="CT259" s="29">
        <f t="shared" ca="1" si="139"/>
        <v>4</v>
      </c>
      <c r="CU259" s="29">
        <f t="shared" ca="1" si="139"/>
        <v>0</v>
      </c>
      <c r="CV259" s="29">
        <f t="shared" ca="1" si="139"/>
        <v>1</v>
      </c>
      <c r="CW259" s="29">
        <f t="shared" ca="1" si="139"/>
        <v>0</v>
      </c>
      <c r="CX259" s="29">
        <f t="shared" ca="1" si="139"/>
        <v>0</v>
      </c>
      <c r="CY259" s="29">
        <f t="shared" ca="1" si="139"/>
        <v>2</v>
      </c>
      <c r="CZ259" s="29">
        <f t="shared" ca="1" si="139"/>
        <v>2</v>
      </c>
      <c r="DA259" s="29">
        <f t="shared" ca="1" si="139"/>
        <v>0</v>
      </c>
      <c r="DB259" s="29">
        <f t="shared" ca="1" si="139"/>
        <v>2</v>
      </c>
      <c r="DC259" s="29">
        <f t="shared" ca="1" si="139"/>
        <v>3</v>
      </c>
      <c r="DD259" s="29">
        <f t="shared" ca="1" si="139"/>
        <v>1</v>
      </c>
      <c r="DE259" s="29">
        <f t="shared" ca="1" si="139"/>
        <v>0</v>
      </c>
      <c r="DF259" s="29">
        <f t="shared" ca="1" si="134"/>
        <v>4</v>
      </c>
      <c r="DG259" s="29">
        <f t="shared" ca="1" si="134"/>
        <v>1</v>
      </c>
      <c r="DH259" s="29">
        <f t="shared" ca="1" si="134"/>
        <v>1</v>
      </c>
      <c r="DI259" s="29">
        <f t="shared" ca="1" si="134"/>
        <v>1</v>
      </c>
      <c r="DJ259" s="29">
        <f t="shared" ca="1" si="134"/>
        <v>2</v>
      </c>
      <c r="DK259" s="29">
        <f t="shared" ca="1" si="134"/>
        <v>2</v>
      </c>
      <c r="DL259" s="29">
        <f t="shared" ca="1" si="134"/>
        <v>2</v>
      </c>
    </row>
    <row r="260" spans="1:116" ht="14.4" x14ac:dyDescent="0.3">
      <c r="A260" s="31">
        <v>948</v>
      </c>
      <c r="B260" s="28">
        <v>5.46</v>
      </c>
      <c r="C260" s="30">
        <v>72.34</v>
      </c>
      <c r="D260" s="28">
        <v>2.38</v>
      </c>
      <c r="E260" s="34">
        <f t="shared" si="145"/>
        <v>4.7599999999999996E-2</v>
      </c>
      <c r="F260" s="35">
        <f t="shared" si="146"/>
        <v>18.085000000000001</v>
      </c>
      <c r="G260" s="34">
        <f t="shared" si="147"/>
        <v>59.5</v>
      </c>
      <c r="H260" s="33">
        <f t="shared" si="148"/>
        <v>7.5851648351648349</v>
      </c>
      <c r="I260" s="28">
        <f t="shared" ref="I260:I323" si="151">B260+I259</f>
        <v>881.8500000000007</v>
      </c>
      <c r="J260" s="32">
        <v>0</v>
      </c>
      <c r="K260" s="30">
        <f t="shared" si="149"/>
        <v>59.5</v>
      </c>
      <c r="L260" s="30"/>
      <c r="M260" s="30"/>
      <c r="N260" s="30"/>
      <c r="O260" s="30"/>
      <c r="Q260" s="29">
        <f t="shared" ca="1" si="150"/>
        <v>2</v>
      </c>
      <c r="R260" s="29">
        <f t="shared" ca="1" si="142"/>
        <v>0</v>
      </c>
      <c r="S260" s="29">
        <f t="shared" ca="1" si="142"/>
        <v>3</v>
      </c>
      <c r="T260" s="29">
        <f t="shared" ca="1" si="142"/>
        <v>0</v>
      </c>
      <c r="U260" s="29">
        <f t="shared" ca="1" si="142"/>
        <v>1</v>
      </c>
      <c r="V260" s="29">
        <f t="shared" ca="1" si="142"/>
        <v>1</v>
      </c>
      <c r="W260" s="29">
        <f t="shared" ca="1" si="142"/>
        <v>0</v>
      </c>
      <c r="X260" s="29">
        <f t="shared" ca="1" si="142"/>
        <v>0</v>
      </c>
      <c r="Y260" s="29">
        <f t="shared" ca="1" si="142"/>
        <v>5</v>
      </c>
      <c r="Z260" s="29">
        <f t="shared" ca="1" si="142"/>
        <v>2</v>
      </c>
      <c r="AA260" s="29">
        <f t="shared" ca="1" si="142"/>
        <v>3</v>
      </c>
      <c r="AB260" s="29">
        <f t="shared" ca="1" si="142"/>
        <v>3</v>
      </c>
      <c r="AC260" s="29">
        <f t="shared" ca="1" si="142"/>
        <v>0</v>
      </c>
      <c r="AD260" s="29">
        <f t="shared" ca="1" si="142"/>
        <v>3</v>
      </c>
      <c r="AE260" s="29">
        <f t="shared" ca="1" si="142"/>
        <v>2</v>
      </c>
      <c r="AF260" s="29">
        <f t="shared" ca="1" si="142"/>
        <v>3</v>
      </c>
      <c r="AG260" s="29">
        <f t="shared" ca="1" si="141"/>
        <v>6</v>
      </c>
      <c r="AH260" s="29">
        <f t="shared" ca="1" si="141"/>
        <v>0</v>
      </c>
      <c r="AI260" s="29">
        <f t="shared" ca="1" si="141"/>
        <v>1</v>
      </c>
      <c r="AJ260" s="29">
        <f t="shared" ca="1" si="141"/>
        <v>5</v>
      </c>
      <c r="AK260" s="29">
        <f t="shared" ca="1" si="141"/>
        <v>1</v>
      </c>
      <c r="AL260" s="29">
        <f t="shared" ca="1" si="141"/>
        <v>8</v>
      </c>
      <c r="AM260" s="29">
        <f t="shared" ca="1" si="141"/>
        <v>0</v>
      </c>
      <c r="AN260" s="29">
        <f t="shared" ca="1" si="141"/>
        <v>1</v>
      </c>
      <c r="AO260" s="29">
        <f t="shared" ca="1" si="141"/>
        <v>0</v>
      </c>
      <c r="AP260" s="29">
        <f t="shared" ca="1" si="141"/>
        <v>4</v>
      </c>
      <c r="AQ260" s="29">
        <f t="shared" ca="1" si="141"/>
        <v>2</v>
      </c>
      <c r="AR260" s="29">
        <f t="shared" ca="1" si="141"/>
        <v>1</v>
      </c>
      <c r="AS260" s="29">
        <f t="shared" ca="1" si="141"/>
        <v>5</v>
      </c>
      <c r="AT260" s="29">
        <f t="shared" ca="1" si="141"/>
        <v>0</v>
      </c>
      <c r="AU260" s="29">
        <f t="shared" ca="1" si="141"/>
        <v>2</v>
      </c>
      <c r="AV260" s="29">
        <f t="shared" ca="1" si="144"/>
        <v>0</v>
      </c>
      <c r="AW260" s="29">
        <f t="shared" ca="1" si="144"/>
        <v>2</v>
      </c>
      <c r="AX260" s="29">
        <f t="shared" ca="1" si="144"/>
        <v>1</v>
      </c>
      <c r="AY260" s="29">
        <f t="shared" ca="1" si="144"/>
        <v>2</v>
      </c>
      <c r="AZ260" s="29">
        <f t="shared" ca="1" si="144"/>
        <v>5</v>
      </c>
      <c r="BA260" s="29">
        <f t="shared" ca="1" si="144"/>
        <v>5</v>
      </c>
      <c r="BB260" s="29">
        <f t="shared" ca="1" si="144"/>
        <v>3</v>
      </c>
      <c r="BC260" s="29">
        <f t="shared" ca="1" si="144"/>
        <v>2</v>
      </c>
      <c r="BD260" s="29">
        <f t="shared" ca="1" si="144"/>
        <v>2</v>
      </c>
      <c r="BE260" s="29">
        <f t="shared" ca="1" si="144"/>
        <v>1</v>
      </c>
      <c r="BF260" s="29">
        <f t="shared" ca="1" si="144"/>
        <v>2</v>
      </c>
      <c r="BG260" s="29">
        <f t="shared" ca="1" si="144"/>
        <v>3</v>
      </c>
      <c r="BH260" s="29">
        <f t="shared" ca="1" si="144"/>
        <v>2</v>
      </c>
      <c r="BI260" s="29">
        <f t="shared" ca="1" si="144"/>
        <v>3</v>
      </c>
      <c r="BJ260" s="29">
        <f t="shared" ca="1" si="144"/>
        <v>1</v>
      </c>
      <c r="BK260" s="29">
        <f t="shared" ca="1" si="144"/>
        <v>3</v>
      </c>
      <c r="BL260" s="29">
        <f t="shared" ca="1" si="143"/>
        <v>1</v>
      </c>
      <c r="BM260" s="29">
        <f t="shared" ca="1" si="143"/>
        <v>1</v>
      </c>
      <c r="BN260" s="29">
        <f t="shared" ca="1" si="143"/>
        <v>3</v>
      </c>
      <c r="BO260" s="29">
        <f t="shared" ca="1" si="143"/>
        <v>0</v>
      </c>
      <c r="BP260" s="29">
        <f t="shared" ca="1" si="143"/>
        <v>1</v>
      </c>
      <c r="BQ260" s="29">
        <f t="shared" ca="1" si="143"/>
        <v>2</v>
      </c>
      <c r="BR260" s="29">
        <f t="shared" ca="1" si="143"/>
        <v>2</v>
      </c>
      <c r="BS260" s="29">
        <f t="shared" ca="1" si="143"/>
        <v>3</v>
      </c>
      <c r="BT260" s="29">
        <f t="shared" ca="1" si="143"/>
        <v>1</v>
      </c>
      <c r="BU260" s="29">
        <f t="shared" ca="1" si="143"/>
        <v>5</v>
      </c>
      <c r="BV260" s="29">
        <f t="shared" ca="1" si="143"/>
        <v>3</v>
      </c>
      <c r="BW260" s="29">
        <f t="shared" ca="1" si="143"/>
        <v>3</v>
      </c>
      <c r="BX260" s="29">
        <f t="shared" ca="1" si="143"/>
        <v>2</v>
      </c>
      <c r="BY260" s="29">
        <f t="shared" ca="1" si="143"/>
        <v>2</v>
      </c>
      <c r="BZ260" s="29">
        <f t="shared" ca="1" si="143"/>
        <v>2</v>
      </c>
      <c r="CA260" s="29">
        <f t="shared" ca="1" si="140"/>
        <v>0</v>
      </c>
      <c r="CB260" s="29">
        <f t="shared" ca="1" si="140"/>
        <v>2</v>
      </c>
      <c r="CC260" s="29">
        <f t="shared" ca="1" si="140"/>
        <v>1</v>
      </c>
      <c r="CD260" s="29">
        <f t="shared" ca="1" si="140"/>
        <v>4</v>
      </c>
      <c r="CE260" s="29">
        <f t="shared" ca="1" si="140"/>
        <v>4</v>
      </c>
      <c r="CF260" s="29">
        <f t="shared" ca="1" si="140"/>
        <v>2</v>
      </c>
      <c r="CG260" s="29">
        <f t="shared" ca="1" si="140"/>
        <v>2</v>
      </c>
      <c r="CH260" s="29">
        <f t="shared" ca="1" si="140"/>
        <v>4</v>
      </c>
      <c r="CI260" s="29">
        <f t="shared" ca="1" si="140"/>
        <v>1</v>
      </c>
      <c r="CJ260" s="29">
        <f t="shared" ca="1" si="140"/>
        <v>1</v>
      </c>
      <c r="CK260" s="29">
        <f t="shared" ca="1" si="140"/>
        <v>1</v>
      </c>
      <c r="CL260" s="29">
        <f t="shared" ca="1" si="140"/>
        <v>0</v>
      </c>
      <c r="CM260" s="29">
        <f t="shared" ca="1" si="140"/>
        <v>3</v>
      </c>
      <c r="CN260" s="29">
        <f t="shared" ca="1" si="140"/>
        <v>1</v>
      </c>
      <c r="CO260" s="29">
        <f t="shared" ca="1" si="140"/>
        <v>1</v>
      </c>
      <c r="CP260" s="29">
        <f t="shared" ref="CP260:DE275" ca="1" si="152">_xlfn.BINOM.INV(50,$E260,RAND())</f>
        <v>2</v>
      </c>
      <c r="CQ260" s="29">
        <f t="shared" ca="1" si="152"/>
        <v>1</v>
      </c>
      <c r="CR260" s="29">
        <f t="shared" ca="1" si="152"/>
        <v>6</v>
      </c>
      <c r="CS260" s="29">
        <f t="shared" ca="1" si="152"/>
        <v>6</v>
      </c>
      <c r="CT260" s="29">
        <f t="shared" ca="1" si="152"/>
        <v>1</v>
      </c>
      <c r="CU260" s="29">
        <f t="shared" ca="1" si="152"/>
        <v>0</v>
      </c>
      <c r="CV260" s="29">
        <f t="shared" ca="1" si="152"/>
        <v>1</v>
      </c>
      <c r="CW260" s="29">
        <f t="shared" ca="1" si="152"/>
        <v>3</v>
      </c>
      <c r="CX260" s="29">
        <f t="shared" ca="1" si="152"/>
        <v>5</v>
      </c>
      <c r="CY260" s="29">
        <f t="shared" ca="1" si="152"/>
        <v>3</v>
      </c>
      <c r="CZ260" s="29">
        <f t="shared" ca="1" si="152"/>
        <v>1</v>
      </c>
      <c r="DA260" s="29">
        <f t="shared" ca="1" si="152"/>
        <v>3</v>
      </c>
      <c r="DB260" s="29">
        <f t="shared" ca="1" si="152"/>
        <v>1</v>
      </c>
      <c r="DC260" s="29">
        <f t="shared" ca="1" si="152"/>
        <v>5</v>
      </c>
      <c r="DD260" s="29">
        <f t="shared" ca="1" si="152"/>
        <v>4</v>
      </c>
      <c r="DE260" s="29">
        <f t="shared" ca="1" si="152"/>
        <v>2</v>
      </c>
      <c r="DF260" s="29">
        <f t="shared" ca="1" si="134"/>
        <v>4</v>
      </c>
      <c r="DG260" s="29">
        <f t="shared" ca="1" si="134"/>
        <v>0</v>
      </c>
      <c r="DH260" s="29">
        <f t="shared" ca="1" si="134"/>
        <v>4</v>
      </c>
      <c r="DI260" s="29">
        <f t="shared" ca="1" si="134"/>
        <v>1</v>
      </c>
      <c r="DJ260" s="29">
        <f t="shared" ca="1" si="134"/>
        <v>4</v>
      </c>
      <c r="DK260" s="29">
        <f t="shared" ca="1" si="134"/>
        <v>4</v>
      </c>
      <c r="DL260" s="29">
        <f t="shared" ca="1" si="134"/>
        <v>1</v>
      </c>
    </row>
    <row r="261" spans="1:116" ht="14.4" x14ac:dyDescent="0.3">
      <c r="A261" s="31">
        <v>1054</v>
      </c>
      <c r="B261" s="28">
        <v>8.39</v>
      </c>
      <c r="C261" s="30">
        <v>43.77</v>
      </c>
      <c r="D261" s="28">
        <v>2.98</v>
      </c>
      <c r="E261" s="34">
        <f t="shared" si="145"/>
        <v>5.96E-2</v>
      </c>
      <c r="F261" s="35">
        <f t="shared" si="146"/>
        <v>10.942500000000001</v>
      </c>
      <c r="G261" s="34">
        <f t="shared" si="147"/>
        <v>74.5</v>
      </c>
      <c r="H261" s="33">
        <f t="shared" si="148"/>
        <v>7.5753873659117987</v>
      </c>
      <c r="I261" s="28">
        <f t="shared" si="151"/>
        <v>890.24000000000069</v>
      </c>
      <c r="J261" s="32">
        <v>0</v>
      </c>
      <c r="K261" s="30">
        <f t="shared" si="149"/>
        <v>74.5</v>
      </c>
      <c r="L261" s="30"/>
      <c r="M261" s="30"/>
      <c r="N261" s="30"/>
      <c r="O261" s="30"/>
      <c r="Q261" s="29">
        <f t="shared" ca="1" si="150"/>
        <v>1</v>
      </c>
      <c r="R261" s="29">
        <f t="shared" ca="1" si="142"/>
        <v>3</v>
      </c>
      <c r="S261" s="29">
        <f t="shared" ca="1" si="142"/>
        <v>1</v>
      </c>
      <c r="T261" s="29">
        <f t="shared" ca="1" si="142"/>
        <v>2</v>
      </c>
      <c r="U261" s="29">
        <f t="shared" ca="1" si="142"/>
        <v>5</v>
      </c>
      <c r="V261" s="29">
        <f t="shared" ca="1" si="142"/>
        <v>3</v>
      </c>
      <c r="W261" s="29">
        <f t="shared" ca="1" si="142"/>
        <v>5</v>
      </c>
      <c r="X261" s="29">
        <f t="shared" ca="1" si="142"/>
        <v>4</v>
      </c>
      <c r="Y261" s="29">
        <f t="shared" ca="1" si="142"/>
        <v>1</v>
      </c>
      <c r="Z261" s="29">
        <f t="shared" ca="1" si="142"/>
        <v>5</v>
      </c>
      <c r="AA261" s="29">
        <f t="shared" ca="1" si="142"/>
        <v>2</v>
      </c>
      <c r="AB261" s="29">
        <f t="shared" ca="1" si="142"/>
        <v>4</v>
      </c>
      <c r="AC261" s="29">
        <f t="shared" ca="1" si="142"/>
        <v>4</v>
      </c>
      <c r="AD261" s="29">
        <f t="shared" ca="1" si="142"/>
        <v>3</v>
      </c>
      <c r="AE261" s="29">
        <f t="shared" ca="1" si="142"/>
        <v>2</v>
      </c>
      <c r="AF261" s="29">
        <f t="shared" ca="1" si="142"/>
        <v>2</v>
      </c>
      <c r="AG261" s="29">
        <f t="shared" ca="1" si="141"/>
        <v>3</v>
      </c>
      <c r="AH261" s="29">
        <f t="shared" ca="1" si="141"/>
        <v>3</v>
      </c>
      <c r="AI261" s="29">
        <f t="shared" ca="1" si="141"/>
        <v>2</v>
      </c>
      <c r="AJ261" s="29">
        <f t="shared" ca="1" si="141"/>
        <v>5</v>
      </c>
      <c r="AK261" s="29">
        <f t="shared" ca="1" si="141"/>
        <v>3</v>
      </c>
      <c r="AL261" s="29">
        <f t="shared" ca="1" si="141"/>
        <v>0</v>
      </c>
      <c r="AM261" s="29">
        <f t="shared" ca="1" si="141"/>
        <v>3</v>
      </c>
      <c r="AN261" s="29">
        <f t="shared" ca="1" si="141"/>
        <v>2</v>
      </c>
      <c r="AO261" s="29">
        <f t="shared" ca="1" si="141"/>
        <v>7</v>
      </c>
      <c r="AP261" s="29">
        <f t="shared" ca="1" si="141"/>
        <v>2</v>
      </c>
      <c r="AQ261" s="29">
        <f t="shared" ca="1" si="141"/>
        <v>4</v>
      </c>
      <c r="AR261" s="29">
        <f t="shared" ca="1" si="141"/>
        <v>3</v>
      </c>
      <c r="AS261" s="29">
        <f t="shared" ca="1" si="141"/>
        <v>6</v>
      </c>
      <c r="AT261" s="29">
        <f t="shared" ca="1" si="141"/>
        <v>1</v>
      </c>
      <c r="AU261" s="29">
        <f t="shared" ca="1" si="141"/>
        <v>5</v>
      </c>
      <c r="AV261" s="29">
        <f t="shared" ca="1" si="144"/>
        <v>4</v>
      </c>
      <c r="AW261" s="29">
        <f t="shared" ca="1" si="144"/>
        <v>1</v>
      </c>
      <c r="AX261" s="29">
        <f t="shared" ca="1" si="144"/>
        <v>3</v>
      </c>
      <c r="AY261" s="29">
        <f t="shared" ca="1" si="144"/>
        <v>4</v>
      </c>
      <c r="AZ261" s="29">
        <f t="shared" ca="1" si="144"/>
        <v>0</v>
      </c>
      <c r="BA261" s="29">
        <f t="shared" ca="1" si="144"/>
        <v>1</v>
      </c>
      <c r="BB261" s="29">
        <f t="shared" ca="1" si="144"/>
        <v>5</v>
      </c>
      <c r="BC261" s="29">
        <f t="shared" ca="1" si="144"/>
        <v>2</v>
      </c>
      <c r="BD261" s="29">
        <f t="shared" ca="1" si="144"/>
        <v>2</v>
      </c>
      <c r="BE261" s="29">
        <f t="shared" ca="1" si="144"/>
        <v>1</v>
      </c>
      <c r="BF261" s="29">
        <f t="shared" ca="1" si="144"/>
        <v>3</v>
      </c>
      <c r="BG261" s="29">
        <f t="shared" ca="1" si="144"/>
        <v>1</v>
      </c>
      <c r="BH261" s="29">
        <f t="shared" ca="1" si="144"/>
        <v>2</v>
      </c>
      <c r="BI261" s="29">
        <f t="shared" ca="1" si="144"/>
        <v>3</v>
      </c>
      <c r="BJ261" s="29">
        <f t="shared" ca="1" si="144"/>
        <v>0</v>
      </c>
      <c r="BK261" s="29">
        <f t="shared" ca="1" si="144"/>
        <v>3</v>
      </c>
      <c r="BL261" s="29">
        <f t="shared" ca="1" si="143"/>
        <v>9</v>
      </c>
      <c r="BM261" s="29">
        <f t="shared" ca="1" si="143"/>
        <v>3</v>
      </c>
      <c r="BN261" s="29">
        <f t="shared" ca="1" si="143"/>
        <v>6</v>
      </c>
      <c r="BO261" s="29">
        <f t="shared" ca="1" si="143"/>
        <v>1</v>
      </c>
      <c r="BP261" s="29">
        <f t="shared" ca="1" si="143"/>
        <v>3</v>
      </c>
      <c r="BQ261" s="29">
        <f t="shared" ca="1" si="143"/>
        <v>7</v>
      </c>
      <c r="BR261" s="29">
        <f t="shared" ca="1" si="143"/>
        <v>3</v>
      </c>
      <c r="BS261" s="29">
        <f t="shared" ca="1" si="143"/>
        <v>3</v>
      </c>
      <c r="BT261" s="29">
        <f t="shared" ca="1" si="143"/>
        <v>2</v>
      </c>
      <c r="BU261" s="29">
        <f t="shared" ca="1" si="143"/>
        <v>1</v>
      </c>
      <c r="BV261" s="29">
        <f t="shared" ca="1" si="143"/>
        <v>3</v>
      </c>
      <c r="BW261" s="29">
        <f t="shared" ca="1" si="143"/>
        <v>2</v>
      </c>
      <c r="BX261" s="29">
        <f t="shared" ca="1" si="143"/>
        <v>3</v>
      </c>
      <c r="BY261" s="29">
        <f t="shared" ca="1" si="143"/>
        <v>1</v>
      </c>
      <c r="BZ261" s="29">
        <f t="shared" ca="1" si="143"/>
        <v>3</v>
      </c>
      <c r="CA261" s="29">
        <f t="shared" ref="CA261:CP276" ca="1" si="153">_xlfn.BINOM.INV(50,$E261,RAND())</f>
        <v>1</v>
      </c>
      <c r="CB261" s="29">
        <f t="shared" ca="1" si="153"/>
        <v>3</v>
      </c>
      <c r="CC261" s="29">
        <f t="shared" ca="1" si="153"/>
        <v>7</v>
      </c>
      <c r="CD261" s="29">
        <f t="shared" ca="1" si="153"/>
        <v>3</v>
      </c>
      <c r="CE261" s="29">
        <f t="shared" ca="1" si="153"/>
        <v>4</v>
      </c>
      <c r="CF261" s="29">
        <f t="shared" ca="1" si="153"/>
        <v>4</v>
      </c>
      <c r="CG261" s="29">
        <f t="shared" ca="1" si="153"/>
        <v>3</v>
      </c>
      <c r="CH261" s="29">
        <f t="shared" ca="1" si="153"/>
        <v>2</v>
      </c>
      <c r="CI261" s="29">
        <f t="shared" ca="1" si="153"/>
        <v>5</v>
      </c>
      <c r="CJ261" s="29">
        <f t="shared" ca="1" si="153"/>
        <v>2</v>
      </c>
      <c r="CK261" s="29">
        <f t="shared" ca="1" si="153"/>
        <v>2</v>
      </c>
      <c r="CL261" s="29">
        <f t="shared" ca="1" si="153"/>
        <v>2</v>
      </c>
      <c r="CM261" s="29">
        <f t="shared" ca="1" si="153"/>
        <v>2</v>
      </c>
      <c r="CN261" s="29">
        <f t="shared" ca="1" si="153"/>
        <v>4</v>
      </c>
      <c r="CO261" s="29">
        <f t="shared" ca="1" si="153"/>
        <v>3</v>
      </c>
      <c r="CP261" s="29">
        <f t="shared" ca="1" si="153"/>
        <v>4</v>
      </c>
      <c r="CQ261" s="29">
        <f t="shared" ca="1" si="152"/>
        <v>0</v>
      </c>
      <c r="CR261" s="29">
        <f t="shared" ca="1" si="152"/>
        <v>2</v>
      </c>
      <c r="CS261" s="29">
        <f t="shared" ca="1" si="152"/>
        <v>0</v>
      </c>
      <c r="CT261" s="29">
        <f t="shared" ca="1" si="152"/>
        <v>2</v>
      </c>
      <c r="CU261" s="29">
        <f t="shared" ca="1" si="152"/>
        <v>5</v>
      </c>
      <c r="CV261" s="29">
        <f t="shared" ca="1" si="152"/>
        <v>0</v>
      </c>
      <c r="CW261" s="29">
        <f t="shared" ca="1" si="152"/>
        <v>3</v>
      </c>
      <c r="CX261" s="29">
        <f t="shared" ca="1" si="152"/>
        <v>2</v>
      </c>
      <c r="CY261" s="29">
        <f t="shared" ca="1" si="152"/>
        <v>3</v>
      </c>
      <c r="CZ261" s="29">
        <f t="shared" ca="1" si="152"/>
        <v>4</v>
      </c>
      <c r="DA261" s="29">
        <f t="shared" ca="1" si="152"/>
        <v>3</v>
      </c>
      <c r="DB261" s="29">
        <f t="shared" ca="1" si="152"/>
        <v>3</v>
      </c>
      <c r="DC261" s="29">
        <f t="shared" ca="1" si="152"/>
        <v>2</v>
      </c>
      <c r="DD261" s="29">
        <f t="shared" ca="1" si="152"/>
        <v>5</v>
      </c>
      <c r="DE261" s="29">
        <f t="shared" ca="1" si="152"/>
        <v>4</v>
      </c>
      <c r="DF261" s="29">
        <f t="shared" ca="1" si="134"/>
        <v>3</v>
      </c>
      <c r="DG261" s="29">
        <f t="shared" ca="1" si="134"/>
        <v>5</v>
      </c>
      <c r="DH261" s="29">
        <f t="shared" ca="1" si="134"/>
        <v>2</v>
      </c>
      <c r="DI261" s="29">
        <f t="shared" ca="1" si="134"/>
        <v>1</v>
      </c>
      <c r="DJ261" s="29">
        <f t="shared" ca="1" si="134"/>
        <v>3</v>
      </c>
      <c r="DK261" s="29">
        <f t="shared" ca="1" si="134"/>
        <v>3</v>
      </c>
      <c r="DL261" s="29">
        <f t="shared" ca="1" si="134"/>
        <v>5</v>
      </c>
    </row>
    <row r="262" spans="1:116" ht="14.4" x14ac:dyDescent="0.3">
      <c r="A262" s="31">
        <v>519</v>
      </c>
      <c r="B262" s="28">
        <v>6.54</v>
      </c>
      <c r="C262" s="30">
        <v>2.35</v>
      </c>
      <c r="D262" s="28">
        <v>2</v>
      </c>
      <c r="E262" s="34">
        <f t="shared" si="145"/>
        <v>0.04</v>
      </c>
      <c r="F262" s="35">
        <f t="shared" si="146"/>
        <v>0.58750000000000002</v>
      </c>
      <c r="G262" s="34">
        <f t="shared" si="147"/>
        <v>50</v>
      </c>
      <c r="H262" s="33">
        <f t="shared" si="148"/>
        <v>7.5554281345565748</v>
      </c>
      <c r="I262" s="28">
        <f t="shared" si="151"/>
        <v>896.78000000000065</v>
      </c>
      <c r="J262" s="32">
        <v>0</v>
      </c>
      <c r="K262" s="30">
        <f t="shared" si="149"/>
        <v>50</v>
      </c>
      <c r="L262" s="30"/>
      <c r="M262" s="30"/>
      <c r="N262" s="30"/>
      <c r="O262" s="30"/>
      <c r="Q262" s="29">
        <f t="shared" ca="1" si="150"/>
        <v>3</v>
      </c>
      <c r="R262" s="29">
        <f t="shared" ca="1" si="142"/>
        <v>0</v>
      </c>
      <c r="S262" s="29">
        <f t="shared" ca="1" si="142"/>
        <v>3</v>
      </c>
      <c r="T262" s="29">
        <f t="shared" ca="1" si="142"/>
        <v>3</v>
      </c>
      <c r="U262" s="29">
        <f t="shared" ca="1" si="142"/>
        <v>3</v>
      </c>
      <c r="V262" s="29">
        <f t="shared" ca="1" si="142"/>
        <v>5</v>
      </c>
      <c r="W262" s="29">
        <f t="shared" ca="1" si="142"/>
        <v>5</v>
      </c>
      <c r="X262" s="29">
        <f t="shared" ca="1" si="142"/>
        <v>4</v>
      </c>
      <c r="Y262" s="29">
        <f t="shared" ca="1" si="142"/>
        <v>0</v>
      </c>
      <c r="Z262" s="29">
        <f t="shared" ca="1" si="142"/>
        <v>2</v>
      </c>
      <c r="AA262" s="29">
        <f t="shared" ca="1" si="142"/>
        <v>2</v>
      </c>
      <c r="AB262" s="29">
        <f t="shared" ca="1" si="142"/>
        <v>2</v>
      </c>
      <c r="AC262" s="29">
        <f t="shared" ca="1" si="142"/>
        <v>2</v>
      </c>
      <c r="AD262" s="29">
        <f t="shared" ca="1" si="142"/>
        <v>2</v>
      </c>
      <c r="AE262" s="29">
        <f t="shared" ca="1" si="142"/>
        <v>0</v>
      </c>
      <c r="AF262" s="29">
        <f t="shared" ca="1" si="142"/>
        <v>0</v>
      </c>
      <c r="AG262" s="29">
        <f t="shared" ca="1" si="141"/>
        <v>1</v>
      </c>
      <c r="AH262" s="29">
        <f t="shared" ca="1" si="141"/>
        <v>0</v>
      </c>
      <c r="AI262" s="29">
        <f t="shared" ca="1" si="141"/>
        <v>2</v>
      </c>
      <c r="AJ262" s="29">
        <f t="shared" ca="1" si="141"/>
        <v>5</v>
      </c>
      <c r="AK262" s="29">
        <f t="shared" ca="1" si="141"/>
        <v>3</v>
      </c>
      <c r="AL262" s="29">
        <f t="shared" ca="1" si="141"/>
        <v>2</v>
      </c>
      <c r="AM262" s="29">
        <f t="shared" ca="1" si="141"/>
        <v>4</v>
      </c>
      <c r="AN262" s="29">
        <f t="shared" ca="1" si="141"/>
        <v>3</v>
      </c>
      <c r="AO262" s="29">
        <f t="shared" ca="1" si="141"/>
        <v>3</v>
      </c>
      <c r="AP262" s="29">
        <f t="shared" ca="1" si="141"/>
        <v>3</v>
      </c>
      <c r="AQ262" s="29">
        <f t="shared" ca="1" si="141"/>
        <v>2</v>
      </c>
      <c r="AR262" s="29">
        <f t="shared" ca="1" si="141"/>
        <v>0</v>
      </c>
      <c r="AS262" s="29">
        <f t="shared" ca="1" si="141"/>
        <v>4</v>
      </c>
      <c r="AT262" s="29">
        <f t="shared" ca="1" si="141"/>
        <v>4</v>
      </c>
      <c r="AU262" s="29">
        <f t="shared" ca="1" si="141"/>
        <v>2</v>
      </c>
      <c r="AV262" s="29">
        <f t="shared" ca="1" si="144"/>
        <v>4</v>
      </c>
      <c r="AW262" s="29">
        <f t="shared" ca="1" si="144"/>
        <v>3</v>
      </c>
      <c r="AX262" s="29">
        <f t="shared" ca="1" si="144"/>
        <v>1</v>
      </c>
      <c r="AY262" s="29">
        <f t="shared" ca="1" si="144"/>
        <v>1</v>
      </c>
      <c r="AZ262" s="29">
        <f t="shared" ca="1" si="144"/>
        <v>3</v>
      </c>
      <c r="BA262" s="29">
        <f t="shared" ca="1" si="144"/>
        <v>3</v>
      </c>
      <c r="BB262" s="29">
        <f t="shared" ca="1" si="144"/>
        <v>0</v>
      </c>
      <c r="BC262" s="29">
        <f t="shared" ca="1" si="144"/>
        <v>1</v>
      </c>
      <c r="BD262" s="29">
        <f t="shared" ca="1" si="144"/>
        <v>1</v>
      </c>
      <c r="BE262" s="29">
        <f t="shared" ca="1" si="144"/>
        <v>1</v>
      </c>
      <c r="BF262" s="29">
        <f t="shared" ca="1" si="144"/>
        <v>9</v>
      </c>
      <c r="BG262" s="29">
        <f t="shared" ca="1" si="144"/>
        <v>2</v>
      </c>
      <c r="BH262" s="29">
        <f t="shared" ca="1" si="144"/>
        <v>1</v>
      </c>
      <c r="BI262" s="29">
        <f t="shared" ca="1" si="144"/>
        <v>2</v>
      </c>
      <c r="BJ262" s="29">
        <f t="shared" ca="1" si="144"/>
        <v>4</v>
      </c>
      <c r="BK262" s="29">
        <f t="shared" ca="1" si="144"/>
        <v>1</v>
      </c>
      <c r="BL262" s="29">
        <f t="shared" ca="1" si="143"/>
        <v>2</v>
      </c>
      <c r="BM262" s="29">
        <f t="shared" ca="1" si="143"/>
        <v>3</v>
      </c>
      <c r="BN262" s="29">
        <f t="shared" ca="1" si="143"/>
        <v>5</v>
      </c>
      <c r="BO262" s="29">
        <f t="shared" ca="1" si="143"/>
        <v>4</v>
      </c>
      <c r="BP262" s="29">
        <f t="shared" ca="1" si="143"/>
        <v>5</v>
      </c>
      <c r="BQ262" s="29">
        <f t="shared" ca="1" si="143"/>
        <v>4</v>
      </c>
      <c r="BR262" s="29">
        <f t="shared" ca="1" si="143"/>
        <v>7</v>
      </c>
      <c r="BS262" s="29">
        <f t="shared" ca="1" si="143"/>
        <v>3</v>
      </c>
      <c r="BT262" s="29">
        <f t="shared" ca="1" si="143"/>
        <v>1</v>
      </c>
      <c r="BU262" s="29">
        <f t="shared" ca="1" si="143"/>
        <v>2</v>
      </c>
      <c r="BV262" s="29">
        <f t="shared" ca="1" si="143"/>
        <v>1</v>
      </c>
      <c r="BW262" s="29">
        <f t="shared" ca="1" si="143"/>
        <v>3</v>
      </c>
      <c r="BX262" s="29">
        <f t="shared" ca="1" si="143"/>
        <v>0</v>
      </c>
      <c r="BY262" s="29">
        <f t="shared" ca="1" si="143"/>
        <v>0</v>
      </c>
      <c r="BZ262" s="29">
        <f t="shared" ca="1" si="143"/>
        <v>2</v>
      </c>
      <c r="CA262" s="29">
        <f t="shared" ca="1" si="153"/>
        <v>3</v>
      </c>
      <c r="CB262" s="29">
        <f t="shared" ca="1" si="153"/>
        <v>0</v>
      </c>
      <c r="CC262" s="29">
        <f t="shared" ca="1" si="153"/>
        <v>2</v>
      </c>
      <c r="CD262" s="29">
        <f t="shared" ca="1" si="153"/>
        <v>1</v>
      </c>
      <c r="CE262" s="29">
        <f t="shared" ca="1" si="153"/>
        <v>4</v>
      </c>
      <c r="CF262" s="29">
        <f t="shared" ca="1" si="153"/>
        <v>2</v>
      </c>
      <c r="CG262" s="29">
        <f t="shared" ca="1" si="153"/>
        <v>4</v>
      </c>
      <c r="CH262" s="29">
        <f t="shared" ca="1" si="153"/>
        <v>5</v>
      </c>
      <c r="CI262" s="29">
        <f t="shared" ca="1" si="153"/>
        <v>3</v>
      </c>
      <c r="CJ262" s="29">
        <f t="shared" ca="1" si="153"/>
        <v>2</v>
      </c>
      <c r="CK262" s="29">
        <f t="shared" ca="1" si="153"/>
        <v>1</v>
      </c>
      <c r="CL262" s="29">
        <f t="shared" ca="1" si="153"/>
        <v>4</v>
      </c>
      <c r="CM262" s="29">
        <f t="shared" ca="1" si="153"/>
        <v>2</v>
      </c>
      <c r="CN262" s="29">
        <f t="shared" ca="1" si="153"/>
        <v>3</v>
      </c>
      <c r="CO262" s="29">
        <f t="shared" ca="1" si="153"/>
        <v>5</v>
      </c>
      <c r="CP262" s="29">
        <f t="shared" ca="1" si="153"/>
        <v>1</v>
      </c>
      <c r="CQ262" s="29">
        <f t="shared" ca="1" si="152"/>
        <v>1</v>
      </c>
      <c r="CR262" s="29">
        <f t="shared" ca="1" si="152"/>
        <v>2</v>
      </c>
      <c r="CS262" s="29">
        <f t="shared" ca="1" si="152"/>
        <v>2</v>
      </c>
      <c r="CT262" s="29">
        <f t="shared" ca="1" si="152"/>
        <v>5</v>
      </c>
      <c r="CU262" s="29">
        <f t="shared" ca="1" si="152"/>
        <v>2</v>
      </c>
      <c r="CV262" s="29">
        <f t="shared" ca="1" si="152"/>
        <v>1</v>
      </c>
      <c r="CW262" s="29">
        <f t="shared" ca="1" si="152"/>
        <v>2</v>
      </c>
      <c r="CX262" s="29">
        <f t="shared" ca="1" si="152"/>
        <v>4</v>
      </c>
      <c r="CY262" s="29">
        <f t="shared" ca="1" si="152"/>
        <v>5</v>
      </c>
      <c r="CZ262" s="29">
        <f t="shared" ca="1" si="152"/>
        <v>1</v>
      </c>
      <c r="DA262" s="29">
        <f t="shared" ca="1" si="152"/>
        <v>2</v>
      </c>
      <c r="DB262" s="29">
        <f t="shared" ca="1" si="152"/>
        <v>0</v>
      </c>
      <c r="DC262" s="29">
        <f t="shared" ca="1" si="152"/>
        <v>2</v>
      </c>
      <c r="DD262" s="29">
        <f t="shared" ca="1" si="152"/>
        <v>3</v>
      </c>
      <c r="DE262" s="29">
        <f t="shared" ca="1" si="152"/>
        <v>1</v>
      </c>
      <c r="DF262" s="29">
        <f t="shared" ca="1" si="134"/>
        <v>2</v>
      </c>
      <c r="DG262" s="29">
        <f t="shared" ca="1" si="134"/>
        <v>2</v>
      </c>
      <c r="DH262" s="29">
        <f t="shared" ca="1" si="134"/>
        <v>5</v>
      </c>
      <c r="DI262" s="29">
        <f t="shared" ca="1" si="134"/>
        <v>0</v>
      </c>
      <c r="DJ262" s="29">
        <f t="shared" ca="1" si="134"/>
        <v>2</v>
      </c>
      <c r="DK262" s="29">
        <f t="shared" ca="1" si="134"/>
        <v>4</v>
      </c>
      <c r="DL262" s="29">
        <f t="shared" ca="1" si="134"/>
        <v>2</v>
      </c>
    </row>
    <row r="263" spans="1:116" ht="14.4" x14ac:dyDescent="0.3">
      <c r="A263" s="31">
        <v>263</v>
      </c>
      <c r="B263" s="28">
        <v>3.13</v>
      </c>
      <c r="C263" s="30">
        <v>50.53</v>
      </c>
      <c r="D263" s="28">
        <v>1.45</v>
      </c>
      <c r="E263" s="34">
        <f t="shared" si="145"/>
        <v>2.8999999999999998E-2</v>
      </c>
      <c r="F263" s="35">
        <f t="shared" si="146"/>
        <v>12.6325</v>
      </c>
      <c r="G263" s="34">
        <f t="shared" si="147"/>
        <v>36.25</v>
      </c>
      <c r="H263" s="33">
        <f t="shared" si="148"/>
        <v>7.5455271565495208</v>
      </c>
      <c r="I263" s="28">
        <f t="shared" si="151"/>
        <v>899.91000000000065</v>
      </c>
      <c r="J263" s="32">
        <v>0</v>
      </c>
      <c r="K263" s="30">
        <f t="shared" si="149"/>
        <v>36.25</v>
      </c>
      <c r="L263" s="30"/>
      <c r="M263" s="30"/>
      <c r="N263" s="30"/>
      <c r="O263" s="30"/>
      <c r="Q263" s="29">
        <f t="shared" ca="1" si="150"/>
        <v>1</v>
      </c>
      <c r="R263" s="29">
        <f t="shared" ca="1" si="142"/>
        <v>1</v>
      </c>
      <c r="S263" s="29">
        <f t="shared" ca="1" si="142"/>
        <v>1</v>
      </c>
      <c r="T263" s="29">
        <f t="shared" ca="1" si="142"/>
        <v>2</v>
      </c>
      <c r="U263" s="29">
        <f t="shared" ca="1" si="142"/>
        <v>0</v>
      </c>
      <c r="V263" s="29">
        <f t="shared" ca="1" si="142"/>
        <v>1</v>
      </c>
      <c r="W263" s="29">
        <f t="shared" ca="1" si="142"/>
        <v>3</v>
      </c>
      <c r="X263" s="29">
        <f t="shared" ca="1" si="142"/>
        <v>0</v>
      </c>
      <c r="Y263" s="29">
        <f t="shared" ca="1" si="142"/>
        <v>2</v>
      </c>
      <c r="Z263" s="29">
        <f t="shared" ca="1" si="142"/>
        <v>0</v>
      </c>
      <c r="AA263" s="29">
        <f t="shared" ca="1" si="142"/>
        <v>2</v>
      </c>
      <c r="AB263" s="29">
        <f t="shared" ca="1" si="142"/>
        <v>2</v>
      </c>
      <c r="AC263" s="29">
        <f t="shared" ca="1" si="142"/>
        <v>2</v>
      </c>
      <c r="AD263" s="29">
        <f t="shared" ca="1" si="142"/>
        <v>0</v>
      </c>
      <c r="AE263" s="29">
        <f t="shared" ca="1" si="142"/>
        <v>3</v>
      </c>
      <c r="AF263" s="29">
        <f t="shared" ca="1" si="142"/>
        <v>0</v>
      </c>
      <c r="AG263" s="29">
        <f t="shared" ca="1" si="141"/>
        <v>2</v>
      </c>
      <c r="AH263" s="29">
        <f t="shared" ca="1" si="141"/>
        <v>0</v>
      </c>
      <c r="AI263" s="29">
        <f t="shared" ca="1" si="141"/>
        <v>0</v>
      </c>
      <c r="AJ263" s="29">
        <f t="shared" ca="1" si="141"/>
        <v>4</v>
      </c>
      <c r="AK263" s="29">
        <f t="shared" ca="1" si="141"/>
        <v>1</v>
      </c>
      <c r="AL263" s="29">
        <f t="shared" ca="1" si="141"/>
        <v>0</v>
      </c>
      <c r="AM263" s="29">
        <f t="shared" ca="1" si="141"/>
        <v>2</v>
      </c>
      <c r="AN263" s="29">
        <f t="shared" ca="1" si="141"/>
        <v>3</v>
      </c>
      <c r="AO263" s="29">
        <f t="shared" ca="1" si="141"/>
        <v>1</v>
      </c>
      <c r="AP263" s="29">
        <f t="shared" ca="1" si="141"/>
        <v>1</v>
      </c>
      <c r="AQ263" s="29">
        <f t="shared" ca="1" si="141"/>
        <v>1</v>
      </c>
      <c r="AR263" s="29">
        <f t="shared" ca="1" si="141"/>
        <v>0</v>
      </c>
      <c r="AS263" s="29">
        <f t="shared" ca="1" si="141"/>
        <v>1</v>
      </c>
      <c r="AT263" s="29">
        <f t="shared" ca="1" si="141"/>
        <v>1</v>
      </c>
      <c r="AU263" s="29">
        <f t="shared" ca="1" si="141"/>
        <v>2</v>
      </c>
      <c r="AV263" s="29">
        <f t="shared" ca="1" si="144"/>
        <v>2</v>
      </c>
      <c r="AW263" s="29">
        <f t="shared" ca="1" si="144"/>
        <v>0</v>
      </c>
      <c r="AX263" s="29">
        <f t="shared" ca="1" si="144"/>
        <v>3</v>
      </c>
      <c r="AY263" s="29">
        <f t="shared" ca="1" si="144"/>
        <v>0</v>
      </c>
      <c r="AZ263" s="29">
        <f t="shared" ca="1" si="144"/>
        <v>2</v>
      </c>
      <c r="BA263" s="29">
        <f t="shared" ca="1" si="144"/>
        <v>1</v>
      </c>
      <c r="BB263" s="29">
        <f t="shared" ca="1" si="144"/>
        <v>0</v>
      </c>
      <c r="BC263" s="29">
        <f t="shared" ca="1" si="144"/>
        <v>4</v>
      </c>
      <c r="BD263" s="29">
        <f t="shared" ca="1" si="144"/>
        <v>2</v>
      </c>
      <c r="BE263" s="29">
        <f t="shared" ca="1" si="144"/>
        <v>1</v>
      </c>
      <c r="BF263" s="29">
        <f t="shared" ca="1" si="144"/>
        <v>2</v>
      </c>
      <c r="BG263" s="29">
        <f t="shared" ca="1" si="144"/>
        <v>1</v>
      </c>
      <c r="BH263" s="29">
        <f t="shared" ca="1" si="144"/>
        <v>1</v>
      </c>
      <c r="BI263" s="29">
        <f t="shared" ca="1" si="144"/>
        <v>3</v>
      </c>
      <c r="BJ263" s="29">
        <f t="shared" ca="1" si="144"/>
        <v>1</v>
      </c>
      <c r="BK263" s="29">
        <f t="shared" ca="1" si="144"/>
        <v>4</v>
      </c>
      <c r="BL263" s="29">
        <f t="shared" ca="1" si="143"/>
        <v>0</v>
      </c>
      <c r="BM263" s="29">
        <f t="shared" ca="1" si="143"/>
        <v>1</v>
      </c>
      <c r="BN263" s="29">
        <f t="shared" ca="1" si="143"/>
        <v>3</v>
      </c>
      <c r="BO263" s="29">
        <f t="shared" ca="1" si="143"/>
        <v>1</v>
      </c>
      <c r="BP263" s="29">
        <f t="shared" ca="1" si="143"/>
        <v>4</v>
      </c>
      <c r="BQ263" s="29">
        <f t="shared" ca="1" si="143"/>
        <v>3</v>
      </c>
      <c r="BR263" s="29">
        <f t="shared" ca="1" si="143"/>
        <v>1</v>
      </c>
      <c r="BS263" s="29">
        <f t="shared" ca="1" si="143"/>
        <v>3</v>
      </c>
      <c r="BT263" s="29">
        <f t="shared" ca="1" si="143"/>
        <v>0</v>
      </c>
      <c r="BU263" s="29">
        <f t="shared" ca="1" si="143"/>
        <v>3</v>
      </c>
      <c r="BV263" s="29">
        <f t="shared" ca="1" si="143"/>
        <v>1</v>
      </c>
      <c r="BW263" s="29">
        <f t="shared" ca="1" si="143"/>
        <v>1</v>
      </c>
      <c r="BX263" s="29">
        <f t="shared" ca="1" si="143"/>
        <v>1</v>
      </c>
      <c r="BY263" s="29">
        <f t="shared" ca="1" si="143"/>
        <v>3</v>
      </c>
      <c r="BZ263" s="29">
        <f t="shared" ca="1" si="143"/>
        <v>1</v>
      </c>
      <c r="CA263" s="29">
        <f t="shared" ca="1" si="153"/>
        <v>2</v>
      </c>
      <c r="CB263" s="29">
        <f t="shared" ca="1" si="153"/>
        <v>2</v>
      </c>
      <c r="CC263" s="29">
        <f t="shared" ca="1" si="153"/>
        <v>0</v>
      </c>
      <c r="CD263" s="29">
        <f t="shared" ca="1" si="153"/>
        <v>0</v>
      </c>
      <c r="CE263" s="29">
        <f t="shared" ca="1" si="153"/>
        <v>2</v>
      </c>
      <c r="CF263" s="29">
        <f t="shared" ca="1" si="153"/>
        <v>1</v>
      </c>
      <c r="CG263" s="29">
        <f t="shared" ca="1" si="153"/>
        <v>1</v>
      </c>
      <c r="CH263" s="29">
        <f t="shared" ca="1" si="153"/>
        <v>1</v>
      </c>
      <c r="CI263" s="29">
        <f t="shared" ca="1" si="153"/>
        <v>2</v>
      </c>
      <c r="CJ263" s="29">
        <f t="shared" ca="1" si="153"/>
        <v>0</v>
      </c>
      <c r="CK263" s="29">
        <f t="shared" ca="1" si="153"/>
        <v>2</v>
      </c>
      <c r="CL263" s="29">
        <f t="shared" ca="1" si="153"/>
        <v>3</v>
      </c>
      <c r="CM263" s="29">
        <f t="shared" ca="1" si="153"/>
        <v>1</v>
      </c>
      <c r="CN263" s="29">
        <f t="shared" ca="1" si="153"/>
        <v>0</v>
      </c>
      <c r="CO263" s="29">
        <f t="shared" ca="1" si="153"/>
        <v>1</v>
      </c>
      <c r="CP263" s="29">
        <f t="shared" ca="1" si="153"/>
        <v>2</v>
      </c>
      <c r="CQ263" s="29">
        <f t="shared" ca="1" si="152"/>
        <v>1</v>
      </c>
      <c r="CR263" s="29">
        <f t="shared" ca="1" si="152"/>
        <v>1</v>
      </c>
      <c r="CS263" s="29">
        <f t="shared" ca="1" si="152"/>
        <v>2</v>
      </c>
      <c r="CT263" s="29">
        <f t="shared" ca="1" si="152"/>
        <v>0</v>
      </c>
      <c r="CU263" s="29">
        <f t="shared" ca="1" si="152"/>
        <v>2</v>
      </c>
      <c r="CV263" s="29">
        <f t="shared" ca="1" si="152"/>
        <v>1</v>
      </c>
      <c r="CW263" s="29">
        <f t="shared" ca="1" si="152"/>
        <v>2</v>
      </c>
      <c r="CX263" s="29">
        <f t="shared" ca="1" si="152"/>
        <v>1</v>
      </c>
      <c r="CY263" s="29">
        <f t="shared" ca="1" si="152"/>
        <v>2</v>
      </c>
      <c r="CZ263" s="29">
        <f t="shared" ca="1" si="152"/>
        <v>2</v>
      </c>
      <c r="DA263" s="29">
        <f t="shared" ca="1" si="152"/>
        <v>2</v>
      </c>
      <c r="DB263" s="29">
        <f t="shared" ca="1" si="152"/>
        <v>3</v>
      </c>
      <c r="DC263" s="29">
        <f t="shared" ca="1" si="152"/>
        <v>0</v>
      </c>
      <c r="DD263" s="29">
        <f t="shared" ca="1" si="152"/>
        <v>2</v>
      </c>
      <c r="DE263" s="29">
        <f t="shared" ca="1" si="152"/>
        <v>1</v>
      </c>
      <c r="DF263" s="29">
        <f t="shared" ca="1" si="134"/>
        <v>0</v>
      </c>
      <c r="DG263" s="29">
        <f t="shared" ca="1" si="134"/>
        <v>1</v>
      </c>
      <c r="DH263" s="29">
        <f t="shared" ca="1" si="134"/>
        <v>3</v>
      </c>
      <c r="DI263" s="29">
        <f t="shared" ca="1" si="134"/>
        <v>0</v>
      </c>
      <c r="DJ263" s="29">
        <f t="shared" ca="1" si="134"/>
        <v>2</v>
      </c>
      <c r="DK263" s="29">
        <f t="shared" ca="1" si="134"/>
        <v>4</v>
      </c>
      <c r="DL263" s="29">
        <f t="shared" ca="1" si="134"/>
        <v>1</v>
      </c>
    </row>
    <row r="264" spans="1:116" ht="14.4" x14ac:dyDescent="0.3">
      <c r="A264" s="31">
        <v>64</v>
      </c>
      <c r="B264" s="28">
        <v>5.69</v>
      </c>
      <c r="C264" s="30">
        <v>3.08</v>
      </c>
      <c r="D264" s="28">
        <v>1.73</v>
      </c>
      <c r="E264" s="34">
        <f t="shared" si="145"/>
        <v>3.4599999999999999E-2</v>
      </c>
      <c r="F264" s="35">
        <f t="shared" si="146"/>
        <v>0.77</v>
      </c>
      <c r="G264" s="34">
        <f t="shared" si="147"/>
        <v>43.25</v>
      </c>
      <c r="H264" s="33">
        <f t="shared" si="148"/>
        <v>7.4657293497363781</v>
      </c>
      <c r="I264" s="28">
        <f t="shared" si="151"/>
        <v>905.6000000000007</v>
      </c>
      <c r="J264" s="32">
        <v>0</v>
      </c>
      <c r="K264" s="30">
        <f t="shared" si="149"/>
        <v>43.25</v>
      </c>
      <c r="L264" s="30"/>
      <c r="M264" s="30"/>
      <c r="N264" s="30"/>
      <c r="O264" s="30"/>
      <c r="Q264" s="29">
        <f t="shared" ca="1" si="150"/>
        <v>3</v>
      </c>
      <c r="R264" s="29">
        <f t="shared" ca="1" si="142"/>
        <v>5</v>
      </c>
      <c r="S264" s="29">
        <f t="shared" ca="1" si="142"/>
        <v>2</v>
      </c>
      <c r="T264" s="29">
        <f t="shared" ca="1" si="142"/>
        <v>3</v>
      </c>
      <c r="U264" s="29">
        <f t="shared" ca="1" si="142"/>
        <v>2</v>
      </c>
      <c r="V264" s="29">
        <f t="shared" ca="1" si="142"/>
        <v>2</v>
      </c>
      <c r="W264" s="29">
        <f t="shared" ca="1" si="142"/>
        <v>0</v>
      </c>
      <c r="X264" s="29">
        <f t="shared" ca="1" si="142"/>
        <v>2</v>
      </c>
      <c r="Y264" s="29">
        <f t="shared" ca="1" si="142"/>
        <v>2</v>
      </c>
      <c r="Z264" s="29">
        <f t="shared" ca="1" si="142"/>
        <v>0</v>
      </c>
      <c r="AA264" s="29">
        <f t="shared" ca="1" si="142"/>
        <v>3</v>
      </c>
      <c r="AB264" s="29">
        <f t="shared" ca="1" si="142"/>
        <v>3</v>
      </c>
      <c r="AC264" s="29">
        <f t="shared" ca="1" si="142"/>
        <v>1</v>
      </c>
      <c r="AD264" s="29">
        <f t="shared" ca="1" si="142"/>
        <v>2</v>
      </c>
      <c r="AE264" s="29">
        <f t="shared" ca="1" si="142"/>
        <v>1</v>
      </c>
      <c r="AF264" s="29">
        <f t="shared" ca="1" si="142"/>
        <v>0</v>
      </c>
      <c r="AG264" s="29">
        <f t="shared" ca="1" si="141"/>
        <v>5</v>
      </c>
      <c r="AH264" s="29">
        <f t="shared" ca="1" si="141"/>
        <v>3</v>
      </c>
      <c r="AI264" s="29">
        <f t="shared" ca="1" si="141"/>
        <v>3</v>
      </c>
      <c r="AJ264" s="29">
        <f t="shared" ca="1" si="141"/>
        <v>3</v>
      </c>
      <c r="AK264" s="29">
        <f t="shared" ca="1" si="141"/>
        <v>2</v>
      </c>
      <c r="AL264" s="29">
        <f t="shared" ca="1" si="141"/>
        <v>2</v>
      </c>
      <c r="AM264" s="29">
        <f t="shared" ca="1" si="141"/>
        <v>2</v>
      </c>
      <c r="AN264" s="29">
        <f t="shared" ca="1" si="141"/>
        <v>2</v>
      </c>
      <c r="AO264" s="29">
        <f t="shared" ca="1" si="141"/>
        <v>2</v>
      </c>
      <c r="AP264" s="29">
        <f t="shared" ca="1" si="141"/>
        <v>2</v>
      </c>
      <c r="AQ264" s="29">
        <f t="shared" ca="1" si="141"/>
        <v>1</v>
      </c>
      <c r="AR264" s="29">
        <f t="shared" ca="1" si="141"/>
        <v>1</v>
      </c>
      <c r="AS264" s="29">
        <f t="shared" ca="1" si="141"/>
        <v>2</v>
      </c>
      <c r="AT264" s="29">
        <f t="shared" ca="1" si="141"/>
        <v>0</v>
      </c>
      <c r="AU264" s="29">
        <f t="shared" ca="1" si="141"/>
        <v>1</v>
      </c>
      <c r="AV264" s="29">
        <f t="shared" ca="1" si="144"/>
        <v>0</v>
      </c>
      <c r="AW264" s="29">
        <f t="shared" ca="1" si="144"/>
        <v>2</v>
      </c>
      <c r="AX264" s="29">
        <f t="shared" ca="1" si="144"/>
        <v>2</v>
      </c>
      <c r="AY264" s="29">
        <f t="shared" ca="1" si="144"/>
        <v>2</v>
      </c>
      <c r="AZ264" s="29">
        <f t="shared" ca="1" si="144"/>
        <v>4</v>
      </c>
      <c r="BA264" s="29">
        <f t="shared" ca="1" si="144"/>
        <v>3</v>
      </c>
      <c r="BB264" s="29">
        <f t="shared" ca="1" si="144"/>
        <v>3</v>
      </c>
      <c r="BC264" s="29">
        <f t="shared" ca="1" si="144"/>
        <v>1</v>
      </c>
      <c r="BD264" s="29">
        <f t="shared" ca="1" si="144"/>
        <v>3</v>
      </c>
      <c r="BE264" s="29">
        <f t="shared" ca="1" si="144"/>
        <v>2</v>
      </c>
      <c r="BF264" s="29">
        <f t="shared" ca="1" si="144"/>
        <v>2</v>
      </c>
      <c r="BG264" s="29">
        <f t="shared" ca="1" si="144"/>
        <v>0</v>
      </c>
      <c r="BH264" s="29">
        <f t="shared" ca="1" si="144"/>
        <v>1</v>
      </c>
      <c r="BI264" s="29">
        <f t="shared" ca="1" si="144"/>
        <v>2</v>
      </c>
      <c r="BJ264" s="29">
        <f t="shared" ca="1" si="144"/>
        <v>2</v>
      </c>
      <c r="BK264" s="29">
        <f t="shared" ca="1" si="144"/>
        <v>1</v>
      </c>
      <c r="BL264" s="29">
        <f t="shared" ca="1" si="143"/>
        <v>5</v>
      </c>
      <c r="BM264" s="29">
        <f t="shared" ca="1" si="143"/>
        <v>3</v>
      </c>
      <c r="BN264" s="29">
        <f t="shared" ca="1" si="143"/>
        <v>1</v>
      </c>
      <c r="BO264" s="29">
        <f t="shared" ca="1" si="143"/>
        <v>1</v>
      </c>
      <c r="BP264" s="29">
        <f t="shared" ca="1" si="143"/>
        <v>2</v>
      </c>
      <c r="BQ264" s="29">
        <f t="shared" ca="1" si="143"/>
        <v>1</v>
      </c>
      <c r="BR264" s="29">
        <f t="shared" ca="1" si="143"/>
        <v>1</v>
      </c>
      <c r="BS264" s="29">
        <f t="shared" ca="1" si="143"/>
        <v>3</v>
      </c>
      <c r="BT264" s="29">
        <f t="shared" ca="1" si="143"/>
        <v>2</v>
      </c>
      <c r="BU264" s="29">
        <f t="shared" ca="1" si="143"/>
        <v>2</v>
      </c>
      <c r="BV264" s="29">
        <f t="shared" ca="1" si="143"/>
        <v>1</v>
      </c>
      <c r="BW264" s="29">
        <f t="shared" ca="1" si="143"/>
        <v>0</v>
      </c>
      <c r="BX264" s="29">
        <f t="shared" ca="1" si="143"/>
        <v>0</v>
      </c>
      <c r="BY264" s="29">
        <f t="shared" ca="1" si="143"/>
        <v>1</v>
      </c>
      <c r="BZ264" s="29">
        <f t="shared" ca="1" si="143"/>
        <v>5</v>
      </c>
      <c r="CA264" s="29">
        <f t="shared" ca="1" si="153"/>
        <v>2</v>
      </c>
      <c r="CB264" s="29">
        <f t="shared" ca="1" si="153"/>
        <v>2</v>
      </c>
      <c r="CC264" s="29">
        <f t="shared" ca="1" si="153"/>
        <v>2</v>
      </c>
      <c r="CD264" s="29">
        <f t="shared" ca="1" si="153"/>
        <v>4</v>
      </c>
      <c r="CE264" s="29">
        <f t="shared" ca="1" si="153"/>
        <v>2</v>
      </c>
      <c r="CF264" s="29">
        <f t="shared" ca="1" si="153"/>
        <v>0</v>
      </c>
      <c r="CG264" s="29">
        <f t="shared" ca="1" si="153"/>
        <v>3</v>
      </c>
      <c r="CH264" s="29">
        <f t="shared" ca="1" si="153"/>
        <v>2</v>
      </c>
      <c r="CI264" s="29">
        <f t="shared" ca="1" si="153"/>
        <v>2</v>
      </c>
      <c r="CJ264" s="29">
        <f t="shared" ca="1" si="153"/>
        <v>2</v>
      </c>
      <c r="CK264" s="29">
        <f t="shared" ca="1" si="153"/>
        <v>0</v>
      </c>
      <c r="CL264" s="29">
        <f t="shared" ca="1" si="153"/>
        <v>2</v>
      </c>
      <c r="CM264" s="29">
        <f t="shared" ca="1" si="153"/>
        <v>3</v>
      </c>
      <c r="CN264" s="29">
        <f t="shared" ca="1" si="153"/>
        <v>1</v>
      </c>
      <c r="CO264" s="29">
        <f t="shared" ca="1" si="153"/>
        <v>3</v>
      </c>
      <c r="CP264" s="29">
        <f t="shared" ca="1" si="153"/>
        <v>0</v>
      </c>
      <c r="CQ264" s="29">
        <f t="shared" ca="1" si="152"/>
        <v>2</v>
      </c>
      <c r="CR264" s="29">
        <f t="shared" ca="1" si="152"/>
        <v>2</v>
      </c>
      <c r="CS264" s="29">
        <f t="shared" ca="1" si="152"/>
        <v>1</v>
      </c>
      <c r="CT264" s="29">
        <f t="shared" ca="1" si="152"/>
        <v>1</v>
      </c>
      <c r="CU264" s="29">
        <f t="shared" ca="1" si="152"/>
        <v>1</v>
      </c>
      <c r="CV264" s="29">
        <f t="shared" ca="1" si="152"/>
        <v>0</v>
      </c>
      <c r="CW264" s="29">
        <f t="shared" ca="1" si="152"/>
        <v>2</v>
      </c>
      <c r="CX264" s="29">
        <f t="shared" ca="1" si="152"/>
        <v>2</v>
      </c>
      <c r="CY264" s="29">
        <f t="shared" ca="1" si="152"/>
        <v>2</v>
      </c>
      <c r="CZ264" s="29">
        <f t="shared" ca="1" si="152"/>
        <v>3</v>
      </c>
      <c r="DA264" s="29">
        <f t="shared" ca="1" si="152"/>
        <v>3</v>
      </c>
      <c r="DB264" s="29">
        <f t="shared" ca="1" si="152"/>
        <v>4</v>
      </c>
      <c r="DC264" s="29">
        <f t="shared" ca="1" si="152"/>
        <v>3</v>
      </c>
      <c r="DD264" s="29">
        <f t="shared" ca="1" si="152"/>
        <v>0</v>
      </c>
      <c r="DE264" s="29">
        <f t="shared" ca="1" si="152"/>
        <v>1</v>
      </c>
      <c r="DF264" s="29">
        <f t="shared" ca="1" si="134"/>
        <v>5</v>
      </c>
      <c r="DG264" s="29">
        <f t="shared" ca="1" si="134"/>
        <v>0</v>
      </c>
      <c r="DH264" s="29">
        <f t="shared" ca="1" si="134"/>
        <v>1</v>
      </c>
      <c r="DI264" s="29">
        <f t="shared" ca="1" si="134"/>
        <v>3</v>
      </c>
      <c r="DJ264" s="29">
        <f t="shared" ca="1" si="134"/>
        <v>2</v>
      </c>
      <c r="DK264" s="29">
        <f t="shared" ca="1" si="134"/>
        <v>3</v>
      </c>
      <c r="DL264" s="29">
        <f t="shared" ca="1" si="134"/>
        <v>0</v>
      </c>
    </row>
    <row r="265" spans="1:116" ht="14.4" x14ac:dyDescent="0.3">
      <c r="A265" s="31">
        <v>1064</v>
      </c>
      <c r="B265" s="28">
        <v>7.76</v>
      </c>
      <c r="C265" s="30">
        <v>74.09</v>
      </c>
      <c r="D265" s="28">
        <v>3.04</v>
      </c>
      <c r="E265" s="34">
        <f t="shared" si="145"/>
        <v>6.08E-2</v>
      </c>
      <c r="F265" s="35">
        <f t="shared" si="146"/>
        <v>18.522500000000001</v>
      </c>
      <c r="G265" s="34">
        <f t="shared" si="147"/>
        <v>76</v>
      </c>
      <c r="H265" s="33">
        <f t="shared" si="148"/>
        <v>7.4068943298969074</v>
      </c>
      <c r="I265" s="28">
        <f t="shared" si="151"/>
        <v>913.3600000000007</v>
      </c>
      <c r="J265" s="32">
        <v>0</v>
      </c>
      <c r="K265" s="30">
        <f t="shared" si="149"/>
        <v>76</v>
      </c>
      <c r="L265" s="30"/>
      <c r="M265" s="30"/>
      <c r="N265" s="30"/>
      <c r="O265" s="30"/>
      <c r="Q265" s="29">
        <f t="shared" ca="1" si="150"/>
        <v>4</v>
      </c>
      <c r="R265" s="29">
        <f t="shared" ca="1" si="142"/>
        <v>1</v>
      </c>
      <c r="S265" s="29">
        <f t="shared" ca="1" si="142"/>
        <v>3</v>
      </c>
      <c r="T265" s="29">
        <f t="shared" ca="1" si="142"/>
        <v>3</v>
      </c>
      <c r="U265" s="29">
        <f t="shared" ca="1" si="142"/>
        <v>3</v>
      </c>
      <c r="V265" s="29">
        <f t="shared" ca="1" si="142"/>
        <v>6</v>
      </c>
      <c r="W265" s="29">
        <f t="shared" ca="1" si="142"/>
        <v>2</v>
      </c>
      <c r="X265" s="29">
        <f t="shared" ca="1" si="142"/>
        <v>5</v>
      </c>
      <c r="Y265" s="29">
        <f t="shared" ca="1" si="142"/>
        <v>4</v>
      </c>
      <c r="Z265" s="29">
        <f t="shared" ca="1" si="142"/>
        <v>4</v>
      </c>
      <c r="AA265" s="29">
        <f t="shared" ca="1" si="142"/>
        <v>2</v>
      </c>
      <c r="AB265" s="29">
        <f t="shared" ca="1" si="142"/>
        <v>2</v>
      </c>
      <c r="AC265" s="29">
        <f t="shared" ca="1" si="142"/>
        <v>2</v>
      </c>
      <c r="AD265" s="29">
        <f t="shared" ca="1" si="142"/>
        <v>2</v>
      </c>
      <c r="AE265" s="29">
        <f t="shared" ca="1" si="142"/>
        <v>2</v>
      </c>
      <c r="AF265" s="29">
        <f t="shared" ref="AF265:AU280" ca="1" si="154">_xlfn.BINOM.INV(50,$E265,RAND())</f>
        <v>7</v>
      </c>
      <c r="AG265" s="29">
        <f t="shared" ca="1" si="154"/>
        <v>4</v>
      </c>
      <c r="AH265" s="29">
        <f t="shared" ca="1" si="154"/>
        <v>3</v>
      </c>
      <c r="AI265" s="29">
        <f t="shared" ca="1" si="154"/>
        <v>3</v>
      </c>
      <c r="AJ265" s="29">
        <f t="shared" ca="1" si="154"/>
        <v>2</v>
      </c>
      <c r="AK265" s="29">
        <f t="shared" ca="1" si="154"/>
        <v>1</v>
      </c>
      <c r="AL265" s="29">
        <f t="shared" ca="1" si="154"/>
        <v>1</v>
      </c>
      <c r="AM265" s="29">
        <f t="shared" ca="1" si="154"/>
        <v>0</v>
      </c>
      <c r="AN265" s="29">
        <f t="shared" ca="1" si="154"/>
        <v>3</v>
      </c>
      <c r="AO265" s="29">
        <f t="shared" ca="1" si="154"/>
        <v>7</v>
      </c>
      <c r="AP265" s="29">
        <f t="shared" ca="1" si="154"/>
        <v>2</v>
      </c>
      <c r="AQ265" s="29">
        <f t="shared" ca="1" si="154"/>
        <v>3</v>
      </c>
      <c r="AR265" s="29">
        <f t="shared" ca="1" si="154"/>
        <v>1</v>
      </c>
      <c r="AS265" s="29">
        <f t="shared" ca="1" si="154"/>
        <v>4</v>
      </c>
      <c r="AT265" s="29">
        <f t="shared" ca="1" si="154"/>
        <v>3</v>
      </c>
      <c r="AU265" s="29">
        <f t="shared" ca="1" si="154"/>
        <v>2</v>
      </c>
      <c r="AV265" s="29">
        <f t="shared" ca="1" si="144"/>
        <v>2</v>
      </c>
      <c r="AW265" s="29">
        <f t="shared" ca="1" si="144"/>
        <v>2</v>
      </c>
      <c r="AX265" s="29">
        <f t="shared" ca="1" si="144"/>
        <v>5</v>
      </c>
      <c r="AY265" s="29">
        <f t="shared" ca="1" si="144"/>
        <v>3</v>
      </c>
      <c r="AZ265" s="29">
        <f t="shared" ca="1" si="144"/>
        <v>2</v>
      </c>
      <c r="BA265" s="29">
        <f t="shared" ca="1" si="144"/>
        <v>4</v>
      </c>
      <c r="BB265" s="29">
        <f t="shared" ca="1" si="144"/>
        <v>3</v>
      </c>
      <c r="BC265" s="29">
        <f t="shared" ca="1" si="144"/>
        <v>2</v>
      </c>
      <c r="BD265" s="29">
        <f t="shared" ca="1" si="144"/>
        <v>0</v>
      </c>
      <c r="BE265" s="29">
        <f t="shared" ca="1" si="144"/>
        <v>5</v>
      </c>
      <c r="BF265" s="29">
        <f t="shared" ca="1" si="144"/>
        <v>1</v>
      </c>
      <c r="BG265" s="29">
        <f t="shared" ca="1" si="144"/>
        <v>3</v>
      </c>
      <c r="BH265" s="29">
        <f t="shared" ca="1" si="144"/>
        <v>2</v>
      </c>
      <c r="BI265" s="29">
        <f t="shared" ca="1" si="144"/>
        <v>1</v>
      </c>
      <c r="BJ265" s="29">
        <f t="shared" ca="1" si="144"/>
        <v>1</v>
      </c>
      <c r="BK265" s="29">
        <f t="shared" ca="1" si="144"/>
        <v>3</v>
      </c>
      <c r="BL265" s="29">
        <f t="shared" ca="1" si="143"/>
        <v>1</v>
      </c>
      <c r="BM265" s="29">
        <f t="shared" ca="1" si="143"/>
        <v>3</v>
      </c>
      <c r="BN265" s="29">
        <f t="shared" ca="1" si="143"/>
        <v>2</v>
      </c>
      <c r="BO265" s="29">
        <f t="shared" ca="1" si="143"/>
        <v>2</v>
      </c>
      <c r="BP265" s="29">
        <f t="shared" ca="1" si="143"/>
        <v>3</v>
      </c>
      <c r="BQ265" s="29">
        <f t="shared" ca="1" si="143"/>
        <v>3</v>
      </c>
      <c r="BR265" s="29">
        <f t="shared" ca="1" si="143"/>
        <v>3</v>
      </c>
      <c r="BS265" s="29">
        <f t="shared" ca="1" si="143"/>
        <v>3</v>
      </c>
      <c r="BT265" s="29">
        <f t="shared" ca="1" si="143"/>
        <v>7</v>
      </c>
      <c r="BU265" s="29">
        <f t="shared" ca="1" si="143"/>
        <v>3</v>
      </c>
      <c r="BV265" s="29">
        <f t="shared" ca="1" si="143"/>
        <v>1</v>
      </c>
      <c r="BW265" s="29">
        <f t="shared" ca="1" si="143"/>
        <v>3</v>
      </c>
      <c r="BX265" s="29">
        <f t="shared" ca="1" si="143"/>
        <v>4</v>
      </c>
      <c r="BY265" s="29">
        <f t="shared" ca="1" si="143"/>
        <v>2</v>
      </c>
      <c r="BZ265" s="29">
        <f t="shared" ca="1" si="143"/>
        <v>4</v>
      </c>
      <c r="CA265" s="29">
        <f t="shared" ca="1" si="153"/>
        <v>2</v>
      </c>
      <c r="CB265" s="29">
        <f t="shared" ca="1" si="153"/>
        <v>1</v>
      </c>
      <c r="CC265" s="29">
        <f t="shared" ca="1" si="153"/>
        <v>1</v>
      </c>
      <c r="CD265" s="29">
        <f t="shared" ca="1" si="153"/>
        <v>3</v>
      </c>
      <c r="CE265" s="29">
        <f t="shared" ca="1" si="153"/>
        <v>7</v>
      </c>
      <c r="CF265" s="29">
        <f t="shared" ca="1" si="153"/>
        <v>5</v>
      </c>
      <c r="CG265" s="29">
        <f t="shared" ca="1" si="153"/>
        <v>3</v>
      </c>
      <c r="CH265" s="29">
        <f t="shared" ca="1" si="153"/>
        <v>3</v>
      </c>
      <c r="CI265" s="29">
        <f t="shared" ca="1" si="153"/>
        <v>3</v>
      </c>
      <c r="CJ265" s="29">
        <f t="shared" ca="1" si="153"/>
        <v>3</v>
      </c>
      <c r="CK265" s="29">
        <f t="shared" ca="1" si="153"/>
        <v>1</v>
      </c>
      <c r="CL265" s="29">
        <f t="shared" ca="1" si="153"/>
        <v>4</v>
      </c>
      <c r="CM265" s="29">
        <f t="shared" ca="1" si="153"/>
        <v>2</v>
      </c>
      <c r="CN265" s="29">
        <f t="shared" ca="1" si="153"/>
        <v>1</v>
      </c>
      <c r="CO265" s="29">
        <f t="shared" ca="1" si="153"/>
        <v>1</v>
      </c>
      <c r="CP265" s="29">
        <f t="shared" ca="1" si="153"/>
        <v>3</v>
      </c>
      <c r="CQ265" s="29">
        <f t="shared" ca="1" si="152"/>
        <v>1</v>
      </c>
      <c r="CR265" s="29">
        <f t="shared" ca="1" si="152"/>
        <v>1</v>
      </c>
      <c r="CS265" s="29">
        <f t="shared" ca="1" si="152"/>
        <v>3</v>
      </c>
      <c r="CT265" s="29">
        <f t="shared" ca="1" si="152"/>
        <v>1</v>
      </c>
      <c r="CU265" s="29">
        <f t="shared" ca="1" si="152"/>
        <v>2</v>
      </c>
      <c r="CV265" s="29">
        <f t="shared" ca="1" si="152"/>
        <v>4</v>
      </c>
      <c r="CW265" s="29">
        <f t="shared" ca="1" si="152"/>
        <v>3</v>
      </c>
      <c r="CX265" s="29">
        <f t="shared" ca="1" si="152"/>
        <v>4</v>
      </c>
      <c r="CY265" s="29">
        <f t="shared" ca="1" si="152"/>
        <v>4</v>
      </c>
      <c r="CZ265" s="29">
        <f t="shared" ca="1" si="152"/>
        <v>2</v>
      </c>
      <c r="DA265" s="29">
        <f t="shared" ca="1" si="152"/>
        <v>3</v>
      </c>
      <c r="DB265" s="29">
        <f t="shared" ca="1" si="152"/>
        <v>5</v>
      </c>
      <c r="DC265" s="29">
        <f t="shared" ca="1" si="152"/>
        <v>4</v>
      </c>
      <c r="DD265" s="29">
        <f t="shared" ca="1" si="152"/>
        <v>1</v>
      </c>
      <c r="DE265" s="29">
        <f t="shared" ca="1" si="152"/>
        <v>2</v>
      </c>
      <c r="DF265" s="29">
        <f t="shared" ca="1" si="134"/>
        <v>1</v>
      </c>
      <c r="DG265" s="29">
        <f t="shared" ca="1" si="134"/>
        <v>3</v>
      </c>
      <c r="DH265" s="29">
        <f t="shared" ca="1" si="134"/>
        <v>1</v>
      </c>
      <c r="DI265" s="29">
        <f t="shared" ca="1" si="134"/>
        <v>5</v>
      </c>
      <c r="DJ265" s="29">
        <f t="shared" ca="1" si="134"/>
        <v>3</v>
      </c>
      <c r="DK265" s="29">
        <f t="shared" ca="1" si="134"/>
        <v>4</v>
      </c>
      <c r="DL265" s="29">
        <f t="shared" ca="1" si="134"/>
        <v>2</v>
      </c>
    </row>
    <row r="266" spans="1:116" ht="14.4" x14ac:dyDescent="0.3">
      <c r="A266" s="31">
        <v>357</v>
      </c>
      <c r="B266" s="28">
        <v>1.47</v>
      </c>
      <c r="C266" s="30">
        <v>44.54</v>
      </c>
      <c r="D266" s="28">
        <v>0.88</v>
      </c>
      <c r="E266" s="34">
        <f t="shared" si="145"/>
        <v>1.7600000000000001E-2</v>
      </c>
      <c r="F266" s="35">
        <f t="shared" si="146"/>
        <v>11.135</v>
      </c>
      <c r="G266" s="34">
        <f t="shared" si="147"/>
        <v>22</v>
      </c>
      <c r="H266" s="33">
        <f t="shared" si="148"/>
        <v>7.3911564625850339</v>
      </c>
      <c r="I266" s="28">
        <f t="shared" si="151"/>
        <v>914.83000000000072</v>
      </c>
      <c r="J266" s="32">
        <v>0</v>
      </c>
      <c r="K266" s="30">
        <f t="shared" si="149"/>
        <v>22</v>
      </c>
      <c r="L266" s="30"/>
      <c r="M266" s="30"/>
      <c r="N266" s="30"/>
      <c r="O266" s="30"/>
      <c r="Q266" s="29">
        <f t="shared" ca="1" si="150"/>
        <v>1</v>
      </c>
      <c r="R266" s="29">
        <f t="shared" ref="R266:AF281" ca="1" si="155">_xlfn.BINOM.INV(50,$E266,RAND())</f>
        <v>0</v>
      </c>
      <c r="S266" s="29">
        <f t="shared" ca="1" si="155"/>
        <v>2</v>
      </c>
      <c r="T266" s="29">
        <f t="shared" ca="1" si="155"/>
        <v>0</v>
      </c>
      <c r="U266" s="29">
        <f t="shared" ca="1" si="155"/>
        <v>0</v>
      </c>
      <c r="V266" s="29">
        <f t="shared" ca="1" si="155"/>
        <v>2</v>
      </c>
      <c r="W266" s="29">
        <f t="shared" ca="1" si="155"/>
        <v>1</v>
      </c>
      <c r="X266" s="29">
        <f t="shared" ca="1" si="155"/>
        <v>0</v>
      </c>
      <c r="Y266" s="29">
        <f t="shared" ca="1" si="155"/>
        <v>1</v>
      </c>
      <c r="Z266" s="29">
        <f t="shared" ca="1" si="155"/>
        <v>0</v>
      </c>
      <c r="AA266" s="29">
        <f t="shared" ca="1" si="155"/>
        <v>3</v>
      </c>
      <c r="AB266" s="29">
        <f t="shared" ca="1" si="155"/>
        <v>0</v>
      </c>
      <c r="AC266" s="29">
        <f t="shared" ca="1" si="155"/>
        <v>1</v>
      </c>
      <c r="AD266" s="29">
        <f t="shared" ca="1" si="155"/>
        <v>0</v>
      </c>
      <c r="AE266" s="29">
        <f t="shared" ca="1" si="155"/>
        <v>1</v>
      </c>
      <c r="AF266" s="29">
        <f t="shared" ca="1" si="155"/>
        <v>1</v>
      </c>
      <c r="AG266" s="29">
        <f t="shared" ca="1" si="154"/>
        <v>2</v>
      </c>
      <c r="AH266" s="29">
        <f t="shared" ca="1" si="154"/>
        <v>1</v>
      </c>
      <c r="AI266" s="29">
        <f t="shared" ca="1" si="154"/>
        <v>1</v>
      </c>
      <c r="AJ266" s="29">
        <f t="shared" ca="1" si="154"/>
        <v>0</v>
      </c>
      <c r="AK266" s="29">
        <f t="shared" ca="1" si="154"/>
        <v>0</v>
      </c>
      <c r="AL266" s="29">
        <f t="shared" ca="1" si="154"/>
        <v>1</v>
      </c>
      <c r="AM266" s="29">
        <f t="shared" ca="1" si="154"/>
        <v>0</v>
      </c>
      <c r="AN266" s="29">
        <f t="shared" ca="1" si="154"/>
        <v>0</v>
      </c>
      <c r="AO266" s="29">
        <f t="shared" ca="1" si="154"/>
        <v>1</v>
      </c>
      <c r="AP266" s="29">
        <f t="shared" ca="1" si="154"/>
        <v>1</v>
      </c>
      <c r="AQ266" s="29">
        <f t="shared" ca="1" si="154"/>
        <v>1</v>
      </c>
      <c r="AR266" s="29">
        <f t="shared" ca="1" si="154"/>
        <v>1</v>
      </c>
      <c r="AS266" s="29">
        <f t="shared" ca="1" si="154"/>
        <v>0</v>
      </c>
      <c r="AT266" s="29">
        <f t="shared" ca="1" si="154"/>
        <v>1</v>
      </c>
      <c r="AU266" s="29">
        <f t="shared" ca="1" si="154"/>
        <v>0</v>
      </c>
      <c r="AV266" s="29">
        <f t="shared" ca="1" si="144"/>
        <v>0</v>
      </c>
      <c r="AW266" s="29">
        <f t="shared" ca="1" si="144"/>
        <v>1</v>
      </c>
      <c r="AX266" s="29">
        <f t="shared" ca="1" si="144"/>
        <v>2</v>
      </c>
      <c r="AY266" s="29">
        <f t="shared" ca="1" si="144"/>
        <v>1</v>
      </c>
      <c r="AZ266" s="29">
        <f t="shared" ca="1" si="144"/>
        <v>0</v>
      </c>
      <c r="BA266" s="29">
        <f t="shared" ca="1" si="144"/>
        <v>0</v>
      </c>
      <c r="BB266" s="29">
        <f t="shared" ca="1" si="144"/>
        <v>2</v>
      </c>
      <c r="BC266" s="29">
        <f t="shared" ca="1" si="144"/>
        <v>0</v>
      </c>
      <c r="BD266" s="29">
        <f t="shared" ca="1" si="144"/>
        <v>1</v>
      </c>
      <c r="BE266" s="29">
        <f t="shared" ca="1" si="144"/>
        <v>0</v>
      </c>
      <c r="BF266" s="29">
        <f t="shared" ca="1" si="144"/>
        <v>0</v>
      </c>
      <c r="BG266" s="29">
        <f t="shared" ca="1" si="144"/>
        <v>1</v>
      </c>
      <c r="BH266" s="29">
        <f t="shared" ca="1" si="144"/>
        <v>0</v>
      </c>
      <c r="BI266" s="29">
        <f t="shared" ca="1" si="144"/>
        <v>0</v>
      </c>
      <c r="BJ266" s="29">
        <f t="shared" ca="1" si="144"/>
        <v>0</v>
      </c>
      <c r="BK266" s="29">
        <f t="shared" ca="1" si="144"/>
        <v>0</v>
      </c>
      <c r="BL266" s="29">
        <f t="shared" ca="1" si="143"/>
        <v>0</v>
      </c>
      <c r="BM266" s="29">
        <f t="shared" ca="1" si="143"/>
        <v>0</v>
      </c>
      <c r="BN266" s="29">
        <f t="shared" ca="1" si="143"/>
        <v>0</v>
      </c>
      <c r="BO266" s="29">
        <f t="shared" ca="1" si="143"/>
        <v>1</v>
      </c>
      <c r="BP266" s="29">
        <f t="shared" ca="1" si="143"/>
        <v>1</v>
      </c>
      <c r="BQ266" s="29">
        <f t="shared" ca="1" si="143"/>
        <v>1</v>
      </c>
      <c r="BR266" s="29">
        <f t="shared" ca="1" si="143"/>
        <v>1</v>
      </c>
      <c r="BS266" s="29">
        <f t="shared" ca="1" si="143"/>
        <v>2</v>
      </c>
      <c r="BT266" s="29">
        <f t="shared" ca="1" si="143"/>
        <v>0</v>
      </c>
      <c r="BU266" s="29">
        <f t="shared" ca="1" si="143"/>
        <v>1</v>
      </c>
      <c r="BV266" s="29">
        <f t="shared" ca="1" si="143"/>
        <v>0</v>
      </c>
      <c r="BW266" s="29">
        <f t="shared" ca="1" si="143"/>
        <v>1</v>
      </c>
      <c r="BX266" s="29">
        <f t="shared" ca="1" si="143"/>
        <v>0</v>
      </c>
      <c r="BY266" s="29">
        <f t="shared" ca="1" si="143"/>
        <v>1</v>
      </c>
      <c r="BZ266" s="29">
        <f t="shared" ca="1" si="143"/>
        <v>0</v>
      </c>
      <c r="CA266" s="29">
        <f t="shared" ca="1" si="153"/>
        <v>0</v>
      </c>
      <c r="CB266" s="29">
        <f t="shared" ca="1" si="153"/>
        <v>1</v>
      </c>
      <c r="CC266" s="29">
        <f t="shared" ca="1" si="153"/>
        <v>2</v>
      </c>
      <c r="CD266" s="29">
        <f t="shared" ca="1" si="153"/>
        <v>3</v>
      </c>
      <c r="CE266" s="29">
        <f t="shared" ca="1" si="153"/>
        <v>0</v>
      </c>
      <c r="CF266" s="29">
        <f t="shared" ca="1" si="153"/>
        <v>1</v>
      </c>
      <c r="CG266" s="29">
        <f t="shared" ca="1" si="153"/>
        <v>1</v>
      </c>
      <c r="CH266" s="29">
        <f t="shared" ca="1" si="153"/>
        <v>0</v>
      </c>
      <c r="CI266" s="29">
        <f t="shared" ca="1" si="153"/>
        <v>1</v>
      </c>
      <c r="CJ266" s="29">
        <f t="shared" ca="1" si="153"/>
        <v>0</v>
      </c>
      <c r="CK266" s="29">
        <f t="shared" ca="1" si="153"/>
        <v>1</v>
      </c>
      <c r="CL266" s="29">
        <f t="shared" ca="1" si="153"/>
        <v>1</v>
      </c>
      <c r="CM266" s="29">
        <f t="shared" ca="1" si="153"/>
        <v>0</v>
      </c>
      <c r="CN266" s="29">
        <f t="shared" ca="1" si="153"/>
        <v>1</v>
      </c>
      <c r="CO266" s="29">
        <f t="shared" ca="1" si="153"/>
        <v>0</v>
      </c>
      <c r="CP266" s="29">
        <f t="shared" ca="1" si="153"/>
        <v>0</v>
      </c>
      <c r="CQ266" s="29">
        <f t="shared" ca="1" si="152"/>
        <v>0</v>
      </c>
      <c r="CR266" s="29">
        <f t="shared" ca="1" si="152"/>
        <v>1</v>
      </c>
      <c r="CS266" s="29">
        <f t="shared" ca="1" si="152"/>
        <v>0</v>
      </c>
      <c r="CT266" s="29">
        <f t="shared" ca="1" si="152"/>
        <v>2</v>
      </c>
      <c r="CU266" s="29">
        <f t="shared" ca="1" si="152"/>
        <v>1</v>
      </c>
      <c r="CV266" s="29">
        <f t="shared" ca="1" si="152"/>
        <v>0</v>
      </c>
      <c r="CW266" s="29">
        <f t="shared" ca="1" si="152"/>
        <v>0</v>
      </c>
      <c r="CX266" s="29">
        <f t="shared" ca="1" si="152"/>
        <v>3</v>
      </c>
      <c r="CY266" s="29">
        <f t="shared" ca="1" si="152"/>
        <v>1</v>
      </c>
      <c r="CZ266" s="29">
        <f t="shared" ca="1" si="152"/>
        <v>1</v>
      </c>
      <c r="DA266" s="29">
        <f t="shared" ca="1" si="152"/>
        <v>2</v>
      </c>
      <c r="DB266" s="29">
        <f t="shared" ca="1" si="152"/>
        <v>1</v>
      </c>
      <c r="DC266" s="29">
        <f t="shared" ca="1" si="152"/>
        <v>0</v>
      </c>
      <c r="DD266" s="29">
        <f t="shared" ca="1" si="152"/>
        <v>1</v>
      </c>
      <c r="DE266" s="29">
        <f t="shared" ca="1" si="152"/>
        <v>0</v>
      </c>
      <c r="DF266" s="29">
        <f t="shared" ca="1" si="134"/>
        <v>2</v>
      </c>
      <c r="DG266" s="29">
        <f t="shared" ca="1" si="134"/>
        <v>3</v>
      </c>
      <c r="DH266" s="29">
        <f t="shared" ca="1" si="134"/>
        <v>2</v>
      </c>
      <c r="DI266" s="29">
        <f t="shared" ca="1" si="134"/>
        <v>0</v>
      </c>
      <c r="DJ266" s="29">
        <f t="shared" ca="1" si="134"/>
        <v>1</v>
      </c>
      <c r="DK266" s="29">
        <f t="shared" ca="1" si="134"/>
        <v>0</v>
      </c>
      <c r="DL266" s="29">
        <f t="shared" ca="1" si="134"/>
        <v>0</v>
      </c>
    </row>
    <row r="267" spans="1:116" ht="14.4" x14ac:dyDescent="0.3">
      <c r="A267" s="31">
        <v>456</v>
      </c>
      <c r="B267" s="28">
        <v>3.04</v>
      </c>
      <c r="C267" s="30">
        <v>54.39</v>
      </c>
      <c r="D267" s="28">
        <v>1.44</v>
      </c>
      <c r="E267" s="34">
        <f t="shared" si="145"/>
        <v>2.8799999999999999E-2</v>
      </c>
      <c r="F267" s="35">
        <f t="shared" si="146"/>
        <v>13.5975</v>
      </c>
      <c r="G267" s="34">
        <f t="shared" si="147"/>
        <v>36</v>
      </c>
      <c r="H267" s="33">
        <f t="shared" si="148"/>
        <v>7.3692434210526319</v>
      </c>
      <c r="I267" s="28">
        <f t="shared" si="151"/>
        <v>917.87000000000069</v>
      </c>
      <c r="J267" s="32">
        <v>0</v>
      </c>
      <c r="K267" s="30">
        <f t="shared" si="149"/>
        <v>36</v>
      </c>
      <c r="L267" s="30"/>
      <c r="M267" s="30"/>
      <c r="N267" s="30"/>
      <c r="O267" s="30"/>
      <c r="Q267" s="29">
        <f t="shared" ca="1" si="150"/>
        <v>0</v>
      </c>
      <c r="R267" s="29">
        <f t="shared" ca="1" si="155"/>
        <v>2</v>
      </c>
      <c r="S267" s="29">
        <f t="shared" ca="1" si="155"/>
        <v>0</v>
      </c>
      <c r="T267" s="29">
        <f t="shared" ca="1" si="155"/>
        <v>3</v>
      </c>
      <c r="U267" s="29">
        <f t="shared" ca="1" si="155"/>
        <v>5</v>
      </c>
      <c r="V267" s="29">
        <f t="shared" ca="1" si="155"/>
        <v>3</v>
      </c>
      <c r="W267" s="29">
        <f t="shared" ca="1" si="155"/>
        <v>0</v>
      </c>
      <c r="X267" s="29">
        <f t="shared" ca="1" si="155"/>
        <v>1</v>
      </c>
      <c r="Y267" s="29">
        <f t="shared" ca="1" si="155"/>
        <v>0</v>
      </c>
      <c r="Z267" s="29">
        <f t="shared" ca="1" si="155"/>
        <v>0</v>
      </c>
      <c r="AA267" s="29">
        <f t="shared" ca="1" si="155"/>
        <v>2</v>
      </c>
      <c r="AB267" s="29">
        <f t="shared" ca="1" si="155"/>
        <v>1</v>
      </c>
      <c r="AC267" s="29">
        <f t="shared" ca="1" si="155"/>
        <v>2</v>
      </c>
      <c r="AD267" s="29">
        <f t="shared" ca="1" si="155"/>
        <v>1</v>
      </c>
      <c r="AE267" s="29">
        <f t="shared" ca="1" si="155"/>
        <v>2</v>
      </c>
      <c r="AF267" s="29">
        <f t="shared" ca="1" si="155"/>
        <v>0</v>
      </c>
      <c r="AG267" s="29">
        <f t="shared" ca="1" si="154"/>
        <v>1</v>
      </c>
      <c r="AH267" s="29">
        <f t="shared" ca="1" si="154"/>
        <v>0</v>
      </c>
      <c r="AI267" s="29">
        <f t="shared" ca="1" si="154"/>
        <v>3</v>
      </c>
      <c r="AJ267" s="29">
        <f t="shared" ca="1" si="154"/>
        <v>1</v>
      </c>
      <c r="AK267" s="29">
        <f t="shared" ca="1" si="154"/>
        <v>2</v>
      </c>
      <c r="AL267" s="29">
        <f t="shared" ca="1" si="154"/>
        <v>0</v>
      </c>
      <c r="AM267" s="29">
        <f t="shared" ca="1" si="154"/>
        <v>0</v>
      </c>
      <c r="AN267" s="29">
        <f t="shared" ca="1" si="154"/>
        <v>1</v>
      </c>
      <c r="AO267" s="29">
        <f t="shared" ca="1" si="154"/>
        <v>0</v>
      </c>
      <c r="AP267" s="29">
        <f t="shared" ca="1" si="154"/>
        <v>0</v>
      </c>
      <c r="AQ267" s="29">
        <f t="shared" ca="1" si="154"/>
        <v>0</v>
      </c>
      <c r="AR267" s="29">
        <f t="shared" ca="1" si="154"/>
        <v>1</v>
      </c>
      <c r="AS267" s="29">
        <f t="shared" ca="1" si="154"/>
        <v>1</v>
      </c>
      <c r="AT267" s="29">
        <f t="shared" ca="1" si="154"/>
        <v>1</v>
      </c>
      <c r="AU267" s="29">
        <f t="shared" ca="1" si="154"/>
        <v>1</v>
      </c>
      <c r="AV267" s="29">
        <f t="shared" ca="1" si="144"/>
        <v>2</v>
      </c>
      <c r="AW267" s="29">
        <f t="shared" ca="1" si="144"/>
        <v>3</v>
      </c>
      <c r="AX267" s="29">
        <f t="shared" ca="1" si="144"/>
        <v>2</v>
      </c>
      <c r="AY267" s="29">
        <f t="shared" ca="1" si="144"/>
        <v>1</v>
      </c>
      <c r="AZ267" s="29">
        <f t="shared" ca="1" si="144"/>
        <v>2</v>
      </c>
      <c r="BA267" s="29">
        <f t="shared" ca="1" si="144"/>
        <v>1</v>
      </c>
      <c r="BB267" s="29">
        <f t="shared" ca="1" si="144"/>
        <v>1</v>
      </c>
      <c r="BC267" s="29">
        <f t="shared" ca="1" si="144"/>
        <v>1</v>
      </c>
      <c r="BD267" s="29">
        <f t="shared" ca="1" si="144"/>
        <v>2</v>
      </c>
      <c r="BE267" s="29">
        <f t="shared" ca="1" si="144"/>
        <v>3</v>
      </c>
      <c r="BF267" s="29">
        <f t="shared" ca="1" si="144"/>
        <v>3</v>
      </c>
      <c r="BG267" s="29">
        <f t="shared" ca="1" si="144"/>
        <v>2</v>
      </c>
      <c r="BH267" s="29">
        <f t="shared" ca="1" si="144"/>
        <v>0</v>
      </c>
      <c r="BI267" s="29">
        <f t="shared" ca="1" si="144"/>
        <v>2</v>
      </c>
      <c r="BJ267" s="29">
        <f t="shared" ca="1" si="144"/>
        <v>0</v>
      </c>
      <c r="BK267" s="29">
        <f t="shared" ca="1" si="144"/>
        <v>4</v>
      </c>
      <c r="BL267" s="29">
        <f t="shared" ca="1" si="143"/>
        <v>2</v>
      </c>
      <c r="BM267" s="29">
        <f t="shared" ca="1" si="143"/>
        <v>0</v>
      </c>
      <c r="BN267" s="29">
        <f t="shared" ca="1" si="143"/>
        <v>2</v>
      </c>
      <c r="BO267" s="29">
        <f t="shared" ca="1" si="143"/>
        <v>4</v>
      </c>
      <c r="BP267" s="29">
        <f t="shared" ca="1" si="143"/>
        <v>0</v>
      </c>
      <c r="BQ267" s="29">
        <f t="shared" ca="1" si="143"/>
        <v>0</v>
      </c>
      <c r="BR267" s="29">
        <f t="shared" ca="1" si="143"/>
        <v>1</v>
      </c>
      <c r="BS267" s="29">
        <f t="shared" ca="1" si="143"/>
        <v>4</v>
      </c>
      <c r="BT267" s="29">
        <f t="shared" ca="1" si="143"/>
        <v>2</v>
      </c>
      <c r="BU267" s="29">
        <f t="shared" ca="1" si="143"/>
        <v>0</v>
      </c>
      <c r="BV267" s="29">
        <f t="shared" ca="1" si="143"/>
        <v>1</v>
      </c>
      <c r="BW267" s="29">
        <f t="shared" ca="1" si="143"/>
        <v>1</v>
      </c>
      <c r="BX267" s="29">
        <f t="shared" ca="1" si="143"/>
        <v>0</v>
      </c>
      <c r="BY267" s="29">
        <f t="shared" ca="1" si="143"/>
        <v>0</v>
      </c>
      <c r="BZ267" s="29">
        <f t="shared" ca="1" si="143"/>
        <v>1</v>
      </c>
      <c r="CA267" s="29">
        <f t="shared" ca="1" si="153"/>
        <v>0</v>
      </c>
      <c r="CB267" s="29">
        <f t="shared" ca="1" si="153"/>
        <v>1</v>
      </c>
      <c r="CC267" s="29">
        <f t="shared" ca="1" si="153"/>
        <v>4</v>
      </c>
      <c r="CD267" s="29">
        <f t="shared" ca="1" si="153"/>
        <v>1</v>
      </c>
      <c r="CE267" s="29">
        <f t="shared" ca="1" si="153"/>
        <v>1</v>
      </c>
      <c r="CF267" s="29">
        <f t="shared" ca="1" si="153"/>
        <v>3</v>
      </c>
      <c r="CG267" s="29">
        <f t="shared" ca="1" si="153"/>
        <v>1</v>
      </c>
      <c r="CH267" s="29">
        <f t="shared" ca="1" si="153"/>
        <v>2</v>
      </c>
      <c r="CI267" s="29">
        <f t="shared" ca="1" si="153"/>
        <v>2</v>
      </c>
      <c r="CJ267" s="29">
        <f t="shared" ca="1" si="153"/>
        <v>2</v>
      </c>
      <c r="CK267" s="29">
        <f t="shared" ca="1" si="153"/>
        <v>1</v>
      </c>
      <c r="CL267" s="29">
        <f t="shared" ca="1" si="153"/>
        <v>0</v>
      </c>
      <c r="CM267" s="29">
        <f t="shared" ca="1" si="153"/>
        <v>0</v>
      </c>
      <c r="CN267" s="29">
        <f t="shared" ca="1" si="153"/>
        <v>0</v>
      </c>
      <c r="CO267" s="29">
        <f t="shared" ca="1" si="153"/>
        <v>1</v>
      </c>
      <c r="CP267" s="29">
        <f t="shared" ca="1" si="153"/>
        <v>2</v>
      </c>
      <c r="CQ267" s="29">
        <f t="shared" ca="1" si="152"/>
        <v>2</v>
      </c>
      <c r="CR267" s="29">
        <f t="shared" ca="1" si="152"/>
        <v>3</v>
      </c>
      <c r="CS267" s="29">
        <f t="shared" ca="1" si="152"/>
        <v>5</v>
      </c>
      <c r="CT267" s="29">
        <f t="shared" ca="1" si="152"/>
        <v>4</v>
      </c>
      <c r="CU267" s="29">
        <f t="shared" ca="1" si="152"/>
        <v>2</v>
      </c>
      <c r="CV267" s="29">
        <f t="shared" ca="1" si="152"/>
        <v>0</v>
      </c>
      <c r="CW267" s="29">
        <f t="shared" ca="1" si="152"/>
        <v>1</v>
      </c>
      <c r="CX267" s="29">
        <f t="shared" ca="1" si="152"/>
        <v>1</v>
      </c>
      <c r="CY267" s="29">
        <f t="shared" ca="1" si="152"/>
        <v>1</v>
      </c>
      <c r="CZ267" s="29">
        <f t="shared" ca="1" si="152"/>
        <v>1</v>
      </c>
      <c r="DA267" s="29">
        <f t="shared" ca="1" si="152"/>
        <v>1</v>
      </c>
      <c r="DB267" s="29">
        <f t="shared" ca="1" si="152"/>
        <v>0</v>
      </c>
      <c r="DC267" s="29">
        <f t="shared" ca="1" si="152"/>
        <v>0</v>
      </c>
      <c r="DD267" s="29">
        <f t="shared" ca="1" si="152"/>
        <v>0</v>
      </c>
      <c r="DE267" s="29">
        <f t="shared" ca="1" si="152"/>
        <v>0</v>
      </c>
      <c r="DF267" s="29">
        <f t="shared" ca="1" si="134"/>
        <v>0</v>
      </c>
      <c r="DG267" s="29">
        <f t="shared" ca="1" si="134"/>
        <v>2</v>
      </c>
      <c r="DH267" s="29">
        <f t="shared" ca="1" si="134"/>
        <v>3</v>
      </c>
      <c r="DI267" s="29">
        <f t="shared" ca="1" si="134"/>
        <v>4</v>
      </c>
      <c r="DJ267" s="29">
        <f t="shared" ca="1" si="134"/>
        <v>2</v>
      </c>
      <c r="DK267" s="29">
        <f t="shared" ca="1" si="134"/>
        <v>1</v>
      </c>
      <c r="DL267" s="29">
        <f t="shared" ca="1" si="134"/>
        <v>2</v>
      </c>
    </row>
    <row r="268" spans="1:116" ht="14.4" x14ac:dyDescent="0.3">
      <c r="A268" s="31">
        <v>966</v>
      </c>
      <c r="B268" s="28">
        <v>9.59</v>
      </c>
      <c r="C268" s="30">
        <v>5.55</v>
      </c>
      <c r="D268" s="28">
        <v>2.87</v>
      </c>
      <c r="E268" s="34">
        <f t="shared" si="145"/>
        <v>5.74E-2</v>
      </c>
      <c r="F268" s="35">
        <f t="shared" si="146"/>
        <v>1.3875</v>
      </c>
      <c r="G268" s="34">
        <f t="shared" si="147"/>
        <v>71.75</v>
      </c>
      <c r="H268" s="33">
        <f t="shared" si="148"/>
        <v>7.3370698644421273</v>
      </c>
      <c r="I268" s="28">
        <f t="shared" si="151"/>
        <v>927.46000000000072</v>
      </c>
      <c r="J268" s="32">
        <v>0</v>
      </c>
      <c r="K268" s="30">
        <f t="shared" si="149"/>
        <v>71.75</v>
      </c>
      <c r="L268" s="30"/>
      <c r="M268" s="30"/>
      <c r="N268" s="30"/>
      <c r="O268" s="30"/>
      <c r="Q268" s="29">
        <f t="shared" ca="1" si="150"/>
        <v>2</v>
      </c>
      <c r="R268" s="29">
        <f t="shared" ca="1" si="155"/>
        <v>3</v>
      </c>
      <c r="S268" s="29">
        <f t="shared" ca="1" si="155"/>
        <v>3</v>
      </c>
      <c r="T268" s="29">
        <f t="shared" ca="1" si="155"/>
        <v>3</v>
      </c>
      <c r="U268" s="29">
        <f t="shared" ca="1" si="155"/>
        <v>4</v>
      </c>
      <c r="V268" s="29">
        <f t="shared" ca="1" si="155"/>
        <v>3</v>
      </c>
      <c r="W268" s="29">
        <f t="shared" ca="1" si="155"/>
        <v>6</v>
      </c>
      <c r="X268" s="29">
        <f t="shared" ca="1" si="155"/>
        <v>2</v>
      </c>
      <c r="Y268" s="29">
        <f t="shared" ca="1" si="155"/>
        <v>3</v>
      </c>
      <c r="Z268" s="29">
        <f t="shared" ca="1" si="155"/>
        <v>3</v>
      </c>
      <c r="AA268" s="29">
        <f t="shared" ca="1" si="155"/>
        <v>1</v>
      </c>
      <c r="AB268" s="29">
        <f t="shared" ca="1" si="155"/>
        <v>1</v>
      </c>
      <c r="AC268" s="29">
        <f t="shared" ca="1" si="155"/>
        <v>2</v>
      </c>
      <c r="AD268" s="29">
        <f t="shared" ca="1" si="155"/>
        <v>2</v>
      </c>
      <c r="AE268" s="29">
        <f t="shared" ca="1" si="155"/>
        <v>3</v>
      </c>
      <c r="AF268" s="29">
        <f t="shared" ca="1" si="155"/>
        <v>4</v>
      </c>
      <c r="AG268" s="29">
        <f t="shared" ca="1" si="154"/>
        <v>9</v>
      </c>
      <c r="AH268" s="29">
        <f t="shared" ca="1" si="154"/>
        <v>2</v>
      </c>
      <c r="AI268" s="29">
        <f t="shared" ca="1" si="154"/>
        <v>3</v>
      </c>
      <c r="AJ268" s="29">
        <f t="shared" ca="1" si="154"/>
        <v>4</v>
      </c>
      <c r="AK268" s="29">
        <f t="shared" ca="1" si="154"/>
        <v>1</v>
      </c>
      <c r="AL268" s="29">
        <f t="shared" ca="1" si="154"/>
        <v>2</v>
      </c>
      <c r="AM268" s="29">
        <f t="shared" ca="1" si="154"/>
        <v>3</v>
      </c>
      <c r="AN268" s="29">
        <f t="shared" ca="1" si="154"/>
        <v>2</v>
      </c>
      <c r="AO268" s="29">
        <f t="shared" ca="1" si="154"/>
        <v>1</v>
      </c>
      <c r="AP268" s="29">
        <f t="shared" ca="1" si="154"/>
        <v>3</v>
      </c>
      <c r="AQ268" s="29">
        <f t="shared" ca="1" si="154"/>
        <v>1</v>
      </c>
      <c r="AR268" s="29">
        <f t="shared" ca="1" si="154"/>
        <v>5</v>
      </c>
      <c r="AS268" s="29">
        <f t="shared" ca="1" si="154"/>
        <v>5</v>
      </c>
      <c r="AT268" s="29">
        <f t="shared" ca="1" si="154"/>
        <v>3</v>
      </c>
      <c r="AU268" s="29">
        <f t="shared" ca="1" si="154"/>
        <v>5</v>
      </c>
      <c r="AV268" s="29">
        <f t="shared" ca="1" si="144"/>
        <v>3</v>
      </c>
      <c r="AW268" s="29">
        <f t="shared" ca="1" si="144"/>
        <v>2</v>
      </c>
      <c r="AX268" s="29">
        <f t="shared" ca="1" si="144"/>
        <v>2</v>
      </c>
      <c r="AY268" s="29">
        <f t="shared" ca="1" si="144"/>
        <v>4</v>
      </c>
      <c r="AZ268" s="29">
        <f t="shared" ca="1" si="144"/>
        <v>3</v>
      </c>
      <c r="BA268" s="29">
        <f t="shared" ca="1" si="144"/>
        <v>4</v>
      </c>
      <c r="BB268" s="29">
        <f t="shared" ca="1" si="144"/>
        <v>5</v>
      </c>
      <c r="BC268" s="29">
        <f t="shared" ca="1" si="144"/>
        <v>2</v>
      </c>
      <c r="BD268" s="29">
        <f t="shared" ca="1" si="144"/>
        <v>1</v>
      </c>
      <c r="BE268" s="29">
        <f t="shared" ca="1" si="144"/>
        <v>2</v>
      </c>
      <c r="BF268" s="29">
        <f t="shared" ca="1" si="144"/>
        <v>4</v>
      </c>
      <c r="BG268" s="29">
        <f t="shared" ca="1" si="144"/>
        <v>4</v>
      </c>
      <c r="BH268" s="29">
        <f t="shared" ca="1" si="144"/>
        <v>2</v>
      </c>
      <c r="BI268" s="29">
        <f t="shared" ca="1" si="144"/>
        <v>1</v>
      </c>
      <c r="BJ268" s="29">
        <f t="shared" ca="1" si="144"/>
        <v>5</v>
      </c>
      <c r="BK268" s="29">
        <f t="shared" ref="BK268:BZ283" ca="1" si="156">_xlfn.BINOM.INV(50,$E268,RAND())</f>
        <v>5</v>
      </c>
      <c r="BL268" s="29">
        <f t="shared" ca="1" si="156"/>
        <v>4</v>
      </c>
      <c r="BM268" s="29">
        <f t="shared" ca="1" si="156"/>
        <v>1</v>
      </c>
      <c r="BN268" s="29">
        <f t="shared" ca="1" si="156"/>
        <v>1</v>
      </c>
      <c r="BO268" s="29">
        <f t="shared" ca="1" si="156"/>
        <v>1</v>
      </c>
      <c r="BP268" s="29">
        <f t="shared" ca="1" si="156"/>
        <v>7</v>
      </c>
      <c r="BQ268" s="29">
        <f t="shared" ca="1" si="156"/>
        <v>2</v>
      </c>
      <c r="BR268" s="29">
        <f t="shared" ca="1" si="156"/>
        <v>2</v>
      </c>
      <c r="BS268" s="29">
        <f t="shared" ca="1" si="156"/>
        <v>5</v>
      </c>
      <c r="BT268" s="29">
        <f t="shared" ca="1" si="156"/>
        <v>2</v>
      </c>
      <c r="BU268" s="29">
        <f t="shared" ca="1" si="156"/>
        <v>4</v>
      </c>
      <c r="BV268" s="29">
        <f t="shared" ca="1" si="156"/>
        <v>2</v>
      </c>
      <c r="BW268" s="29">
        <f t="shared" ca="1" si="156"/>
        <v>1</v>
      </c>
      <c r="BX268" s="29">
        <f t="shared" ca="1" si="156"/>
        <v>5</v>
      </c>
      <c r="BY268" s="29">
        <f t="shared" ca="1" si="156"/>
        <v>3</v>
      </c>
      <c r="BZ268" s="29">
        <f t="shared" ca="1" si="156"/>
        <v>5</v>
      </c>
      <c r="CA268" s="29">
        <f t="shared" ca="1" si="153"/>
        <v>3</v>
      </c>
      <c r="CB268" s="29">
        <f t="shared" ca="1" si="153"/>
        <v>3</v>
      </c>
      <c r="CC268" s="29">
        <f t="shared" ca="1" si="153"/>
        <v>1</v>
      </c>
      <c r="CD268" s="29">
        <f t="shared" ca="1" si="153"/>
        <v>2</v>
      </c>
      <c r="CE268" s="29">
        <f t="shared" ca="1" si="153"/>
        <v>3</v>
      </c>
      <c r="CF268" s="29">
        <f t="shared" ca="1" si="153"/>
        <v>4</v>
      </c>
      <c r="CG268" s="29">
        <f t="shared" ca="1" si="153"/>
        <v>3</v>
      </c>
      <c r="CH268" s="29">
        <f t="shared" ca="1" si="153"/>
        <v>2</v>
      </c>
      <c r="CI268" s="29">
        <f t="shared" ca="1" si="153"/>
        <v>0</v>
      </c>
      <c r="CJ268" s="29">
        <f t="shared" ca="1" si="153"/>
        <v>2</v>
      </c>
      <c r="CK268" s="29">
        <f t="shared" ca="1" si="153"/>
        <v>3</v>
      </c>
      <c r="CL268" s="29">
        <f t="shared" ca="1" si="153"/>
        <v>3</v>
      </c>
      <c r="CM268" s="29">
        <f t="shared" ca="1" si="153"/>
        <v>2</v>
      </c>
      <c r="CN268" s="29">
        <f t="shared" ca="1" si="153"/>
        <v>3</v>
      </c>
      <c r="CO268" s="29">
        <f t="shared" ca="1" si="153"/>
        <v>0</v>
      </c>
      <c r="CP268" s="29">
        <f t="shared" ca="1" si="153"/>
        <v>2</v>
      </c>
      <c r="CQ268" s="29">
        <f t="shared" ca="1" si="152"/>
        <v>3</v>
      </c>
      <c r="CR268" s="29">
        <f t="shared" ca="1" si="152"/>
        <v>1</v>
      </c>
      <c r="CS268" s="29">
        <f t="shared" ca="1" si="152"/>
        <v>1</v>
      </c>
      <c r="CT268" s="29">
        <f t="shared" ca="1" si="152"/>
        <v>2</v>
      </c>
      <c r="CU268" s="29">
        <f t="shared" ca="1" si="152"/>
        <v>1</v>
      </c>
      <c r="CV268" s="29">
        <f t="shared" ca="1" si="152"/>
        <v>4</v>
      </c>
      <c r="CW268" s="29">
        <f t="shared" ca="1" si="152"/>
        <v>5</v>
      </c>
      <c r="CX268" s="29">
        <f t="shared" ca="1" si="152"/>
        <v>4</v>
      </c>
      <c r="CY268" s="29">
        <f t="shared" ca="1" si="152"/>
        <v>3</v>
      </c>
      <c r="CZ268" s="29">
        <f t="shared" ca="1" si="152"/>
        <v>4</v>
      </c>
      <c r="DA268" s="29">
        <f t="shared" ca="1" si="152"/>
        <v>5</v>
      </c>
      <c r="DB268" s="29">
        <f t="shared" ca="1" si="152"/>
        <v>4</v>
      </c>
      <c r="DC268" s="29">
        <f t="shared" ca="1" si="152"/>
        <v>2</v>
      </c>
      <c r="DD268" s="29">
        <f t="shared" ca="1" si="152"/>
        <v>0</v>
      </c>
      <c r="DE268" s="29">
        <f t="shared" ca="1" si="152"/>
        <v>2</v>
      </c>
      <c r="DF268" s="29">
        <f t="shared" ca="1" si="134"/>
        <v>1</v>
      </c>
      <c r="DG268" s="29">
        <f t="shared" ca="1" si="134"/>
        <v>0</v>
      </c>
      <c r="DH268" s="29">
        <f t="shared" ca="1" si="134"/>
        <v>0</v>
      </c>
      <c r="DI268" s="29">
        <f t="shared" ref="DI268:DL268" ca="1" si="157">_xlfn.BINOM.INV(50,$E268,RAND())</f>
        <v>0</v>
      </c>
      <c r="DJ268" s="29">
        <f t="shared" ca="1" si="157"/>
        <v>1</v>
      </c>
      <c r="DK268" s="29">
        <f t="shared" ca="1" si="157"/>
        <v>4</v>
      </c>
      <c r="DL268" s="29">
        <f t="shared" ca="1" si="157"/>
        <v>1</v>
      </c>
    </row>
    <row r="269" spans="1:116" ht="14.4" x14ac:dyDescent="0.3">
      <c r="A269" s="31">
        <v>986</v>
      </c>
      <c r="B269" s="28">
        <v>1.8</v>
      </c>
      <c r="C269" s="30">
        <v>39.24</v>
      </c>
      <c r="D269" s="28">
        <v>0.92</v>
      </c>
      <c r="E269" s="34">
        <f t="shared" si="145"/>
        <v>1.84E-2</v>
      </c>
      <c r="F269" s="35">
        <f t="shared" si="146"/>
        <v>9.81</v>
      </c>
      <c r="G269" s="34">
        <f t="shared" si="147"/>
        <v>23</v>
      </c>
      <c r="H269" s="33">
        <f t="shared" si="148"/>
        <v>7.3277777777777775</v>
      </c>
      <c r="I269" s="28">
        <f t="shared" si="151"/>
        <v>929.26000000000067</v>
      </c>
      <c r="J269" s="32">
        <v>0</v>
      </c>
      <c r="K269" s="30">
        <f t="shared" si="149"/>
        <v>23</v>
      </c>
      <c r="L269" s="30"/>
      <c r="M269" s="30"/>
      <c r="N269" s="30"/>
      <c r="O269" s="30"/>
      <c r="Q269" s="29">
        <f t="shared" ca="1" si="150"/>
        <v>0</v>
      </c>
      <c r="R269" s="29">
        <f t="shared" ca="1" si="155"/>
        <v>0</v>
      </c>
      <c r="S269" s="29">
        <f t="shared" ca="1" si="155"/>
        <v>0</v>
      </c>
      <c r="T269" s="29">
        <f t="shared" ca="1" si="155"/>
        <v>0</v>
      </c>
      <c r="U269" s="29">
        <f t="shared" ca="1" si="155"/>
        <v>0</v>
      </c>
      <c r="V269" s="29">
        <f t="shared" ca="1" si="155"/>
        <v>1</v>
      </c>
      <c r="W269" s="29">
        <f t="shared" ca="1" si="155"/>
        <v>2</v>
      </c>
      <c r="X269" s="29">
        <f t="shared" ca="1" si="155"/>
        <v>0</v>
      </c>
      <c r="Y269" s="29">
        <f t="shared" ca="1" si="155"/>
        <v>0</v>
      </c>
      <c r="Z269" s="29">
        <f t="shared" ca="1" si="155"/>
        <v>1</v>
      </c>
      <c r="AA269" s="29">
        <f t="shared" ca="1" si="155"/>
        <v>2</v>
      </c>
      <c r="AB269" s="29">
        <f t="shared" ca="1" si="155"/>
        <v>3</v>
      </c>
      <c r="AC269" s="29">
        <f t="shared" ca="1" si="155"/>
        <v>1</v>
      </c>
      <c r="AD269" s="29">
        <f t="shared" ca="1" si="155"/>
        <v>0</v>
      </c>
      <c r="AE269" s="29">
        <f t="shared" ca="1" si="155"/>
        <v>0</v>
      </c>
      <c r="AF269" s="29">
        <f t="shared" ca="1" si="155"/>
        <v>1</v>
      </c>
      <c r="AG269" s="29">
        <f t="shared" ca="1" si="154"/>
        <v>2</v>
      </c>
      <c r="AH269" s="29">
        <f t="shared" ca="1" si="154"/>
        <v>1</v>
      </c>
      <c r="AI269" s="29">
        <f t="shared" ca="1" si="154"/>
        <v>2</v>
      </c>
      <c r="AJ269" s="29">
        <f t="shared" ca="1" si="154"/>
        <v>1</v>
      </c>
      <c r="AK269" s="29">
        <f t="shared" ca="1" si="154"/>
        <v>2</v>
      </c>
      <c r="AL269" s="29">
        <f t="shared" ca="1" si="154"/>
        <v>1</v>
      </c>
      <c r="AM269" s="29">
        <f t="shared" ca="1" si="154"/>
        <v>0</v>
      </c>
      <c r="AN269" s="29">
        <f t="shared" ca="1" si="154"/>
        <v>1</v>
      </c>
      <c r="AO269" s="29">
        <f t="shared" ca="1" si="154"/>
        <v>2</v>
      </c>
      <c r="AP269" s="29">
        <f t="shared" ca="1" si="154"/>
        <v>1</v>
      </c>
      <c r="AQ269" s="29">
        <f t="shared" ca="1" si="154"/>
        <v>2</v>
      </c>
      <c r="AR269" s="29">
        <f t="shared" ca="1" si="154"/>
        <v>1</v>
      </c>
      <c r="AS269" s="29">
        <f t="shared" ca="1" si="154"/>
        <v>0</v>
      </c>
      <c r="AT269" s="29">
        <f t="shared" ca="1" si="154"/>
        <v>1</v>
      </c>
      <c r="AU269" s="29">
        <f t="shared" ca="1" si="154"/>
        <v>1</v>
      </c>
      <c r="AV269" s="29">
        <f t="shared" ref="AV269:BK284" ca="1" si="158">_xlfn.BINOM.INV(50,$E269,RAND())</f>
        <v>2</v>
      </c>
      <c r="AW269" s="29">
        <f t="shared" ca="1" si="158"/>
        <v>1</v>
      </c>
      <c r="AX269" s="29">
        <f t="shared" ca="1" si="158"/>
        <v>1</v>
      </c>
      <c r="AY269" s="29">
        <f t="shared" ca="1" si="158"/>
        <v>1</v>
      </c>
      <c r="AZ269" s="29">
        <f t="shared" ca="1" si="158"/>
        <v>1</v>
      </c>
      <c r="BA269" s="29">
        <f t="shared" ca="1" si="158"/>
        <v>1</v>
      </c>
      <c r="BB269" s="29">
        <f t="shared" ca="1" si="158"/>
        <v>0</v>
      </c>
      <c r="BC269" s="29">
        <f t="shared" ca="1" si="158"/>
        <v>1</v>
      </c>
      <c r="BD269" s="29">
        <f t="shared" ca="1" si="158"/>
        <v>2</v>
      </c>
      <c r="BE269" s="29">
        <f t="shared" ca="1" si="158"/>
        <v>0</v>
      </c>
      <c r="BF269" s="29">
        <f t="shared" ca="1" si="158"/>
        <v>1</v>
      </c>
      <c r="BG269" s="29">
        <f t="shared" ca="1" si="158"/>
        <v>0</v>
      </c>
      <c r="BH269" s="29">
        <f t="shared" ca="1" si="158"/>
        <v>2</v>
      </c>
      <c r="BI269" s="29">
        <f t="shared" ca="1" si="158"/>
        <v>1</v>
      </c>
      <c r="BJ269" s="29">
        <f t="shared" ca="1" si="158"/>
        <v>0</v>
      </c>
      <c r="BK269" s="29">
        <f t="shared" ca="1" si="158"/>
        <v>0</v>
      </c>
      <c r="BL269" s="29">
        <f t="shared" ca="1" si="156"/>
        <v>2</v>
      </c>
      <c r="BM269" s="29">
        <f t="shared" ca="1" si="156"/>
        <v>0</v>
      </c>
      <c r="BN269" s="29">
        <f t="shared" ca="1" si="156"/>
        <v>0</v>
      </c>
      <c r="BO269" s="29">
        <f t="shared" ca="1" si="156"/>
        <v>1</v>
      </c>
      <c r="BP269" s="29">
        <f t="shared" ca="1" si="156"/>
        <v>1</v>
      </c>
      <c r="BQ269" s="29">
        <f t="shared" ca="1" si="156"/>
        <v>0</v>
      </c>
      <c r="BR269" s="29">
        <f t="shared" ca="1" si="156"/>
        <v>2</v>
      </c>
      <c r="BS269" s="29">
        <f t="shared" ca="1" si="156"/>
        <v>2</v>
      </c>
      <c r="BT269" s="29">
        <f t="shared" ca="1" si="156"/>
        <v>1</v>
      </c>
      <c r="BU269" s="29">
        <f t="shared" ca="1" si="156"/>
        <v>1</v>
      </c>
      <c r="BV269" s="29">
        <f t="shared" ca="1" si="156"/>
        <v>1</v>
      </c>
      <c r="BW269" s="29">
        <f t="shared" ca="1" si="156"/>
        <v>0</v>
      </c>
      <c r="BX269" s="29">
        <f t="shared" ca="1" si="156"/>
        <v>3</v>
      </c>
      <c r="BY269" s="29">
        <f t="shared" ca="1" si="156"/>
        <v>0</v>
      </c>
      <c r="BZ269" s="29">
        <f t="shared" ca="1" si="156"/>
        <v>3</v>
      </c>
      <c r="CA269" s="29">
        <f t="shared" ca="1" si="153"/>
        <v>1</v>
      </c>
      <c r="CB269" s="29">
        <f t="shared" ca="1" si="153"/>
        <v>2</v>
      </c>
      <c r="CC269" s="29">
        <f t="shared" ca="1" si="153"/>
        <v>2</v>
      </c>
      <c r="CD269" s="29">
        <f t="shared" ca="1" si="153"/>
        <v>1</v>
      </c>
      <c r="CE269" s="29">
        <f t="shared" ca="1" si="153"/>
        <v>0</v>
      </c>
      <c r="CF269" s="29">
        <f t="shared" ca="1" si="153"/>
        <v>0</v>
      </c>
      <c r="CG269" s="29">
        <f t="shared" ca="1" si="153"/>
        <v>1</v>
      </c>
      <c r="CH269" s="29">
        <f t="shared" ca="1" si="153"/>
        <v>0</v>
      </c>
      <c r="CI269" s="29">
        <f t="shared" ca="1" si="153"/>
        <v>0</v>
      </c>
      <c r="CJ269" s="29">
        <f t="shared" ca="1" si="153"/>
        <v>3</v>
      </c>
      <c r="CK269" s="29">
        <f t="shared" ca="1" si="153"/>
        <v>2</v>
      </c>
      <c r="CL269" s="29">
        <f t="shared" ca="1" si="153"/>
        <v>0</v>
      </c>
      <c r="CM269" s="29">
        <f t="shared" ca="1" si="153"/>
        <v>2</v>
      </c>
      <c r="CN269" s="29">
        <f t="shared" ca="1" si="153"/>
        <v>3</v>
      </c>
      <c r="CO269" s="29">
        <f t="shared" ca="1" si="153"/>
        <v>1</v>
      </c>
      <c r="CP269" s="29">
        <f t="shared" ca="1" si="153"/>
        <v>0</v>
      </c>
      <c r="CQ269" s="29">
        <f t="shared" ca="1" si="152"/>
        <v>0</v>
      </c>
      <c r="CR269" s="29">
        <f t="shared" ca="1" si="152"/>
        <v>0</v>
      </c>
      <c r="CS269" s="29">
        <f t="shared" ca="1" si="152"/>
        <v>1</v>
      </c>
      <c r="CT269" s="29">
        <f t="shared" ca="1" si="152"/>
        <v>2</v>
      </c>
      <c r="CU269" s="29">
        <f t="shared" ca="1" si="152"/>
        <v>2</v>
      </c>
      <c r="CV269" s="29">
        <f t="shared" ca="1" si="152"/>
        <v>0</v>
      </c>
      <c r="CW269" s="29">
        <f t="shared" ca="1" si="152"/>
        <v>3</v>
      </c>
      <c r="CX269" s="29">
        <f t="shared" ca="1" si="152"/>
        <v>0</v>
      </c>
      <c r="CY269" s="29">
        <f t="shared" ca="1" si="152"/>
        <v>3</v>
      </c>
      <c r="CZ269" s="29">
        <f t="shared" ca="1" si="152"/>
        <v>0</v>
      </c>
      <c r="DA269" s="29">
        <f t="shared" ca="1" si="152"/>
        <v>0</v>
      </c>
      <c r="DB269" s="29">
        <f t="shared" ca="1" si="152"/>
        <v>1</v>
      </c>
      <c r="DC269" s="29">
        <f t="shared" ca="1" si="152"/>
        <v>0</v>
      </c>
      <c r="DD269" s="29">
        <f t="shared" ca="1" si="152"/>
        <v>1</v>
      </c>
      <c r="DE269" s="29">
        <f t="shared" ca="1" si="152"/>
        <v>0</v>
      </c>
      <c r="DF269" s="29">
        <f t="shared" ref="DF269:DL305" ca="1" si="159">_xlfn.BINOM.INV(50,$E269,RAND())</f>
        <v>2</v>
      </c>
      <c r="DG269" s="29">
        <f t="shared" ca="1" si="159"/>
        <v>1</v>
      </c>
      <c r="DH269" s="29">
        <f t="shared" ca="1" si="159"/>
        <v>1</v>
      </c>
      <c r="DI269" s="29">
        <f t="shared" ca="1" si="159"/>
        <v>1</v>
      </c>
      <c r="DJ269" s="29">
        <f t="shared" ca="1" si="159"/>
        <v>2</v>
      </c>
      <c r="DK269" s="29">
        <f t="shared" ca="1" si="159"/>
        <v>0</v>
      </c>
      <c r="DL269" s="29">
        <f t="shared" ca="1" si="159"/>
        <v>0</v>
      </c>
    </row>
    <row r="270" spans="1:116" ht="14.4" x14ac:dyDescent="0.3">
      <c r="A270" s="31">
        <v>301</v>
      </c>
      <c r="B270" s="28">
        <v>4.4000000000000004</v>
      </c>
      <c r="C270" s="30">
        <v>0.78</v>
      </c>
      <c r="D270" s="28">
        <v>1.28</v>
      </c>
      <c r="E270" s="34">
        <f t="shared" si="145"/>
        <v>2.5600000000000001E-2</v>
      </c>
      <c r="F270" s="35">
        <f t="shared" si="146"/>
        <v>0.19500000000000001</v>
      </c>
      <c r="G270" s="34">
        <f t="shared" si="147"/>
        <v>32</v>
      </c>
      <c r="H270" s="33">
        <f t="shared" si="148"/>
        <v>7.2284090909090901</v>
      </c>
      <c r="I270" s="28">
        <f t="shared" si="151"/>
        <v>933.66000000000065</v>
      </c>
      <c r="J270" s="32">
        <v>0</v>
      </c>
      <c r="K270" s="30">
        <f t="shared" si="149"/>
        <v>32</v>
      </c>
      <c r="L270" s="30"/>
      <c r="M270" s="30"/>
      <c r="N270" s="30"/>
      <c r="O270" s="30"/>
      <c r="Q270" s="29">
        <f t="shared" ca="1" si="150"/>
        <v>0</v>
      </c>
      <c r="R270" s="29">
        <f t="shared" ca="1" si="155"/>
        <v>1</v>
      </c>
      <c r="S270" s="29">
        <f t="shared" ca="1" si="155"/>
        <v>1</v>
      </c>
      <c r="T270" s="29">
        <f t="shared" ca="1" si="155"/>
        <v>0</v>
      </c>
      <c r="U270" s="29">
        <f t="shared" ca="1" si="155"/>
        <v>1</v>
      </c>
      <c r="V270" s="29">
        <f t="shared" ca="1" si="155"/>
        <v>1</v>
      </c>
      <c r="W270" s="29">
        <f t="shared" ca="1" si="155"/>
        <v>2</v>
      </c>
      <c r="X270" s="29">
        <f t="shared" ca="1" si="155"/>
        <v>0</v>
      </c>
      <c r="Y270" s="29">
        <f t="shared" ca="1" si="155"/>
        <v>2</v>
      </c>
      <c r="Z270" s="29">
        <f t="shared" ca="1" si="155"/>
        <v>0</v>
      </c>
      <c r="AA270" s="29">
        <f t="shared" ca="1" si="155"/>
        <v>1</v>
      </c>
      <c r="AB270" s="29">
        <f t="shared" ca="1" si="155"/>
        <v>2</v>
      </c>
      <c r="AC270" s="29">
        <f t="shared" ca="1" si="155"/>
        <v>3</v>
      </c>
      <c r="AD270" s="29">
        <f t="shared" ca="1" si="155"/>
        <v>3</v>
      </c>
      <c r="AE270" s="29">
        <f t="shared" ca="1" si="155"/>
        <v>2</v>
      </c>
      <c r="AF270" s="29">
        <f t="shared" ca="1" si="155"/>
        <v>0</v>
      </c>
      <c r="AG270" s="29">
        <f t="shared" ca="1" si="154"/>
        <v>1</v>
      </c>
      <c r="AH270" s="29">
        <f t="shared" ca="1" si="154"/>
        <v>4</v>
      </c>
      <c r="AI270" s="29">
        <f t="shared" ca="1" si="154"/>
        <v>1</v>
      </c>
      <c r="AJ270" s="29">
        <f t="shared" ca="1" si="154"/>
        <v>1</v>
      </c>
      <c r="AK270" s="29">
        <f t="shared" ca="1" si="154"/>
        <v>1</v>
      </c>
      <c r="AL270" s="29">
        <f t="shared" ca="1" si="154"/>
        <v>1</v>
      </c>
      <c r="AM270" s="29">
        <f t="shared" ca="1" si="154"/>
        <v>3</v>
      </c>
      <c r="AN270" s="29">
        <f t="shared" ca="1" si="154"/>
        <v>3</v>
      </c>
      <c r="AO270" s="29">
        <f t="shared" ca="1" si="154"/>
        <v>1</v>
      </c>
      <c r="AP270" s="29">
        <f t="shared" ca="1" si="154"/>
        <v>0</v>
      </c>
      <c r="AQ270" s="29">
        <f t="shared" ca="1" si="154"/>
        <v>0</v>
      </c>
      <c r="AR270" s="29">
        <f t="shared" ca="1" si="154"/>
        <v>3</v>
      </c>
      <c r="AS270" s="29">
        <f t="shared" ca="1" si="154"/>
        <v>3</v>
      </c>
      <c r="AT270" s="29">
        <f t="shared" ca="1" si="154"/>
        <v>0</v>
      </c>
      <c r="AU270" s="29">
        <f t="shared" ca="1" si="154"/>
        <v>1</v>
      </c>
      <c r="AV270" s="29">
        <f t="shared" ca="1" si="158"/>
        <v>2</v>
      </c>
      <c r="AW270" s="29">
        <f t="shared" ca="1" si="158"/>
        <v>2</v>
      </c>
      <c r="AX270" s="29">
        <f t="shared" ca="1" si="158"/>
        <v>3</v>
      </c>
      <c r="AY270" s="29">
        <f t="shared" ca="1" si="158"/>
        <v>3</v>
      </c>
      <c r="AZ270" s="29">
        <f t="shared" ca="1" si="158"/>
        <v>1</v>
      </c>
      <c r="BA270" s="29">
        <f t="shared" ca="1" si="158"/>
        <v>1</v>
      </c>
      <c r="BB270" s="29">
        <f t="shared" ca="1" si="158"/>
        <v>1</v>
      </c>
      <c r="BC270" s="29">
        <f t="shared" ca="1" si="158"/>
        <v>2</v>
      </c>
      <c r="BD270" s="29">
        <f t="shared" ca="1" si="158"/>
        <v>5</v>
      </c>
      <c r="BE270" s="29">
        <f t="shared" ca="1" si="158"/>
        <v>1</v>
      </c>
      <c r="BF270" s="29">
        <f t="shared" ca="1" si="158"/>
        <v>1</v>
      </c>
      <c r="BG270" s="29">
        <f t="shared" ca="1" si="158"/>
        <v>0</v>
      </c>
      <c r="BH270" s="29">
        <f t="shared" ca="1" si="158"/>
        <v>1</v>
      </c>
      <c r="BI270" s="29">
        <f t="shared" ca="1" si="158"/>
        <v>0</v>
      </c>
      <c r="BJ270" s="29">
        <f t="shared" ca="1" si="158"/>
        <v>3</v>
      </c>
      <c r="BK270" s="29">
        <f t="shared" ca="1" si="158"/>
        <v>1</v>
      </c>
      <c r="BL270" s="29">
        <f t="shared" ca="1" si="156"/>
        <v>2</v>
      </c>
      <c r="BM270" s="29">
        <f t="shared" ca="1" si="156"/>
        <v>0</v>
      </c>
      <c r="BN270" s="29">
        <f t="shared" ca="1" si="156"/>
        <v>2</v>
      </c>
      <c r="BO270" s="29">
        <f t="shared" ca="1" si="156"/>
        <v>1</v>
      </c>
      <c r="BP270" s="29">
        <f t="shared" ca="1" si="156"/>
        <v>1</v>
      </c>
      <c r="BQ270" s="29">
        <f t="shared" ca="1" si="156"/>
        <v>0</v>
      </c>
      <c r="BR270" s="29">
        <f t="shared" ca="1" si="156"/>
        <v>0</v>
      </c>
      <c r="BS270" s="29">
        <f t="shared" ca="1" si="156"/>
        <v>1</v>
      </c>
      <c r="BT270" s="29">
        <f t="shared" ca="1" si="156"/>
        <v>1</v>
      </c>
      <c r="BU270" s="29">
        <f t="shared" ca="1" si="156"/>
        <v>2</v>
      </c>
      <c r="BV270" s="29">
        <f t="shared" ca="1" si="156"/>
        <v>1</v>
      </c>
      <c r="BW270" s="29">
        <f t="shared" ca="1" si="156"/>
        <v>0</v>
      </c>
      <c r="BX270" s="29">
        <f t="shared" ca="1" si="156"/>
        <v>1</v>
      </c>
      <c r="BY270" s="29">
        <f t="shared" ca="1" si="156"/>
        <v>1</v>
      </c>
      <c r="BZ270" s="29">
        <f t="shared" ca="1" si="156"/>
        <v>2</v>
      </c>
      <c r="CA270" s="29">
        <f t="shared" ca="1" si="153"/>
        <v>0</v>
      </c>
      <c r="CB270" s="29">
        <f t="shared" ca="1" si="153"/>
        <v>1</v>
      </c>
      <c r="CC270" s="29">
        <f t="shared" ca="1" si="153"/>
        <v>1</v>
      </c>
      <c r="CD270" s="29">
        <f t="shared" ca="1" si="153"/>
        <v>1</v>
      </c>
      <c r="CE270" s="29">
        <f t="shared" ca="1" si="153"/>
        <v>1</v>
      </c>
      <c r="CF270" s="29">
        <f t="shared" ca="1" si="153"/>
        <v>1</v>
      </c>
      <c r="CG270" s="29">
        <f t="shared" ca="1" si="153"/>
        <v>0</v>
      </c>
      <c r="CH270" s="29">
        <f t="shared" ca="1" si="153"/>
        <v>1</v>
      </c>
      <c r="CI270" s="29">
        <f t="shared" ca="1" si="153"/>
        <v>1</v>
      </c>
      <c r="CJ270" s="29">
        <f t="shared" ca="1" si="153"/>
        <v>1</v>
      </c>
      <c r="CK270" s="29">
        <f t="shared" ca="1" si="153"/>
        <v>3</v>
      </c>
      <c r="CL270" s="29">
        <f t="shared" ca="1" si="153"/>
        <v>0</v>
      </c>
      <c r="CM270" s="29">
        <f t="shared" ca="1" si="153"/>
        <v>0</v>
      </c>
      <c r="CN270" s="29">
        <f t="shared" ca="1" si="153"/>
        <v>1</v>
      </c>
      <c r="CO270" s="29">
        <f t="shared" ca="1" si="153"/>
        <v>0</v>
      </c>
      <c r="CP270" s="29">
        <f t="shared" ca="1" si="153"/>
        <v>0</v>
      </c>
      <c r="CQ270" s="29">
        <f t="shared" ca="1" si="152"/>
        <v>1</v>
      </c>
      <c r="CR270" s="29">
        <f t="shared" ca="1" si="152"/>
        <v>0</v>
      </c>
      <c r="CS270" s="29">
        <f t="shared" ca="1" si="152"/>
        <v>0</v>
      </c>
      <c r="CT270" s="29">
        <f t="shared" ca="1" si="152"/>
        <v>1</v>
      </c>
      <c r="CU270" s="29">
        <f t="shared" ca="1" si="152"/>
        <v>2</v>
      </c>
      <c r="CV270" s="29">
        <f t="shared" ca="1" si="152"/>
        <v>1</v>
      </c>
      <c r="CW270" s="29">
        <f t="shared" ca="1" si="152"/>
        <v>2</v>
      </c>
      <c r="CX270" s="29">
        <f t="shared" ca="1" si="152"/>
        <v>2</v>
      </c>
      <c r="CY270" s="29">
        <f t="shared" ca="1" si="152"/>
        <v>1</v>
      </c>
      <c r="CZ270" s="29">
        <f t="shared" ca="1" si="152"/>
        <v>4</v>
      </c>
      <c r="DA270" s="29">
        <f t="shared" ca="1" si="152"/>
        <v>4</v>
      </c>
      <c r="DB270" s="29">
        <f t="shared" ca="1" si="152"/>
        <v>2</v>
      </c>
      <c r="DC270" s="29">
        <f t="shared" ca="1" si="152"/>
        <v>2</v>
      </c>
      <c r="DD270" s="29">
        <f t="shared" ca="1" si="152"/>
        <v>1</v>
      </c>
      <c r="DE270" s="29">
        <f t="shared" ca="1" si="152"/>
        <v>0</v>
      </c>
      <c r="DF270" s="29">
        <f t="shared" ca="1" si="159"/>
        <v>2</v>
      </c>
      <c r="DG270" s="29">
        <f t="shared" ca="1" si="159"/>
        <v>0</v>
      </c>
      <c r="DH270" s="29">
        <f t="shared" ca="1" si="159"/>
        <v>4</v>
      </c>
      <c r="DI270" s="29">
        <f t="shared" ca="1" si="159"/>
        <v>2</v>
      </c>
      <c r="DJ270" s="29">
        <f t="shared" ca="1" si="159"/>
        <v>1</v>
      </c>
      <c r="DK270" s="29">
        <f t="shared" ca="1" si="159"/>
        <v>0</v>
      </c>
      <c r="DL270" s="29">
        <f t="shared" ca="1" si="159"/>
        <v>0</v>
      </c>
    </row>
    <row r="271" spans="1:116" ht="14.4" x14ac:dyDescent="0.3">
      <c r="A271" s="31">
        <v>1</v>
      </c>
      <c r="B271" s="28">
        <v>9.2899999999999991</v>
      </c>
      <c r="C271" s="30">
        <v>55.24</v>
      </c>
      <c r="D271" s="28">
        <v>3.23</v>
      </c>
      <c r="E271" s="34">
        <f t="shared" si="145"/>
        <v>6.4600000000000005E-2</v>
      </c>
      <c r="F271" s="35">
        <f t="shared" si="146"/>
        <v>13.81</v>
      </c>
      <c r="G271" s="34">
        <f t="shared" si="147"/>
        <v>80.75</v>
      </c>
      <c r="H271" s="33">
        <f t="shared" si="148"/>
        <v>7.205597416576965</v>
      </c>
      <c r="I271" s="28">
        <f t="shared" si="151"/>
        <v>942.95000000000061</v>
      </c>
      <c r="J271" s="32">
        <v>0</v>
      </c>
      <c r="K271" s="30">
        <f t="shared" si="149"/>
        <v>80.75</v>
      </c>
      <c r="L271" s="30"/>
      <c r="M271" s="30"/>
      <c r="N271" s="30"/>
      <c r="O271" s="30"/>
      <c r="Q271" s="29">
        <f t="shared" ca="1" si="150"/>
        <v>3</v>
      </c>
      <c r="R271" s="29">
        <f t="shared" ca="1" si="155"/>
        <v>3</v>
      </c>
      <c r="S271" s="29">
        <f t="shared" ca="1" si="155"/>
        <v>4</v>
      </c>
      <c r="T271" s="29">
        <f t="shared" ca="1" si="155"/>
        <v>2</v>
      </c>
      <c r="U271" s="29">
        <f t="shared" ca="1" si="155"/>
        <v>3</v>
      </c>
      <c r="V271" s="29">
        <f t="shared" ca="1" si="155"/>
        <v>1</v>
      </c>
      <c r="W271" s="29">
        <f t="shared" ca="1" si="155"/>
        <v>4</v>
      </c>
      <c r="X271" s="29">
        <f t="shared" ca="1" si="155"/>
        <v>5</v>
      </c>
      <c r="Y271" s="29">
        <f t="shared" ca="1" si="155"/>
        <v>2</v>
      </c>
      <c r="Z271" s="29">
        <f t="shared" ca="1" si="155"/>
        <v>2</v>
      </c>
      <c r="AA271" s="29">
        <f t="shared" ca="1" si="155"/>
        <v>2</v>
      </c>
      <c r="AB271" s="29">
        <f t="shared" ca="1" si="155"/>
        <v>3</v>
      </c>
      <c r="AC271" s="29">
        <f t="shared" ca="1" si="155"/>
        <v>5</v>
      </c>
      <c r="AD271" s="29">
        <f t="shared" ca="1" si="155"/>
        <v>3</v>
      </c>
      <c r="AE271" s="29">
        <f t="shared" ca="1" si="155"/>
        <v>6</v>
      </c>
      <c r="AF271" s="29">
        <f t="shared" ca="1" si="155"/>
        <v>3</v>
      </c>
      <c r="AG271" s="29">
        <f t="shared" ca="1" si="154"/>
        <v>5</v>
      </c>
      <c r="AH271" s="29">
        <f t="shared" ca="1" si="154"/>
        <v>2</v>
      </c>
      <c r="AI271" s="29">
        <f t="shared" ca="1" si="154"/>
        <v>6</v>
      </c>
      <c r="AJ271" s="29">
        <f t="shared" ca="1" si="154"/>
        <v>3</v>
      </c>
      <c r="AK271" s="29">
        <f t="shared" ca="1" si="154"/>
        <v>2</v>
      </c>
      <c r="AL271" s="29">
        <f t="shared" ca="1" si="154"/>
        <v>1</v>
      </c>
      <c r="AM271" s="29">
        <f t="shared" ca="1" si="154"/>
        <v>1</v>
      </c>
      <c r="AN271" s="29">
        <f t="shared" ca="1" si="154"/>
        <v>3</v>
      </c>
      <c r="AO271" s="29">
        <f t="shared" ca="1" si="154"/>
        <v>2</v>
      </c>
      <c r="AP271" s="29">
        <f t="shared" ca="1" si="154"/>
        <v>2</v>
      </c>
      <c r="AQ271" s="29">
        <f t="shared" ca="1" si="154"/>
        <v>4</v>
      </c>
      <c r="AR271" s="29">
        <f t="shared" ca="1" si="154"/>
        <v>5</v>
      </c>
      <c r="AS271" s="29">
        <f t="shared" ca="1" si="154"/>
        <v>2</v>
      </c>
      <c r="AT271" s="29">
        <f t="shared" ca="1" si="154"/>
        <v>2</v>
      </c>
      <c r="AU271" s="29">
        <f t="shared" ca="1" si="154"/>
        <v>4</v>
      </c>
      <c r="AV271" s="29">
        <f t="shared" ca="1" si="158"/>
        <v>3</v>
      </c>
      <c r="AW271" s="29">
        <f t="shared" ca="1" si="158"/>
        <v>1</v>
      </c>
      <c r="AX271" s="29">
        <f t="shared" ca="1" si="158"/>
        <v>3</v>
      </c>
      <c r="AY271" s="29">
        <f t="shared" ca="1" si="158"/>
        <v>2</v>
      </c>
      <c r="AZ271" s="29">
        <f t="shared" ca="1" si="158"/>
        <v>3</v>
      </c>
      <c r="BA271" s="29">
        <f t="shared" ca="1" si="158"/>
        <v>1</v>
      </c>
      <c r="BB271" s="29">
        <f t="shared" ca="1" si="158"/>
        <v>2</v>
      </c>
      <c r="BC271" s="29">
        <f t="shared" ca="1" si="158"/>
        <v>0</v>
      </c>
      <c r="BD271" s="29">
        <f t="shared" ca="1" si="158"/>
        <v>3</v>
      </c>
      <c r="BE271" s="29">
        <f t="shared" ca="1" si="158"/>
        <v>4</v>
      </c>
      <c r="BF271" s="29">
        <f t="shared" ca="1" si="158"/>
        <v>6</v>
      </c>
      <c r="BG271" s="29">
        <f t="shared" ca="1" si="158"/>
        <v>6</v>
      </c>
      <c r="BH271" s="29">
        <f t="shared" ca="1" si="158"/>
        <v>5</v>
      </c>
      <c r="BI271" s="29">
        <f t="shared" ca="1" si="158"/>
        <v>2</v>
      </c>
      <c r="BJ271" s="29">
        <f t="shared" ca="1" si="158"/>
        <v>4</v>
      </c>
      <c r="BK271" s="29">
        <f t="shared" ca="1" si="158"/>
        <v>7</v>
      </c>
      <c r="BL271" s="29">
        <f t="shared" ca="1" si="156"/>
        <v>4</v>
      </c>
      <c r="BM271" s="29">
        <f t="shared" ca="1" si="156"/>
        <v>2</v>
      </c>
      <c r="BN271" s="29">
        <f t="shared" ca="1" si="156"/>
        <v>1</v>
      </c>
      <c r="BO271" s="29">
        <f t="shared" ca="1" si="156"/>
        <v>5</v>
      </c>
      <c r="BP271" s="29">
        <f t="shared" ca="1" si="156"/>
        <v>3</v>
      </c>
      <c r="BQ271" s="29">
        <f t="shared" ca="1" si="156"/>
        <v>6</v>
      </c>
      <c r="BR271" s="29">
        <f t="shared" ca="1" si="156"/>
        <v>3</v>
      </c>
      <c r="BS271" s="29">
        <f t="shared" ca="1" si="156"/>
        <v>2</v>
      </c>
      <c r="BT271" s="29">
        <f t="shared" ca="1" si="156"/>
        <v>4</v>
      </c>
      <c r="BU271" s="29">
        <f t="shared" ca="1" si="156"/>
        <v>4</v>
      </c>
      <c r="BV271" s="29">
        <f t="shared" ca="1" si="156"/>
        <v>5</v>
      </c>
      <c r="BW271" s="29">
        <f t="shared" ca="1" si="156"/>
        <v>5</v>
      </c>
      <c r="BX271" s="29">
        <f t="shared" ca="1" si="156"/>
        <v>3</v>
      </c>
      <c r="BY271" s="29">
        <f t="shared" ca="1" si="156"/>
        <v>7</v>
      </c>
      <c r="BZ271" s="29">
        <f t="shared" ca="1" si="156"/>
        <v>1</v>
      </c>
      <c r="CA271" s="29">
        <f t="shared" ca="1" si="153"/>
        <v>4</v>
      </c>
      <c r="CB271" s="29">
        <f t="shared" ca="1" si="153"/>
        <v>4</v>
      </c>
      <c r="CC271" s="29">
        <f t="shared" ca="1" si="153"/>
        <v>5</v>
      </c>
      <c r="CD271" s="29">
        <f t="shared" ca="1" si="153"/>
        <v>3</v>
      </c>
      <c r="CE271" s="29">
        <f t="shared" ca="1" si="153"/>
        <v>3</v>
      </c>
      <c r="CF271" s="29">
        <f t="shared" ca="1" si="153"/>
        <v>2</v>
      </c>
      <c r="CG271" s="29">
        <f t="shared" ca="1" si="153"/>
        <v>4</v>
      </c>
      <c r="CH271" s="29">
        <f t="shared" ca="1" si="153"/>
        <v>1</v>
      </c>
      <c r="CI271" s="29">
        <f t="shared" ca="1" si="153"/>
        <v>4</v>
      </c>
      <c r="CJ271" s="29">
        <f t="shared" ca="1" si="153"/>
        <v>4</v>
      </c>
      <c r="CK271" s="29">
        <f t="shared" ca="1" si="153"/>
        <v>5</v>
      </c>
      <c r="CL271" s="29">
        <f t="shared" ca="1" si="153"/>
        <v>3</v>
      </c>
      <c r="CM271" s="29">
        <f t="shared" ca="1" si="153"/>
        <v>3</v>
      </c>
      <c r="CN271" s="29">
        <f t="shared" ca="1" si="153"/>
        <v>4</v>
      </c>
      <c r="CO271" s="29">
        <f t="shared" ca="1" si="153"/>
        <v>6</v>
      </c>
      <c r="CP271" s="29">
        <f t="shared" ca="1" si="153"/>
        <v>5</v>
      </c>
      <c r="CQ271" s="29">
        <f t="shared" ca="1" si="152"/>
        <v>3</v>
      </c>
      <c r="CR271" s="29">
        <f t="shared" ca="1" si="152"/>
        <v>3</v>
      </c>
      <c r="CS271" s="29">
        <f t="shared" ca="1" si="152"/>
        <v>2</v>
      </c>
      <c r="CT271" s="29">
        <f t="shared" ca="1" si="152"/>
        <v>5</v>
      </c>
      <c r="CU271" s="29">
        <f t="shared" ca="1" si="152"/>
        <v>4</v>
      </c>
      <c r="CV271" s="29">
        <f t="shared" ca="1" si="152"/>
        <v>4</v>
      </c>
      <c r="CW271" s="29">
        <f t="shared" ca="1" si="152"/>
        <v>2</v>
      </c>
      <c r="CX271" s="29">
        <f t="shared" ca="1" si="152"/>
        <v>2</v>
      </c>
      <c r="CY271" s="29">
        <f t="shared" ca="1" si="152"/>
        <v>3</v>
      </c>
      <c r="CZ271" s="29">
        <f t="shared" ca="1" si="152"/>
        <v>3</v>
      </c>
      <c r="DA271" s="29">
        <f t="shared" ca="1" si="152"/>
        <v>0</v>
      </c>
      <c r="DB271" s="29">
        <f t="shared" ca="1" si="152"/>
        <v>1</v>
      </c>
      <c r="DC271" s="29">
        <f t="shared" ca="1" si="152"/>
        <v>5</v>
      </c>
      <c r="DD271" s="29">
        <f t="shared" ca="1" si="152"/>
        <v>9</v>
      </c>
      <c r="DE271" s="29">
        <f t="shared" ca="1" si="152"/>
        <v>2</v>
      </c>
      <c r="DF271" s="29">
        <f t="shared" ca="1" si="159"/>
        <v>0</v>
      </c>
      <c r="DG271" s="29">
        <f t="shared" ca="1" si="159"/>
        <v>4</v>
      </c>
      <c r="DH271" s="29">
        <f t="shared" ca="1" si="159"/>
        <v>4</v>
      </c>
      <c r="DI271" s="29">
        <f t="shared" ca="1" si="159"/>
        <v>4</v>
      </c>
      <c r="DJ271" s="29">
        <f t="shared" ca="1" si="159"/>
        <v>0</v>
      </c>
      <c r="DK271" s="29">
        <f t="shared" ca="1" si="159"/>
        <v>5</v>
      </c>
      <c r="DL271" s="29">
        <f t="shared" ca="1" si="159"/>
        <v>4</v>
      </c>
    </row>
    <row r="272" spans="1:116" ht="14.4" x14ac:dyDescent="0.3">
      <c r="A272" s="31">
        <v>413</v>
      </c>
      <c r="B272" s="28">
        <v>7.37</v>
      </c>
      <c r="C272" s="30">
        <v>63.63</v>
      </c>
      <c r="D272" s="28">
        <v>2.76</v>
      </c>
      <c r="E272" s="34">
        <f t="shared" si="145"/>
        <v>5.5199999999999999E-2</v>
      </c>
      <c r="F272" s="35">
        <f t="shared" si="146"/>
        <v>15.907500000000001</v>
      </c>
      <c r="G272" s="34">
        <f t="shared" si="147"/>
        <v>69</v>
      </c>
      <c r="H272" s="33">
        <f t="shared" si="148"/>
        <v>7.2038670284938942</v>
      </c>
      <c r="I272" s="28">
        <f t="shared" si="151"/>
        <v>950.32000000000062</v>
      </c>
      <c r="J272" s="32">
        <v>0</v>
      </c>
      <c r="K272" s="30">
        <f t="shared" si="149"/>
        <v>69</v>
      </c>
      <c r="L272" s="30"/>
      <c r="M272" s="30"/>
      <c r="N272" s="30"/>
      <c r="O272" s="30"/>
      <c r="Q272" s="29">
        <f t="shared" ca="1" si="150"/>
        <v>4</v>
      </c>
      <c r="R272" s="29">
        <f t="shared" ca="1" si="155"/>
        <v>5</v>
      </c>
      <c r="S272" s="29">
        <f t="shared" ca="1" si="155"/>
        <v>7</v>
      </c>
      <c r="T272" s="29">
        <f t="shared" ca="1" si="155"/>
        <v>1</v>
      </c>
      <c r="U272" s="29">
        <f t="shared" ca="1" si="155"/>
        <v>1</v>
      </c>
      <c r="V272" s="29">
        <f t="shared" ca="1" si="155"/>
        <v>0</v>
      </c>
      <c r="W272" s="29">
        <f t="shared" ca="1" si="155"/>
        <v>2</v>
      </c>
      <c r="X272" s="29">
        <f t="shared" ca="1" si="155"/>
        <v>2</v>
      </c>
      <c r="Y272" s="29">
        <f t="shared" ca="1" si="155"/>
        <v>3</v>
      </c>
      <c r="Z272" s="29">
        <f t="shared" ca="1" si="155"/>
        <v>1</v>
      </c>
      <c r="AA272" s="29">
        <f t="shared" ca="1" si="155"/>
        <v>5</v>
      </c>
      <c r="AB272" s="29">
        <f t="shared" ca="1" si="155"/>
        <v>3</v>
      </c>
      <c r="AC272" s="29">
        <f t="shared" ca="1" si="155"/>
        <v>2</v>
      </c>
      <c r="AD272" s="29">
        <f t="shared" ca="1" si="155"/>
        <v>2</v>
      </c>
      <c r="AE272" s="29">
        <f t="shared" ca="1" si="155"/>
        <v>7</v>
      </c>
      <c r="AF272" s="29">
        <f t="shared" ca="1" si="155"/>
        <v>1</v>
      </c>
      <c r="AG272" s="29">
        <f t="shared" ca="1" si="154"/>
        <v>4</v>
      </c>
      <c r="AH272" s="29">
        <f t="shared" ca="1" si="154"/>
        <v>2</v>
      </c>
      <c r="AI272" s="29">
        <f t="shared" ca="1" si="154"/>
        <v>5</v>
      </c>
      <c r="AJ272" s="29">
        <f t="shared" ca="1" si="154"/>
        <v>2</v>
      </c>
      <c r="AK272" s="29">
        <f t="shared" ca="1" si="154"/>
        <v>4</v>
      </c>
      <c r="AL272" s="29">
        <f t="shared" ca="1" si="154"/>
        <v>7</v>
      </c>
      <c r="AM272" s="29">
        <f t="shared" ca="1" si="154"/>
        <v>2</v>
      </c>
      <c r="AN272" s="29">
        <f t="shared" ca="1" si="154"/>
        <v>2</v>
      </c>
      <c r="AO272" s="29">
        <f t="shared" ca="1" si="154"/>
        <v>2</v>
      </c>
      <c r="AP272" s="29">
        <f t="shared" ca="1" si="154"/>
        <v>6</v>
      </c>
      <c r="AQ272" s="29">
        <f t="shared" ca="1" si="154"/>
        <v>2</v>
      </c>
      <c r="AR272" s="29">
        <f t="shared" ca="1" si="154"/>
        <v>3</v>
      </c>
      <c r="AS272" s="29">
        <f t="shared" ca="1" si="154"/>
        <v>1</v>
      </c>
      <c r="AT272" s="29">
        <f t="shared" ca="1" si="154"/>
        <v>3</v>
      </c>
      <c r="AU272" s="29">
        <f t="shared" ca="1" si="154"/>
        <v>3</v>
      </c>
      <c r="AV272" s="29">
        <f t="shared" ca="1" si="158"/>
        <v>2</v>
      </c>
      <c r="AW272" s="29">
        <f t="shared" ca="1" si="158"/>
        <v>1</v>
      </c>
      <c r="AX272" s="29">
        <f t="shared" ca="1" si="158"/>
        <v>3</v>
      </c>
      <c r="AY272" s="29">
        <f t="shared" ca="1" si="158"/>
        <v>3</v>
      </c>
      <c r="AZ272" s="29">
        <f t="shared" ca="1" si="158"/>
        <v>1</v>
      </c>
      <c r="BA272" s="29">
        <f t="shared" ca="1" si="158"/>
        <v>7</v>
      </c>
      <c r="BB272" s="29">
        <f t="shared" ca="1" si="158"/>
        <v>2</v>
      </c>
      <c r="BC272" s="29">
        <f t="shared" ca="1" si="158"/>
        <v>3</v>
      </c>
      <c r="BD272" s="29">
        <f t="shared" ca="1" si="158"/>
        <v>2</v>
      </c>
      <c r="BE272" s="29">
        <f t="shared" ca="1" si="158"/>
        <v>2</v>
      </c>
      <c r="BF272" s="29">
        <f t="shared" ca="1" si="158"/>
        <v>0</v>
      </c>
      <c r="BG272" s="29">
        <f t="shared" ca="1" si="158"/>
        <v>2</v>
      </c>
      <c r="BH272" s="29">
        <f t="shared" ca="1" si="158"/>
        <v>4</v>
      </c>
      <c r="BI272" s="29">
        <f t="shared" ca="1" si="158"/>
        <v>1</v>
      </c>
      <c r="BJ272" s="29">
        <f t="shared" ca="1" si="158"/>
        <v>2</v>
      </c>
      <c r="BK272" s="29">
        <f t="shared" ca="1" si="158"/>
        <v>6</v>
      </c>
      <c r="BL272" s="29">
        <f t="shared" ca="1" si="156"/>
        <v>2</v>
      </c>
      <c r="BM272" s="29">
        <f t="shared" ca="1" si="156"/>
        <v>2</v>
      </c>
      <c r="BN272" s="29">
        <f t="shared" ca="1" si="156"/>
        <v>3</v>
      </c>
      <c r="BO272" s="29">
        <f t="shared" ca="1" si="156"/>
        <v>2</v>
      </c>
      <c r="BP272" s="29">
        <f t="shared" ca="1" si="156"/>
        <v>5</v>
      </c>
      <c r="BQ272" s="29">
        <f t="shared" ca="1" si="156"/>
        <v>3</v>
      </c>
      <c r="BR272" s="29">
        <f t="shared" ca="1" si="156"/>
        <v>1</v>
      </c>
      <c r="BS272" s="29">
        <f t="shared" ca="1" si="156"/>
        <v>2</v>
      </c>
      <c r="BT272" s="29">
        <f t="shared" ca="1" si="156"/>
        <v>5</v>
      </c>
      <c r="BU272" s="29">
        <f t="shared" ca="1" si="156"/>
        <v>4</v>
      </c>
      <c r="BV272" s="29">
        <f t="shared" ca="1" si="156"/>
        <v>1</v>
      </c>
      <c r="BW272" s="29">
        <f t="shared" ca="1" si="156"/>
        <v>2</v>
      </c>
      <c r="BX272" s="29">
        <f t="shared" ca="1" si="156"/>
        <v>4</v>
      </c>
      <c r="BY272" s="29">
        <f t="shared" ca="1" si="156"/>
        <v>3</v>
      </c>
      <c r="BZ272" s="29">
        <f t="shared" ca="1" si="156"/>
        <v>2</v>
      </c>
      <c r="CA272" s="29">
        <f t="shared" ca="1" si="153"/>
        <v>4</v>
      </c>
      <c r="CB272" s="29">
        <f t="shared" ca="1" si="153"/>
        <v>3</v>
      </c>
      <c r="CC272" s="29">
        <f t="shared" ca="1" si="153"/>
        <v>4</v>
      </c>
      <c r="CD272" s="29">
        <f t="shared" ca="1" si="153"/>
        <v>2</v>
      </c>
      <c r="CE272" s="29">
        <f t="shared" ca="1" si="153"/>
        <v>1</v>
      </c>
      <c r="CF272" s="29">
        <f t="shared" ca="1" si="153"/>
        <v>3</v>
      </c>
      <c r="CG272" s="29">
        <f t="shared" ca="1" si="153"/>
        <v>4</v>
      </c>
      <c r="CH272" s="29">
        <f t="shared" ca="1" si="153"/>
        <v>4</v>
      </c>
      <c r="CI272" s="29">
        <f t="shared" ca="1" si="153"/>
        <v>2</v>
      </c>
      <c r="CJ272" s="29">
        <f t="shared" ca="1" si="153"/>
        <v>2</v>
      </c>
      <c r="CK272" s="29">
        <f t="shared" ca="1" si="153"/>
        <v>5</v>
      </c>
      <c r="CL272" s="29">
        <f t="shared" ca="1" si="153"/>
        <v>0</v>
      </c>
      <c r="CM272" s="29">
        <f t="shared" ca="1" si="153"/>
        <v>3</v>
      </c>
      <c r="CN272" s="29">
        <f t="shared" ca="1" si="153"/>
        <v>1</v>
      </c>
      <c r="CO272" s="29">
        <f t="shared" ca="1" si="153"/>
        <v>2</v>
      </c>
      <c r="CP272" s="29">
        <f t="shared" ca="1" si="153"/>
        <v>5</v>
      </c>
      <c r="CQ272" s="29">
        <f t="shared" ca="1" si="152"/>
        <v>1</v>
      </c>
      <c r="CR272" s="29">
        <f t="shared" ca="1" si="152"/>
        <v>4</v>
      </c>
      <c r="CS272" s="29">
        <f t="shared" ca="1" si="152"/>
        <v>7</v>
      </c>
      <c r="CT272" s="29">
        <f t="shared" ca="1" si="152"/>
        <v>6</v>
      </c>
      <c r="CU272" s="29">
        <f t="shared" ca="1" si="152"/>
        <v>5</v>
      </c>
      <c r="CV272" s="29">
        <f t="shared" ca="1" si="152"/>
        <v>4</v>
      </c>
      <c r="CW272" s="29">
        <f t="shared" ca="1" si="152"/>
        <v>1</v>
      </c>
      <c r="CX272" s="29">
        <f t="shared" ca="1" si="152"/>
        <v>3</v>
      </c>
      <c r="CY272" s="29">
        <f t="shared" ca="1" si="152"/>
        <v>2</v>
      </c>
      <c r="CZ272" s="29">
        <f t="shared" ca="1" si="152"/>
        <v>3</v>
      </c>
      <c r="DA272" s="29">
        <f t="shared" ca="1" si="152"/>
        <v>0</v>
      </c>
      <c r="DB272" s="29">
        <f t="shared" ca="1" si="152"/>
        <v>4</v>
      </c>
      <c r="DC272" s="29">
        <f t="shared" ca="1" si="152"/>
        <v>3</v>
      </c>
      <c r="DD272" s="29">
        <f t="shared" ca="1" si="152"/>
        <v>5</v>
      </c>
      <c r="DE272" s="29">
        <f t="shared" ca="1" si="152"/>
        <v>2</v>
      </c>
      <c r="DF272" s="29">
        <f t="shared" ca="1" si="159"/>
        <v>3</v>
      </c>
      <c r="DG272" s="29">
        <f t="shared" ca="1" si="159"/>
        <v>3</v>
      </c>
      <c r="DH272" s="29">
        <f t="shared" ca="1" si="159"/>
        <v>3</v>
      </c>
      <c r="DI272" s="29">
        <f t="shared" ca="1" si="159"/>
        <v>2</v>
      </c>
      <c r="DJ272" s="29">
        <f t="shared" ca="1" si="159"/>
        <v>3</v>
      </c>
      <c r="DK272" s="29">
        <f t="shared" ca="1" si="159"/>
        <v>4</v>
      </c>
      <c r="DL272" s="29">
        <f t="shared" ca="1" si="159"/>
        <v>1</v>
      </c>
    </row>
    <row r="273" spans="1:116" ht="14.4" x14ac:dyDescent="0.3">
      <c r="A273" s="31">
        <v>984</v>
      </c>
      <c r="B273" s="28">
        <v>3.1</v>
      </c>
      <c r="C273" s="30">
        <v>19.7</v>
      </c>
      <c r="D273" s="28">
        <v>1.0900000000000001</v>
      </c>
      <c r="E273" s="34">
        <f t="shared" si="145"/>
        <v>2.18E-2</v>
      </c>
      <c r="F273" s="35">
        <f t="shared" si="146"/>
        <v>4.9249999999999998</v>
      </c>
      <c r="G273" s="34">
        <f t="shared" si="147"/>
        <v>27.250000000000004</v>
      </c>
      <c r="H273" s="33">
        <f t="shared" si="148"/>
        <v>7.2016129032258069</v>
      </c>
      <c r="I273" s="28">
        <f t="shared" si="151"/>
        <v>953.42000000000064</v>
      </c>
      <c r="J273" s="32">
        <v>0</v>
      </c>
      <c r="K273" s="30">
        <f t="shared" si="149"/>
        <v>27.250000000000004</v>
      </c>
      <c r="L273" s="30"/>
      <c r="M273" s="30"/>
      <c r="N273" s="30"/>
      <c r="O273" s="30"/>
      <c r="Q273" s="29">
        <f t="shared" ca="1" si="150"/>
        <v>0</v>
      </c>
      <c r="R273" s="29">
        <f t="shared" ca="1" si="155"/>
        <v>0</v>
      </c>
      <c r="S273" s="29">
        <f t="shared" ca="1" si="155"/>
        <v>0</v>
      </c>
      <c r="T273" s="29">
        <f t="shared" ca="1" si="155"/>
        <v>3</v>
      </c>
      <c r="U273" s="29">
        <f t="shared" ca="1" si="155"/>
        <v>1</v>
      </c>
      <c r="V273" s="29">
        <f t="shared" ca="1" si="155"/>
        <v>1</v>
      </c>
      <c r="W273" s="29">
        <f t="shared" ca="1" si="155"/>
        <v>0</v>
      </c>
      <c r="X273" s="29">
        <f t="shared" ca="1" si="155"/>
        <v>0</v>
      </c>
      <c r="Y273" s="29">
        <f t="shared" ca="1" si="155"/>
        <v>5</v>
      </c>
      <c r="Z273" s="29">
        <f t="shared" ca="1" si="155"/>
        <v>2</v>
      </c>
      <c r="AA273" s="29">
        <f t="shared" ca="1" si="155"/>
        <v>2</v>
      </c>
      <c r="AB273" s="29">
        <f t="shared" ca="1" si="155"/>
        <v>1</v>
      </c>
      <c r="AC273" s="29">
        <f t="shared" ca="1" si="155"/>
        <v>0</v>
      </c>
      <c r="AD273" s="29">
        <f t="shared" ca="1" si="155"/>
        <v>1</v>
      </c>
      <c r="AE273" s="29">
        <f t="shared" ca="1" si="155"/>
        <v>1</v>
      </c>
      <c r="AF273" s="29">
        <f t="shared" ca="1" si="155"/>
        <v>2</v>
      </c>
      <c r="AG273" s="29">
        <f t="shared" ca="1" si="154"/>
        <v>0</v>
      </c>
      <c r="AH273" s="29">
        <f t="shared" ca="1" si="154"/>
        <v>1</v>
      </c>
      <c r="AI273" s="29">
        <f t="shared" ca="1" si="154"/>
        <v>0</v>
      </c>
      <c r="AJ273" s="29">
        <f t="shared" ca="1" si="154"/>
        <v>1</v>
      </c>
      <c r="AK273" s="29">
        <f t="shared" ca="1" si="154"/>
        <v>1</v>
      </c>
      <c r="AL273" s="29">
        <f t="shared" ca="1" si="154"/>
        <v>1</v>
      </c>
      <c r="AM273" s="29">
        <f t="shared" ca="1" si="154"/>
        <v>1</v>
      </c>
      <c r="AN273" s="29">
        <f t="shared" ca="1" si="154"/>
        <v>0</v>
      </c>
      <c r="AO273" s="29">
        <f t="shared" ca="1" si="154"/>
        <v>2</v>
      </c>
      <c r="AP273" s="29">
        <f t="shared" ca="1" si="154"/>
        <v>1</v>
      </c>
      <c r="AQ273" s="29">
        <f t="shared" ca="1" si="154"/>
        <v>0</v>
      </c>
      <c r="AR273" s="29">
        <f t="shared" ca="1" si="154"/>
        <v>0</v>
      </c>
      <c r="AS273" s="29">
        <f t="shared" ca="1" si="154"/>
        <v>0</v>
      </c>
      <c r="AT273" s="29">
        <f t="shared" ca="1" si="154"/>
        <v>0</v>
      </c>
      <c r="AU273" s="29">
        <f t="shared" ca="1" si="154"/>
        <v>0</v>
      </c>
      <c r="AV273" s="29">
        <f t="shared" ca="1" si="158"/>
        <v>0</v>
      </c>
      <c r="AW273" s="29">
        <f t="shared" ca="1" si="158"/>
        <v>0</v>
      </c>
      <c r="AX273" s="29">
        <f t="shared" ca="1" si="158"/>
        <v>3</v>
      </c>
      <c r="AY273" s="29">
        <f t="shared" ca="1" si="158"/>
        <v>3</v>
      </c>
      <c r="AZ273" s="29">
        <f t="shared" ca="1" si="158"/>
        <v>0</v>
      </c>
      <c r="BA273" s="29">
        <f t="shared" ca="1" si="158"/>
        <v>0</v>
      </c>
      <c r="BB273" s="29">
        <f t="shared" ca="1" si="158"/>
        <v>1</v>
      </c>
      <c r="BC273" s="29">
        <f t="shared" ca="1" si="158"/>
        <v>0</v>
      </c>
      <c r="BD273" s="29">
        <f t="shared" ca="1" si="158"/>
        <v>1</v>
      </c>
      <c r="BE273" s="29">
        <f t="shared" ca="1" si="158"/>
        <v>1</v>
      </c>
      <c r="BF273" s="29">
        <f t="shared" ca="1" si="158"/>
        <v>1</v>
      </c>
      <c r="BG273" s="29">
        <f t="shared" ca="1" si="158"/>
        <v>1</v>
      </c>
      <c r="BH273" s="29">
        <f t="shared" ca="1" si="158"/>
        <v>2</v>
      </c>
      <c r="BI273" s="29">
        <f t="shared" ca="1" si="158"/>
        <v>2</v>
      </c>
      <c r="BJ273" s="29">
        <f t="shared" ca="1" si="158"/>
        <v>2</v>
      </c>
      <c r="BK273" s="29">
        <f t="shared" ca="1" si="158"/>
        <v>1</v>
      </c>
      <c r="BL273" s="29">
        <f t="shared" ca="1" si="156"/>
        <v>0</v>
      </c>
      <c r="BM273" s="29">
        <f t="shared" ca="1" si="156"/>
        <v>1</v>
      </c>
      <c r="BN273" s="29">
        <f t="shared" ca="1" si="156"/>
        <v>3</v>
      </c>
      <c r="BO273" s="29">
        <f t="shared" ca="1" si="156"/>
        <v>0</v>
      </c>
      <c r="BP273" s="29">
        <f t="shared" ca="1" si="156"/>
        <v>3</v>
      </c>
      <c r="BQ273" s="29">
        <f t="shared" ca="1" si="156"/>
        <v>1</v>
      </c>
      <c r="BR273" s="29">
        <f t="shared" ca="1" si="156"/>
        <v>0</v>
      </c>
      <c r="BS273" s="29">
        <f t="shared" ca="1" si="156"/>
        <v>2</v>
      </c>
      <c r="BT273" s="29">
        <f t="shared" ca="1" si="156"/>
        <v>0</v>
      </c>
      <c r="BU273" s="29">
        <f t="shared" ca="1" si="156"/>
        <v>0</v>
      </c>
      <c r="BV273" s="29">
        <f t="shared" ca="1" si="156"/>
        <v>2</v>
      </c>
      <c r="BW273" s="29">
        <f t="shared" ca="1" si="156"/>
        <v>1</v>
      </c>
      <c r="BX273" s="29">
        <f t="shared" ca="1" si="156"/>
        <v>1</v>
      </c>
      <c r="BY273" s="29">
        <f t="shared" ca="1" si="156"/>
        <v>1</v>
      </c>
      <c r="BZ273" s="29">
        <f t="shared" ca="1" si="156"/>
        <v>1</v>
      </c>
      <c r="CA273" s="29">
        <f t="shared" ca="1" si="153"/>
        <v>1</v>
      </c>
      <c r="CB273" s="29">
        <f t="shared" ca="1" si="153"/>
        <v>1</v>
      </c>
      <c r="CC273" s="29">
        <f t="shared" ca="1" si="153"/>
        <v>0</v>
      </c>
      <c r="CD273" s="29">
        <f t="shared" ca="1" si="153"/>
        <v>2</v>
      </c>
      <c r="CE273" s="29">
        <f t="shared" ca="1" si="153"/>
        <v>1</v>
      </c>
      <c r="CF273" s="29">
        <f t="shared" ca="1" si="153"/>
        <v>1</v>
      </c>
      <c r="CG273" s="29">
        <f t="shared" ca="1" si="153"/>
        <v>1</v>
      </c>
      <c r="CH273" s="29">
        <f t="shared" ca="1" si="153"/>
        <v>1</v>
      </c>
      <c r="CI273" s="29">
        <f t="shared" ca="1" si="153"/>
        <v>0</v>
      </c>
      <c r="CJ273" s="29">
        <f t="shared" ca="1" si="153"/>
        <v>2</v>
      </c>
      <c r="CK273" s="29">
        <f t="shared" ca="1" si="153"/>
        <v>0</v>
      </c>
      <c r="CL273" s="29">
        <f t="shared" ca="1" si="153"/>
        <v>0</v>
      </c>
      <c r="CM273" s="29">
        <f t="shared" ca="1" si="153"/>
        <v>3</v>
      </c>
      <c r="CN273" s="29">
        <f t="shared" ca="1" si="153"/>
        <v>1</v>
      </c>
      <c r="CO273" s="29">
        <f t="shared" ca="1" si="153"/>
        <v>2</v>
      </c>
      <c r="CP273" s="29">
        <f t="shared" ca="1" si="153"/>
        <v>1</v>
      </c>
      <c r="CQ273" s="29">
        <f t="shared" ca="1" si="152"/>
        <v>2</v>
      </c>
      <c r="CR273" s="29">
        <f t="shared" ca="1" si="152"/>
        <v>2</v>
      </c>
      <c r="CS273" s="29">
        <f t="shared" ca="1" si="152"/>
        <v>3</v>
      </c>
      <c r="CT273" s="29">
        <f t="shared" ca="1" si="152"/>
        <v>0</v>
      </c>
      <c r="CU273" s="29">
        <f t="shared" ca="1" si="152"/>
        <v>0</v>
      </c>
      <c r="CV273" s="29">
        <f t="shared" ca="1" si="152"/>
        <v>1</v>
      </c>
      <c r="CW273" s="29">
        <f t="shared" ca="1" si="152"/>
        <v>3</v>
      </c>
      <c r="CX273" s="29">
        <f t="shared" ca="1" si="152"/>
        <v>0</v>
      </c>
      <c r="CY273" s="29">
        <f t="shared" ca="1" si="152"/>
        <v>1</v>
      </c>
      <c r="CZ273" s="29">
        <f t="shared" ca="1" si="152"/>
        <v>1</v>
      </c>
      <c r="DA273" s="29">
        <f t="shared" ca="1" si="152"/>
        <v>3</v>
      </c>
      <c r="DB273" s="29">
        <f t="shared" ca="1" si="152"/>
        <v>1</v>
      </c>
      <c r="DC273" s="29">
        <f t="shared" ca="1" si="152"/>
        <v>2</v>
      </c>
      <c r="DD273" s="29">
        <f t="shared" ca="1" si="152"/>
        <v>0</v>
      </c>
      <c r="DE273" s="29">
        <f t="shared" ca="1" si="152"/>
        <v>0</v>
      </c>
      <c r="DF273" s="29">
        <f t="shared" ca="1" si="159"/>
        <v>1</v>
      </c>
      <c r="DG273" s="29">
        <f t="shared" ca="1" si="159"/>
        <v>2</v>
      </c>
      <c r="DH273" s="29">
        <f t="shared" ca="1" si="159"/>
        <v>4</v>
      </c>
      <c r="DI273" s="29">
        <f t="shared" ca="1" si="159"/>
        <v>1</v>
      </c>
      <c r="DJ273" s="29">
        <f t="shared" ca="1" si="159"/>
        <v>0</v>
      </c>
      <c r="DK273" s="29">
        <f t="shared" ca="1" si="159"/>
        <v>0</v>
      </c>
      <c r="DL273" s="29">
        <f t="shared" ca="1" si="159"/>
        <v>1</v>
      </c>
    </row>
    <row r="274" spans="1:116" ht="14.4" x14ac:dyDescent="0.3">
      <c r="A274" s="31">
        <v>911</v>
      </c>
      <c r="B274" s="28">
        <v>9.7899999999999991</v>
      </c>
      <c r="C274" s="30">
        <v>39.33</v>
      </c>
      <c r="D274" s="28">
        <v>3.21</v>
      </c>
      <c r="E274" s="34">
        <f t="shared" si="145"/>
        <v>6.4199999999999993E-2</v>
      </c>
      <c r="F274" s="35">
        <f t="shared" si="146"/>
        <v>9.8324999999999996</v>
      </c>
      <c r="G274" s="34">
        <f t="shared" si="147"/>
        <v>80.25</v>
      </c>
      <c r="H274" s="33">
        <f t="shared" si="148"/>
        <v>7.1927987742594492</v>
      </c>
      <c r="I274" s="28">
        <f t="shared" si="151"/>
        <v>963.2100000000006</v>
      </c>
      <c r="J274" s="32">
        <v>0</v>
      </c>
      <c r="K274" s="30">
        <f t="shared" si="149"/>
        <v>80.25</v>
      </c>
      <c r="L274" s="30"/>
      <c r="M274" s="30"/>
      <c r="N274" s="30"/>
      <c r="O274" s="30"/>
      <c r="Q274" s="29">
        <f t="shared" ca="1" si="150"/>
        <v>2</v>
      </c>
      <c r="R274" s="29">
        <f t="shared" ca="1" si="155"/>
        <v>2</v>
      </c>
      <c r="S274" s="29">
        <f t="shared" ca="1" si="155"/>
        <v>3</v>
      </c>
      <c r="T274" s="29">
        <f t="shared" ca="1" si="155"/>
        <v>2</v>
      </c>
      <c r="U274" s="29">
        <f t="shared" ca="1" si="155"/>
        <v>5</v>
      </c>
      <c r="V274" s="29">
        <f t="shared" ca="1" si="155"/>
        <v>4</v>
      </c>
      <c r="W274" s="29">
        <f t="shared" ca="1" si="155"/>
        <v>4</v>
      </c>
      <c r="X274" s="29">
        <f t="shared" ca="1" si="155"/>
        <v>4</v>
      </c>
      <c r="Y274" s="29">
        <f t="shared" ca="1" si="155"/>
        <v>2</v>
      </c>
      <c r="Z274" s="29">
        <f t="shared" ca="1" si="155"/>
        <v>1</v>
      </c>
      <c r="AA274" s="29">
        <f t="shared" ca="1" si="155"/>
        <v>2</v>
      </c>
      <c r="AB274" s="29">
        <f t="shared" ca="1" si="155"/>
        <v>5</v>
      </c>
      <c r="AC274" s="29">
        <f t="shared" ca="1" si="155"/>
        <v>4</v>
      </c>
      <c r="AD274" s="29">
        <f t="shared" ca="1" si="155"/>
        <v>6</v>
      </c>
      <c r="AE274" s="29">
        <f t="shared" ca="1" si="155"/>
        <v>6</v>
      </c>
      <c r="AF274" s="29">
        <f t="shared" ca="1" si="155"/>
        <v>3</v>
      </c>
      <c r="AG274" s="29">
        <f t="shared" ca="1" si="154"/>
        <v>4</v>
      </c>
      <c r="AH274" s="29">
        <f t="shared" ca="1" si="154"/>
        <v>4</v>
      </c>
      <c r="AI274" s="29">
        <f t="shared" ca="1" si="154"/>
        <v>3</v>
      </c>
      <c r="AJ274" s="29">
        <f t="shared" ca="1" si="154"/>
        <v>4</v>
      </c>
      <c r="AK274" s="29">
        <f t="shared" ca="1" si="154"/>
        <v>4</v>
      </c>
      <c r="AL274" s="29">
        <f t="shared" ca="1" si="154"/>
        <v>3</v>
      </c>
      <c r="AM274" s="29">
        <f t="shared" ca="1" si="154"/>
        <v>3</v>
      </c>
      <c r="AN274" s="29">
        <f t="shared" ca="1" si="154"/>
        <v>3</v>
      </c>
      <c r="AO274" s="29">
        <f t="shared" ca="1" si="154"/>
        <v>1</v>
      </c>
      <c r="AP274" s="29">
        <f t="shared" ca="1" si="154"/>
        <v>5</v>
      </c>
      <c r="AQ274" s="29">
        <f t="shared" ca="1" si="154"/>
        <v>4</v>
      </c>
      <c r="AR274" s="29">
        <f t="shared" ca="1" si="154"/>
        <v>6</v>
      </c>
      <c r="AS274" s="29">
        <f t="shared" ca="1" si="154"/>
        <v>0</v>
      </c>
      <c r="AT274" s="29">
        <f t="shared" ca="1" si="154"/>
        <v>2</v>
      </c>
      <c r="AU274" s="29">
        <f t="shared" ca="1" si="154"/>
        <v>2</v>
      </c>
      <c r="AV274" s="29">
        <f t="shared" ca="1" si="158"/>
        <v>5</v>
      </c>
      <c r="AW274" s="29">
        <f t="shared" ca="1" si="158"/>
        <v>4</v>
      </c>
      <c r="AX274" s="29">
        <f t="shared" ca="1" si="158"/>
        <v>3</v>
      </c>
      <c r="AY274" s="29">
        <f t="shared" ca="1" si="158"/>
        <v>6</v>
      </c>
      <c r="AZ274" s="29">
        <f t="shared" ca="1" si="158"/>
        <v>0</v>
      </c>
      <c r="BA274" s="29">
        <f t="shared" ca="1" si="158"/>
        <v>1</v>
      </c>
      <c r="BB274" s="29">
        <f t="shared" ca="1" si="158"/>
        <v>3</v>
      </c>
      <c r="BC274" s="29">
        <f t="shared" ca="1" si="158"/>
        <v>3</v>
      </c>
      <c r="BD274" s="29">
        <f t="shared" ca="1" si="158"/>
        <v>2</v>
      </c>
      <c r="BE274" s="29">
        <f t="shared" ca="1" si="158"/>
        <v>3</v>
      </c>
      <c r="BF274" s="29">
        <f t="shared" ca="1" si="158"/>
        <v>3</v>
      </c>
      <c r="BG274" s="29">
        <f t="shared" ca="1" si="158"/>
        <v>1</v>
      </c>
      <c r="BH274" s="29">
        <f t="shared" ca="1" si="158"/>
        <v>1</v>
      </c>
      <c r="BI274" s="29">
        <f t="shared" ca="1" si="158"/>
        <v>1</v>
      </c>
      <c r="BJ274" s="29">
        <f t="shared" ca="1" si="158"/>
        <v>3</v>
      </c>
      <c r="BK274" s="29">
        <f t="shared" ca="1" si="158"/>
        <v>7</v>
      </c>
      <c r="BL274" s="29">
        <f t="shared" ca="1" si="156"/>
        <v>3</v>
      </c>
      <c r="BM274" s="29">
        <f t="shared" ca="1" si="156"/>
        <v>3</v>
      </c>
      <c r="BN274" s="29">
        <f t="shared" ca="1" si="156"/>
        <v>4</v>
      </c>
      <c r="BO274" s="29">
        <f t="shared" ca="1" si="156"/>
        <v>8</v>
      </c>
      <c r="BP274" s="29">
        <f t="shared" ca="1" si="156"/>
        <v>6</v>
      </c>
      <c r="BQ274" s="29">
        <f t="shared" ca="1" si="156"/>
        <v>4</v>
      </c>
      <c r="BR274" s="29">
        <f t="shared" ca="1" si="156"/>
        <v>1</v>
      </c>
      <c r="BS274" s="29">
        <f t="shared" ca="1" si="156"/>
        <v>8</v>
      </c>
      <c r="BT274" s="29">
        <f t="shared" ca="1" si="156"/>
        <v>1</v>
      </c>
      <c r="BU274" s="29">
        <f t="shared" ca="1" si="156"/>
        <v>5</v>
      </c>
      <c r="BV274" s="29">
        <f t="shared" ca="1" si="156"/>
        <v>2</v>
      </c>
      <c r="BW274" s="29">
        <f t="shared" ca="1" si="156"/>
        <v>3</v>
      </c>
      <c r="BX274" s="29">
        <f t="shared" ca="1" si="156"/>
        <v>2</v>
      </c>
      <c r="BY274" s="29">
        <f t="shared" ca="1" si="156"/>
        <v>1</v>
      </c>
      <c r="BZ274" s="29">
        <f t="shared" ca="1" si="156"/>
        <v>2</v>
      </c>
      <c r="CA274" s="29">
        <f t="shared" ca="1" si="153"/>
        <v>3</v>
      </c>
      <c r="CB274" s="29">
        <f t="shared" ca="1" si="153"/>
        <v>5</v>
      </c>
      <c r="CC274" s="29">
        <f t="shared" ca="1" si="153"/>
        <v>5</v>
      </c>
      <c r="CD274" s="29">
        <f t="shared" ca="1" si="153"/>
        <v>0</v>
      </c>
      <c r="CE274" s="29">
        <f t="shared" ca="1" si="153"/>
        <v>1</v>
      </c>
      <c r="CF274" s="29">
        <f t="shared" ca="1" si="153"/>
        <v>2</v>
      </c>
      <c r="CG274" s="29">
        <f t="shared" ca="1" si="153"/>
        <v>2</v>
      </c>
      <c r="CH274" s="29">
        <f t="shared" ca="1" si="153"/>
        <v>2</v>
      </c>
      <c r="CI274" s="29">
        <f t="shared" ca="1" si="153"/>
        <v>4</v>
      </c>
      <c r="CJ274" s="29">
        <f t="shared" ca="1" si="153"/>
        <v>3</v>
      </c>
      <c r="CK274" s="29">
        <f t="shared" ca="1" si="153"/>
        <v>4</v>
      </c>
      <c r="CL274" s="29">
        <f t="shared" ca="1" si="153"/>
        <v>2</v>
      </c>
      <c r="CM274" s="29">
        <f t="shared" ca="1" si="153"/>
        <v>1</v>
      </c>
      <c r="CN274" s="29">
        <f t="shared" ca="1" si="153"/>
        <v>4</v>
      </c>
      <c r="CO274" s="29">
        <f t="shared" ca="1" si="153"/>
        <v>3</v>
      </c>
      <c r="CP274" s="29">
        <f t="shared" ca="1" si="153"/>
        <v>5</v>
      </c>
      <c r="CQ274" s="29">
        <f t="shared" ca="1" si="152"/>
        <v>1</v>
      </c>
      <c r="CR274" s="29">
        <f t="shared" ca="1" si="152"/>
        <v>5</v>
      </c>
      <c r="CS274" s="29">
        <f t="shared" ca="1" si="152"/>
        <v>3</v>
      </c>
      <c r="CT274" s="29">
        <f t="shared" ca="1" si="152"/>
        <v>6</v>
      </c>
      <c r="CU274" s="29">
        <f t="shared" ca="1" si="152"/>
        <v>2</v>
      </c>
      <c r="CV274" s="29">
        <f t="shared" ca="1" si="152"/>
        <v>3</v>
      </c>
      <c r="CW274" s="29">
        <f t="shared" ca="1" si="152"/>
        <v>3</v>
      </c>
      <c r="CX274" s="29">
        <f t="shared" ca="1" si="152"/>
        <v>4</v>
      </c>
      <c r="CY274" s="29">
        <f t="shared" ca="1" si="152"/>
        <v>1</v>
      </c>
      <c r="CZ274" s="29">
        <f t="shared" ca="1" si="152"/>
        <v>3</v>
      </c>
      <c r="DA274" s="29">
        <f t="shared" ca="1" si="152"/>
        <v>4</v>
      </c>
      <c r="DB274" s="29">
        <f t="shared" ca="1" si="152"/>
        <v>6</v>
      </c>
      <c r="DC274" s="29">
        <f t="shared" ca="1" si="152"/>
        <v>5</v>
      </c>
      <c r="DD274" s="29">
        <f t="shared" ca="1" si="152"/>
        <v>1</v>
      </c>
      <c r="DE274" s="29">
        <f t="shared" ca="1" si="152"/>
        <v>0</v>
      </c>
      <c r="DF274" s="29">
        <f t="shared" ca="1" si="159"/>
        <v>1</v>
      </c>
      <c r="DG274" s="29">
        <f t="shared" ca="1" si="159"/>
        <v>2</v>
      </c>
      <c r="DH274" s="29">
        <f t="shared" ca="1" si="159"/>
        <v>3</v>
      </c>
      <c r="DI274" s="29">
        <f t="shared" ca="1" si="159"/>
        <v>3</v>
      </c>
      <c r="DJ274" s="29">
        <f t="shared" ca="1" si="159"/>
        <v>6</v>
      </c>
      <c r="DK274" s="29">
        <f t="shared" ca="1" si="159"/>
        <v>0</v>
      </c>
      <c r="DL274" s="29">
        <f t="shared" ca="1" si="159"/>
        <v>2</v>
      </c>
    </row>
    <row r="275" spans="1:116" ht="14.4" x14ac:dyDescent="0.3">
      <c r="A275" s="31">
        <v>793</v>
      </c>
      <c r="B275" s="28">
        <v>2.76</v>
      </c>
      <c r="C275" s="30">
        <v>37.72</v>
      </c>
      <c r="D275" s="28">
        <v>1.17</v>
      </c>
      <c r="E275" s="34">
        <f t="shared" si="145"/>
        <v>2.3399999999999997E-2</v>
      </c>
      <c r="F275" s="35">
        <f t="shared" si="146"/>
        <v>9.43</v>
      </c>
      <c r="G275" s="34">
        <f t="shared" si="147"/>
        <v>29.25</v>
      </c>
      <c r="H275" s="33">
        <f t="shared" si="148"/>
        <v>7.1811594202898554</v>
      </c>
      <c r="I275" s="28">
        <f t="shared" si="151"/>
        <v>965.9700000000006</v>
      </c>
      <c r="J275" s="32">
        <v>0</v>
      </c>
      <c r="K275" s="30">
        <f t="shared" si="149"/>
        <v>29.25</v>
      </c>
      <c r="L275" s="30"/>
      <c r="M275" s="30"/>
      <c r="N275" s="30"/>
      <c r="O275" s="30"/>
      <c r="Q275" s="29">
        <f t="shared" ca="1" si="150"/>
        <v>4</v>
      </c>
      <c r="R275" s="29">
        <f t="shared" ca="1" si="155"/>
        <v>0</v>
      </c>
      <c r="S275" s="29">
        <f t="shared" ca="1" si="155"/>
        <v>1</v>
      </c>
      <c r="T275" s="29">
        <f t="shared" ca="1" si="155"/>
        <v>1</v>
      </c>
      <c r="U275" s="29">
        <f t="shared" ca="1" si="155"/>
        <v>1</v>
      </c>
      <c r="V275" s="29">
        <f t="shared" ca="1" si="155"/>
        <v>1</v>
      </c>
      <c r="W275" s="29">
        <f t="shared" ca="1" si="155"/>
        <v>2</v>
      </c>
      <c r="X275" s="29">
        <f t="shared" ca="1" si="155"/>
        <v>0</v>
      </c>
      <c r="Y275" s="29">
        <f t="shared" ca="1" si="155"/>
        <v>2</v>
      </c>
      <c r="Z275" s="29">
        <f t="shared" ca="1" si="155"/>
        <v>1</v>
      </c>
      <c r="AA275" s="29">
        <f t="shared" ca="1" si="155"/>
        <v>0</v>
      </c>
      <c r="AB275" s="29">
        <f t="shared" ca="1" si="155"/>
        <v>0</v>
      </c>
      <c r="AC275" s="29">
        <f t="shared" ca="1" si="155"/>
        <v>0</v>
      </c>
      <c r="AD275" s="29">
        <f t="shared" ca="1" si="155"/>
        <v>1</v>
      </c>
      <c r="AE275" s="29">
        <f t="shared" ca="1" si="155"/>
        <v>0</v>
      </c>
      <c r="AF275" s="29">
        <f t="shared" ca="1" si="155"/>
        <v>1</v>
      </c>
      <c r="AG275" s="29">
        <f t="shared" ca="1" si="154"/>
        <v>1</v>
      </c>
      <c r="AH275" s="29">
        <f t="shared" ca="1" si="154"/>
        <v>1</v>
      </c>
      <c r="AI275" s="29">
        <f t="shared" ca="1" si="154"/>
        <v>0</v>
      </c>
      <c r="AJ275" s="29">
        <f t="shared" ca="1" si="154"/>
        <v>0</v>
      </c>
      <c r="AK275" s="29">
        <f t="shared" ca="1" si="154"/>
        <v>1</v>
      </c>
      <c r="AL275" s="29">
        <f t="shared" ca="1" si="154"/>
        <v>0</v>
      </c>
      <c r="AM275" s="29">
        <f t="shared" ca="1" si="154"/>
        <v>2</v>
      </c>
      <c r="AN275" s="29">
        <f t="shared" ca="1" si="154"/>
        <v>0</v>
      </c>
      <c r="AO275" s="29">
        <f t="shared" ca="1" si="154"/>
        <v>1</v>
      </c>
      <c r="AP275" s="29">
        <f t="shared" ca="1" si="154"/>
        <v>0</v>
      </c>
      <c r="AQ275" s="29">
        <f t="shared" ca="1" si="154"/>
        <v>1</v>
      </c>
      <c r="AR275" s="29">
        <f t="shared" ca="1" si="154"/>
        <v>2</v>
      </c>
      <c r="AS275" s="29">
        <f t="shared" ca="1" si="154"/>
        <v>2</v>
      </c>
      <c r="AT275" s="29">
        <f t="shared" ca="1" si="154"/>
        <v>3</v>
      </c>
      <c r="AU275" s="29">
        <f t="shared" ca="1" si="154"/>
        <v>1</v>
      </c>
      <c r="AV275" s="29">
        <f t="shared" ca="1" si="158"/>
        <v>4</v>
      </c>
      <c r="AW275" s="29">
        <f t="shared" ca="1" si="158"/>
        <v>1</v>
      </c>
      <c r="AX275" s="29">
        <f t="shared" ca="1" si="158"/>
        <v>0</v>
      </c>
      <c r="AY275" s="29">
        <f t="shared" ca="1" si="158"/>
        <v>1</v>
      </c>
      <c r="AZ275" s="29">
        <f t="shared" ca="1" si="158"/>
        <v>1</v>
      </c>
      <c r="BA275" s="29">
        <f t="shared" ca="1" si="158"/>
        <v>0</v>
      </c>
      <c r="BB275" s="29">
        <f t="shared" ca="1" si="158"/>
        <v>1</v>
      </c>
      <c r="BC275" s="29">
        <f t="shared" ca="1" si="158"/>
        <v>1</v>
      </c>
      <c r="BD275" s="29">
        <f t="shared" ca="1" si="158"/>
        <v>0</v>
      </c>
      <c r="BE275" s="29">
        <f t="shared" ca="1" si="158"/>
        <v>0</v>
      </c>
      <c r="BF275" s="29">
        <f t="shared" ca="1" si="158"/>
        <v>0</v>
      </c>
      <c r="BG275" s="29">
        <f t="shared" ca="1" si="158"/>
        <v>0</v>
      </c>
      <c r="BH275" s="29">
        <f t="shared" ca="1" si="158"/>
        <v>2</v>
      </c>
      <c r="BI275" s="29">
        <f t="shared" ca="1" si="158"/>
        <v>0</v>
      </c>
      <c r="BJ275" s="29">
        <f t="shared" ca="1" si="158"/>
        <v>1</v>
      </c>
      <c r="BK275" s="29">
        <f t="shared" ca="1" si="158"/>
        <v>3</v>
      </c>
      <c r="BL275" s="29">
        <f t="shared" ca="1" si="156"/>
        <v>3</v>
      </c>
      <c r="BM275" s="29">
        <f t="shared" ca="1" si="156"/>
        <v>2</v>
      </c>
      <c r="BN275" s="29">
        <f t="shared" ca="1" si="156"/>
        <v>0</v>
      </c>
      <c r="BO275" s="29">
        <f t="shared" ca="1" si="156"/>
        <v>1</v>
      </c>
      <c r="BP275" s="29">
        <f t="shared" ca="1" si="156"/>
        <v>2</v>
      </c>
      <c r="BQ275" s="29">
        <f t="shared" ca="1" si="156"/>
        <v>1</v>
      </c>
      <c r="BR275" s="29">
        <f t="shared" ca="1" si="156"/>
        <v>3</v>
      </c>
      <c r="BS275" s="29">
        <f t="shared" ca="1" si="156"/>
        <v>1</v>
      </c>
      <c r="BT275" s="29">
        <f t="shared" ca="1" si="156"/>
        <v>1</v>
      </c>
      <c r="BU275" s="29">
        <f t="shared" ca="1" si="156"/>
        <v>0</v>
      </c>
      <c r="BV275" s="29">
        <f t="shared" ca="1" si="156"/>
        <v>2</v>
      </c>
      <c r="BW275" s="29">
        <f t="shared" ca="1" si="156"/>
        <v>0</v>
      </c>
      <c r="BX275" s="29">
        <f t="shared" ca="1" si="156"/>
        <v>2</v>
      </c>
      <c r="BY275" s="29">
        <f t="shared" ca="1" si="156"/>
        <v>2</v>
      </c>
      <c r="BZ275" s="29">
        <f t="shared" ca="1" si="156"/>
        <v>1</v>
      </c>
      <c r="CA275" s="29">
        <f t="shared" ca="1" si="153"/>
        <v>1</v>
      </c>
      <c r="CB275" s="29">
        <f t="shared" ca="1" si="153"/>
        <v>2</v>
      </c>
      <c r="CC275" s="29">
        <f t="shared" ca="1" si="153"/>
        <v>2</v>
      </c>
      <c r="CD275" s="29">
        <f t="shared" ca="1" si="153"/>
        <v>2</v>
      </c>
      <c r="CE275" s="29">
        <f t="shared" ca="1" si="153"/>
        <v>1</v>
      </c>
      <c r="CF275" s="29">
        <f t="shared" ca="1" si="153"/>
        <v>1</v>
      </c>
      <c r="CG275" s="29">
        <f t="shared" ca="1" si="153"/>
        <v>1</v>
      </c>
      <c r="CH275" s="29">
        <f t="shared" ca="1" si="153"/>
        <v>1</v>
      </c>
      <c r="CI275" s="29">
        <f t="shared" ca="1" si="153"/>
        <v>0</v>
      </c>
      <c r="CJ275" s="29">
        <f t="shared" ca="1" si="153"/>
        <v>2</v>
      </c>
      <c r="CK275" s="29">
        <f t="shared" ca="1" si="153"/>
        <v>1</v>
      </c>
      <c r="CL275" s="29">
        <f t="shared" ca="1" si="153"/>
        <v>1</v>
      </c>
      <c r="CM275" s="29">
        <f t="shared" ca="1" si="153"/>
        <v>0</v>
      </c>
      <c r="CN275" s="29">
        <f t="shared" ca="1" si="153"/>
        <v>2</v>
      </c>
      <c r="CO275" s="29">
        <f t="shared" ca="1" si="153"/>
        <v>1</v>
      </c>
      <c r="CP275" s="29">
        <f t="shared" ca="1" si="153"/>
        <v>5</v>
      </c>
      <c r="CQ275" s="29">
        <f t="shared" ca="1" si="152"/>
        <v>0</v>
      </c>
      <c r="CR275" s="29">
        <f t="shared" ca="1" si="152"/>
        <v>2</v>
      </c>
      <c r="CS275" s="29">
        <f t="shared" ca="1" si="152"/>
        <v>3</v>
      </c>
      <c r="CT275" s="29">
        <f t="shared" ca="1" si="152"/>
        <v>0</v>
      </c>
      <c r="CU275" s="29">
        <f t="shared" ca="1" si="152"/>
        <v>2</v>
      </c>
      <c r="CV275" s="29">
        <f t="shared" ca="1" si="152"/>
        <v>3</v>
      </c>
      <c r="CW275" s="29">
        <f t="shared" ca="1" si="152"/>
        <v>0</v>
      </c>
      <c r="CX275" s="29">
        <f t="shared" ca="1" si="152"/>
        <v>0</v>
      </c>
      <c r="CY275" s="29">
        <f t="shared" ca="1" si="152"/>
        <v>3</v>
      </c>
      <c r="CZ275" s="29">
        <f t="shared" ca="1" si="152"/>
        <v>3</v>
      </c>
      <c r="DA275" s="29">
        <f t="shared" ca="1" si="152"/>
        <v>5</v>
      </c>
      <c r="DB275" s="29">
        <f t="shared" ca="1" si="152"/>
        <v>1</v>
      </c>
      <c r="DC275" s="29">
        <f t="shared" ca="1" si="152"/>
        <v>3</v>
      </c>
      <c r="DD275" s="29">
        <f t="shared" ca="1" si="152"/>
        <v>1</v>
      </c>
      <c r="DE275" s="29">
        <f t="shared" ca="1" si="152"/>
        <v>4</v>
      </c>
      <c r="DF275" s="29">
        <f t="shared" ca="1" si="159"/>
        <v>3</v>
      </c>
      <c r="DG275" s="29">
        <f t="shared" ca="1" si="159"/>
        <v>2</v>
      </c>
      <c r="DH275" s="29">
        <f t="shared" ca="1" si="159"/>
        <v>2</v>
      </c>
      <c r="DI275" s="29">
        <f t="shared" ca="1" si="159"/>
        <v>1</v>
      </c>
      <c r="DJ275" s="29">
        <f t="shared" ca="1" si="159"/>
        <v>0</v>
      </c>
      <c r="DK275" s="29">
        <f t="shared" ca="1" si="159"/>
        <v>2</v>
      </c>
      <c r="DL275" s="29">
        <f t="shared" ca="1" si="159"/>
        <v>0</v>
      </c>
    </row>
    <row r="276" spans="1:116" ht="14.4" x14ac:dyDescent="0.3">
      <c r="A276" s="31">
        <v>249</v>
      </c>
      <c r="B276" s="28">
        <v>8.1</v>
      </c>
      <c r="C276" s="30">
        <v>77.13</v>
      </c>
      <c r="D276" s="28">
        <v>3.09</v>
      </c>
      <c r="E276" s="34">
        <f t="shared" si="145"/>
        <v>6.1799999999999994E-2</v>
      </c>
      <c r="F276" s="35">
        <f t="shared" si="146"/>
        <v>19.282499999999999</v>
      </c>
      <c r="G276" s="34">
        <f t="shared" si="147"/>
        <v>77.25</v>
      </c>
      <c r="H276" s="33">
        <f t="shared" si="148"/>
        <v>7.1564814814814817</v>
      </c>
      <c r="I276" s="28">
        <f t="shared" si="151"/>
        <v>974.07000000000062</v>
      </c>
      <c r="J276" s="32">
        <v>0</v>
      </c>
      <c r="K276" s="30">
        <f t="shared" si="149"/>
        <v>77.25</v>
      </c>
      <c r="L276" s="30"/>
      <c r="M276" s="30"/>
      <c r="N276" s="30"/>
      <c r="O276" s="30"/>
      <c r="Q276" s="29">
        <f t="shared" ca="1" si="150"/>
        <v>5</v>
      </c>
      <c r="R276" s="29">
        <f t="shared" ca="1" si="155"/>
        <v>2</v>
      </c>
      <c r="S276" s="29">
        <f t="shared" ca="1" si="155"/>
        <v>3</v>
      </c>
      <c r="T276" s="29">
        <f t="shared" ca="1" si="155"/>
        <v>3</v>
      </c>
      <c r="U276" s="29">
        <f t="shared" ca="1" si="155"/>
        <v>6</v>
      </c>
      <c r="V276" s="29">
        <f t="shared" ca="1" si="155"/>
        <v>6</v>
      </c>
      <c r="W276" s="29">
        <f t="shared" ca="1" si="155"/>
        <v>5</v>
      </c>
      <c r="X276" s="29">
        <f t="shared" ca="1" si="155"/>
        <v>2</v>
      </c>
      <c r="Y276" s="29">
        <f t="shared" ca="1" si="155"/>
        <v>3</v>
      </c>
      <c r="Z276" s="29">
        <f t="shared" ca="1" si="155"/>
        <v>1</v>
      </c>
      <c r="AA276" s="29">
        <f t="shared" ca="1" si="155"/>
        <v>3</v>
      </c>
      <c r="AB276" s="29">
        <f t="shared" ca="1" si="155"/>
        <v>4</v>
      </c>
      <c r="AC276" s="29">
        <f t="shared" ca="1" si="155"/>
        <v>7</v>
      </c>
      <c r="AD276" s="29">
        <f t="shared" ca="1" si="155"/>
        <v>2</v>
      </c>
      <c r="AE276" s="29">
        <f t="shared" ca="1" si="155"/>
        <v>5</v>
      </c>
      <c r="AF276" s="29">
        <f t="shared" ca="1" si="155"/>
        <v>2</v>
      </c>
      <c r="AG276" s="29">
        <f t="shared" ca="1" si="154"/>
        <v>2</v>
      </c>
      <c r="AH276" s="29">
        <f t="shared" ca="1" si="154"/>
        <v>3</v>
      </c>
      <c r="AI276" s="29">
        <f t="shared" ca="1" si="154"/>
        <v>4</v>
      </c>
      <c r="AJ276" s="29">
        <f t="shared" ca="1" si="154"/>
        <v>3</v>
      </c>
      <c r="AK276" s="29">
        <f t="shared" ca="1" si="154"/>
        <v>5</v>
      </c>
      <c r="AL276" s="29">
        <f t="shared" ca="1" si="154"/>
        <v>2</v>
      </c>
      <c r="AM276" s="29">
        <f t="shared" ca="1" si="154"/>
        <v>1</v>
      </c>
      <c r="AN276" s="29">
        <f t="shared" ca="1" si="154"/>
        <v>2</v>
      </c>
      <c r="AO276" s="29">
        <f t="shared" ca="1" si="154"/>
        <v>4</v>
      </c>
      <c r="AP276" s="29">
        <f t="shared" ca="1" si="154"/>
        <v>0</v>
      </c>
      <c r="AQ276" s="29">
        <f t="shared" ca="1" si="154"/>
        <v>5</v>
      </c>
      <c r="AR276" s="29">
        <f t="shared" ca="1" si="154"/>
        <v>3</v>
      </c>
      <c r="AS276" s="29">
        <f t="shared" ca="1" si="154"/>
        <v>2</v>
      </c>
      <c r="AT276" s="29">
        <f t="shared" ca="1" si="154"/>
        <v>4</v>
      </c>
      <c r="AU276" s="29">
        <f t="shared" ca="1" si="154"/>
        <v>6</v>
      </c>
      <c r="AV276" s="29">
        <f t="shared" ca="1" si="158"/>
        <v>3</v>
      </c>
      <c r="AW276" s="29">
        <f t="shared" ca="1" si="158"/>
        <v>3</v>
      </c>
      <c r="AX276" s="29">
        <f t="shared" ca="1" si="158"/>
        <v>3</v>
      </c>
      <c r="AY276" s="29">
        <f t="shared" ca="1" si="158"/>
        <v>5</v>
      </c>
      <c r="AZ276" s="29">
        <f t="shared" ca="1" si="158"/>
        <v>1</v>
      </c>
      <c r="BA276" s="29">
        <f t="shared" ca="1" si="158"/>
        <v>4</v>
      </c>
      <c r="BB276" s="29">
        <f t="shared" ca="1" si="158"/>
        <v>3</v>
      </c>
      <c r="BC276" s="29">
        <f t="shared" ca="1" si="158"/>
        <v>2</v>
      </c>
      <c r="BD276" s="29">
        <f t="shared" ca="1" si="158"/>
        <v>1</v>
      </c>
      <c r="BE276" s="29">
        <f t="shared" ca="1" si="158"/>
        <v>2</v>
      </c>
      <c r="BF276" s="29">
        <f t="shared" ca="1" si="158"/>
        <v>6</v>
      </c>
      <c r="BG276" s="29">
        <f t="shared" ca="1" si="158"/>
        <v>6</v>
      </c>
      <c r="BH276" s="29">
        <f t="shared" ca="1" si="158"/>
        <v>4</v>
      </c>
      <c r="BI276" s="29">
        <f t="shared" ca="1" si="158"/>
        <v>3</v>
      </c>
      <c r="BJ276" s="29">
        <f t="shared" ca="1" si="158"/>
        <v>5</v>
      </c>
      <c r="BK276" s="29">
        <f t="shared" ca="1" si="158"/>
        <v>4</v>
      </c>
      <c r="BL276" s="29">
        <f t="shared" ca="1" si="156"/>
        <v>4</v>
      </c>
      <c r="BM276" s="29">
        <f t="shared" ca="1" si="156"/>
        <v>2</v>
      </c>
      <c r="BN276" s="29">
        <f t="shared" ca="1" si="156"/>
        <v>4</v>
      </c>
      <c r="BO276" s="29">
        <f t="shared" ca="1" si="156"/>
        <v>4</v>
      </c>
      <c r="BP276" s="29">
        <f t="shared" ca="1" si="156"/>
        <v>1</v>
      </c>
      <c r="BQ276" s="29">
        <f t="shared" ca="1" si="156"/>
        <v>1</v>
      </c>
      <c r="BR276" s="29">
        <f t="shared" ca="1" si="156"/>
        <v>2</v>
      </c>
      <c r="BS276" s="29">
        <f t="shared" ca="1" si="156"/>
        <v>2</v>
      </c>
      <c r="BT276" s="29">
        <f t="shared" ca="1" si="156"/>
        <v>3</v>
      </c>
      <c r="BU276" s="29">
        <f t="shared" ca="1" si="156"/>
        <v>2</v>
      </c>
      <c r="BV276" s="29">
        <f t="shared" ca="1" si="156"/>
        <v>3</v>
      </c>
      <c r="BW276" s="29">
        <f t="shared" ca="1" si="156"/>
        <v>4</v>
      </c>
      <c r="BX276" s="29">
        <f t="shared" ca="1" si="156"/>
        <v>3</v>
      </c>
      <c r="BY276" s="29">
        <f t="shared" ca="1" si="156"/>
        <v>4</v>
      </c>
      <c r="BZ276" s="29">
        <f t="shared" ca="1" si="156"/>
        <v>3</v>
      </c>
      <c r="CA276" s="29">
        <f t="shared" ca="1" si="153"/>
        <v>1</v>
      </c>
      <c r="CB276" s="29">
        <f t="shared" ca="1" si="153"/>
        <v>1</v>
      </c>
      <c r="CC276" s="29">
        <f t="shared" ca="1" si="153"/>
        <v>3</v>
      </c>
      <c r="CD276" s="29">
        <f t="shared" ca="1" si="153"/>
        <v>7</v>
      </c>
      <c r="CE276" s="29">
        <f t="shared" ca="1" si="153"/>
        <v>4</v>
      </c>
      <c r="CF276" s="29">
        <f t="shared" ca="1" si="153"/>
        <v>8</v>
      </c>
      <c r="CG276" s="29">
        <f t="shared" ca="1" si="153"/>
        <v>0</v>
      </c>
      <c r="CH276" s="29">
        <f t="shared" ca="1" si="153"/>
        <v>2</v>
      </c>
      <c r="CI276" s="29">
        <f t="shared" ca="1" si="153"/>
        <v>3</v>
      </c>
      <c r="CJ276" s="29">
        <f t="shared" ca="1" si="153"/>
        <v>4</v>
      </c>
      <c r="CK276" s="29">
        <f t="shared" ca="1" si="153"/>
        <v>5</v>
      </c>
      <c r="CL276" s="29">
        <f t="shared" ca="1" si="153"/>
        <v>5</v>
      </c>
      <c r="CM276" s="29">
        <f t="shared" ca="1" si="153"/>
        <v>3</v>
      </c>
      <c r="CN276" s="29">
        <f t="shared" ca="1" si="153"/>
        <v>2</v>
      </c>
      <c r="CO276" s="29">
        <f t="shared" ca="1" si="153"/>
        <v>3</v>
      </c>
      <c r="CP276" s="29">
        <f t="shared" ref="CP276:DE291" ca="1" si="160">_xlfn.BINOM.INV(50,$E276,RAND())</f>
        <v>2</v>
      </c>
      <c r="CQ276" s="29">
        <f t="shared" ca="1" si="160"/>
        <v>2</v>
      </c>
      <c r="CR276" s="29">
        <f t="shared" ca="1" si="160"/>
        <v>1</v>
      </c>
      <c r="CS276" s="29">
        <f t="shared" ca="1" si="160"/>
        <v>4</v>
      </c>
      <c r="CT276" s="29">
        <f t="shared" ca="1" si="160"/>
        <v>5</v>
      </c>
      <c r="CU276" s="29">
        <f t="shared" ca="1" si="160"/>
        <v>3</v>
      </c>
      <c r="CV276" s="29">
        <f t="shared" ca="1" si="160"/>
        <v>5</v>
      </c>
      <c r="CW276" s="29">
        <f t="shared" ca="1" si="160"/>
        <v>6</v>
      </c>
      <c r="CX276" s="29">
        <f t="shared" ca="1" si="160"/>
        <v>4</v>
      </c>
      <c r="CY276" s="29">
        <f t="shared" ca="1" si="160"/>
        <v>5</v>
      </c>
      <c r="CZ276" s="29">
        <f t="shared" ca="1" si="160"/>
        <v>2</v>
      </c>
      <c r="DA276" s="29">
        <f t="shared" ca="1" si="160"/>
        <v>10</v>
      </c>
      <c r="DB276" s="29">
        <f t="shared" ca="1" si="160"/>
        <v>5</v>
      </c>
      <c r="DC276" s="29">
        <f t="shared" ca="1" si="160"/>
        <v>3</v>
      </c>
      <c r="DD276" s="29">
        <f t="shared" ca="1" si="160"/>
        <v>3</v>
      </c>
      <c r="DE276" s="29">
        <f t="shared" ca="1" si="160"/>
        <v>3</v>
      </c>
      <c r="DF276" s="29">
        <f t="shared" ca="1" si="159"/>
        <v>2</v>
      </c>
      <c r="DG276" s="29">
        <f t="shared" ca="1" si="159"/>
        <v>3</v>
      </c>
      <c r="DH276" s="29">
        <f t="shared" ca="1" si="159"/>
        <v>2</v>
      </c>
      <c r="DI276" s="29">
        <f t="shared" ca="1" si="159"/>
        <v>2</v>
      </c>
      <c r="DJ276" s="29">
        <f t="shared" ca="1" si="159"/>
        <v>4</v>
      </c>
      <c r="DK276" s="29">
        <f t="shared" ca="1" si="159"/>
        <v>3</v>
      </c>
      <c r="DL276" s="29">
        <f t="shared" ca="1" si="159"/>
        <v>3</v>
      </c>
    </row>
    <row r="277" spans="1:116" ht="14.4" x14ac:dyDescent="0.3">
      <c r="A277" s="31">
        <v>794</v>
      </c>
      <c r="B277" s="28">
        <v>8.42</v>
      </c>
      <c r="C277" s="30">
        <v>3.23</v>
      </c>
      <c r="D277" s="28">
        <v>2.44</v>
      </c>
      <c r="E277" s="34">
        <f t="shared" si="145"/>
        <v>4.8799999999999996E-2</v>
      </c>
      <c r="F277" s="35">
        <f t="shared" si="146"/>
        <v>0.8075</v>
      </c>
      <c r="G277" s="34">
        <f t="shared" si="147"/>
        <v>61</v>
      </c>
      <c r="H277" s="33">
        <f t="shared" si="148"/>
        <v>7.1487529691211407</v>
      </c>
      <c r="I277" s="28">
        <f t="shared" si="151"/>
        <v>982.49000000000058</v>
      </c>
      <c r="J277" s="32">
        <v>0</v>
      </c>
      <c r="K277" s="30">
        <f t="shared" si="149"/>
        <v>61</v>
      </c>
      <c r="L277" s="30"/>
      <c r="M277" s="30"/>
      <c r="N277" s="30"/>
      <c r="O277" s="30"/>
      <c r="Q277" s="29">
        <f t="shared" ca="1" si="150"/>
        <v>2</v>
      </c>
      <c r="R277" s="29">
        <f t="shared" ca="1" si="155"/>
        <v>6</v>
      </c>
      <c r="S277" s="29">
        <f t="shared" ca="1" si="155"/>
        <v>4</v>
      </c>
      <c r="T277" s="29">
        <f t="shared" ca="1" si="155"/>
        <v>3</v>
      </c>
      <c r="U277" s="29">
        <f t="shared" ca="1" si="155"/>
        <v>2</v>
      </c>
      <c r="V277" s="29">
        <f t="shared" ca="1" si="155"/>
        <v>2</v>
      </c>
      <c r="W277" s="29">
        <f t="shared" ca="1" si="155"/>
        <v>2</v>
      </c>
      <c r="X277" s="29">
        <f t="shared" ca="1" si="155"/>
        <v>2</v>
      </c>
      <c r="Y277" s="29">
        <f t="shared" ca="1" si="155"/>
        <v>2</v>
      </c>
      <c r="Z277" s="29">
        <f t="shared" ca="1" si="155"/>
        <v>2</v>
      </c>
      <c r="AA277" s="29">
        <f t="shared" ca="1" si="155"/>
        <v>2</v>
      </c>
      <c r="AB277" s="29">
        <f t="shared" ca="1" si="155"/>
        <v>3</v>
      </c>
      <c r="AC277" s="29">
        <f t="shared" ca="1" si="155"/>
        <v>3</v>
      </c>
      <c r="AD277" s="29">
        <f t="shared" ca="1" si="155"/>
        <v>4</v>
      </c>
      <c r="AE277" s="29">
        <f t="shared" ca="1" si="155"/>
        <v>7</v>
      </c>
      <c r="AF277" s="29">
        <f t="shared" ca="1" si="155"/>
        <v>3</v>
      </c>
      <c r="AG277" s="29">
        <f t="shared" ca="1" si="154"/>
        <v>0</v>
      </c>
      <c r="AH277" s="29">
        <f t="shared" ca="1" si="154"/>
        <v>2</v>
      </c>
      <c r="AI277" s="29">
        <f t="shared" ca="1" si="154"/>
        <v>3</v>
      </c>
      <c r="AJ277" s="29">
        <f t="shared" ca="1" si="154"/>
        <v>3</v>
      </c>
      <c r="AK277" s="29">
        <f t="shared" ca="1" si="154"/>
        <v>3</v>
      </c>
      <c r="AL277" s="29">
        <f t="shared" ca="1" si="154"/>
        <v>1</v>
      </c>
      <c r="AM277" s="29">
        <f t="shared" ca="1" si="154"/>
        <v>5</v>
      </c>
      <c r="AN277" s="29">
        <f t="shared" ca="1" si="154"/>
        <v>2</v>
      </c>
      <c r="AO277" s="29">
        <f t="shared" ca="1" si="154"/>
        <v>3</v>
      </c>
      <c r="AP277" s="29">
        <f t="shared" ca="1" si="154"/>
        <v>3</v>
      </c>
      <c r="AQ277" s="29">
        <f t="shared" ca="1" si="154"/>
        <v>1</v>
      </c>
      <c r="AR277" s="29">
        <f t="shared" ca="1" si="154"/>
        <v>1</v>
      </c>
      <c r="AS277" s="29">
        <f t="shared" ca="1" si="154"/>
        <v>2</v>
      </c>
      <c r="AT277" s="29">
        <f t="shared" ca="1" si="154"/>
        <v>7</v>
      </c>
      <c r="AU277" s="29">
        <f t="shared" ca="1" si="154"/>
        <v>0</v>
      </c>
      <c r="AV277" s="29">
        <f t="shared" ca="1" si="158"/>
        <v>2</v>
      </c>
      <c r="AW277" s="29">
        <f t="shared" ca="1" si="158"/>
        <v>3</v>
      </c>
      <c r="AX277" s="29">
        <f t="shared" ca="1" si="158"/>
        <v>1</v>
      </c>
      <c r="AY277" s="29">
        <f t="shared" ca="1" si="158"/>
        <v>4</v>
      </c>
      <c r="AZ277" s="29">
        <f t="shared" ca="1" si="158"/>
        <v>4</v>
      </c>
      <c r="BA277" s="29">
        <f t="shared" ca="1" si="158"/>
        <v>4</v>
      </c>
      <c r="BB277" s="29">
        <f t="shared" ca="1" si="158"/>
        <v>1</v>
      </c>
      <c r="BC277" s="29">
        <f t="shared" ca="1" si="158"/>
        <v>4</v>
      </c>
      <c r="BD277" s="29">
        <f t="shared" ca="1" si="158"/>
        <v>2</v>
      </c>
      <c r="BE277" s="29">
        <f t="shared" ca="1" si="158"/>
        <v>2</v>
      </c>
      <c r="BF277" s="29">
        <f t="shared" ca="1" si="158"/>
        <v>1</v>
      </c>
      <c r="BG277" s="29">
        <f t="shared" ca="1" si="158"/>
        <v>2</v>
      </c>
      <c r="BH277" s="29">
        <f t="shared" ca="1" si="158"/>
        <v>2</v>
      </c>
      <c r="BI277" s="29">
        <f t="shared" ca="1" si="158"/>
        <v>1</v>
      </c>
      <c r="BJ277" s="29">
        <f t="shared" ca="1" si="158"/>
        <v>4</v>
      </c>
      <c r="BK277" s="29">
        <f t="shared" ca="1" si="158"/>
        <v>5</v>
      </c>
      <c r="BL277" s="29">
        <f t="shared" ca="1" si="156"/>
        <v>3</v>
      </c>
      <c r="BM277" s="29">
        <f t="shared" ca="1" si="156"/>
        <v>1</v>
      </c>
      <c r="BN277" s="29">
        <f t="shared" ca="1" si="156"/>
        <v>4</v>
      </c>
      <c r="BO277" s="29">
        <f t="shared" ca="1" si="156"/>
        <v>4</v>
      </c>
      <c r="BP277" s="29">
        <f t="shared" ca="1" si="156"/>
        <v>2</v>
      </c>
      <c r="BQ277" s="29">
        <f t="shared" ca="1" si="156"/>
        <v>1</v>
      </c>
      <c r="BR277" s="29">
        <f t="shared" ca="1" si="156"/>
        <v>1</v>
      </c>
      <c r="BS277" s="29">
        <f t="shared" ca="1" si="156"/>
        <v>1</v>
      </c>
      <c r="BT277" s="29">
        <f t="shared" ca="1" si="156"/>
        <v>2</v>
      </c>
      <c r="BU277" s="29">
        <f t="shared" ca="1" si="156"/>
        <v>4</v>
      </c>
      <c r="BV277" s="29">
        <f t="shared" ca="1" si="156"/>
        <v>3</v>
      </c>
      <c r="BW277" s="29">
        <f t="shared" ca="1" si="156"/>
        <v>4</v>
      </c>
      <c r="BX277" s="29">
        <f t="shared" ca="1" si="156"/>
        <v>1</v>
      </c>
      <c r="BY277" s="29">
        <f t="shared" ca="1" si="156"/>
        <v>3</v>
      </c>
      <c r="BZ277" s="29">
        <f t="shared" ca="1" si="156"/>
        <v>0</v>
      </c>
      <c r="CA277" s="29">
        <f t="shared" ref="CA277:CP292" ca="1" si="161">_xlfn.BINOM.INV(50,$E277,RAND())</f>
        <v>5</v>
      </c>
      <c r="CB277" s="29">
        <f t="shared" ca="1" si="161"/>
        <v>5</v>
      </c>
      <c r="CC277" s="29">
        <f t="shared" ca="1" si="161"/>
        <v>2</v>
      </c>
      <c r="CD277" s="29">
        <f t="shared" ca="1" si="161"/>
        <v>1</v>
      </c>
      <c r="CE277" s="29">
        <f t="shared" ca="1" si="161"/>
        <v>3</v>
      </c>
      <c r="CF277" s="29">
        <f t="shared" ca="1" si="161"/>
        <v>1</v>
      </c>
      <c r="CG277" s="29">
        <f t="shared" ca="1" si="161"/>
        <v>5</v>
      </c>
      <c r="CH277" s="29">
        <f t="shared" ca="1" si="161"/>
        <v>1</v>
      </c>
      <c r="CI277" s="29">
        <f t="shared" ca="1" si="161"/>
        <v>3</v>
      </c>
      <c r="CJ277" s="29">
        <f t="shared" ca="1" si="161"/>
        <v>4</v>
      </c>
      <c r="CK277" s="29">
        <f t="shared" ca="1" si="161"/>
        <v>1</v>
      </c>
      <c r="CL277" s="29">
        <f t="shared" ca="1" si="161"/>
        <v>2</v>
      </c>
      <c r="CM277" s="29">
        <f t="shared" ca="1" si="161"/>
        <v>2</v>
      </c>
      <c r="CN277" s="29">
        <f t="shared" ca="1" si="161"/>
        <v>1</v>
      </c>
      <c r="CO277" s="29">
        <f t="shared" ca="1" si="161"/>
        <v>5</v>
      </c>
      <c r="CP277" s="29">
        <f t="shared" ca="1" si="161"/>
        <v>1</v>
      </c>
      <c r="CQ277" s="29">
        <f t="shared" ca="1" si="160"/>
        <v>1</v>
      </c>
      <c r="CR277" s="29">
        <f t="shared" ca="1" si="160"/>
        <v>1</v>
      </c>
      <c r="CS277" s="29">
        <f t="shared" ca="1" si="160"/>
        <v>2</v>
      </c>
      <c r="CT277" s="29">
        <f t="shared" ca="1" si="160"/>
        <v>3</v>
      </c>
      <c r="CU277" s="29">
        <f t="shared" ca="1" si="160"/>
        <v>1</v>
      </c>
      <c r="CV277" s="29">
        <f t="shared" ca="1" si="160"/>
        <v>1</v>
      </c>
      <c r="CW277" s="29">
        <f t="shared" ca="1" si="160"/>
        <v>1</v>
      </c>
      <c r="CX277" s="29">
        <f t="shared" ca="1" si="160"/>
        <v>5</v>
      </c>
      <c r="CY277" s="29">
        <f t="shared" ca="1" si="160"/>
        <v>3</v>
      </c>
      <c r="CZ277" s="29">
        <f t="shared" ca="1" si="160"/>
        <v>5</v>
      </c>
      <c r="DA277" s="29">
        <f t="shared" ca="1" si="160"/>
        <v>5</v>
      </c>
      <c r="DB277" s="29">
        <f t="shared" ca="1" si="160"/>
        <v>3</v>
      </c>
      <c r="DC277" s="29">
        <f t="shared" ca="1" si="160"/>
        <v>2</v>
      </c>
      <c r="DD277" s="29">
        <f t="shared" ca="1" si="160"/>
        <v>3</v>
      </c>
      <c r="DE277" s="29">
        <f t="shared" ca="1" si="160"/>
        <v>5</v>
      </c>
      <c r="DF277" s="29">
        <f t="shared" ca="1" si="159"/>
        <v>1</v>
      </c>
      <c r="DG277" s="29">
        <f t="shared" ca="1" si="159"/>
        <v>1</v>
      </c>
      <c r="DH277" s="29">
        <f t="shared" ca="1" si="159"/>
        <v>0</v>
      </c>
      <c r="DI277" s="29">
        <f t="shared" ca="1" si="159"/>
        <v>4</v>
      </c>
      <c r="DJ277" s="29">
        <f t="shared" ca="1" si="159"/>
        <v>2</v>
      </c>
      <c r="DK277" s="29">
        <f t="shared" ca="1" si="159"/>
        <v>2</v>
      </c>
      <c r="DL277" s="29">
        <f t="shared" ca="1" si="159"/>
        <v>3</v>
      </c>
    </row>
    <row r="278" spans="1:116" ht="14.4" x14ac:dyDescent="0.3">
      <c r="A278" s="31">
        <v>627</v>
      </c>
      <c r="B278" s="28">
        <v>7.76</v>
      </c>
      <c r="C278" s="30">
        <v>60.72</v>
      </c>
      <c r="D278" s="28">
        <v>2.82</v>
      </c>
      <c r="E278" s="34">
        <f t="shared" si="145"/>
        <v>5.6399999999999999E-2</v>
      </c>
      <c r="F278" s="35">
        <f t="shared" si="146"/>
        <v>15.18</v>
      </c>
      <c r="G278" s="34">
        <f t="shared" si="147"/>
        <v>70.5</v>
      </c>
      <c r="H278" s="33">
        <f t="shared" si="148"/>
        <v>7.1288659793814437</v>
      </c>
      <c r="I278" s="28">
        <f t="shared" si="151"/>
        <v>990.25000000000057</v>
      </c>
      <c r="J278" s="32">
        <v>0</v>
      </c>
      <c r="K278" s="30">
        <f t="shared" si="149"/>
        <v>70.5</v>
      </c>
      <c r="L278" s="30"/>
      <c r="M278" s="30"/>
      <c r="N278" s="30"/>
      <c r="O278" s="30"/>
      <c r="Q278" s="29">
        <f t="shared" ca="1" si="150"/>
        <v>2</v>
      </c>
      <c r="R278" s="29">
        <f t="shared" ca="1" si="155"/>
        <v>5</v>
      </c>
      <c r="S278" s="29">
        <f t="shared" ca="1" si="155"/>
        <v>0</v>
      </c>
      <c r="T278" s="29">
        <f t="shared" ca="1" si="155"/>
        <v>4</v>
      </c>
      <c r="U278" s="29">
        <f t="shared" ca="1" si="155"/>
        <v>3</v>
      </c>
      <c r="V278" s="29">
        <f t="shared" ca="1" si="155"/>
        <v>3</v>
      </c>
      <c r="W278" s="29">
        <f t="shared" ca="1" si="155"/>
        <v>2</v>
      </c>
      <c r="X278" s="29">
        <f t="shared" ca="1" si="155"/>
        <v>5</v>
      </c>
      <c r="Y278" s="29">
        <f t="shared" ca="1" si="155"/>
        <v>2</v>
      </c>
      <c r="Z278" s="29">
        <f t="shared" ca="1" si="155"/>
        <v>2</v>
      </c>
      <c r="AA278" s="29">
        <f t="shared" ca="1" si="155"/>
        <v>5</v>
      </c>
      <c r="AB278" s="29">
        <f t="shared" ca="1" si="155"/>
        <v>0</v>
      </c>
      <c r="AC278" s="29">
        <f t="shared" ca="1" si="155"/>
        <v>3</v>
      </c>
      <c r="AD278" s="29">
        <f t="shared" ca="1" si="155"/>
        <v>2</v>
      </c>
      <c r="AE278" s="29">
        <f t="shared" ca="1" si="155"/>
        <v>3</v>
      </c>
      <c r="AF278" s="29">
        <f t="shared" ca="1" si="155"/>
        <v>2</v>
      </c>
      <c r="AG278" s="29">
        <f t="shared" ca="1" si="154"/>
        <v>1</v>
      </c>
      <c r="AH278" s="29">
        <f t="shared" ca="1" si="154"/>
        <v>0</v>
      </c>
      <c r="AI278" s="29">
        <f t="shared" ca="1" si="154"/>
        <v>6</v>
      </c>
      <c r="AJ278" s="29">
        <f t="shared" ca="1" si="154"/>
        <v>3</v>
      </c>
      <c r="AK278" s="29">
        <f t="shared" ca="1" si="154"/>
        <v>4</v>
      </c>
      <c r="AL278" s="29">
        <f t="shared" ca="1" si="154"/>
        <v>1</v>
      </c>
      <c r="AM278" s="29">
        <f t="shared" ca="1" si="154"/>
        <v>6</v>
      </c>
      <c r="AN278" s="29">
        <f t="shared" ca="1" si="154"/>
        <v>3</v>
      </c>
      <c r="AO278" s="29">
        <f t="shared" ca="1" si="154"/>
        <v>3</v>
      </c>
      <c r="AP278" s="29">
        <f t="shared" ca="1" si="154"/>
        <v>3</v>
      </c>
      <c r="AQ278" s="29">
        <f t="shared" ca="1" si="154"/>
        <v>3</v>
      </c>
      <c r="AR278" s="29">
        <f t="shared" ca="1" si="154"/>
        <v>5</v>
      </c>
      <c r="AS278" s="29">
        <f t="shared" ca="1" si="154"/>
        <v>3</v>
      </c>
      <c r="AT278" s="29">
        <f t="shared" ca="1" si="154"/>
        <v>1</v>
      </c>
      <c r="AU278" s="29">
        <f t="shared" ca="1" si="154"/>
        <v>2</v>
      </c>
      <c r="AV278" s="29">
        <f t="shared" ca="1" si="158"/>
        <v>3</v>
      </c>
      <c r="AW278" s="29">
        <f t="shared" ca="1" si="158"/>
        <v>4</v>
      </c>
      <c r="AX278" s="29">
        <f t="shared" ca="1" si="158"/>
        <v>2</v>
      </c>
      <c r="AY278" s="29">
        <f t="shared" ca="1" si="158"/>
        <v>5</v>
      </c>
      <c r="AZ278" s="29">
        <f t="shared" ca="1" si="158"/>
        <v>1</v>
      </c>
      <c r="BA278" s="29">
        <f t="shared" ca="1" si="158"/>
        <v>3</v>
      </c>
      <c r="BB278" s="29">
        <f t="shared" ca="1" si="158"/>
        <v>4</v>
      </c>
      <c r="BC278" s="29">
        <f t="shared" ca="1" si="158"/>
        <v>4</v>
      </c>
      <c r="BD278" s="29">
        <f t="shared" ca="1" si="158"/>
        <v>4</v>
      </c>
      <c r="BE278" s="29">
        <f t="shared" ca="1" si="158"/>
        <v>6</v>
      </c>
      <c r="BF278" s="29">
        <f t="shared" ca="1" si="158"/>
        <v>5</v>
      </c>
      <c r="BG278" s="29">
        <f t="shared" ca="1" si="158"/>
        <v>2</v>
      </c>
      <c r="BH278" s="29">
        <f t="shared" ca="1" si="158"/>
        <v>2</v>
      </c>
      <c r="BI278" s="29">
        <f t="shared" ca="1" si="158"/>
        <v>2</v>
      </c>
      <c r="BJ278" s="29">
        <f t="shared" ca="1" si="158"/>
        <v>2</v>
      </c>
      <c r="BK278" s="29">
        <f t="shared" ca="1" si="158"/>
        <v>5</v>
      </c>
      <c r="BL278" s="29">
        <f t="shared" ca="1" si="156"/>
        <v>1</v>
      </c>
      <c r="BM278" s="29">
        <f t="shared" ca="1" si="156"/>
        <v>2</v>
      </c>
      <c r="BN278" s="29">
        <f t="shared" ca="1" si="156"/>
        <v>3</v>
      </c>
      <c r="BO278" s="29">
        <f t="shared" ca="1" si="156"/>
        <v>4</v>
      </c>
      <c r="BP278" s="29">
        <f t="shared" ca="1" si="156"/>
        <v>3</v>
      </c>
      <c r="BQ278" s="29">
        <f t="shared" ca="1" si="156"/>
        <v>4</v>
      </c>
      <c r="BR278" s="29">
        <f t="shared" ca="1" si="156"/>
        <v>4</v>
      </c>
      <c r="BS278" s="29">
        <f t="shared" ca="1" si="156"/>
        <v>3</v>
      </c>
      <c r="BT278" s="29">
        <f t="shared" ca="1" si="156"/>
        <v>5</v>
      </c>
      <c r="BU278" s="29">
        <f t="shared" ca="1" si="156"/>
        <v>3</v>
      </c>
      <c r="BV278" s="29">
        <f t="shared" ca="1" si="156"/>
        <v>0</v>
      </c>
      <c r="BW278" s="29">
        <f t="shared" ca="1" si="156"/>
        <v>4</v>
      </c>
      <c r="BX278" s="29">
        <f t="shared" ca="1" si="156"/>
        <v>2</v>
      </c>
      <c r="BY278" s="29">
        <f t="shared" ca="1" si="156"/>
        <v>0</v>
      </c>
      <c r="BZ278" s="29">
        <f t="shared" ca="1" si="156"/>
        <v>2</v>
      </c>
      <c r="CA278" s="29">
        <f t="shared" ca="1" si="161"/>
        <v>0</v>
      </c>
      <c r="CB278" s="29">
        <f t="shared" ca="1" si="161"/>
        <v>0</v>
      </c>
      <c r="CC278" s="29">
        <f t="shared" ca="1" si="161"/>
        <v>5</v>
      </c>
      <c r="CD278" s="29">
        <f t="shared" ca="1" si="161"/>
        <v>2</v>
      </c>
      <c r="CE278" s="29">
        <f t="shared" ca="1" si="161"/>
        <v>1</v>
      </c>
      <c r="CF278" s="29">
        <f t="shared" ca="1" si="161"/>
        <v>3</v>
      </c>
      <c r="CG278" s="29">
        <f t="shared" ca="1" si="161"/>
        <v>2</v>
      </c>
      <c r="CH278" s="29">
        <f t="shared" ca="1" si="161"/>
        <v>3</v>
      </c>
      <c r="CI278" s="29">
        <f t="shared" ca="1" si="161"/>
        <v>1</v>
      </c>
      <c r="CJ278" s="29">
        <f t="shared" ca="1" si="161"/>
        <v>3</v>
      </c>
      <c r="CK278" s="29">
        <f t="shared" ca="1" si="161"/>
        <v>5</v>
      </c>
      <c r="CL278" s="29">
        <f t="shared" ca="1" si="161"/>
        <v>2</v>
      </c>
      <c r="CM278" s="29">
        <f t="shared" ca="1" si="161"/>
        <v>1</v>
      </c>
      <c r="CN278" s="29">
        <f t="shared" ca="1" si="161"/>
        <v>3</v>
      </c>
      <c r="CO278" s="29">
        <f t="shared" ca="1" si="161"/>
        <v>3</v>
      </c>
      <c r="CP278" s="29">
        <f t="shared" ca="1" si="161"/>
        <v>4</v>
      </c>
      <c r="CQ278" s="29">
        <f t="shared" ca="1" si="160"/>
        <v>2</v>
      </c>
      <c r="CR278" s="29">
        <f t="shared" ca="1" si="160"/>
        <v>2</v>
      </c>
      <c r="CS278" s="29">
        <f t="shared" ca="1" si="160"/>
        <v>4</v>
      </c>
      <c r="CT278" s="29">
        <f t="shared" ca="1" si="160"/>
        <v>4</v>
      </c>
      <c r="CU278" s="29">
        <f t="shared" ca="1" si="160"/>
        <v>4</v>
      </c>
      <c r="CV278" s="29">
        <f t="shared" ca="1" si="160"/>
        <v>4</v>
      </c>
      <c r="CW278" s="29">
        <f t="shared" ca="1" si="160"/>
        <v>1</v>
      </c>
      <c r="CX278" s="29">
        <f t="shared" ca="1" si="160"/>
        <v>2</v>
      </c>
      <c r="CY278" s="29">
        <f t="shared" ca="1" si="160"/>
        <v>4</v>
      </c>
      <c r="CZ278" s="29">
        <f t="shared" ca="1" si="160"/>
        <v>8</v>
      </c>
      <c r="DA278" s="29">
        <f t="shared" ca="1" si="160"/>
        <v>2</v>
      </c>
      <c r="DB278" s="29">
        <f t="shared" ca="1" si="160"/>
        <v>3</v>
      </c>
      <c r="DC278" s="29">
        <f t="shared" ca="1" si="160"/>
        <v>0</v>
      </c>
      <c r="DD278" s="29">
        <f t="shared" ca="1" si="160"/>
        <v>2</v>
      </c>
      <c r="DE278" s="29">
        <f t="shared" ca="1" si="160"/>
        <v>3</v>
      </c>
      <c r="DF278" s="29">
        <f t="shared" ca="1" si="159"/>
        <v>4</v>
      </c>
      <c r="DG278" s="29">
        <f t="shared" ca="1" si="159"/>
        <v>2</v>
      </c>
      <c r="DH278" s="29">
        <f t="shared" ca="1" si="159"/>
        <v>2</v>
      </c>
      <c r="DI278" s="29">
        <f t="shared" ca="1" si="159"/>
        <v>3</v>
      </c>
      <c r="DJ278" s="29">
        <f t="shared" ca="1" si="159"/>
        <v>4</v>
      </c>
      <c r="DK278" s="29">
        <f t="shared" ca="1" si="159"/>
        <v>5</v>
      </c>
      <c r="DL278" s="29">
        <f t="shared" ca="1" si="159"/>
        <v>2</v>
      </c>
    </row>
    <row r="279" spans="1:116" ht="14.4" x14ac:dyDescent="0.3">
      <c r="A279" s="31">
        <v>648</v>
      </c>
      <c r="B279" s="28">
        <v>9.6</v>
      </c>
      <c r="C279" s="30">
        <v>0.17</v>
      </c>
      <c r="D279" s="28">
        <v>2.7</v>
      </c>
      <c r="E279" s="34">
        <f t="shared" si="145"/>
        <v>5.4000000000000006E-2</v>
      </c>
      <c r="F279" s="35">
        <f t="shared" si="146"/>
        <v>4.2500000000000003E-2</v>
      </c>
      <c r="G279" s="34">
        <f t="shared" si="147"/>
        <v>67.5</v>
      </c>
      <c r="H279" s="33">
        <f t="shared" si="148"/>
        <v>7.0268229166666663</v>
      </c>
      <c r="I279" s="28">
        <f t="shared" si="151"/>
        <v>999.85000000000059</v>
      </c>
      <c r="J279" s="32">
        <v>0</v>
      </c>
      <c r="K279" s="30">
        <f t="shared" si="149"/>
        <v>67.5</v>
      </c>
      <c r="L279" s="30"/>
      <c r="M279" s="30"/>
      <c r="N279" s="30"/>
      <c r="O279" s="30"/>
      <c r="Q279" s="29">
        <f t="shared" ca="1" si="150"/>
        <v>2</v>
      </c>
      <c r="R279" s="29">
        <f t="shared" ca="1" si="155"/>
        <v>5</v>
      </c>
      <c r="S279" s="29">
        <f t="shared" ca="1" si="155"/>
        <v>1</v>
      </c>
      <c r="T279" s="29">
        <f t="shared" ca="1" si="155"/>
        <v>4</v>
      </c>
      <c r="U279" s="29">
        <f t="shared" ca="1" si="155"/>
        <v>9</v>
      </c>
      <c r="V279" s="29">
        <f t="shared" ca="1" si="155"/>
        <v>7</v>
      </c>
      <c r="W279" s="29">
        <f t="shared" ca="1" si="155"/>
        <v>4</v>
      </c>
      <c r="X279" s="29">
        <f t="shared" ca="1" si="155"/>
        <v>3</v>
      </c>
      <c r="Y279" s="29">
        <f t="shared" ca="1" si="155"/>
        <v>1</v>
      </c>
      <c r="Z279" s="29">
        <f t="shared" ca="1" si="155"/>
        <v>4</v>
      </c>
      <c r="AA279" s="29">
        <f t="shared" ca="1" si="155"/>
        <v>1</v>
      </c>
      <c r="AB279" s="29">
        <f t="shared" ca="1" si="155"/>
        <v>2</v>
      </c>
      <c r="AC279" s="29">
        <f t="shared" ca="1" si="155"/>
        <v>4</v>
      </c>
      <c r="AD279" s="29">
        <f t="shared" ca="1" si="155"/>
        <v>2</v>
      </c>
      <c r="AE279" s="29">
        <f t="shared" ca="1" si="155"/>
        <v>2</v>
      </c>
      <c r="AF279" s="29">
        <f t="shared" ca="1" si="155"/>
        <v>2</v>
      </c>
      <c r="AG279" s="29">
        <f t="shared" ca="1" si="154"/>
        <v>5</v>
      </c>
      <c r="AH279" s="29">
        <f t="shared" ca="1" si="154"/>
        <v>1</v>
      </c>
      <c r="AI279" s="29">
        <f t="shared" ca="1" si="154"/>
        <v>1</v>
      </c>
      <c r="AJ279" s="29">
        <f t="shared" ca="1" si="154"/>
        <v>3</v>
      </c>
      <c r="AK279" s="29">
        <f t="shared" ca="1" si="154"/>
        <v>1</v>
      </c>
      <c r="AL279" s="29">
        <f t="shared" ca="1" si="154"/>
        <v>3</v>
      </c>
      <c r="AM279" s="29">
        <f t="shared" ca="1" si="154"/>
        <v>3</v>
      </c>
      <c r="AN279" s="29">
        <f t="shared" ca="1" si="154"/>
        <v>2</v>
      </c>
      <c r="AO279" s="29">
        <f t="shared" ca="1" si="154"/>
        <v>1</v>
      </c>
      <c r="AP279" s="29">
        <f t="shared" ca="1" si="154"/>
        <v>1</v>
      </c>
      <c r="AQ279" s="29">
        <f t="shared" ca="1" si="154"/>
        <v>3</v>
      </c>
      <c r="AR279" s="29">
        <f t="shared" ca="1" si="154"/>
        <v>1</v>
      </c>
      <c r="AS279" s="29">
        <f t="shared" ca="1" si="154"/>
        <v>4</v>
      </c>
      <c r="AT279" s="29">
        <f t="shared" ca="1" si="154"/>
        <v>2</v>
      </c>
      <c r="AU279" s="29">
        <f t="shared" ca="1" si="154"/>
        <v>1</v>
      </c>
      <c r="AV279" s="29">
        <f t="shared" ca="1" si="158"/>
        <v>1</v>
      </c>
      <c r="AW279" s="29">
        <f t="shared" ca="1" si="158"/>
        <v>7</v>
      </c>
      <c r="AX279" s="29">
        <f t="shared" ca="1" si="158"/>
        <v>3</v>
      </c>
      <c r="AY279" s="29">
        <f t="shared" ca="1" si="158"/>
        <v>3</v>
      </c>
      <c r="AZ279" s="29">
        <f t="shared" ca="1" si="158"/>
        <v>4</v>
      </c>
      <c r="BA279" s="29">
        <f t="shared" ca="1" si="158"/>
        <v>1</v>
      </c>
      <c r="BB279" s="29">
        <f t="shared" ca="1" si="158"/>
        <v>2</v>
      </c>
      <c r="BC279" s="29">
        <f t="shared" ca="1" si="158"/>
        <v>3</v>
      </c>
      <c r="BD279" s="29">
        <f t="shared" ca="1" si="158"/>
        <v>1</v>
      </c>
      <c r="BE279" s="29">
        <f t="shared" ca="1" si="158"/>
        <v>5</v>
      </c>
      <c r="BF279" s="29">
        <f t="shared" ca="1" si="158"/>
        <v>2</v>
      </c>
      <c r="BG279" s="29">
        <f t="shared" ca="1" si="158"/>
        <v>5</v>
      </c>
      <c r="BH279" s="29">
        <f t="shared" ca="1" si="158"/>
        <v>4</v>
      </c>
      <c r="BI279" s="29">
        <f t="shared" ca="1" si="158"/>
        <v>3</v>
      </c>
      <c r="BJ279" s="29">
        <f t="shared" ca="1" si="158"/>
        <v>2</v>
      </c>
      <c r="BK279" s="29">
        <f t="shared" ca="1" si="158"/>
        <v>2</v>
      </c>
      <c r="BL279" s="29">
        <f t="shared" ca="1" si="156"/>
        <v>0</v>
      </c>
      <c r="BM279" s="29">
        <f t="shared" ca="1" si="156"/>
        <v>3</v>
      </c>
      <c r="BN279" s="29">
        <f t="shared" ca="1" si="156"/>
        <v>1</v>
      </c>
      <c r="BO279" s="29">
        <f t="shared" ca="1" si="156"/>
        <v>1</v>
      </c>
      <c r="BP279" s="29">
        <f t="shared" ca="1" si="156"/>
        <v>6</v>
      </c>
      <c r="BQ279" s="29">
        <f t="shared" ca="1" si="156"/>
        <v>2</v>
      </c>
      <c r="BR279" s="29">
        <f t="shared" ca="1" si="156"/>
        <v>4</v>
      </c>
      <c r="BS279" s="29">
        <f t="shared" ca="1" si="156"/>
        <v>4</v>
      </c>
      <c r="BT279" s="29">
        <f t="shared" ca="1" si="156"/>
        <v>2</v>
      </c>
      <c r="BU279" s="29">
        <f t="shared" ca="1" si="156"/>
        <v>6</v>
      </c>
      <c r="BV279" s="29">
        <f t="shared" ca="1" si="156"/>
        <v>3</v>
      </c>
      <c r="BW279" s="29">
        <f t="shared" ca="1" si="156"/>
        <v>4</v>
      </c>
      <c r="BX279" s="29">
        <f t="shared" ca="1" si="156"/>
        <v>2</v>
      </c>
      <c r="BY279" s="29">
        <f t="shared" ca="1" si="156"/>
        <v>3</v>
      </c>
      <c r="BZ279" s="29">
        <f t="shared" ca="1" si="156"/>
        <v>2</v>
      </c>
      <c r="CA279" s="29">
        <f t="shared" ca="1" si="161"/>
        <v>4</v>
      </c>
      <c r="CB279" s="29">
        <f t="shared" ca="1" si="161"/>
        <v>3</v>
      </c>
      <c r="CC279" s="29">
        <f t="shared" ca="1" si="161"/>
        <v>1</v>
      </c>
      <c r="CD279" s="29">
        <f t="shared" ca="1" si="161"/>
        <v>1</v>
      </c>
      <c r="CE279" s="29">
        <f t="shared" ca="1" si="161"/>
        <v>5</v>
      </c>
      <c r="CF279" s="29">
        <f t="shared" ca="1" si="161"/>
        <v>1</v>
      </c>
      <c r="CG279" s="29">
        <f t="shared" ca="1" si="161"/>
        <v>1</v>
      </c>
      <c r="CH279" s="29">
        <f t="shared" ca="1" si="161"/>
        <v>1</v>
      </c>
      <c r="CI279" s="29">
        <f t="shared" ca="1" si="161"/>
        <v>4</v>
      </c>
      <c r="CJ279" s="29">
        <f t="shared" ca="1" si="161"/>
        <v>3</v>
      </c>
      <c r="CK279" s="29">
        <f t="shared" ca="1" si="161"/>
        <v>1</v>
      </c>
      <c r="CL279" s="29">
        <f t="shared" ca="1" si="161"/>
        <v>2</v>
      </c>
      <c r="CM279" s="29">
        <f t="shared" ca="1" si="161"/>
        <v>4</v>
      </c>
      <c r="CN279" s="29">
        <f t="shared" ca="1" si="161"/>
        <v>3</v>
      </c>
      <c r="CO279" s="29">
        <f t="shared" ca="1" si="161"/>
        <v>4</v>
      </c>
      <c r="CP279" s="29">
        <f t="shared" ca="1" si="161"/>
        <v>2</v>
      </c>
      <c r="CQ279" s="29">
        <f t="shared" ca="1" si="160"/>
        <v>2</v>
      </c>
      <c r="CR279" s="29">
        <f t="shared" ca="1" si="160"/>
        <v>2</v>
      </c>
      <c r="CS279" s="29">
        <f t="shared" ca="1" si="160"/>
        <v>2</v>
      </c>
      <c r="CT279" s="29">
        <f t="shared" ca="1" si="160"/>
        <v>2</v>
      </c>
      <c r="CU279" s="29">
        <f t="shared" ca="1" si="160"/>
        <v>2</v>
      </c>
      <c r="CV279" s="29">
        <f t="shared" ca="1" si="160"/>
        <v>4</v>
      </c>
      <c r="CW279" s="29">
        <f t="shared" ca="1" si="160"/>
        <v>0</v>
      </c>
      <c r="CX279" s="29">
        <f t="shared" ca="1" si="160"/>
        <v>2</v>
      </c>
      <c r="CY279" s="29">
        <f t="shared" ca="1" si="160"/>
        <v>1</v>
      </c>
      <c r="CZ279" s="29">
        <f t="shared" ca="1" si="160"/>
        <v>1</v>
      </c>
      <c r="DA279" s="29">
        <f t="shared" ca="1" si="160"/>
        <v>2</v>
      </c>
      <c r="DB279" s="29">
        <f t="shared" ca="1" si="160"/>
        <v>0</v>
      </c>
      <c r="DC279" s="29">
        <f t="shared" ca="1" si="160"/>
        <v>3</v>
      </c>
      <c r="DD279" s="29">
        <f t="shared" ca="1" si="160"/>
        <v>3</v>
      </c>
      <c r="DE279" s="29">
        <f t="shared" ca="1" si="160"/>
        <v>2</v>
      </c>
      <c r="DF279" s="29">
        <f t="shared" ca="1" si="159"/>
        <v>1</v>
      </c>
      <c r="DG279" s="29">
        <f t="shared" ca="1" si="159"/>
        <v>1</v>
      </c>
      <c r="DH279" s="29">
        <f t="shared" ca="1" si="159"/>
        <v>0</v>
      </c>
      <c r="DI279" s="29">
        <f t="shared" ca="1" si="159"/>
        <v>1</v>
      </c>
      <c r="DJ279" s="29">
        <f t="shared" ca="1" si="159"/>
        <v>1</v>
      </c>
      <c r="DK279" s="29">
        <f t="shared" ca="1" si="159"/>
        <v>2</v>
      </c>
      <c r="DL279" s="29">
        <f t="shared" ca="1" si="159"/>
        <v>4</v>
      </c>
    </row>
    <row r="280" spans="1:116" ht="14.4" x14ac:dyDescent="0.3">
      <c r="A280" s="31">
        <v>814</v>
      </c>
      <c r="B280" s="28">
        <v>2.54</v>
      </c>
      <c r="C280" s="30">
        <v>67.67</v>
      </c>
      <c r="D280" s="28">
        <v>1.39</v>
      </c>
      <c r="E280" s="34">
        <f t="shared" si="145"/>
        <v>2.7799999999999998E-2</v>
      </c>
      <c r="F280" s="35">
        <f t="shared" si="146"/>
        <v>16.9175</v>
      </c>
      <c r="G280" s="34">
        <f t="shared" si="147"/>
        <v>34.75</v>
      </c>
      <c r="H280" s="33">
        <f t="shared" si="148"/>
        <v>7.0206692913385824</v>
      </c>
      <c r="I280" s="28">
        <f t="shared" si="151"/>
        <v>1002.3900000000006</v>
      </c>
      <c r="J280" s="32">
        <v>0</v>
      </c>
      <c r="K280" s="30">
        <f t="shared" si="149"/>
        <v>34.75</v>
      </c>
      <c r="L280" s="30"/>
      <c r="M280" s="30"/>
      <c r="N280" s="30"/>
      <c r="O280" s="30"/>
      <c r="Q280" s="29">
        <f t="shared" ca="1" si="150"/>
        <v>0</v>
      </c>
      <c r="R280" s="29">
        <f t="shared" ca="1" si="155"/>
        <v>0</v>
      </c>
      <c r="S280" s="29">
        <f t="shared" ca="1" si="155"/>
        <v>4</v>
      </c>
      <c r="T280" s="29">
        <f t="shared" ca="1" si="155"/>
        <v>4</v>
      </c>
      <c r="U280" s="29">
        <f t="shared" ca="1" si="155"/>
        <v>2</v>
      </c>
      <c r="V280" s="29">
        <f t="shared" ca="1" si="155"/>
        <v>1</v>
      </c>
      <c r="W280" s="29">
        <f t="shared" ca="1" si="155"/>
        <v>2</v>
      </c>
      <c r="X280" s="29">
        <f t="shared" ca="1" si="155"/>
        <v>2</v>
      </c>
      <c r="Y280" s="29">
        <f t="shared" ca="1" si="155"/>
        <v>3</v>
      </c>
      <c r="Z280" s="29">
        <f t="shared" ca="1" si="155"/>
        <v>0</v>
      </c>
      <c r="AA280" s="29">
        <f t="shared" ca="1" si="155"/>
        <v>7</v>
      </c>
      <c r="AB280" s="29">
        <f t="shared" ca="1" si="155"/>
        <v>3</v>
      </c>
      <c r="AC280" s="29">
        <f t="shared" ca="1" si="155"/>
        <v>0</v>
      </c>
      <c r="AD280" s="29">
        <f t="shared" ca="1" si="155"/>
        <v>1</v>
      </c>
      <c r="AE280" s="29">
        <f t="shared" ca="1" si="155"/>
        <v>1</v>
      </c>
      <c r="AF280" s="29">
        <f t="shared" ca="1" si="155"/>
        <v>1</v>
      </c>
      <c r="AG280" s="29">
        <f t="shared" ca="1" si="154"/>
        <v>0</v>
      </c>
      <c r="AH280" s="29">
        <f t="shared" ca="1" si="154"/>
        <v>2</v>
      </c>
      <c r="AI280" s="29">
        <f t="shared" ca="1" si="154"/>
        <v>0</v>
      </c>
      <c r="AJ280" s="29">
        <f t="shared" ca="1" si="154"/>
        <v>0</v>
      </c>
      <c r="AK280" s="29">
        <f t="shared" ca="1" si="154"/>
        <v>2</v>
      </c>
      <c r="AL280" s="29">
        <f t="shared" ca="1" si="154"/>
        <v>3</v>
      </c>
      <c r="AM280" s="29">
        <f t="shared" ca="1" si="154"/>
        <v>0</v>
      </c>
      <c r="AN280" s="29">
        <f t="shared" ca="1" si="154"/>
        <v>1</v>
      </c>
      <c r="AO280" s="29">
        <f t="shared" ca="1" si="154"/>
        <v>1</v>
      </c>
      <c r="AP280" s="29">
        <f t="shared" ca="1" si="154"/>
        <v>3</v>
      </c>
      <c r="AQ280" s="29">
        <f t="shared" ca="1" si="154"/>
        <v>1</v>
      </c>
      <c r="AR280" s="29">
        <f t="shared" ca="1" si="154"/>
        <v>2</v>
      </c>
      <c r="AS280" s="29">
        <f t="shared" ca="1" si="154"/>
        <v>2</v>
      </c>
      <c r="AT280" s="29">
        <f t="shared" ca="1" si="154"/>
        <v>4</v>
      </c>
      <c r="AU280" s="29">
        <f t="shared" ca="1" si="154"/>
        <v>1</v>
      </c>
      <c r="AV280" s="29">
        <f t="shared" ca="1" si="158"/>
        <v>2</v>
      </c>
      <c r="AW280" s="29">
        <f t="shared" ca="1" si="158"/>
        <v>1</v>
      </c>
      <c r="AX280" s="29">
        <f t="shared" ca="1" si="158"/>
        <v>3</v>
      </c>
      <c r="AY280" s="29">
        <f t="shared" ca="1" si="158"/>
        <v>1</v>
      </c>
      <c r="AZ280" s="29">
        <f t="shared" ca="1" si="158"/>
        <v>1</v>
      </c>
      <c r="BA280" s="29">
        <f t="shared" ca="1" si="158"/>
        <v>1</v>
      </c>
      <c r="BB280" s="29">
        <f t="shared" ca="1" si="158"/>
        <v>2</v>
      </c>
      <c r="BC280" s="29">
        <f t="shared" ca="1" si="158"/>
        <v>0</v>
      </c>
      <c r="BD280" s="29">
        <f t="shared" ca="1" si="158"/>
        <v>2</v>
      </c>
      <c r="BE280" s="29">
        <f t="shared" ca="1" si="158"/>
        <v>1</v>
      </c>
      <c r="BF280" s="29">
        <f t="shared" ca="1" si="158"/>
        <v>2</v>
      </c>
      <c r="BG280" s="29">
        <f t="shared" ca="1" si="158"/>
        <v>0</v>
      </c>
      <c r="BH280" s="29">
        <f t="shared" ca="1" si="158"/>
        <v>0</v>
      </c>
      <c r="BI280" s="29">
        <f t="shared" ca="1" si="158"/>
        <v>0</v>
      </c>
      <c r="BJ280" s="29">
        <f t="shared" ca="1" si="158"/>
        <v>1</v>
      </c>
      <c r="BK280" s="29">
        <f t="shared" ca="1" si="158"/>
        <v>2</v>
      </c>
      <c r="BL280" s="29">
        <f t="shared" ca="1" si="156"/>
        <v>3</v>
      </c>
      <c r="BM280" s="29">
        <f t="shared" ca="1" si="156"/>
        <v>0</v>
      </c>
      <c r="BN280" s="29">
        <f t="shared" ca="1" si="156"/>
        <v>0</v>
      </c>
      <c r="BO280" s="29">
        <f t="shared" ca="1" si="156"/>
        <v>3</v>
      </c>
      <c r="BP280" s="29">
        <f t="shared" ca="1" si="156"/>
        <v>1</v>
      </c>
      <c r="BQ280" s="29">
        <f t="shared" ca="1" si="156"/>
        <v>0</v>
      </c>
      <c r="BR280" s="29">
        <f t="shared" ca="1" si="156"/>
        <v>2</v>
      </c>
      <c r="BS280" s="29">
        <f t="shared" ca="1" si="156"/>
        <v>2</v>
      </c>
      <c r="BT280" s="29">
        <f t="shared" ca="1" si="156"/>
        <v>0</v>
      </c>
      <c r="BU280" s="29">
        <f t="shared" ca="1" si="156"/>
        <v>2</v>
      </c>
      <c r="BV280" s="29">
        <f t="shared" ca="1" si="156"/>
        <v>3</v>
      </c>
      <c r="BW280" s="29">
        <f t="shared" ca="1" si="156"/>
        <v>0</v>
      </c>
      <c r="BX280" s="29">
        <f t="shared" ca="1" si="156"/>
        <v>1</v>
      </c>
      <c r="BY280" s="29">
        <f t="shared" ca="1" si="156"/>
        <v>1</v>
      </c>
      <c r="BZ280" s="29">
        <f t="shared" ca="1" si="156"/>
        <v>1</v>
      </c>
      <c r="CA280" s="29">
        <f t="shared" ca="1" si="161"/>
        <v>1</v>
      </c>
      <c r="CB280" s="29">
        <f t="shared" ca="1" si="161"/>
        <v>0</v>
      </c>
      <c r="CC280" s="29">
        <f t="shared" ca="1" si="161"/>
        <v>0</v>
      </c>
      <c r="CD280" s="29">
        <f t="shared" ca="1" si="161"/>
        <v>2</v>
      </c>
      <c r="CE280" s="29">
        <f t="shared" ca="1" si="161"/>
        <v>3</v>
      </c>
      <c r="CF280" s="29">
        <f t="shared" ca="1" si="161"/>
        <v>3</v>
      </c>
      <c r="CG280" s="29">
        <f t="shared" ca="1" si="161"/>
        <v>1</v>
      </c>
      <c r="CH280" s="29">
        <f t="shared" ca="1" si="161"/>
        <v>0</v>
      </c>
      <c r="CI280" s="29">
        <f t="shared" ca="1" si="161"/>
        <v>2</v>
      </c>
      <c r="CJ280" s="29">
        <f t="shared" ca="1" si="161"/>
        <v>0</v>
      </c>
      <c r="CK280" s="29">
        <f t="shared" ca="1" si="161"/>
        <v>0</v>
      </c>
      <c r="CL280" s="29">
        <f t="shared" ca="1" si="161"/>
        <v>2</v>
      </c>
      <c r="CM280" s="29">
        <f t="shared" ca="1" si="161"/>
        <v>2</v>
      </c>
      <c r="CN280" s="29">
        <f t="shared" ca="1" si="161"/>
        <v>0</v>
      </c>
      <c r="CO280" s="29">
        <f t="shared" ca="1" si="161"/>
        <v>1</v>
      </c>
      <c r="CP280" s="29">
        <f t="shared" ca="1" si="161"/>
        <v>2</v>
      </c>
      <c r="CQ280" s="29">
        <f t="shared" ca="1" si="160"/>
        <v>1</v>
      </c>
      <c r="CR280" s="29">
        <f t="shared" ca="1" si="160"/>
        <v>1</v>
      </c>
      <c r="CS280" s="29">
        <f t="shared" ca="1" si="160"/>
        <v>2</v>
      </c>
      <c r="CT280" s="29">
        <f t="shared" ca="1" si="160"/>
        <v>2</v>
      </c>
      <c r="CU280" s="29">
        <f t="shared" ca="1" si="160"/>
        <v>0</v>
      </c>
      <c r="CV280" s="29">
        <f t="shared" ca="1" si="160"/>
        <v>1</v>
      </c>
      <c r="CW280" s="29">
        <f t="shared" ca="1" si="160"/>
        <v>1</v>
      </c>
      <c r="CX280" s="29">
        <f t="shared" ca="1" si="160"/>
        <v>1</v>
      </c>
      <c r="CY280" s="29">
        <f t="shared" ca="1" si="160"/>
        <v>2</v>
      </c>
      <c r="CZ280" s="29">
        <f t="shared" ca="1" si="160"/>
        <v>2</v>
      </c>
      <c r="DA280" s="29">
        <f t="shared" ca="1" si="160"/>
        <v>3</v>
      </c>
      <c r="DB280" s="29">
        <f t="shared" ca="1" si="160"/>
        <v>1</v>
      </c>
      <c r="DC280" s="29">
        <f t="shared" ca="1" si="160"/>
        <v>3</v>
      </c>
      <c r="DD280" s="29">
        <f t="shared" ca="1" si="160"/>
        <v>2</v>
      </c>
      <c r="DE280" s="29">
        <f t="shared" ca="1" si="160"/>
        <v>1</v>
      </c>
      <c r="DF280" s="29">
        <f t="shared" ca="1" si="159"/>
        <v>0</v>
      </c>
      <c r="DG280" s="29">
        <f t="shared" ca="1" si="159"/>
        <v>2</v>
      </c>
      <c r="DH280" s="29">
        <f t="shared" ca="1" si="159"/>
        <v>1</v>
      </c>
      <c r="DI280" s="29">
        <f t="shared" ca="1" si="159"/>
        <v>1</v>
      </c>
      <c r="DJ280" s="29">
        <f t="shared" ca="1" si="159"/>
        <v>2</v>
      </c>
      <c r="DK280" s="29">
        <f t="shared" ca="1" si="159"/>
        <v>1</v>
      </c>
      <c r="DL280" s="29">
        <f t="shared" ca="1" si="159"/>
        <v>1</v>
      </c>
    </row>
    <row r="281" spans="1:116" ht="14.4" x14ac:dyDescent="0.3">
      <c r="A281" s="31">
        <v>715</v>
      </c>
      <c r="B281" s="28">
        <v>8.8000000000000007</v>
      </c>
      <c r="C281" s="30">
        <v>61.08</v>
      </c>
      <c r="D281" s="28">
        <v>3.08</v>
      </c>
      <c r="E281" s="34">
        <f t="shared" si="145"/>
        <v>6.1600000000000002E-2</v>
      </c>
      <c r="F281" s="35">
        <f t="shared" si="146"/>
        <v>15.27</v>
      </c>
      <c r="G281" s="34">
        <f t="shared" si="147"/>
        <v>77</v>
      </c>
      <c r="H281" s="33">
        <f t="shared" si="148"/>
        <v>7.0147727272727272</v>
      </c>
      <c r="I281" s="28">
        <f t="shared" si="151"/>
        <v>1011.1900000000005</v>
      </c>
      <c r="J281" s="32">
        <v>0</v>
      </c>
      <c r="K281" s="30">
        <f t="shared" si="149"/>
        <v>77</v>
      </c>
      <c r="L281" s="30"/>
      <c r="M281" s="30"/>
      <c r="N281" s="30"/>
      <c r="O281" s="30"/>
      <c r="Q281" s="29">
        <f t="shared" ca="1" si="150"/>
        <v>2</v>
      </c>
      <c r="R281" s="29">
        <f t="shared" ca="1" si="155"/>
        <v>5</v>
      </c>
      <c r="S281" s="29">
        <f t="shared" ca="1" si="155"/>
        <v>2</v>
      </c>
      <c r="T281" s="29">
        <f t="shared" ca="1" si="155"/>
        <v>3</v>
      </c>
      <c r="U281" s="29">
        <f t="shared" ca="1" si="155"/>
        <v>3</v>
      </c>
      <c r="V281" s="29">
        <f t="shared" ca="1" si="155"/>
        <v>3</v>
      </c>
      <c r="W281" s="29">
        <f t="shared" ca="1" si="155"/>
        <v>6</v>
      </c>
      <c r="X281" s="29">
        <f t="shared" ca="1" si="155"/>
        <v>2</v>
      </c>
      <c r="Y281" s="29">
        <f t="shared" ca="1" si="155"/>
        <v>4</v>
      </c>
      <c r="Z281" s="29">
        <f t="shared" ca="1" si="155"/>
        <v>2</v>
      </c>
      <c r="AA281" s="29">
        <f t="shared" ca="1" si="155"/>
        <v>1</v>
      </c>
      <c r="AB281" s="29">
        <f t="shared" ca="1" si="155"/>
        <v>0</v>
      </c>
      <c r="AC281" s="29">
        <f t="shared" ca="1" si="155"/>
        <v>2</v>
      </c>
      <c r="AD281" s="29">
        <f t="shared" ca="1" si="155"/>
        <v>5</v>
      </c>
      <c r="AE281" s="29">
        <f t="shared" ca="1" si="155"/>
        <v>2</v>
      </c>
      <c r="AF281" s="29">
        <f t="shared" ref="AF281:AU296" ca="1" si="162">_xlfn.BINOM.INV(50,$E281,RAND())</f>
        <v>4</v>
      </c>
      <c r="AG281" s="29">
        <f t="shared" ca="1" si="162"/>
        <v>3</v>
      </c>
      <c r="AH281" s="29">
        <f t="shared" ca="1" si="162"/>
        <v>5</v>
      </c>
      <c r="AI281" s="29">
        <f t="shared" ca="1" si="162"/>
        <v>4</v>
      </c>
      <c r="AJ281" s="29">
        <f t="shared" ca="1" si="162"/>
        <v>3</v>
      </c>
      <c r="AK281" s="29">
        <f t="shared" ca="1" si="162"/>
        <v>2</v>
      </c>
      <c r="AL281" s="29">
        <f t="shared" ca="1" si="162"/>
        <v>4</v>
      </c>
      <c r="AM281" s="29">
        <f t="shared" ca="1" si="162"/>
        <v>6</v>
      </c>
      <c r="AN281" s="29">
        <f t="shared" ca="1" si="162"/>
        <v>2</v>
      </c>
      <c r="AO281" s="29">
        <f t="shared" ca="1" si="162"/>
        <v>3</v>
      </c>
      <c r="AP281" s="29">
        <f t="shared" ca="1" si="162"/>
        <v>3</v>
      </c>
      <c r="AQ281" s="29">
        <f t="shared" ca="1" si="162"/>
        <v>3</v>
      </c>
      <c r="AR281" s="29">
        <f t="shared" ca="1" si="162"/>
        <v>3</v>
      </c>
      <c r="AS281" s="29">
        <f t="shared" ca="1" si="162"/>
        <v>4</v>
      </c>
      <c r="AT281" s="29">
        <f t="shared" ca="1" si="162"/>
        <v>4</v>
      </c>
      <c r="AU281" s="29">
        <f t="shared" ca="1" si="162"/>
        <v>2</v>
      </c>
      <c r="AV281" s="29">
        <f t="shared" ca="1" si="158"/>
        <v>7</v>
      </c>
      <c r="AW281" s="29">
        <f t="shared" ca="1" si="158"/>
        <v>5</v>
      </c>
      <c r="AX281" s="29">
        <f t="shared" ca="1" si="158"/>
        <v>2</v>
      </c>
      <c r="AY281" s="29">
        <f t="shared" ca="1" si="158"/>
        <v>3</v>
      </c>
      <c r="AZ281" s="29">
        <f t="shared" ca="1" si="158"/>
        <v>5</v>
      </c>
      <c r="BA281" s="29">
        <f t="shared" ca="1" si="158"/>
        <v>1</v>
      </c>
      <c r="BB281" s="29">
        <f t="shared" ca="1" si="158"/>
        <v>8</v>
      </c>
      <c r="BC281" s="29">
        <f t="shared" ca="1" si="158"/>
        <v>1</v>
      </c>
      <c r="BD281" s="29">
        <f t="shared" ca="1" si="158"/>
        <v>5</v>
      </c>
      <c r="BE281" s="29">
        <f t="shared" ca="1" si="158"/>
        <v>2</v>
      </c>
      <c r="BF281" s="29">
        <f t="shared" ca="1" si="158"/>
        <v>2</v>
      </c>
      <c r="BG281" s="29">
        <f t="shared" ca="1" si="158"/>
        <v>2</v>
      </c>
      <c r="BH281" s="29">
        <f t="shared" ca="1" si="158"/>
        <v>5</v>
      </c>
      <c r="BI281" s="29">
        <f t="shared" ca="1" si="158"/>
        <v>1</v>
      </c>
      <c r="BJ281" s="29">
        <f t="shared" ca="1" si="158"/>
        <v>3</v>
      </c>
      <c r="BK281" s="29">
        <f t="shared" ca="1" si="158"/>
        <v>2</v>
      </c>
      <c r="BL281" s="29">
        <f t="shared" ca="1" si="156"/>
        <v>2</v>
      </c>
      <c r="BM281" s="29">
        <f t="shared" ca="1" si="156"/>
        <v>5</v>
      </c>
      <c r="BN281" s="29">
        <f t="shared" ca="1" si="156"/>
        <v>1</v>
      </c>
      <c r="BO281" s="29">
        <f t="shared" ca="1" si="156"/>
        <v>4</v>
      </c>
      <c r="BP281" s="29">
        <f t="shared" ca="1" si="156"/>
        <v>2</v>
      </c>
      <c r="BQ281" s="29">
        <f t="shared" ca="1" si="156"/>
        <v>4</v>
      </c>
      <c r="BR281" s="29">
        <f t="shared" ca="1" si="156"/>
        <v>3</v>
      </c>
      <c r="BS281" s="29">
        <f t="shared" ca="1" si="156"/>
        <v>1</v>
      </c>
      <c r="BT281" s="29">
        <f t="shared" ca="1" si="156"/>
        <v>6</v>
      </c>
      <c r="BU281" s="29">
        <f t="shared" ca="1" si="156"/>
        <v>3</v>
      </c>
      <c r="BV281" s="29">
        <f t="shared" ca="1" si="156"/>
        <v>2</v>
      </c>
      <c r="BW281" s="29">
        <f t="shared" ca="1" si="156"/>
        <v>1</v>
      </c>
      <c r="BX281" s="29">
        <f t="shared" ca="1" si="156"/>
        <v>2</v>
      </c>
      <c r="BY281" s="29">
        <f t="shared" ca="1" si="156"/>
        <v>3</v>
      </c>
      <c r="BZ281" s="29">
        <f t="shared" ca="1" si="156"/>
        <v>3</v>
      </c>
      <c r="CA281" s="29">
        <f t="shared" ca="1" si="161"/>
        <v>6</v>
      </c>
      <c r="CB281" s="29">
        <f t="shared" ca="1" si="161"/>
        <v>4</v>
      </c>
      <c r="CC281" s="29">
        <f t="shared" ca="1" si="161"/>
        <v>4</v>
      </c>
      <c r="CD281" s="29">
        <f t="shared" ca="1" si="161"/>
        <v>3</v>
      </c>
      <c r="CE281" s="29">
        <f t="shared" ca="1" si="161"/>
        <v>4</v>
      </c>
      <c r="CF281" s="29">
        <f t="shared" ca="1" si="161"/>
        <v>3</v>
      </c>
      <c r="CG281" s="29">
        <f t="shared" ca="1" si="161"/>
        <v>1</v>
      </c>
      <c r="CH281" s="29">
        <f t="shared" ca="1" si="161"/>
        <v>5</v>
      </c>
      <c r="CI281" s="29">
        <f t="shared" ca="1" si="161"/>
        <v>3</v>
      </c>
      <c r="CJ281" s="29">
        <f t="shared" ca="1" si="161"/>
        <v>3</v>
      </c>
      <c r="CK281" s="29">
        <f t="shared" ca="1" si="161"/>
        <v>4</v>
      </c>
      <c r="CL281" s="29">
        <f t="shared" ca="1" si="161"/>
        <v>4</v>
      </c>
      <c r="CM281" s="29">
        <f t="shared" ca="1" si="161"/>
        <v>1</v>
      </c>
      <c r="CN281" s="29">
        <f t="shared" ca="1" si="161"/>
        <v>4</v>
      </c>
      <c r="CO281" s="29">
        <f t="shared" ca="1" si="161"/>
        <v>4</v>
      </c>
      <c r="CP281" s="29">
        <f t="shared" ca="1" si="161"/>
        <v>1</v>
      </c>
      <c r="CQ281" s="29">
        <f t="shared" ca="1" si="160"/>
        <v>5</v>
      </c>
      <c r="CR281" s="29">
        <f t="shared" ca="1" si="160"/>
        <v>6</v>
      </c>
      <c r="CS281" s="29">
        <f t="shared" ca="1" si="160"/>
        <v>3</v>
      </c>
      <c r="CT281" s="29">
        <f t="shared" ca="1" si="160"/>
        <v>2</v>
      </c>
      <c r="CU281" s="29">
        <f t="shared" ca="1" si="160"/>
        <v>3</v>
      </c>
      <c r="CV281" s="29">
        <f t="shared" ca="1" si="160"/>
        <v>1</v>
      </c>
      <c r="CW281" s="29">
        <f t="shared" ca="1" si="160"/>
        <v>1</v>
      </c>
      <c r="CX281" s="29">
        <f t="shared" ca="1" si="160"/>
        <v>4</v>
      </c>
      <c r="CY281" s="29">
        <f t="shared" ca="1" si="160"/>
        <v>3</v>
      </c>
      <c r="CZ281" s="29">
        <f t="shared" ca="1" si="160"/>
        <v>1</v>
      </c>
      <c r="DA281" s="29">
        <f t="shared" ca="1" si="160"/>
        <v>2</v>
      </c>
      <c r="DB281" s="29">
        <f t="shared" ca="1" si="160"/>
        <v>7</v>
      </c>
      <c r="DC281" s="29">
        <f t="shared" ca="1" si="160"/>
        <v>3</v>
      </c>
      <c r="DD281" s="29">
        <f t="shared" ca="1" si="160"/>
        <v>4</v>
      </c>
      <c r="DE281" s="29">
        <f t="shared" ca="1" si="160"/>
        <v>3</v>
      </c>
      <c r="DF281" s="29">
        <f t="shared" ca="1" si="159"/>
        <v>2</v>
      </c>
      <c r="DG281" s="29">
        <f t="shared" ca="1" si="159"/>
        <v>0</v>
      </c>
      <c r="DH281" s="29">
        <f t="shared" ca="1" si="159"/>
        <v>0</v>
      </c>
      <c r="DI281" s="29">
        <f t="shared" ca="1" si="159"/>
        <v>0</v>
      </c>
      <c r="DJ281" s="29">
        <f t="shared" ca="1" si="159"/>
        <v>3</v>
      </c>
      <c r="DK281" s="29">
        <f t="shared" ca="1" si="159"/>
        <v>2</v>
      </c>
      <c r="DL281" s="29">
        <f t="shared" ca="1" si="159"/>
        <v>3</v>
      </c>
    </row>
    <row r="282" spans="1:116" ht="14.4" x14ac:dyDescent="0.3">
      <c r="A282" s="31">
        <v>359</v>
      </c>
      <c r="B282" s="28">
        <v>2.75</v>
      </c>
      <c r="C282" s="30">
        <v>53.88</v>
      </c>
      <c r="D282" s="28">
        <v>1.31</v>
      </c>
      <c r="E282" s="34">
        <f t="shared" si="145"/>
        <v>2.6200000000000001E-2</v>
      </c>
      <c r="F282" s="35">
        <f t="shared" si="146"/>
        <v>13.47</v>
      </c>
      <c r="G282" s="34">
        <f t="shared" si="147"/>
        <v>32.75</v>
      </c>
      <c r="H282" s="33">
        <f t="shared" si="148"/>
        <v>7.0109090909090916</v>
      </c>
      <c r="I282" s="28">
        <f t="shared" si="151"/>
        <v>1013.9400000000005</v>
      </c>
      <c r="J282" s="32">
        <v>0</v>
      </c>
      <c r="K282" s="30">
        <f t="shared" si="149"/>
        <v>32.75</v>
      </c>
      <c r="L282" s="30"/>
      <c r="M282" s="30"/>
      <c r="N282" s="30"/>
      <c r="O282" s="30"/>
      <c r="Q282" s="29">
        <f t="shared" ca="1" si="150"/>
        <v>3</v>
      </c>
      <c r="R282" s="29">
        <f t="shared" ref="R282:AF297" ca="1" si="163">_xlfn.BINOM.INV(50,$E282,RAND())</f>
        <v>1</v>
      </c>
      <c r="S282" s="29">
        <f t="shared" ca="1" si="163"/>
        <v>1</v>
      </c>
      <c r="T282" s="29">
        <f t="shared" ca="1" si="163"/>
        <v>1</v>
      </c>
      <c r="U282" s="29">
        <f t="shared" ca="1" si="163"/>
        <v>1</v>
      </c>
      <c r="V282" s="29">
        <f t="shared" ca="1" si="163"/>
        <v>1</v>
      </c>
      <c r="W282" s="29">
        <f t="shared" ca="1" si="163"/>
        <v>3</v>
      </c>
      <c r="X282" s="29">
        <f t="shared" ca="1" si="163"/>
        <v>1</v>
      </c>
      <c r="Y282" s="29">
        <f t="shared" ca="1" si="163"/>
        <v>0</v>
      </c>
      <c r="Z282" s="29">
        <f t="shared" ca="1" si="163"/>
        <v>3</v>
      </c>
      <c r="AA282" s="29">
        <f t="shared" ca="1" si="163"/>
        <v>0</v>
      </c>
      <c r="AB282" s="29">
        <f t="shared" ca="1" si="163"/>
        <v>3</v>
      </c>
      <c r="AC282" s="29">
        <f t="shared" ca="1" si="163"/>
        <v>4</v>
      </c>
      <c r="AD282" s="29">
        <f t="shared" ca="1" si="163"/>
        <v>0</v>
      </c>
      <c r="AE282" s="29">
        <f t="shared" ca="1" si="163"/>
        <v>1</v>
      </c>
      <c r="AF282" s="29">
        <f t="shared" ca="1" si="163"/>
        <v>0</v>
      </c>
      <c r="AG282" s="29">
        <f t="shared" ca="1" si="162"/>
        <v>2</v>
      </c>
      <c r="AH282" s="29">
        <f t="shared" ca="1" si="162"/>
        <v>1</v>
      </c>
      <c r="AI282" s="29">
        <f t="shared" ca="1" si="162"/>
        <v>1</v>
      </c>
      <c r="AJ282" s="29">
        <f t="shared" ca="1" si="162"/>
        <v>0</v>
      </c>
      <c r="AK282" s="29">
        <f t="shared" ca="1" si="162"/>
        <v>2</v>
      </c>
      <c r="AL282" s="29">
        <f t="shared" ca="1" si="162"/>
        <v>0</v>
      </c>
      <c r="AM282" s="29">
        <f t="shared" ca="1" si="162"/>
        <v>1</v>
      </c>
      <c r="AN282" s="29">
        <f t="shared" ca="1" si="162"/>
        <v>2</v>
      </c>
      <c r="AO282" s="29">
        <f t="shared" ca="1" si="162"/>
        <v>1</v>
      </c>
      <c r="AP282" s="29">
        <f t="shared" ca="1" si="162"/>
        <v>1</v>
      </c>
      <c r="AQ282" s="29">
        <f t="shared" ca="1" si="162"/>
        <v>3</v>
      </c>
      <c r="AR282" s="29">
        <f t="shared" ca="1" si="162"/>
        <v>1</v>
      </c>
      <c r="AS282" s="29">
        <f t="shared" ca="1" si="162"/>
        <v>0</v>
      </c>
      <c r="AT282" s="29">
        <f t="shared" ca="1" si="162"/>
        <v>1</v>
      </c>
      <c r="AU282" s="29">
        <f t="shared" ca="1" si="162"/>
        <v>1</v>
      </c>
      <c r="AV282" s="29">
        <f t="shared" ca="1" si="158"/>
        <v>0</v>
      </c>
      <c r="AW282" s="29">
        <f t="shared" ca="1" si="158"/>
        <v>0</v>
      </c>
      <c r="AX282" s="29">
        <f t="shared" ca="1" si="158"/>
        <v>1</v>
      </c>
      <c r="AY282" s="29">
        <f t="shared" ca="1" si="158"/>
        <v>1</v>
      </c>
      <c r="AZ282" s="29">
        <f t="shared" ca="1" si="158"/>
        <v>0</v>
      </c>
      <c r="BA282" s="29">
        <f t="shared" ca="1" si="158"/>
        <v>1</v>
      </c>
      <c r="BB282" s="29">
        <f t="shared" ca="1" si="158"/>
        <v>0</v>
      </c>
      <c r="BC282" s="29">
        <f t="shared" ca="1" si="158"/>
        <v>2</v>
      </c>
      <c r="BD282" s="29">
        <f t="shared" ca="1" si="158"/>
        <v>4</v>
      </c>
      <c r="BE282" s="29">
        <f t="shared" ca="1" si="158"/>
        <v>3</v>
      </c>
      <c r="BF282" s="29">
        <f t="shared" ca="1" si="158"/>
        <v>0</v>
      </c>
      <c r="BG282" s="29">
        <f t="shared" ca="1" si="158"/>
        <v>3</v>
      </c>
      <c r="BH282" s="29">
        <f t="shared" ca="1" si="158"/>
        <v>0</v>
      </c>
      <c r="BI282" s="29">
        <f t="shared" ca="1" si="158"/>
        <v>1</v>
      </c>
      <c r="BJ282" s="29">
        <f t="shared" ca="1" si="158"/>
        <v>1</v>
      </c>
      <c r="BK282" s="29">
        <f t="shared" ca="1" si="158"/>
        <v>1</v>
      </c>
      <c r="BL282" s="29">
        <f t="shared" ca="1" si="156"/>
        <v>0</v>
      </c>
      <c r="BM282" s="29">
        <f t="shared" ca="1" si="156"/>
        <v>1</v>
      </c>
      <c r="BN282" s="29">
        <f t="shared" ca="1" si="156"/>
        <v>2</v>
      </c>
      <c r="BO282" s="29">
        <f t="shared" ca="1" si="156"/>
        <v>1</v>
      </c>
      <c r="BP282" s="29">
        <f t="shared" ca="1" si="156"/>
        <v>1</v>
      </c>
      <c r="BQ282" s="29">
        <f t="shared" ca="1" si="156"/>
        <v>0</v>
      </c>
      <c r="BR282" s="29">
        <f t="shared" ca="1" si="156"/>
        <v>1</v>
      </c>
      <c r="BS282" s="29">
        <f t="shared" ca="1" si="156"/>
        <v>3</v>
      </c>
      <c r="BT282" s="29">
        <f t="shared" ca="1" si="156"/>
        <v>1</v>
      </c>
      <c r="BU282" s="29">
        <f t="shared" ca="1" si="156"/>
        <v>1</v>
      </c>
      <c r="BV282" s="29">
        <f t="shared" ca="1" si="156"/>
        <v>2</v>
      </c>
      <c r="BW282" s="29">
        <f t="shared" ca="1" si="156"/>
        <v>0</v>
      </c>
      <c r="BX282" s="29">
        <f t="shared" ca="1" si="156"/>
        <v>0</v>
      </c>
      <c r="BY282" s="29">
        <f t="shared" ca="1" si="156"/>
        <v>2</v>
      </c>
      <c r="BZ282" s="29">
        <f t="shared" ca="1" si="156"/>
        <v>1</v>
      </c>
      <c r="CA282" s="29">
        <f t="shared" ca="1" si="161"/>
        <v>1</v>
      </c>
      <c r="CB282" s="29">
        <f t="shared" ca="1" si="161"/>
        <v>3</v>
      </c>
      <c r="CC282" s="29">
        <f t="shared" ca="1" si="161"/>
        <v>1</v>
      </c>
      <c r="CD282" s="29">
        <f t="shared" ca="1" si="161"/>
        <v>2</v>
      </c>
      <c r="CE282" s="29">
        <f t="shared" ca="1" si="161"/>
        <v>1</v>
      </c>
      <c r="CF282" s="29">
        <f t="shared" ca="1" si="161"/>
        <v>0</v>
      </c>
      <c r="CG282" s="29">
        <f t="shared" ca="1" si="161"/>
        <v>1</v>
      </c>
      <c r="CH282" s="29">
        <f t="shared" ca="1" si="161"/>
        <v>1</v>
      </c>
      <c r="CI282" s="29">
        <f t="shared" ca="1" si="161"/>
        <v>0</v>
      </c>
      <c r="CJ282" s="29">
        <f t="shared" ca="1" si="161"/>
        <v>0</v>
      </c>
      <c r="CK282" s="29">
        <f t="shared" ca="1" si="161"/>
        <v>3</v>
      </c>
      <c r="CL282" s="29">
        <f t="shared" ca="1" si="161"/>
        <v>1</v>
      </c>
      <c r="CM282" s="29">
        <f t="shared" ca="1" si="161"/>
        <v>4</v>
      </c>
      <c r="CN282" s="29">
        <f t="shared" ca="1" si="161"/>
        <v>0</v>
      </c>
      <c r="CO282" s="29">
        <f t="shared" ca="1" si="161"/>
        <v>0</v>
      </c>
      <c r="CP282" s="29">
        <f t="shared" ca="1" si="161"/>
        <v>1</v>
      </c>
      <c r="CQ282" s="29">
        <f t="shared" ca="1" si="160"/>
        <v>0</v>
      </c>
      <c r="CR282" s="29">
        <f t="shared" ca="1" si="160"/>
        <v>1</v>
      </c>
      <c r="CS282" s="29">
        <f t="shared" ca="1" si="160"/>
        <v>1</v>
      </c>
      <c r="CT282" s="29">
        <f t="shared" ca="1" si="160"/>
        <v>1</v>
      </c>
      <c r="CU282" s="29">
        <f t="shared" ca="1" si="160"/>
        <v>0</v>
      </c>
      <c r="CV282" s="29">
        <f t="shared" ca="1" si="160"/>
        <v>1</v>
      </c>
      <c r="CW282" s="29">
        <f t="shared" ca="1" si="160"/>
        <v>1</v>
      </c>
      <c r="CX282" s="29">
        <f t="shared" ca="1" si="160"/>
        <v>1</v>
      </c>
      <c r="CY282" s="29">
        <f t="shared" ca="1" si="160"/>
        <v>2</v>
      </c>
      <c r="CZ282" s="29">
        <f t="shared" ca="1" si="160"/>
        <v>2</v>
      </c>
      <c r="DA282" s="29">
        <f t="shared" ca="1" si="160"/>
        <v>2</v>
      </c>
      <c r="DB282" s="29">
        <f t="shared" ca="1" si="160"/>
        <v>2</v>
      </c>
      <c r="DC282" s="29">
        <f t="shared" ca="1" si="160"/>
        <v>1</v>
      </c>
      <c r="DD282" s="29">
        <f t="shared" ca="1" si="160"/>
        <v>1</v>
      </c>
      <c r="DE282" s="29">
        <f t="shared" ca="1" si="160"/>
        <v>0</v>
      </c>
      <c r="DF282" s="29">
        <f t="shared" ca="1" si="159"/>
        <v>1</v>
      </c>
      <c r="DG282" s="29">
        <f t="shared" ca="1" si="159"/>
        <v>0</v>
      </c>
      <c r="DH282" s="29">
        <f t="shared" ca="1" si="159"/>
        <v>1</v>
      </c>
      <c r="DI282" s="29">
        <f t="shared" ca="1" si="159"/>
        <v>0</v>
      </c>
      <c r="DJ282" s="29">
        <f t="shared" ca="1" si="159"/>
        <v>2</v>
      </c>
      <c r="DK282" s="29">
        <f t="shared" ca="1" si="159"/>
        <v>1</v>
      </c>
      <c r="DL282" s="29">
        <f t="shared" ca="1" si="159"/>
        <v>0</v>
      </c>
    </row>
    <row r="283" spans="1:116" ht="14.4" x14ac:dyDescent="0.3">
      <c r="A283" s="31">
        <v>531</v>
      </c>
      <c r="B283" s="28">
        <v>5.87</v>
      </c>
      <c r="C283" s="30">
        <v>44.7</v>
      </c>
      <c r="D283" s="28">
        <v>2.08</v>
      </c>
      <c r="E283" s="34">
        <f t="shared" si="145"/>
        <v>4.1599999999999998E-2</v>
      </c>
      <c r="F283" s="35">
        <f t="shared" si="146"/>
        <v>11.175000000000001</v>
      </c>
      <c r="G283" s="34">
        <f t="shared" si="147"/>
        <v>52</v>
      </c>
      <c r="H283" s="33">
        <f t="shared" si="148"/>
        <v>6.9548551959114144</v>
      </c>
      <c r="I283" s="28">
        <f t="shared" si="151"/>
        <v>1019.8100000000005</v>
      </c>
      <c r="J283" s="32">
        <v>0</v>
      </c>
      <c r="K283" s="30">
        <f t="shared" si="149"/>
        <v>52</v>
      </c>
      <c r="L283" s="30"/>
      <c r="M283" s="30"/>
      <c r="N283" s="30"/>
      <c r="O283" s="30"/>
      <c r="Q283" s="29">
        <f t="shared" ca="1" si="150"/>
        <v>2</v>
      </c>
      <c r="R283" s="29">
        <f t="shared" ca="1" si="163"/>
        <v>1</v>
      </c>
      <c r="S283" s="29">
        <f t="shared" ca="1" si="163"/>
        <v>2</v>
      </c>
      <c r="T283" s="29">
        <f t="shared" ca="1" si="163"/>
        <v>2</v>
      </c>
      <c r="U283" s="29">
        <f t="shared" ca="1" si="163"/>
        <v>3</v>
      </c>
      <c r="V283" s="29">
        <f t="shared" ca="1" si="163"/>
        <v>1</v>
      </c>
      <c r="W283" s="29">
        <f t="shared" ca="1" si="163"/>
        <v>0</v>
      </c>
      <c r="X283" s="29">
        <f t="shared" ca="1" si="163"/>
        <v>3</v>
      </c>
      <c r="Y283" s="29">
        <f t="shared" ca="1" si="163"/>
        <v>0</v>
      </c>
      <c r="Z283" s="29">
        <f t="shared" ca="1" si="163"/>
        <v>0</v>
      </c>
      <c r="AA283" s="29">
        <f t="shared" ca="1" si="163"/>
        <v>0</v>
      </c>
      <c r="AB283" s="29">
        <f t="shared" ca="1" si="163"/>
        <v>1</v>
      </c>
      <c r="AC283" s="29">
        <f t="shared" ca="1" si="163"/>
        <v>0</v>
      </c>
      <c r="AD283" s="29">
        <f t="shared" ca="1" si="163"/>
        <v>0</v>
      </c>
      <c r="AE283" s="29">
        <f t="shared" ca="1" si="163"/>
        <v>0</v>
      </c>
      <c r="AF283" s="29">
        <f t="shared" ca="1" si="163"/>
        <v>2</v>
      </c>
      <c r="AG283" s="29">
        <f t="shared" ca="1" si="162"/>
        <v>3</v>
      </c>
      <c r="AH283" s="29">
        <f t="shared" ca="1" si="162"/>
        <v>3</v>
      </c>
      <c r="AI283" s="29">
        <f t="shared" ca="1" si="162"/>
        <v>3</v>
      </c>
      <c r="AJ283" s="29">
        <f t="shared" ca="1" si="162"/>
        <v>0</v>
      </c>
      <c r="AK283" s="29">
        <f t="shared" ca="1" si="162"/>
        <v>1</v>
      </c>
      <c r="AL283" s="29">
        <f t="shared" ca="1" si="162"/>
        <v>1</v>
      </c>
      <c r="AM283" s="29">
        <f t="shared" ca="1" si="162"/>
        <v>5</v>
      </c>
      <c r="AN283" s="29">
        <f t="shared" ca="1" si="162"/>
        <v>0</v>
      </c>
      <c r="AO283" s="29">
        <f t="shared" ca="1" si="162"/>
        <v>3</v>
      </c>
      <c r="AP283" s="29">
        <f t="shared" ca="1" si="162"/>
        <v>1</v>
      </c>
      <c r="AQ283" s="29">
        <f t="shared" ca="1" si="162"/>
        <v>2</v>
      </c>
      <c r="AR283" s="29">
        <f t="shared" ca="1" si="162"/>
        <v>1</v>
      </c>
      <c r="AS283" s="29">
        <f t="shared" ca="1" si="162"/>
        <v>1</v>
      </c>
      <c r="AT283" s="29">
        <f t="shared" ca="1" si="162"/>
        <v>2</v>
      </c>
      <c r="AU283" s="29">
        <f t="shared" ca="1" si="162"/>
        <v>2</v>
      </c>
      <c r="AV283" s="29">
        <f t="shared" ca="1" si="158"/>
        <v>3</v>
      </c>
      <c r="AW283" s="29">
        <f t="shared" ca="1" si="158"/>
        <v>4</v>
      </c>
      <c r="AX283" s="29">
        <f t="shared" ca="1" si="158"/>
        <v>3</v>
      </c>
      <c r="AY283" s="29">
        <f t="shared" ca="1" si="158"/>
        <v>2</v>
      </c>
      <c r="AZ283" s="29">
        <f t="shared" ca="1" si="158"/>
        <v>2</v>
      </c>
      <c r="BA283" s="29">
        <f t="shared" ca="1" si="158"/>
        <v>1</v>
      </c>
      <c r="BB283" s="29">
        <f t="shared" ca="1" si="158"/>
        <v>2</v>
      </c>
      <c r="BC283" s="29">
        <f t="shared" ca="1" si="158"/>
        <v>0</v>
      </c>
      <c r="BD283" s="29">
        <f t="shared" ca="1" si="158"/>
        <v>0</v>
      </c>
      <c r="BE283" s="29">
        <f t="shared" ca="1" si="158"/>
        <v>4</v>
      </c>
      <c r="BF283" s="29">
        <f t="shared" ca="1" si="158"/>
        <v>1</v>
      </c>
      <c r="BG283" s="29">
        <f t="shared" ca="1" si="158"/>
        <v>2</v>
      </c>
      <c r="BH283" s="29">
        <f t="shared" ca="1" si="158"/>
        <v>2</v>
      </c>
      <c r="BI283" s="29">
        <f t="shared" ca="1" si="158"/>
        <v>3</v>
      </c>
      <c r="BJ283" s="29">
        <f t="shared" ca="1" si="158"/>
        <v>0</v>
      </c>
      <c r="BK283" s="29">
        <f t="shared" ca="1" si="158"/>
        <v>4</v>
      </c>
      <c r="BL283" s="29">
        <f t="shared" ca="1" si="156"/>
        <v>4</v>
      </c>
      <c r="BM283" s="29">
        <f t="shared" ca="1" si="156"/>
        <v>3</v>
      </c>
      <c r="BN283" s="29">
        <f t="shared" ca="1" si="156"/>
        <v>1</v>
      </c>
      <c r="BO283" s="29">
        <f t="shared" ca="1" si="156"/>
        <v>1</v>
      </c>
      <c r="BP283" s="29">
        <f t="shared" ca="1" si="156"/>
        <v>3</v>
      </c>
      <c r="BQ283" s="29">
        <f t="shared" ca="1" si="156"/>
        <v>3</v>
      </c>
      <c r="BR283" s="29">
        <f t="shared" ca="1" si="156"/>
        <v>3</v>
      </c>
      <c r="BS283" s="29">
        <f t="shared" ca="1" si="156"/>
        <v>1</v>
      </c>
      <c r="BT283" s="29">
        <f t="shared" ca="1" si="156"/>
        <v>6</v>
      </c>
      <c r="BU283" s="29">
        <f t="shared" ca="1" si="156"/>
        <v>3</v>
      </c>
      <c r="BV283" s="29">
        <f t="shared" ca="1" si="156"/>
        <v>0</v>
      </c>
      <c r="BW283" s="29">
        <f t="shared" ca="1" si="156"/>
        <v>5</v>
      </c>
      <c r="BX283" s="29">
        <f t="shared" ca="1" si="156"/>
        <v>2</v>
      </c>
      <c r="BY283" s="29">
        <f t="shared" ca="1" si="156"/>
        <v>1</v>
      </c>
      <c r="BZ283" s="29">
        <f t="shared" ca="1" si="156"/>
        <v>1</v>
      </c>
      <c r="CA283" s="29">
        <f t="shared" ca="1" si="161"/>
        <v>2</v>
      </c>
      <c r="CB283" s="29">
        <f t="shared" ca="1" si="161"/>
        <v>3</v>
      </c>
      <c r="CC283" s="29">
        <f t="shared" ca="1" si="161"/>
        <v>3</v>
      </c>
      <c r="CD283" s="29">
        <f t="shared" ca="1" si="161"/>
        <v>3</v>
      </c>
      <c r="CE283" s="29">
        <f t="shared" ca="1" si="161"/>
        <v>3</v>
      </c>
      <c r="CF283" s="29">
        <f t="shared" ca="1" si="161"/>
        <v>2</v>
      </c>
      <c r="CG283" s="29">
        <f t="shared" ca="1" si="161"/>
        <v>1</v>
      </c>
      <c r="CH283" s="29">
        <f t="shared" ca="1" si="161"/>
        <v>1</v>
      </c>
      <c r="CI283" s="29">
        <f t="shared" ca="1" si="161"/>
        <v>1</v>
      </c>
      <c r="CJ283" s="29">
        <f t="shared" ca="1" si="161"/>
        <v>2</v>
      </c>
      <c r="CK283" s="29">
        <f t="shared" ca="1" si="161"/>
        <v>5</v>
      </c>
      <c r="CL283" s="29">
        <f t="shared" ca="1" si="161"/>
        <v>0</v>
      </c>
      <c r="CM283" s="29">
        <f t="shared" ca="1" si="161"/>
        <v>1</v>
      </c>
      <c r="CN283" s="29">
        <f t="shared" ca="1" si="161"/>
        <v>1</v>
      </c>
      <c r="CO283" s="29">
        <f t="shared" ca="1" si="161"/>
        <v>3</v>
      </c>
      <c r="CP283" s="29">
        <f t="shared" ca="1" si="161"/>
        <v>4</v>
      </c>
      <c r="CQ283" s="29">
        <f t="shared" ca="1" si="160"/>
        <v>1</v>
      </c>
      <c r="CR283" s="29">
        <f t="shared" ca="1" si="160"/>
        <v>2</v>
      </c>
      <c r="CS283" s="29">
        <f t="shared" ca="1" si="160"/>
        <v>0</v>
      </c>
      <c r="CT283" s="29">
        <f t="shared" ca="1" si="160"/>
        <v>2</v>
      </c>
      <c r="CU283" s="29">
        <f t="shared" ca="1" si="160"/>
        <v>5</v>
      </c>
      <c r="CV283" s="29">
        <f t="shared" ca="1" si="160"/>
        <v>1</v>
      </c>
      <c r="CW283" s="29">
        <f t="shared" ca="1" si="160"/>
        <v>2</v>
      </c>
      <c r="CX283" s="29">
        <f t="shared" ca="1" si="160"/>
        <v>3</v>
      </c>
      <c r="CY283" s="29">
        <f t="shared" ca="1" si="160"/>
        <v>4</v>
      </c>
      <c r="CZ283" s="29">
        <f t="shared" ca="1" si="160"/>
        <v>3</v>
      </c>
      <c r="DA283" s="29">
        <f t="shared" ca="1" si="160"/>
        <v>4</v>
      </c>
      <c r="DB283" s="29">
        <f t="shared" ca="1" si="160"/>
        <v>3</v>
      </c>
      <c r="DC283" s="29">
        <f t="shared" ca="1" si="160"/>
        <v>0</v>
      </c>
      <c r="DD283" s="29">
        <f t="shared" ca="1" si="160"/>
        <v>5</v>
      </c>
      <c r="DE283" s="29">
        <f t="shared" ca="1" si="160"/>
        <v>3</v>
      </c>
      <c r="DF283" s="29">
        <f t="shared" ca="1" si="159"/>
        <v>1</v>
      </c>
      <c r="DG283" s="29">
        <f t="shared" ca="1" si="159"/>
        <v>4</v>
      </c>
      <c r="DH283" s="29">
        <f t="shared" ca="1" si="159"/>
        <v>2</v>
      </c>
      <c r="DI283" s="29">
        <f t="shared" ca="1" si="159"/>
        <v>4</v>
      </c>
      <c r="DJ283" s="29">
        <f t="shared" ca="1" si="159"/>
        <v>1</v>
      </c>
      <c r="DK283" s="29">
        <f t="shared" ca="1" si="159"/>
        <v>0</v>
      </c>
      <c r="DL283" s="29">
        <f t="shared" ca="1" si="159"/>
        <v>1</v>
      </c>
    </row>
    <row r="284" spans="1:116" ht="14.4" x14ac:dyDescent="0.3">
      <c r="A284" s="31">
        <v>63</v>
      </c>
      <c r="B284" s="28">
        <v>4.33</v>
      </c>
      <c r="C284" s="30">
        <v>6.55</v>
      </c>
      <c r="D284" s="28">
        <v>1.25</v>
      </c>
      <c r="E284" s="34">
        <f t="shared" si="145"/>
        <v>2.5000000000000001E-2</v>
      </c>
      <c r="F284" s="35">
        <f t="shared" si="146"/>
        <v>1.6375</v>
      </c>
      <c r="G284" s="34">
        <f t="shared" si="147"/>
        <v>31.25</v>
      </c>
      <c r="H284" s="33">
        <f t="shared" si="148"/>
        <v>6.8389145496535795</v>
      </c>
      <c r="I284" s="28">
        <f t="shared" si="151"/>
        <v>1024.1400000000006</v>
      </c>
      <c r="J284" s="32">
        <v>0</v>
      </c>
      <c r="K284" s="30">
        <f t="shared" si="149"/>
        <v>31.25</v>
      </c>
      <c r="L284" s="30"/>
      <c r="M284" s="30"/>
      <c r="N284" s="30"/>
      <c r="O284" s="30"/>
      <c r="Q284" s="29">
        <f t="shared" ca="1" si="150"/>
        <v>2</v>
      </c>
      <c r="R284" s="29">
        <f t="shared" ca="1" si="163"/>
        <v>1</v>
      </c>
      <c r="S284" s="29">
        <f t="shared" ca="1" si="163"/>
        <v>3</v>
      </c>
      <c r="T284" s="29">
        <f t="shared" ca="1" si="163"/>
        <v>0</v>
      </c>
      <c r="U284" s="29">
        <f t="shared" ca="1" si="163"/>
        <v>0</v>
      </c>
      <c r="V284" s="29">
        <f t="shared" ca="1" si="163"/>
        <v>1</v>
      </c>
      <c r="W284" s="29">
        <f t="shared" ca="1" si="163"/>
        <v>4</v>
      </c>
      <c r="X284" s="29">
        <f t="shared" ca="1" si="163"/>
        <v>2</v>
      </c>
      <c r="Y284" s="29">
        <f t="shared" ca="1" si="163"/>
        <v>2</v>
      </c>
      <c r="Z284" s="29">
        <f t="shared" ca="1" si="163"/>
        <v>1</v>
      </c>
      <c r="AA284" s="29">
        <f t="shared" ca="1" si="163"/>
        <v>0</v>
      </c>
      <c r="AB284" s="29">
        <f t="shared" ca="1" si="163"/>
        <v>0</v>
      </c>
      <c r="AC284" s="29">
        <f t="shared" ca="1" si="163"/>
        <v>1</v>
      </c>
      <c r="AD284" s="29">
        <f t="shared" ca="1" si="163"/>
        <v>1</v>
      </c>
      <c r="AE284" s="29">
        <f t="shared" ca="1" si="163"/>
        <v>1</v>
      </c>
      <c r="AF284" s="29">
        <f t="shared" ca="1" si="163"/>
        <v>0</v>
      </c>
      <c r="AG284" s="29">
        <f t="shared" ca="1" si="162"/>
        <v>1</v>
      </c>
      <c r="AH284" s="29">
        <f t="shared" ca="1" si="162"/>
        <v>0</v>
      </c>
      <c r="AI284" s="29">
        <f t="shared" ca="1" si="162"/>
        <v>2</v>
      </c>
      <c r="AJ284" s="29">
        <f t="shared" ca="1" si="162"/>
        <v>3</v>
      </c>
      <c r="AK284" s="29">
        <f t="shared" ca="1" si="162"/>
        <v>2</v>
      </c>
      <c r="AL284" s="29">
        <f t="shared" ca="1" si="162"/>
        <v>2</v>
      </c>
      <c r="AM284" s="29">
        <f t="shared" ca="1" si="162"/>
        <v>0</v>
      </c>
      <c r="AN284" s="29">
        <f t="shared" ca="1" si="162"/>
        <v>0</v>
      </c>
      <c r="AO284" s="29">
        <f t="shared" ca="1" si="162"/>
        <v>1</v>
      </c>
      <c r="AP284" s="29">
        <f t="shared" ca="1" si="162"/>
        <v>0</v>
      </c>
      <c r="AQ284" s="29">
        <f t="shared" ca="1" si="162"/>
        <v>2</v>
      </c>
      <c r="AR284" s="29">
        <f t="shared" ca="1" si="162"/>
        <v>4</v>
      </c>
      <c r="AS284" s="29">
        <f t="shared" ca="1" si="162"/>
        <v>1</v>
      </c>
      <c r="AT284" s="29">
        <f t="shared" ca="1" si="162"/>
        <v>1</v>
      </c>
      <c r="AU284" s="29">
        <f t="shared" ca="1" si="162"/>
        <v>2</v>
      </c>
      <c r="AV284" s="29">
        <f t="shared" ca="1" si="158"/>
        <v>2</v>
      </c>
      <c r="AW284" s="29">
        <f t="shared" ca="1" si="158"/>
        <v>0</v>
      </c>
      <c r="AX284" s="29">
        <f t="shared" ca="1" si="158"/>
        <v>1</v>
      </c>
      <c r="AY284" s="29">
        <f t="shared" ca="1" si="158"/>
        <v>2</v>
      </c>
      <c r="AZ284" s="29">
        <f t="shared" ca="1" si="158"/>
        <v>0</v>
      </c>
      <c r="BA284" s="29">
        <f t="shared" ca="1" si="158"/>
        <v>1</v>
      </c>
      <c r="BB284" s="29">
        <f t="shared" ca="1" si="158"/>
        <v>1</v>
      </c>
      <c r="BC284" s="29">
        <f t="shared" ca="1" si="158"/>
        <v>1</v>
      </c>
      <c r="BD284" s="29">
        <f t="shared" ca="1" si="158"/>
        <v>1</v>
      </c>
      <c r="BE284" s="29">
        <f t="shared" ca="1" si="158"/>
        <v>1</v>
      </c>
      <c r="BF284" s="29">
        <f t="shared" ca="1" si="158"/>
        <v>0</v>
      </c>
      <c r="BG284" s="29">
        <f t="shared" ca="1" si="158"/>
        <v>2</v>
      </c>
      <c r="BH284" s="29">
        <f t="shared" ca="1" si="158"/>
        <v>2</v>
      </c>
      <c r="BI284" s="29">
        <f t="shared" ca="1" si="158"/>
        <v>0</v>
      </c>
      <c r="BJ284" s="29">
        <f t="shared" ca="1" si="158"/>
        <v>2</v>
      </c>
      <c r="BK284" s="29">
        <f t="shared" ref="BK284:BZ299" ca="1" si="164">_xlfn.BINOM.INV(50,$E284,RAND())</f>
        <v>1</v>
      </c>
      <c r="BL284" s="29">
        <f t="shared" ca="1" si="164"/>
        <v>1</v>
      </c>
      <c r="BM284" s="29">
        <f t="shared" ca="1" si="164"/>
        <v>2</v>
      </c>
      <c r="BN284" s="29">
        <f t="shared" ca="1" si="164"/>
        <v>1</v>
      </c>
      <c r="BO284" s="29">
        <f t="shared" ca="1" si="164"/>
        <v>3</v>
      </c>
      <c r="BP284" s="29">
        <f t="shared" ca="1" si="164"/>
        <v>0</v>
      </c>
      <c r="BQ284" s="29">
        <f t="shared" ca="1" si="164"/>
        <v>1</v>
      </c>
      <c r="BR284" s="29">
        <f t="shared" ca="1" si="164"/>
        <v>1</v>
      </c>
      <c r="BS284" s="29">
        <f t="shared" ca="1" si="164"/>
        <v>1</v>
      </c>
      <c r="BT284" s="29">
        <f t="shared" ca="1" si="164"/>
        <v>1</v>
      </c>
      <c r="BU284" s="29">
        <f t="shared" ca="1" si="164"/>
        <v>1</v>
      </c>
      <c r="BV284" s="29">
        <f t="shared" ca="1" si="164"/>
        <v>1</v>
      </c>
      <c r="BW284" s="29">
        <f t="shared" ca="1" si="164"/>
        <v>3</v>
      </c>
      <c r="BX284" s="29">
        <f t="shared" ca="1" si="164"/>
        <v>3</v>
      </c>
      <c r="BY284" s="29">
        <f t="shared" ca="1" si="164"/>
        <v>0</v>
      </c>
      <c r="BZ284" s="29">
        <f t="shared" ca="1" si="164"/>
        <v>1</v>
      </c>
      <c r="CA284" s="29">
        <f t="shared" ca="1" si="161"/>
        <v>0</v>
      </c>
      <c r="CB284" s="29">
        <f t="shared" ca="1" si="161"/>
        <v>1</v>
      </c>
      <c r="CC284" s="29">
        <f t="shared" ca="1" si="161"/>
        <v>0</v>
      </c>
      <c r="CD284" s="29">
        <f t="shared" ca="1" si="161"/>
        <v>1</v>
      </c>
      <c r="CE284" s="29">
        <f t="shared" ca="1" si="161"/>
        <v>1</v>
      </c>
      <c r="CF284" s="29">
        <f t="shared" ca="1" si="161"/>
        <v>2</v>
      </c>
      <c r="CG284" s="29">
        <f t="shared" ca="1" si="161"/>
        <v>1</v>
      </c>
      <c r="CH284" s="29">
        <f t="shared" ca="1" si="161"/>
        <v>1</v>
      </c>
      <c r="CI284" s="29">
        <f t="shared" ca="1" si="161"/>
        <v>1</v>
      </c>
      <c r="CJ284" s="29">
        <f t="shared" ca="1" si="161"/>
        <v>0</v>
      </c>
      <c r="CK284" s="29">
        <f t="shared" ca="1" si="161"/>
        <v>0</v>
      </c>
      <c r="CL284" s="29">
        <f t="shared" ca="1" si="161"/>
        <v>1</v>
      </c>
      <c r="CM284" s="29">
        <f t="shared" ca="1" si="161"/>
        <v>2</v>
      </c>
      <c r="CN284" s="29">
        <f t="shared" ca="1" si="161"/>
        <v>0</v>
      </c>
      <c r="CO284" s="29">
        <f t="shared" ca="1" si="161"/>
        <v>0</v>
      </c>
      <c r="CP284" s="29">
        <f t="shared" ca="1" si="161"/>
        <v>0</v>
      </c>
      <c r="CQ284" s="29">
        <f t="shared" ca="1" si="160"/>
        <v>0</v>
      </c>
      <c r="CR284" s="29">
        <f t="shared" ca="1" si="160"/>
        <v>2</v>
      </c>
      <c r="CS284" s="29">
        <f t="shared" ca="1" si="160"/>
        <v>1</v>
      </c>
      <c r="CT284" s="29">
        <f t="shared" ca="1" si="160"/>
        <v>3</v>
      </c>
      <c r="CU284" s="29">
        <f t="shared" ca="1" si="160"/>
        <v>1</v>
      </c>
      <c r="CV284" s="29">
        <f t="shared" ca="1" si="160"/>
        <v>0</v>
      </c>
      <c r="CW284" s="29">
        <f t="shared" ca="1" si="160"/>
        <v>1</v>
      </c>
      <c r="CX284" s="29">
        <f t="shared" ca="1" si="160"/>
        <v>1</v>
      </c>
      <c r="CY284" s="29">
        <f t="shared" ca="1" si="160"/>
        <v>0</v>
      </c>
      <c r="CZ284" s="29">
        <f t="shared" ca="1" si="160"/>
        <v>0</v>
      </c>
      <c r="DA284" s="29">
        <f t="shared" ca="1" si="160"/>
        <v>2</v>
      </c>
      <c r="DB284" s="29">
        <f t="shared" ca="1" si="160"/>
        <v>2</v>
      </c>
      <c r="DC284" s="29">
        <f t="shared" ca="1" si="160"/>
        <v>0</v>
      </c>
      <c r="DD284" s="29">
        <f t="shared" ca="1" si="160"/>
        <v>2</v>
      </c>
      <c r="DE284" s="29">
        <f t="shared" ca="1" si="160"/>
        <v>1</v>
      </c>
      <c r="DF284" s="29">
        <f t="shared" ca="1" si="159"/>
        <v>0</v>
      </c>
      <c r="DG284" s="29">
        <f t="shared" ca="1" si="159"/>
        <v>3</v>
      </c>
      <c r="DH284" s="29">
        <f t="shared" ca="1" si="159"/>
        <v>1</v>
      </c>
      <c r="DI284" s="29">
        <f t="shared" ca="1" si="159"/>
        <v>3</v>
      </c>
      <c r="DJ284" s="29">
        <f t="shared" ca="1" si="159"/>
        <v>0</v>
      </c>
      <c r="DK284" s="29">
        <f t="shared" ca="1" si="159"/>
        <v>0</v>
      </c>
      <c r="DL284" s="29">
        <f t="shared" ca="1" si="159"/>
        <v>5</v>
      </c>
    </row>
    <row r="285" spans="1:116" ht="14.4" x14ac:dyDescent="0.3">
      <c r="A285" s="31">
        <v>1097</v>
      </c>
      <c r="B285" s="28">
        <v>9.33</v>
      </c>
      <c r="C285" s="30">
        <v>20.76</v>
      </c>
      <c r="D285" s="28">
        <v>2.75</v>
      </c>
      <c r="E285" s="34">
        <f t="shared" si="145"/>
        <v>5.5E-2</v>
      </c>
      <c r="F285" s="35">
        <f t="shared" si="146"/>
        <v>5.19</v>
      </c>
      <c r="G285" s="34">
        <f t="shared" si="147"/>
        <v>68.75</v>
      </c>
      <c r="H285" s="33">
        <f t="shared" si="148"/>
        <v>6.812433011789925</v>
      </c>
      <c r="I285" s="28">
        <f t="shared" si="151"/>
        <v>1033.4700000000005</v>
      </c>
      <c r="J285" s="32">
        <v>0</v>
      </c>
      <c r="K285" s="30">
        <f t="shared" si="149"/>
        <v>68.75</v>
      </c>
      <c r="L285" s="30"/>
      <c r="M285" s="30"/>
      <c r="N285" s="30"/>
      <c r="O285" s="30"/>
      <c r="Q285" s="29">
        <f t="shared" ca="1" si="150"/>
        <v>3</v>
      </c>
      <c r="R285" s="29">
        <f t="shared" ca="1" si="163"/>
        <v>1</v>
      </c>
      <c r="S285" s="29">
        <f t="shared" ca="1" si="163"/>
        <v>3</v>
      </c>
      <c r="T285" s="29">
        <f t="shared" ca="1" si="163"/>
        <v>0</v>
      </c>
      <c r="U285" s="29">
        <f t="shared" ca="1" si="163"/>
        <v>1</v>
      </c>
      <c r="V285" s="29">
        <f t="shared" ca="1" si="163"/>
        <v>2</v>
      </c>
      <c r="W285" s="29">
        <f t="shared" ca="1" si="163"/>
        <v>3</v>
      </c>
      <c r="X285" s="29">
        <f t="shared" ca="1" si="163"/>
        <v>3</v>
      </c>
      <c r="Y285" s="29">
        <f t="shared" ca="1" si="163"/>
        <v>8</v>
      </c>
      <c r="Z285" s="29">
        <f t="shared" ca="1" si="163"/>
        <v>3</v>
      </c>
      <c r="AA285" s="29">
        <f t="shared" ca="1" si="163"/>
        <v>3</v>
      </c>
      <c r="AB285" s="29">
        <f t="shared" ca="1" si="163"/>
        <v>3</v>
      </c>
      <c r="AC285" s="29">
        <f t="shared" ca="1" si="163"/>
        <v>1</v>
      </c>
      <c r="AD285" s="29">
        <f t="shared" ca="1" si="163"/>
        <v>3</v>
      </c>
      <c r="AE285" s="29">
        <f t="shared" ca="1" si="163"/>
        <v>3</v>
      </c>
      <c r="AF285" s="29">
        <f t="shared" ca="1" si="163"/>
        <v>2</v>
      </c>
      <c r="AG285" s="29">
        <f t="shared" ca="1" si="162"/>
        <v>3</v>
      </c>
      <c r="AH285" s="29">
        <f t="shared" ca="1" si="162"/>
        <v>0</v>
      </c>
      <c r="AI285" s="29">
        <f t="shared" ca="1" si="162"/>
        <v>4</v>
      </c>
      <c r="AJ285" s="29">
        <f t="shared" ca="1" si="162"/>
        <v>3</v>
      </c>
      <c r="AK285" s="29">
        <f t="shared" ca="1" si="162"/>
        <v>2</v>
      </c>
      <c r="AL285" s="29">
        <f t="shared" ca="1" si="162"/>
        <v>1</v>
      </c>
      <c r="AM285" s="29">
        <f t="shared" ca="1" si="162"/>
        <v>3</v>
      </c>
      <c r="AN285" s="29">
        <f t="shared" ca="1" si="162"/>
        <v>4</v>
      </c>
      <c r="AO285" s="29">
        <f t="shared" ca="1" si="162"/>
        <v>2</v>
      </c>
      <c r="AP285" s="29">
        <f t="shared" ca="1" si="162"/>
        <v>2</v>
      </c>
      <c r="AQ285" s="29">
        <f t="shared" ca="1" si="162"/>
        <v>4</v>
      </c>
      <c r="AR285" s="29">
        <f t="shared" ca="1" si="162"/>
        <v>4</v>
      </c>
      <c r="AS285" s="29">
        <f t="shared" ca="1" si="162"/>
        <v>1</v>
      </c>
      <c r="AT285" s="29">
        <f t="shared" ca="1" si="162"/>
        <v>0</v>
      </c>
      <c r="AU285" s="29">
        <f t="shared" ca="1" si="162"/>
        <v>2</v>
      </c>
      <c r="AV285" s="29">
        <f t="shared" ref="AV285:BK300" ca="1" si="165">_xlfn.BINOM.INV(50,$E285,RAND())</f>
        <v>0</v>
      </c>
      <c r="AW285" s="29">
        <f t="shared" ca="1" si="165"/>
        <v>4</v>
      </c>
      <c r="AX285" s="29">
        <f t="shared" ca="1" si="165"/>
        <v>1</v>
      </c>
      <c r="AY285" s="29">
        <f t="shared" ca="1" si="165"/>
        <v>1</v>
      </c>
      <c r="AZ285" s="29">
        <f t="shared" ca="1" si="165"/>
        <v>1</v>
      </c>
      <c r="BA285" s="29">
        <f t="shared" ca="1" si="165"/>
        <v>3</v>
      </c>
      <c r="BB285" s="29">
        <f t="shared" ca="1" si="165"/>
        <v>1</v>
      </c>
      <c r="BC285" s="29">
        <f t="shared" ca="1" si="165"/>
        <v>5</v>
      </c>
      <c r="BD285" s="29">
        <f t="shared" ca="1" si="165"/>
        <v>1</v>
      </c>
      <c r="BE285" s="29">
        <f t="shared" ca="1" si="165"/>
        <v>5</v>
      </c>
      <c r="BF285" s="29">
        <f t="shared" ca="1" si="165"/>
        <v>1</v>
      </c>
      <c r="BG285" s="29">
        <f t="shared" ca="1" si="165"/>
        <v>1</v>
      </c>
      <c r="BH285" s="29">
        <f t="shared" ca="1" si="165"/>
        <v>5</v>
      </c>
      <c r="BI285" s="29">
        <f t="shared" ca="1" si="165"/>
        <v>3</v>
      </c>
      <c r="BJ285" s="29">
        <f t="shared" ca="1" si="165"/>
        <v>7</v>
      </c>
      <c r="BK285" s="29">
        <f t="shared" ca="1" si="165"/>
        <v>1</v>
      </c>
      <c r="BL285" s="29">
        <f t="shared" ca="1" si="164"/>
        <v>2</v>
      </c>
      <c r="BM285" s="29">
        <f t="shared" ca="1" si="164"/>
        <v>2</v>
      </c>
      <c r="BN285" s="29">
        <f t="shared" ca="1" si="164"/>
        <v>6</v>
      </c>
      <c r="BO285" s="29">
        <f t="shared" ca="1" si="164"/>
        <v>3</v>
      </c>
      <c r="BP285" s="29">
        <f t="shared" ca="1" si="164"/>
        <v>0</v>
      </c>
      <c r="BQ285" s="29">
        <f t="shared" ca="1" si="164"/>
        <v>2</v>
      </c>
      <c r="BR285" s="29">
        <f t="shared" ca="1" si="164"/>
        <v>1</v>
      </c>
      <c r="BS285" s="29">
        <f t="shared" ca="1" si="164"/>
        <v>4</v>
      </c>
      <c r="BT285" s="29">
        <f t="shared" ca="1" si="164"/>
        <v>3</v>
      </c>
      <c r="BU285" s="29">
        <f t="shared" ca="1" si="164"/>
        <v>1</v>
      </c>
      <c r="BV285" s="29">
        <f t="shared" ca="1" si="164"/>
        <v>2</v>
      </c>
      <c r="BW285" s="29">
        <f t="shared" ca="1" si="164"/>
        <v>5</v>
      </c>
      <c r="BX285" s="29">
        <f t="shared" ca="1" si="164"/>
        <v>1</v>
      </c>
      <c r="BY285" s="29">
        <f t="shared" ca="1" si="164"/>
        <v>2</v>
      </c>
      <c r="BZ285" s="29">
        <f t="shared" ca="1" si="164"/>
        <v>0</v>
      </c>
      <c r="CA285" s="29">
        <f t="shared" ca="1" si="161"/>
        <v>1</v>
      </c>
      <c r="CB285" s="29">
        <f t="shared" ca="1" si="161"/>
        <v>3</v>
      </c>
      <c r="CC285" s="29">
        <f t="shared" ca="1" si="161"/>
        <v>1</v>
      </c>
      <c r="CD285" s="29">
        <f t="shared" ca="1" si="161"/>
        <v>6</v>
      </c>
      <c r="CE285" s="29">
        <f t="shared" ca="1" si="161"/>
        <v>0</v>
      </c>
      <c r="CF285" s="29">
        <f t="shared" ca="1" si="161"/>
        <v>3</v>
      </c>
      <c r="CG285" s="29">
        <f t="shared" ca="1" si="161"/>
        <v>5</v>
      </c>
      <c r="CH285" s="29">
        <f t="shared" ca="1" si="161"/>
        <v>3</v>
      </c>
      <c r="CI285" s="29">
        <f t="shared" ca="1" si="161"/>
        <v>0</v>
      </c>
      <c r="CJ285" s="29">
        <f t="shared" ca="1" si="161"/>
        <v>4</v>
      </c>
      <c r="CK285" s="29">
        <f t="shared" ca="1" si="161"/>
        <v>5</v>
      </c>
      <c r="CL285" s="29">
        <f t="shared" ca="1" si="161"/>
        <v>0</v>
      </c>
      <c r="CM285" s="29">
        <f t="shared" ca="1" si="161"/>
        <v>2</v>
      </c>
      <c r="CN285" s="29">
        <f t="shared" ca="1" si="161"/>
        <v>3</v>
      </c>
      <c r="CO285" s="29">
        <f t="shared" ca="1" si="161"/>
        <v>2</v>
      </c>
      <c r="CP285" s="29">
        <f t="shared" ca="1" si="161"/>
        <v>0</v>
      </c>
      <c r="CQ285" s="29">
        <f t="shared" ca="1" si="160"/>
        <v>2</v>
      </c>
      <c r="CR285" s="29">
        <f t="shared" ca="1" si="160"/>
        <v>2</v>
      </c>
      <c r="CS285" s="29">
        <f t="shared" ca="1" si="160"/>
        <v>0</v>
      </c>
      <c r="CT285" s="29">
        <f t="shared" ca="1" si="160"/>
        <v>5</v>
      </c>
      <c r="CU285" s="29">
        <f t="shared" ca="1" si="160"/>
        <v>3</v>
      </c>
      <c r="CV285" s="29">
        <f t="shared" ca="1" si="160"/>
        <v>4</v>
      </c>
      <c r="CW285" s="29">
        <f t="shared" ca="1" si="160"/>
        <v>3</v>
      </c>
      <c r="CX285" s="29">
        <f t="shared" ca="1" si="160"/>
        <v>4</v>
      </c>
      <c r="CY285" s="29">
        <f t="shared" ca="1" si="160"/>
        <v>3</v>
      </c>
      <c r="CZ285" s="29">
        <f t="shared" ca="1" si="160"/>
        <v>2</v>
      </c>
      <c r="DA285" s="29">
        <f t="shared" ca="1" si="160"/>
        <v>2</v>
      </c>
      <c r="DB285" s="29">
        <f t="shared" ca="1" si="160"/>
        <v>0</v>
      </c>
      <c r="DC285" s="29">
        <f t="shared" ca="1" si="160"/>
        <v>5</v>
      </c>
      <c r="DD285" s="29">
        <f t="shared" ca="1" si="160"/>
        <v>2</v>
      </c>
      <c r="DE285" s="29">
        <f t="shared" ca="1" si="160"/>
        <v>6</v>
      </c>
      <c r="DF285" s="29">
        <f t="shared" ca="1" si="159"/>
        <v>2</v>
      </c>
      <c r="DG285" s="29">
        <f t="shared" ca="1" si="159"/>
        <v>1</v>
      </c>
      <c r="DH285" s="29">
        <f t="shared" ca="1" si="159"/>
        <v>5</v>
      </c>
      <c r="DI285" s="29">
        <f t="shared" ca="1" si="159"/>
        <v>2</v>
      </c>
      <c r="DJ285" s="29">
        <f t="shared" ca="1" si="159"/>
        <v>4</v>
      </c>
      <c r="DK285" s="29">
        <f t="shared" ca="1" si="159"/>
        <v>2</v>
      </c>
      <c r="DL285" s="29">
        <f t="shared" ca="1" si="159"/>
        <v>1</v>
      </c>
    </row>
    <row r="286" spans="1:116" ht="14.4" x14ac:dyDescent="0.3">
      <c r="A286" s="31">
        <v>1056</v>
      </c>
      <c r="B286" s="28">
        <v>1.95</v>
      </c>
      <c r="C286" s="30">
        <v>30.12</v>
      </c>
      <c r="D286" s="28">
        <v>0.83</v>
      </c>
      <c r="E286" s="34">
        <f t="shared" si="145"/>
        <v>1.66E-2</v>
      </c>
      <c r="F286" s="35">
        <f t="shared" si="146"/>
        <v>7.53</v>
      </c>
      <c r="G286" s="34">
        <f t="shared" si="147"/>
        <v>20.75</v>
      </c>
      <c r="H286" s="33">
        <f t="shared" si="148"/>
        <v>6.7794871794871794</v>
      </c>
      <c r="I286" s="28">
        <f t="shared" si="151"/>
        <v>1035.4200000000005</v>
      </c>
      <c r="J286" s="32">
        <v>0</v>
      </c>
      <c r="K286" s="30">
        <f t="shared" si="149"/>
        <v>20.75</v>
      </c>
      <c r="L286" s="30"/>
      <c r="M286" s="30"/>
      <c r="N286" s="30"/>
      <c r="O286" s="30"/>
      <c r="Q286" s="29">
        <f t="shared" ca="1" si="150"/>
        <v>1</v>
      </c>
      <c r="R286" s="29">
        <f t="shared" ca="1" si="163"/>
        <v>1</v>
      </c>
      <c r="S286" s="29">
        <f t="shared" ca="1" si="163"/>
        <v>0</v>
      </c>
      <c r="T286" s="29">
        <f t="shared" ca="1" si="163"/>
        <v>0</v>
      </c>
      <c r="U286" s="29">
        <f t="shared" ca="1" si="163"/>
        <v>0</v>
      </c>
      <c r="V286" s="29">
        <f t="shared" ca="1" si="163"/>
        <v>1</v>
      </c>
      <c r="W286" s="29">
        <f t="shared" ca="1" si="163"/>
        <v>0</v>
      </c>
      <c r="X286" s="29">
        <f t="shared" ca="1" si="163"/>
        <v>0</v>
      </c>
      <c r="Y286" s="29">
        <f t="shared" ca="1" si="163"/>
        <v>2</v>
      </c>
      <c r="Z286" s="29">
        <f t="shared" ca="1" si="163"/>
        <v>0</v>
      </c>
      <c r="AA286" s="29">
        <f t="shared" ca="1" si="163"/>
        <v>1</v>
      </c>
      <c r="AB286" s="29">
        <f t="shared" ca="1" si="163"/>
        <v>0</v>
      </c>
      <c r="AC286" s="29">
        <f t="shared" ca="1" si="163"/>
        <v>1</v>
      </c>
      <c r="AD286" s="29">
        <f t="shared" ca="1" si="163"/>
        <v>1</v>
      </c>
      <c r="AE286" s="29">
        <f t="shared" ca="1" si="163"/>
        <v>0</v>
      </c>
      <c r="AF286" s="29">
        <f t="shared" ca="1" si="163"/>
        <v>1</v>
      </c>
      <c r="AG286" s="29">
        <f t="shared" ca="1" si="162"/>
        <v>0</v>
      </c>
      <c r="AH286" s="29">
        <f t="shared" ca="1" si="162"/>
        <v>2</v>
      </c>
      <c r="AI286" s="29">
        <f t="shared" ca="1" si="162"/>
        <v>1</v>
      </c>
      <c r="AJ286" s="29">
        <f t="shared" ca="1" si="162"/>
        <v>1</v>
      </c>
      <c r="AK286" s="29">
        <f t="shared" ca="1" si="162"/>
        <v>1</v>
      </c>
      <c r="AL286" s="29">
        <f t="shared" ca="1" si="162"/>
        <v>0</v>
      </c>
      <c r="AM286" s="29">
        <f t="shared" ca="1" si="162"/>
        <v>1</v>
      </c>
      <c r="AN286" s="29">
        <f t="shared" ca="1" si="162"/>
        <v>1</v>
      </c>
      <c r="AO286" s="29">
        <f t="shared" ca="1" si="162"/>
        <v>1</v>
      </c>
      <c r="AP286" s="29">
        <f t="shared" ca="1" si="162"/>
        <v>0</v>
      </c>
      <c r="AQ286" s="29">
        <f t="shared" ca="1" si="162"/>
        <v>2</v>
      </c>
      <c r="AR286" s="29">
        <f t="shared" ca="1" si="162"/>
        <v>1</v>
      </c>
      <c r="AS286" s="29">
        <f t="shared" ca="1" si="162"/>
        <v>0</v>
      </c>
      <c r="AT286" s="29">
        <f t="shared" ca="1" si="162"/>
        <v>0</v>
      </c>
      <c r="AU286" s="29">
        <f t="shared" ca="1" si="162"/>
        <v>4</v>
      </c>
      <c r="AV286" s="29">
        <f t="shared" ca="1" si="165"/>
        <v>0</v>
      </c>
      <c r="AW286" s="29">
        <f t="shared" ca="1" si="165"/>
        <v>2</v>
      </c>
      <c r="AX286" s="29">
        <f t="shared" ca="1" si="165"/>
        <v>0</v>
      </c>
      <c r="AY286" s="29">
        <f t="shared" ca="1" si="165"/>
        <v>0</v>
      </c>
      <c r="AZ286" s="29">
        <f t="shared" ca="1" si="165"/>
        <v>1</v>
      </c>
      <c r="BA286" s="29">
        <f t="shared" ca="1" si="165"/>
        <v>1</v>
      </c>
      <c r="BB286" s="29">
        <f t="shared" ca="1" si="165"/>
        <v>1</v>
      </c>
      <c r="BC286" s="29">
        <f t="shared" ca="1" si="165"/>
        <v>1</v>
      </c>
      <c r="BD286" s="29">
        <f t="shared" ca="1" si="165"/>
        <v>0</v>
      </c>
      <c r="BE286" s="29">
        <f t="shared" ca="1" si="165"/>
        <v>0</v>
      </c>
      <c r="BF286" s="29">
        <f t="shared" ca="1" si="165"/>
        <v>0</v>
      </c>
      <c r="BG286" s="29">
        <f t="shared" ca="1" si="165"/>
        <v>2</v>
      </c>
      <c r="BH286" s="29">
        <f t="shared" ca="1" si="165"/>
        <v>2</v>
      </c>
      <c r="BI286" s="29">
        <f t="shared" ca="1" si="165"/>
        <v>1</v>
      </c>
      <c r="BJ286" s="29">
        <f t="shared" ca="1" si="165"/>
        <v>0</v>
      </c>
      <c r="BK286" s="29">
        <f t="shared" ca="1" si="165"/>
        <v>0</v>
      </c>
      <c r="BL286" s="29">
        <f t="shared" ca="1" si="164"/>
        <v>1</v>
      </c>
      <c r="BM286" s="29">
        <f t="shared" ca="1" si="164"/>
        <v>0</v>
      </c>
      <c r="BN286" s="29">
        <f t="shared" ca="1" si="164"/>
        <v>1</v>
      </c>
      <c r="BO286" s="29">
        <f t="shared" ca="1" si="164"/>
        <v>0</v>
      </c>
      <c r="BP286" s="29">
        <f t="shared" ca="1" si="164"/>
        <v>0</v>
      </c>
      <c r="BQ286" s="29">
        <f t="shared" ca="1" si="164"/>
        <v>2</v>
      </c>
      <c r="BR286" s="29">
        <f t="shared" ca="1" si="164"/>
        <v>0</v>
      </c>
      <c r="BS286" s="29">
        <f t="shared" ca="1" si="164"/>
        <v>2</v>
      </c>
      <c r="BT286" s="29">
        <f t="shared" ca="1" si="164"/>
        <v>0</v>
      </c>
      <c r="BU286" s="29">
        <f t="shared" ca="1" si="164"/>
        <v>0</v>
      </c>
      <c r="BV286" s="29">
        <f t="shared" ca="1" si="164"/>
        <v>0</v>
      </c>
      <c r="BW286" s="29">
        <f t="shared" ca="1" si="164"/>
        <v>0</v>
      </c>
      <c r="BX286" s="29">
        <f t="shared" ca="1" si="164"/>
        <v>1</v>
      </c>
      <c r="BY286" s="29">
        <f t="shared" ca="1" si="164"/>
        <v>0</v>
      </c>
      <c r="BZ286" s="29">
        <f t="shared" ca="1" si="164"/>
        <v>1</v>
      </c>
      <c r="CA286" s="29">
        <f t="shared" ca="1" si="161"/>
        <v>1</v>
      </c>
      <c r="CB286" s="29">
        <f t="shared" ca="1" si="161"/>
        <v>0</v>
      </c>
      <c r="CC286" s="29">
        <f t="shared" ca="1" si="161"/>
        <v>1</v>
      </c>
      <c r="CD286" s="29">
        <f t="shared" ca="1" si="161"/>
        <v>0</v>
      </c>
      <c r="CE286" s="29">
        <f t="shared" ca="1" si="161"/>
        <v>0</v>
      </c>
      <c r="CF286" s="29">
        <f t="shared" ca="1" si="161"/>
        <v>3</v>
      </c>
      <c r="CG286" s="29">
        <f t="shared" ca="1" si="161"/>
        <v>0</v>
      </c>
      <c r="CH286" s="29">
        <f t="shared" ca="1" si="161"/>
        <v>0</v>
      </c>
      <c r="CI286" s="29">
        <f t="shared" ca="1" si="161"/>
        <v>0</v>
      </c>
      <c r="CJ286" s="29">
        <f t="shared" ca="1" si="161"/>
        <v>1</v>
      </c>
      <c r="CK286" s="29">
        <f t="shared" ca="1" si="161"/>
        <v>0</v>
      </c>
      <c r="CL286" s="29">
        <f t="shared" ca="1" si="161"/>
        <v>0</v>
      </c>
      <c r="CM286" s="29">
        <f t="shared" ca="1" si="161"/>
        <v>0</v>
      </c>
      <c r="CN286" s="29">
        <f t="shared" ca="1" si="161"/>
        <v>0</v>
      </c>
      <c r="CO286" s="29">
        <f t="shared" ca="1" si="161"/>
        <v>2</v>
      </c>
      <c r="CP286" s="29">
        <f t="shared" ca="1" si="161"/>
        <v>2</v>
      </c>
      <c r="CQ286" s="29">
        <f t="shared" ca="1" si="160"/>
        <v>1</v>
      </c>
      <c r="CR286" s="29">
        <f t="shared" ca="1" si="160"/>
        <v>2</v>
      </c>
      <c r="CS286" s="29">
        <f t="shared" ca="1" si="160"/>
        <v>1</v>
      </c>
      <c r="CT286" s="29">
        <f t="shared" ca="1" si="160"/>
        <v>0</v>
      </c>
      <c r="CU286" s="29">
        <f t="shared" ca="1" si="160"/>
        <v>1</v>
      </c>
      <c r="CV286" s="29">
        <f t="shared" ca="1" si="160"/>
        <v>1</v>
      </c>
      <c r="CW286" s="29">
        <f t="shared" ca="1" si="160"/>
        <v>3</v>
      </c>
      <c r="CX286" s="29">
        <f t="shared" ca="1" si="160"/>
        <v>4</v>
      </c>
      <c r="CY286" s="29">
        <f t="shared" ca="1" si="160"/>
        <v>0</v>
      </c>
      <c r="CZ286" s="29">
        <f t="shared" ca="1" si="160"/>
        <v>0</v>
      </c>
      <c r="DA286" s="29">
        <f t="shared" ca="1" si="160"/>
        <v>1</v>
      </c>
      <c r="DB286" s="29">
        <f t="shared" ca="1" si="160"/>
        <v>1</v>
      </c>
      <c r="DC286" s="29">
        <f t="shared" ca="1" si="160"/>
        <v>2</v>
      </c>
      <c r="DD286" s="29">
        <f t="shared" ca="1" si="160"/>
        <v>1</v>
      </c>
      <c r="DE286" s="29">
        <f t="shared" ca="1" si="160"/>
        <v>1</v>
      </c>
      <c r="DF286" s="29">
        <f t="shared" ca="1" si="159"/>
        <v>1</v>
      </c>
      <c r="DG286" s="29">
        <f t="shared" ca="1" si="159"/>
        <v>0</v>
      </c>
      <c r="DH286" s="29">
        <f t="shared" ca="1" si="159"/>
        <v>0</v>
      </c>
      <c r="DI286" s="29">
        <f t="shared" ca="1" si="159"/>
        <v>0</v>
      </c>
      <c r="DJ286" s="29">
        <f t="shared" ca="1" si="159"/>
        <v>2</v>
      </c>
      <c r="DK286" s="29">
        <f t="shared" ca="1" si="159"/>
        <v>1</v>
      </c>
      <c r="DL286" s="29">
        <f t="shared" ca="1" si="159"/>
        <v>1</v>
      </c>
    </row>
    <row r="287" spans="1:116" ht="14.4" x14ac:dyDescent="0.3">
      <c r="A287" s="31">
        <v>689</v>
      </c>
      <c r="B287" s="28">
        <v>9.6999999999999993</v>
      </c>
      <c r="C287" s="30">
        <v>22.86</v>
      </c>
      <c r="D287" s="28">
        <v>2.85</v>
      </c>
      <c r="E287" s="34">
        <f t="shared" si="145"/>
        <v>5.7000000000000002E-2</v>
      </c>
      <c r="F287" s="35">
        <f t="shared" si="146"/>
        <v>5.7149999999999999</v>
      </c>
      <c r="G287" s="34">
        <f t="shared" si="147"/>
        <v>71.25</v>
      </c>
      <c r="H287" s="33">
        <f t="shared" si="148"/>
        <v>6.7561855670103093</v>
      </c>
      <c r="I287" s="28">
        <f t="shared" si="151"/>
        <v>1045.1200000000006</v>
      </c>
      <c r="J287" s="32">
        <v>0</v>
      </c>
      <c r="K287" s="30">
        <f t="shared" si="149"/>
        <v>71.25</v>
      </c>
      <c r="L287" s="30"/>
      <c r="M287" s="30"/>
      <c r="N287" s="30"/>
      <c r="O287" s="30"/>
      <c r="Q287" s="29">
        <f t="shared" ca="1" si="150"/>
        <v>2</v>
      </c>
      <c r="R287" s="29">
        <f t="shared" ca="1" si="163"/>
        <v>2</v>
      </c>
      <c r="S287" s="29">
        <f t="shared" ca="1" si="163"/>
        <v>3</v>
      </c>
      <c r="T287" s="29">
        <f t="shared" ca="1" si="163"/>
        <v>2</v>
      </c>
      <c r="U287" s="29">
        <f t="shared" ca="1" si="163"/>
        <v>3</v>
      </c>
      <c r="V287" s="29">
        <f t="shared" ca="1" si="163"/>
        <v>4</v>
      </c>
      <c r="W287" s="29">
        <f t="shared" ca="1" si="163"/>
        <v>2</v>
      </c>
      <c r="X287" s="29">
        <f t="shared" ca="1" si="163"/>
        <v>1</v>
      </c>
      <c r="Y287" s="29">
        <f t="shared" ca="1" si="163"/>
        <v>1</v>
      </c>
      <c r="Z287" s="29">
        <f t="shared" ca="1" si="163"/>
        <v>5</v>
      </c>
      <c r="AA287" s="29">
        <f t="shared" ca="1" si="163"/>
        <v>2</v>
      </c>
      <c r="AB287" s="29">
        <f t="shared" ca="1" si="163"/>
        <v>4</v>
      </c>
      <c r="AC287" s="29">
        <f t="shared" ca="1" si="163"/>
        <v>3</v>
      </c>
      <c r="AD287" s="29">
        <f t="shared" ca="1" si="163"/>
        <v>5</v>
      </c>
      <c r="AE287" s="29">
        <f t="shared" ca="1" si="163"/>
        <v>5</v>
      </c>
      <c r="AF287" s="29">
        <f t="shared" ca="1" si="163"/>
        <v>2</v>
      </c>
      <c r="AG287" s="29">
        <f t="shared" ca="1" si="162"/>
        <v>2</v>
      </c>
      <c r="AH287" s="29">
        <f t="shared" ca="1" si="162"/>
        <v>4</v>
      </c>
      <c r="AI287" s="29">
        <f t="shared" ca="1" si="162"/>
        <v>2</v>
      </c>
      <c r="AJ287" s="29">
        <f t="shared" ca="1" si="162"/>
        <v>2</v>
      </c>
      <c r="AK287" s="29">
        <f t="shared" ca="1" si="162"/>
        <v>4</v>
      </c>
      <c r="AL287" s="29">
        <f t="shared" ca="1" si="162"/>
        <v>2</v>
      </c>
      <c r="AM287" s="29">
        <f t="shared" ca="1" si="162"/>
        <v>2</v>
      </c>
      <c r="AN287" s="29">
        <f t="shared" ca="1" si="162"/>
        <v>2</v>
      </c>
      <c r="AO287" s="29">
        <f t="shared" ca="1" si="162"/>
        <v>2</v>
      </c>
      <c r="AP287" s="29">
        <f t="shared" ca="1" si="162"/>
        <v>2</v>
      </c>
      <c r="AQ287" s="29">
        <f t="shared" ca="1" si="162"/>
        <v>4</v>
      </c>
      <c r="AR287" s="29">
        <f t="shared" ca="1" si="162"/>
        <v>6</v>
      </c>
      <c r="AS287" s="29">
        <f t="shared" ca="1" si="162"/>
        <v>1</v>
      </c>
      <c r="AT287" s="29">
        <f t="shared" ca="1" si="162"/>
        <v>5</v>
      </c>
      <c r="AU287" s="29">
        <f t="shared" ca="1" si="162"/>
        <v>3</v>
      </c>
      <c r="AV287" s="29">
        <f t="shared" ca="1" si="165"/>
        <v>2</v>
      </c>
      <c r="AW287" s="29">
        <f t="shared" ca="1" si="165"/>
        <v>5</v>
      </c>
      <c r="AX287" s="29">
        <f t="shared" ca="1" si="165"/>
        <v>2</v>
      </c>
      <c r="AY287" s="29">
        <f t="shared" ca="1" si="165"/>
        <v>3</v>
      </c>
      <c r="AZ287" s="29">
        <f t="shared" ca="1" si="165"/>
        <v>2</v>
      </c>
      <c r="BA287" s="29">
        <f t="shared" ca="1" si="165"/>
        <v>3</v>
      </c>
      <c r="BB287" s="29">
        <f t="shared" ca="1" si="165"/>
        <v>3</v>
      </c>
      <c r="BC287" s="29">
        <f t="shared" ca="1" si="165"/>
        <v>2</v>
      </c>
      <c r="BD287" s="29">
        <f t="shared" ca="1" si="165"/>
        <v>2</v>
      </c>
      <c r="BE287" s="29">
        <f t="shared" ca="1" si="165"/>
        <v>3</v>
      </c>
      <c r="BF287" s="29">
        <f t="shared" ca="1" si="165"/>
        <v>3</v>
      </c>
      <c r="BG287" s="29">
        <f t="shared" ca="1" si="165"/>
        <v>2</v>
      </c>
      <c r="BH287" s="29">
        <f t="shared" ca="1" si="165"/>
        <v>1</v>
      </c>
      <c r="BI287" s="29">
        <f t="shared" ca="1" si="165"/>
        <v>1</v>
      </c>
      <c r="BJ287" s="29">
        <f t="shared" ca="1" si="165"/>
        <v>2</v>
      </c>
      <c r="BK287" s="29">
        <f t="shared" ca="1" si="165"/>
        <v>5</v>
      </c>
      <c r="BL287" s="29">
        <f t="shared" ca="1" si="164"/>
        <v>3</v>
      </c>
      <c r="BM287" s="29">
        <f t="shared" ca="1" si="164"/>
        <v>3</v>
      </c>
      <c r="BN287" s="29">
        <f t="shared" ca="1" si="164"/>
        <v>6</v>
      </c>
      <c r="BO287" s="29">
        <f t="shared" ca="1" si="164"/>
        <v>2</v>
      </c>
      <c r="BP287" s="29">
        <f t="shared" ca="1" si="164"/>
        <v>1</v>
      </c>
      <c r="BQ287" s="29">
        <f t="shared" ca="1" si="164"/>
        <v>2</v>
      </c>
      <c r="BR287" s="29">
        <f t="shared" ca="1" si="164"/>
        <v>3</v>
      </c>
      <c r="BS287" s="29">
        <f t="shared" ca="1" si="164"/>
        <v>2</v>
      </c>
      <c r="BT287" s="29">
        <f t="shared" ca="1" si="164"/>
        <v>3</v>
      </c>
      <c r="BU287" s="29">
        <f t="shared" ca="1" si="164"/>
        <v>6</v>
      </c>
      <c r="BV287" s="29">
        <f t="shared" ca="1" si="164"/>
        <v>5</v>
      </c>
      <c r="BW287" s="29">
        <f t="shared" ca="1" si="164"/>
        <v>1</v>
      </c>
      <c r="BX287" s="29">
        <f t="shared" ca="1" si="164"/>
        <v>4</v>
      </c>
      <c r="BY287" s="29">
        <f t="shared" ca="1" si="164"/>
        <v>5</v>
      </c>
      <c r="BZ287" s="29">
        <f t="shared" ca="1" si="164"/>
        <v>2</v>
      </c>
      <c r="CA287" s="29">
        <f t="shared" ca="1" si="161"/>
        <v>5</v>
      </c>
      <c r="CB287" s="29">
        <f t="shared" ca="1" si="161"/>
        <v>5</v>
      </c>
      <c r="CC287" s="29">
        <f t="shared" ca="1" si="161"/>
        <v>4</v>
      </c>
      <c r="CD287" s="29">
        <f t="shared" ca="1" si="161"/>
        <v>4</v>
      </c>
      <c r="CE287" s="29">
        <f t="shared" ca="1" si="161"/>
        <v>2</v>
      </c>
      <c r="CF287" s="29">
        <f t="shared" ca="1" si="161"/>
        <v>5</v>
      </c>
      <c r="CG287" s="29">
        <f t="shared" ca="1" si="161"/>
        <v>3</v>
      </c>
      <c r="CH287" s="29">
        <f t="shared" ca="1" si="161"/>
        <v>2</v>
      </c>
      <c r="CI287" s="29">
        <f t="shared" ca="1" si="161"/>
        <v>2</v>
      </c>
      <c r="CJ287" s="29">
        <f t="shared" ca="1" si="161"/>
        <v>7</v>
      </c>
      <c r="CK287" s="29">
        <f t="shared" ca="1" si="161"/>
        <v>3</v>
      </c>
      <c r="CL287" s="29">
        <f t="shared" ca="1" si="161"/>
        <v>2</v>
      </c>
      <c r="CM287" s="29">
        <f t="shared" ca="1" si="161"/>
        <v>2</v>
      </c>
      <c r="CN287" s="29">
        <f t="shared" ca="1" si="161"/>
        <v>3</v>
      </c>
      <c r="CO287" s="29">
        <f t="shared" ca="1" si="161"/>
        <v>1</v>
      </c>
      <c r="CP287" s="29">
        <f t="shared" ca="1" si="161"/>
        <v>2</v>
      </c>
      <c r="CQ287" s="29">
        <f t="shared" ca="1" si="160"/>
        <v>3</v>
      </c>
      <c r="CR287" s="29">
        <f t="shared" ca="1" si="160"/>
        <v>1</v>
      </c>
      <c r="CS287" s="29">
        <f t="shared" ca="1" si="160"/>
        <v>6</v>
      </c>
      <c r="CT287" s="29">
        <f t="shared" ca="1" si="160"/>
        <v>3</v>
      </c>
      <c r="CU287" s="29">
        <f t="shared" ca="1" si="160"/>
        <v>0</v>
      </c>
      <c r="CV287" s="29">
        <f t="shared" ca="1" si="160"/>
        <v>6</v>
      </c>
      <c r="CW287" s="29">
        <f t="shared" ca="1" si="160"/>
        <v>5</v>
      </c>
      <c r="CX287" s="29">
        <f t="shared" ca="1" si="160"/>
        <v>3</v>
      </c>
      <c r="CY287" s="29">
        <f t="shared" ca="1" si="160"/>
        <v>4</v>
      </c>
      <c r="CZ287" s="29">
        <f t="shared" ca="1" si="160"/>
        <v>3</v>
      </c>
      <c r="DA287" s="29">
        <f t="shared" ca="1" si="160"/>
        <v>2</v>
      </c>
      <c r="DB287" s="29">
        <f t="shared" ca="1" si="160"/>
        <v>3</v>
      </c>
      <c r="DC287" s="29">
        <f t="shared" ca="1" si="160"/>
        <v>3</v>
      </c>
      <c r="DD287" s="29">
        <f t="shared" ca="1" si="160"/>
        <v>1</v>
      </c>
      <c r="DE287" s="29">
        <f t="shared" ca="1" si="160"/>
        <v>7</v>
      </c>
      <c r="DF287" s="29">
        <f t="shared" ca="1" si="159"/>
        <v>1</v>
      </c>
      <c r="DG287" s="29">
        <f t="shared" ca="1" si="159"/>
        <v>4</v>
      </c>
      <c r="DH287" s="29">
        <f t="shared" ca="1" si="159"/>
        <v>5</v>
      </c>
      <c r="DI287" s="29">
        <f t="shared" ca="1" si="159"/>
        <v>5</v>
      </c>
      <c r="DJ287" s="29">
        <f t="shared" ca="1" si="159"/>
        <v>5</v>
      </c>
      <c r="DK287" s="29">
        <f t="shared" ca="1" si="159"/>
        <v>4</v>
      </c>
      <c r="DL287" s="29">
        <f t="shared" ca="1" si="159"/>
        <v>1</v>
      </c>
    </row>
    <row r="288" spans="1:116" ht="14.4" x14ac:dyDescent="0.3">
      <c r="A288" s="31">
        <v>751</v>
      </c>
      <c r="B288" s="28">
        <v>8.86</v>
      </c>
      <c r="C288" s="30">
        <v>41.47</v>
      </c>
      <c r="D288" s="28">
        <v>2.79</v>
      </c>
      <c r="E288" s="34">
        <f t="shared" si="145"/>
        <v>5.5800000000000002E-2</v>
      </c>
      <c r="F288" s="35">
        <f t="shared" si="146"/>
        <v>10.3675</v>
      </c>
      <c r="G288" s="34">
        <f t="shared" si="147"/>
        <v>69.75</v>
      </c>
      <c r="H288" s="33">
        <f t="shared" si="148"/>
        <v>6.7023137697516937</v>
      </c>
      <c r="I288" s="28">
        <f t="shared" si="151"/>
        <v>1053.9800000000005</v>
      </c>
      <c r="J288" s="32">
        <v>0</v>
      </c>
      <c r="K288" s="30">
        <f t="shared" si="149"/>
        <v>69.75</v>
      </c>
      <c r="L288" s="30"/>
      <c r="M288" s="30"/>
      <c r="N288" s="30"/>
      <c r="O288" s="30"/>
      <c r="Q288" s="29">
        <f t="shared" ca="1" si="150"/>
        <v>3</v>
      </c>
      <c r="R288" s="29">
        <f t="shared" ca="1" si="163"/>
        <v>2</v>
      </c>
      <c r="S288" s="29">
        <f t="shared" ca="1" si="163"/>
        <v>6</v>
      </c>
      <c r="T288" s="29">
        <f t="shared" ca="1" si="163"/>
        <v>5</v>
      </c>
      <c r="U288" s="29">
        <f t="shared" ca="1" si="163"/>
        <v>4</v>
      </c>
      <c r="V288" s="29">
        <f t="shared" ca="1" si="163"/>
        <v>6</v>
      </c>
      <c r="W288" s="29">
        <f t="shared" ca="1" si="163"/>
        <v>1</v>
      </c>
      <c r="X288" s="29">
        <f t="shared" ca="1" si="163"/>
        <v>4</v>
      </c>
      <c r="Y288" s="29">
        <f t="shared" ca="1" si="163"/>
        <v>2</v>
      </c>
      <c r="Z288" s="29">
        <f t="shared" ca="1" si="163"/>
        <v>3</v>
      </c>
      <c r="AA288" s="29">
        <f t="shared" ca="1" si="163"/>
        <v>4</v>
      </c>
      <c r="AB288" s="29">
        <f t="shared" ca="1" si="163"/>
        <v>4</v>
      </c>
      <c r="AC288" s="29">
        <f t="shared" ca="1" si="163"/>
        <v>1</v>
      </c>
      <c r="AD288" s="29">
        <f t="shared" ca="1" si="163"/>
        <v>4</v>
      </c>
      <c r="AE288" s="29">
        <f t="shared" ca="1" si="163"/>
        <v>2</v>
      </c>
      <c r="AF288" s="29">
        <f t="shared" ca="1" si="163"/>
        <v>0</v>
      </c>
      <c r="AG288" s="29">
        <f t="shared" ca="1" si="162"/>
        <v>1</v>
      </c>
      <c r="AH288" s="29">
        <f t="shared" ca="1" si="162"/>
        <v>3</v>
      </c>
      <c r="AI288" s="29">
        <f t="shared" ca="1" si="162"/>
        <v>0</v>
      </c>
      <c r="AJ288" s="29">
        <f t="shared" ca="1" si="162"/>
        <v>0</v>
      </c>
      <c r="AK288" s="29">
        <f t="shared" ca="1" si="162"/>
        <v>3</v>
      </c>
      <c r="AL288" s="29">
        <f t="shared" ca="1" si="162"/>
        <v>4</v>
      </c>
      <c r="AM288" s="29">
        <f t="shared" ca="1" si="162"/>
        <v>6</v>
      </c>
      <c r="AN288" s="29">
        <f t="shared" ca="1" si="162"/>
        <v>2</v>
      </c>
      <c r="AO288" s="29">
        <f t="shared" ca="1" si="162"/>
        <v>2</v>
      </c>
      <c r="AP288" s="29">
        <f t="shared" ca="1" si="162"/>
        <v>5</v>
      </c>
      <c r="AQ288" s="29">
        <f t="shared" ca="1" si="162"/>
        <v>6</v>
      </c>
      <c r="AR288" s="29">
        <f t="shared" ca="1" si="162"/>
        <v>3</v>
      </c>
      <c r="AS288" s="29">
        <f t="shared" ca="1" si="162"/>
        <v>2</v>
      </c>
      <c r="AT288" s="29">
        <f t="shared" ca="1" si="162"/>
        <v>3</v>
      </c>
      <c r="AU288" s="29">
        <f t="shared" ca="1" si="162"/>
        <v>3</v>
      </c>
      <c r="AV288" s="29">
        <f t="shared" ca="1" si="165"/>
        <v>4</v>
      </c>
      <c r="AW288" s="29">
        <f t="shared" ca="1" si="165"/>
        <v>1</v>
      </c>
      <c r="AX288" s="29">
        <f t="shared" ca="1" si="165"/>
        <v>3</v>
      </c>
      <c r="AY288" s="29">
        <f t="shared" ca="1" si="165"/>
        <v>5</v>
      </c>
      <c r="AZ288" s="29">
        <f t="shared" ca="1" si="165"/>
        <v>2</v>
      </c>
      <c r="BA288" s="29">
        <f t="shared" ca="1" si="165"/>
        <v>3</v>
      </c>
      <c r="BB288" s="29">
        <f t="shared" ca="1" si="165"/>
        <v>4</v>
      </c>
      <c r="BC288" s="29">
        <f t="shared" ca="1" si="165"/>
        <v>4</v>
      </c>
      <c r="BD288" s="29">
        <f t="shared" ca="1" si="165"/>
        <v>2</v>
      </c>
      <c r="BE288" s="29">
        <f t="shared" ca="1" si="165"/>
        <v>0</v>
      </c>
      <c r="BF288" s="29">
        <f t="shared" ca="1" si="165"/>
        <v>2</v>
      </c>
      <c r="BG288" s="29">
        <f t="shared" ca="1" si="165"/>
        <v>1</v>
      </c>
      <c r="BH288" s="29">
        <f t="shared" ca="1" si="165"/>
        <v>2</v>
      </c>
      <c r="BI288" s="29">
        <f t="shared" ca="1" si="165"/>
        <v>3</v>
      </c>
      <c r="BJ288" s="29">
        <f t="shared" ca="1" si="165"/>
        <v>3</v>
      </c>
      <c r="BK288" s="29">
        <f t="shared" ca="1" si="165"/>
        <v>3</v>
      </c>
      <c r="BL288" s="29">
        <f t="shared" ca="1" si="164"/>
        <v>6</v>
      </c>
      <c r="BM288" s="29">
        <f t="shared" ca="1" si="164"/>
        <v>3</v>
      </c>
      <c r="BN288" s="29">
        <f t="shared" ca="1" si="164"/>
        <v>1</v>
      </c>
      <c r="BO288" s="29">
        <f t="shared" ca="1" si="164"/>
        <v>1</v>
      </c>
      <c r="BP288" s="29">
        <f t="shared" ca="1" si="164"/>
        <v>2</v>
      </c>
      <c r="BQ288" s="29">
        <f t="shared" ca="1" si="164"/>
        <v>4</v>
      </c>
      <c r="BR288" s="29">
        <f t="shared" ca="1" si="164"/>
        <v>2</v>
      </c>
      <c r="BS288" s="29">
        <f t="shared" ca="1" si="164"/>
        <v>5</v>
      </c>
      <c r="BT288" s="29">
        <f t="shared" ca="1" si="164"/>
        <v>2</v>
      </c>
      <c r="BU288" s="29">
        <f t="shared" ca="1" si="164"/>
        <v>2</v>
      </c>
      <c r="BV288" s="29">
        <f t="shared" ca="1" si="164"/>
        <v>5</v>
      </c>
      <c r="BW288" s="29">
        <f t="shared" ca="1" si="164"/>
        <v>2</v>
      </c>
      <c r="BX288" s="29">
        <f t="shared" ca="1" si="164"/>
        <v>6</v>
      </c>
      <c r="BY288" s="29">
        <f t="shared" ca="1" si="164"/>
        <v>1</v>
      </c>
      <c r="BZ288" s="29">
        <f t="shared" ca="1" si="164"/>
        <v>2</v>
      </c>
      <c r="CA288" s="29">
        <f t="shared" ca="1" si="161"/>
        <v>1</v>
      </c>
      <c r="CB288" s="29">
        <f t="shared" ca="1" si="161"/>
        <v>2</v>
      </c>
      <c r="CC288" s="29">
        <f t="shared" ca="1" si="161"/>
        <v>4</v>
      </c>
      <c r="CD288" s="29">
        <f t="shared" ca="1" si="161"/>
        <v>2</v>
      </c>
      <c r="CE288" s="29">
        <f t="shared" ca="1" si="161"/>
        <v>1</v>
      </c>
      <c r="CF288" s="29">
        <f t="shared" ca="1" si="161"/>
        <v>3</v>
      </c>
      <c r="CG288" s="29">
        <f t="shared" ca="1" si="161"/>
        <v>4</v>
      </c>
      <c r="CH288" s="29">
        <f t="shared" ca="1" si="161"/>
        <v>0</v>
      </c>
      <c r="CI288" s="29">
        <f t="shared" ca="1" si="161"/>
        <v>1</v>
      </c>
      <c r="CJ288" s="29">
        <f t="shared" ca="1" si="161"/>
        <v>8</v>
      </c>
      <c r="CK288" s="29">
        <f t="shared" ca="1" si="161"/>
        <v>2</v>
      </c>
      <c r="CL288" s="29">
        <f t="shared" ca="1" si="161"/>
        <v>4</v>
      </c>
      <c r="CM288" s="29">
        <f t="shared" ca="1" si="161"/>
        <v>3</v>
      </c>
      <c r="CN288" s="29">
        <f t="shared" ca="1" si="161"/>
        <v>1</v>
      </c>
      <c r="CO288" s="29">
        <f t="shared" ca="1" si="161"/>
        <v>2</v>
      </c>
      <c r="CP288" s="29">
        <f t="shared" ca="1" si="161"/>
        <v>2</v>
      </c>
      <c r="CQ288" s="29">
        <f t="shared" ca="1" si="160"/>
        <v>2</v>
      </c>
      <c r="CR288" s="29">
        <f t="shared" ca="1" si="160"/>
        <v>4</v>
      </c>
      <c r="CS288" s="29">
        <f t="shared" ca="1" si="160"/>
        <v>3</v>
      </c>
      <c r="CT288" s="29">
        <f t="shared" ca="1" si="160"/>
        <v>4</v>
      </c>
      <c r="CU288" s="29">
        <f t="shared" ca="1" si="160"/>
        <v>0</v>
      </c>
      <c r="CV288" s="29">
        <f t="shared" ca="1" si="160"/>
        <v>5</v>
      </c>
      <c r="CW288" s="29">
        <f t="shared" ca="1" si="160"/>
        <v>3</v>
      </c>
      <c r="CX288" s="29">
        <f t="shared" ca="1" si="160"/>
        <v>0</v>
      </c>
      <c r="CY288" s="29">
        <f t="shared" ca="1" si="160"/>
        <v>4</v>
      </c>
      <c r="CZ288" s="29">
        <f t="shared" ca="1" si="160"/>
        <v>0</v>
      </c>
      <c r="DA288" s="29">
        <f t="shared" ca="1" si="160"/>
        <v>4</v>
      </c>
      <c r="DB288" s="29">
        <f t="shared" ca="1" si="160"/>
        <v>1</v>
      </c>
      <c r="DC288" s="29">
        <f t="shared" ca="1" si="160"/>
        <v>2</v>
      </c>
      <c r="DD288" s="29">
        <f t="shared" ca="1" si="160"/>
        <v>2</v>
      </c>
      <c r="DE288" s="29">
        <f t="shared" ca="1" si="160"/>
        <v>1</v>
      </c>
      <c r="DF288" s="29">
        <f t="shared" ca="1" si="159"/>
        <v>1</v>
      </c>
      <c r="DG288" s="29">
        <f t="shared" ca="1" si="159"/>
        <v>8</v>
      </c>
      <c r="DH288" s="29">
        <f t="shared" ca="1" si="159"/>
        <v>6</v>
      </c>
      <c r="DI288" s="29">
        <f t="shared" ca="1" si="159"/>
        <v>2</v>
      </c>
      <c r="DJ288" s="29">
        <f t="shared" ca="1" si="159"/>
        <v>4</v>
      </c>
      <c r="DK288" s="29">
        <f t="shared" ca="1" si="159"/>
        <v>2</v>
      </c>
      <c r="DL288" s="29">
        <f t="shared" ca="1" si="159"/>
        <v>6</v>
      </c>
    </row>
    <row r="289" spans="1:116" ht="14.4" x14ac:dyDescent="0.3">
      <c r="A289" s="31">
        <v>4</v>
      </c>
      <c r="B289" s="28">
        <v>7.42</v>
      </c>
      <c r="C289" s="30">
        <v>98.14</v>
      </c>
      <c r="D289" s="28">
        <v>2.97</v>
      </c>
      <c r="E289" s="34">
        <f t="shared" si="145"/>
        <v>5.9400000000000001E-2</v>
      </c>
      <c r="F289" s="35">
        <f t="shared" si="146"/>
        <v>24.535</v>
      </c>
      <c r="G289" s="34">
        <f t="shared" si="147"/>
        <v>74.25</v>
      </c>
      <c r="H289" s="33">
        <f t="shared" si="148"/>
        <v>6.7001347708894885</v>
      </c>
      <c r="I289" s="28">
        <f t="shared" si="151"/>
        <v>1061.4000000000005</v>
      </c>
      <c r="J289" s="32">
        <v>0</v>
      </c>
      <c r="K289" s="30">
        <f t="shared" si="149"/>
        <v>74.25</v>
      </c>
      <c r="L289" s="30"/>
      <c r="M289" s="30"/>
      <c r="N289" s="30"/>
      <c r="O289" s="30"/>
      <c r="Q289" s="29">
        <f t="shared" ca="1" si="150"/>
        <v>5</v>
      </c>
      <c r="R289" s="29">
        <f t="shared" ca="1" si="163"/>
        <v>5</v>
      </c>
      <c r="S289" s="29">
        <f t="shared" ca="1" si="163"/>
        <v>4</v>
      </c>
      <c r="T289" s="29">
        <f t="shared" ca="1" si="163"/>
        <v>3</v>
      </c>
      <c r="U289" s="29">
        <f t="shared" ca="1" si="163"/>
        <v>3</v>
      </c>
      <c r="V289" s="29">
        <f t="shared" ca="1" si="163"/>
        <v>1</v>
      </c>
      <c r="W289" s="29">
        <f t="shared" ca="1" si="163"/>
        <v>5</v>
      </c>
      <c r="X289" s="29">
        <f t="shared" ca="1" si="163"/>
        <v>2</v>
      </c>
      <c r="Y289" s="29">
        <f t="shared" ca="1" si="163"/>
        <v>4</v>
      </c>
      <c r="Z289" s="29">
        <f t="shared" ca="1" si="163"/>
        <v>1</v>
      </c>
      <c r="AA289" s="29">
        <f t="shared" ca="1" si="163"/>
        <v>2</v>
      </c>
      <c r="AB289" s="29">
        <f t="shared" ca="1" si="163"/>
        <v>2</v>
      </c>
      <c r="AC289" s="29">
        <f t="shared" ca="1" si="163"/>
        <v>3</v>
      </c>
      <c r="AD289" s="29">
        <f t="shared" ca="1" si="163"/>
        <v>5</v>
      </c>
      <c r="AE289" s="29">
        <f t="shared" ca="1" si="163"/>
        <v>4</v>
      </c>
      <c r="AF289" s="29">
        <f t="shared" ca="1" si="163"/>
        <v>5</v>
      </c>
      <c r="AG289" s="29">
        <f t="shared" ca="1" si="162"/>
        <v>2</v>
      </c>
      <c r="AH289" s="29">
        <f t="shared" ca="1" si="162"/>
        <v>3</v>
      </c>
      <c r="AI289" s="29">
        <f t="shared" ca="1" si="162"/>
        <v>1</v>
      </c>
      <c r="AJ289" s="29">
        <f t="shared" ca="1" si="162"/>
        <v>3</v>
      </c>
      <c r="AK289" s="29">
        <f t="shared" ca="1" si="162"/>
        <v>6</v>
      </c>
      <c r="AL289" s="29">
        <f t="shared" ca="1" si="162"/>
        <v>0</v>
      </c>
      <c r="AM289" s="29">
        <f t="shared" ca="1" si="162"/>
        <v>6</v>
      </c>
      <c r="AN289" s="29">
        <f t="shared" ca="1" si="162"/>
        <v>6</v>
      </c>
      <c r="AO289" s="29">
        <f t="shared" ca="1" si="162"/>
        <v>4</v>
      </c>
      <c r="AP289" s="29">
        <f t="shared" ca="1" si="162"/>
        <v>2</v>
      </c>
      <c r="AQ289" s="29">
        <f t="shared" ca="1" si="162"/>
        <v>4</v>
      </c>
      <c r="AR289" s="29">
        <f t="shared" ca="1" si="162"/>
        <v>8</v>
      </c>
      <c r="AS289" s="29">
        <f t="shared" ca="1" si="162"/>
        <v>4</v>
      </c>
      <c r="AT289" s="29">
        <f t="shared" ca="1" si="162"/>
        <v>2</v>
      </c>
      <c r="AU289" s="29">
        <f t="shared" ca="1" si="162"/>
        <v>1</v>
      </c>
      <c r="AV289" s="29">
        <f t="shared" ca="1" si="165"/>
        <v>4</v>
      </c>
      <c r="AW289" s="29">
        <f t="shared" ca="1" si="165"/>
        <v>2</v>
      </c>
      <c r="AX289" s="29">
        <f t="shared" ca="1" si="165"/>
        <v>3</v>
      </c>
      <c r="AY289" s="29">
        <f t="shared" ca="1" si="165"/>
        <v>2</v>
      </c>
      <c r="AZ289" s="29">
        <f t="shared" ca="1" si="165"/>
        <v>5</v>
      </c>
      <c r="BA289" s="29">
        <f t="shared" ca="1" si="165"/>
        <v>6</v>
      </c>
      <c r="BB289" s="29">
        <f t="shared" ca="1" si="165"/>
        <v>3</v>
      </c>
      <c r="BC289" s="29">
        <f t="shared" ca="1" si="165"/>
        <v>2</v>
      </c>
      <c r="BD289" s="29">
        <f t="shared" ca="1" si="165"/>
        <v>7</v>
      </c>
      <c r="BE289" s="29">
        <f t="shared" ca="1" si="165"/>
        <v>6</v>
      </c>
      <c r="BF289" s="29">
        <f t="shared" ca="1" si="165"/>
        <v>1</v>
      </c>
      <c r="BG289" s="29">
        <f t="shared" ca="1" si="165"/>
        <v>2</v>
      </c>
      <c r="BH289" s="29">
        <f t="shared" ca="1" si="165"/>
        <v>4</v>
      </c>
      <c r="BI289" s="29">
        <f t="shared" ca="1" si="165"/>
        <v>3</v>
      </c>
      <c r="BJ289" s="29">
        <f t="shared" ca="1" si="165"/>
        <v>2</v>
      </c>
      <c r="BK289" s="29">
        <f t="shared" ca="1" si="165"/>
        <v>3</v>
      </c>
      <c r="BL289" s="29">
        <f t="shared" ca="1" si="164"/>
        <v>2</v>
      </c>
      <c r="BM289" s="29">
        <f t="shared" ca="1" si="164"/>
        <v>3</v>
      </c>
      <c r="BN289" s="29">
        <f t="shared" ca="1" si="164"/>
        <v>1</v>
      </c>
      <c r="BO289" s="29">
        <f t="shared" ca="1" si="164"/>
        <v>5</v>
      </c>
      <c r="BP289" s="29">
        <f t="shared" ca="1" si="164"/>
        <v>2</v>
      </c>
      <c r="BQ289" s="29">
        <f t="shared" ca="1" si="164"/>
        <v>3</v>
      </c>
      <c r="BR289" s="29">
        <f t="shared" ca="1" si="164"/>
        <v>1</v>
      </c>
      <c r="BS289" s="29">
        <f t="shared" ca="1" si="164"/>
        <v>3</v>
      </c>
      <c r="BT289" s="29">
        <f t="shared" ca="1" si="164"/>
        <v>6</v>
      </c>
      <c r="BU289" s="29">
        <f t="shared" ca="1" si="164"/>
        <v>2</v>
      </c>
      <c r="BV289" s="29">
        <f t="shared" ca="1" si="164"/>
        <v>3</v>
      </c>
      <c r="BW289" s="29">
        <f t="shared" ca="1" si="164"/>
        <v>5</v>
      </c>
      <c r="BX289" s="29">
        <f t="shared" ca="1" si="164"/>
        <v>4</v>
      </c>
      <c r="BY289" s="29">
        <f t="shared" ca="1" si="164"/>
        <v>2</v>
      </c>
      <c r="BZ289" s="29">
        <f t="shared" ca="1" si="164"/>
        <v>3</v>
      </c>
      <c r="CA289" s="29">
        <f t="shared" ca="1" si="161"/>
        <v>2</v>
      </c>
      <c r="CB289" s="29">
        <f t="shared" ca="1" si="161"/>
        <v>4</v>
      </c>
      <c r="CC289" s="29">
        <f t="shared" ca="1" si="161"/>
        <v>4</v>
      </c>
      <c r="CD289" s="29">
        <f t="shared" ca="1" si="161"/>
        <v>4</v>
      </c>
      <c r="CE289" s="29">
        <f t="shared" ca="1" si="161"/>
        <v>4</v>
      </c>
      <c r="CF289" s="29">
        <f t="shared" ca="1" si="161"/>
        <v>4</v>
      </c>
      <c r="CG289" s="29">
        <f t="shared" ca="1" si="161"/>
        <v>1</v>
      </c>
      <c r="CH289" s="29">
        <f t="shared" ca="1" si="161"/>
        <v>1</v>
      </c>
      <c r="CI289" s="29">
        <f t="shared" ca="1" si="161"/>
        <v>4</v>
      </c>
      <c r="CJ289" s="29">
        <f t="shared" ca="1" si="161"/>
        <v>3</v>
      </c>
      <c r="CK289" s="29">
        <f t="shared" ca="1" si="161"/>
        <v>1</v>
      </c>
      <c r="CL289" s="29">
        <f t="shared" ca="1" si="161"/>
        <v>3</v>
      </c>
      <c r="CM289" s="29">
        <f t="shared" ca="1" si="161"/>
        <v>3</v>
      </c>
      <c r="CN289" s="29">
        <f t="shared" ca="1" si="161"/>
        <v>3</v>
      </c>
      <c r="CO289" s="29">
        <f t="shared" ca="1" si="161"/>
        <v>6</v>
      </c>
      <c r="CP289" s="29">
        <f t="shared" ca="1" si="161"/>
        <v>3</v>
      </c>
      <c r="CQ289" s="29">
        <f t="shared" ca="1" si="160"/>
        <v>2</v>
      </c>
      <c r="CR289" s="29">
        <f t="shared" ca="1" si="160"/>
        <v>5</v>
      </c>
      <c r="CS289" s="29">
        <f t="shared" ca="1" si="160"/>
        <v>2</v>
      </c>
      <c r="CT289" s="29">
        <f t="shared" ca="1" si="160"/>
        <v>4</v>
      </c>
      <c r="CU289" s="29">
        <f t="shared" ca="1" si="160"/>
        <v>2</v>
      </c>
      <c r="CV289" s="29">
        <f t="shared" ca="1" si="160"/>
        <v>6</v>
      </c>
      <c r="CW289" s="29">
        <f t="shared" ca="1" si="160"/>
        <v>2</v>
      </c>
      <c r="CX289" s="29">
        <f t="shared" ca="1" si="160"/>
        <v>5</v>
      </c>
      <c r="CY289" s="29">
        <f t="shared" ca="1" si="160"/>
        <v>3</v>
      </c>
      <c r="CZ289" s="29">
        <f t="shared" ca="1" si="160"/>
        <v>3</v>
      </c>
      <c r="DA289" s="29">
        <f t="shared" ca="1" si="160"/>
        <v>3</v>
      </c>
      <c r="DB289" s="29">
        <f t="shared" ca="1" si="160"/>
        <v>1</v>
      </c>
      <c r="DC289" s="29">
        <f t="shared" ca="1" si="160"/>
        <v>3</v>
      </c>
      <c r="DD289" s="29">
        <f t="shared" ca="1" si="160"/>
        <v>2</v>
      </c>
      <c r="DE289" s="29">
        <f t="shared" ca="1" si="160"/>
        <v>1</v>
      </c>
      <c r="DF289" s="29">
        <f t="shared" ca="1" si="159"/>
        <v>3</v>
      </c>
      <c r="DG289" s="29">
        <f t="shared" ca="1" si="159"/>
        <v>3</v>
      </c>
      <c r="DH289" s="29">
        <f t="shared" ca="1" si="159"/>
        <v>4</v>
      </c>
      <c r="DI289" s="29">
        <f t="shared" ca="1" si="159"/>
        <v>5</v>
      </c>
      <c r="DJ289" s="29">
        <f t="shared" ca="1" si="159"/>
        <v>7</v>
      </c>
      <c r="DK289" s="29">
        <f t="shared" ca="1" si="159"/>
        <v>4</v>
      </c>
      <c r="DL289" s="29">
        <f t="shared" ca="1" si="159"/>
        <v>3</v>
      </c>
    </row>
    <row r="290" spans="1:116" ht="14.4" x14ac:dyDescent="0.3">
      <c r="A290" s="31">
        <v>1088</v>
      </c>
      <c r="B290" s="28">
        <v>8.34</v>
      </c>
      <c r="C290" s="30">
        <v>6.39</v>
      </c>
      <c r="D290" s="28">
        <v>2.29</v>
      </c>
      <c r="E290" s="34">
        <f t="shared" si="145"/>
        <v>4.58E-2</v>
      </c>
      <c r="F290" s="35">
        <f t="shared" si="146"/>
        <v>1.5974999999999999</v>
      </c>
      <c r="G290" s="34">
        <f t="shared" si="147"/>
        <v>57.25</v>
      </c>
      <c r="H290" s="33">
        <f t="shared" si="148"/>
        <v>6.6729616306954442</v>
      </c>
      <c r="I290" s="28">
        <f t="shared" si="151"/>
        <v>1069.7400000000005</v>
      </c>
      <c r="J290" s="32">
        <v>0</v>
      </c>
      <c r="K290" s="30">
        <f t="shared" si="149"/>
        <v>57.25</v>
      </c>
      <c r="L290" s="30"/>
      <c r="M290" s="30"/>
      <c r="N290" s="30"/>
      <c r="O290" s="30"/>
      <c r="Q290" s="29">
        <f t="shared" ca="1" si="150"/>
        <v>2</v>
      </c>
      <c r="R290" s="29">
        <f t="shared" ca="1" si="163"/>
        <v>4</v>
      </c>
      <c r="S290" s="29">
        <f t="shared" ca="1" si="163"/>
        <v>1</v>
      </c>
      <c r="T290" s="29">
        <f t="shared" ca="1" si="163"/>
        <v>4</v>
      </c>
      <c r="U290" s="29">
        <f t="shared" ca="1" si="163"/>
        <v>0</v>
      </c>
      <c r="V290" s="29">
        <f t="shared" ca="1" si="163"/>
        <v>4</v>
      </c>
      <c r="W290" s="29">
        <f t="shared" ca="1" si="163"/>
        <v>2</v>
      </c>
      <c r="X290" s="29">
        <f t="shared" ca="1" si="163"/>
        <v>1</v>
      </c>
      <c r="Y290" s="29">
        <f t="shared" ca="1" si="163"/>
        <v>3</v>
      </c>
      <c r="Z290" s="29">
        <f t="shared" ca="1" si="163"/>
        <v>3</v>
      </c>
      <c r="AA290" s="29">
        <f t="shared" ca="1" si="163"/>
        <v>4</v>
      </c>
      <c r="AB290" s="29">
        <f t="shared" ca="1" si="163"/>
        <v>3</v>
      </c>
      <c r="AC290" s="29">
        <f t="shared" ca="1" si="163"/>
        <v>2</v>
      </c>
      <c r="AD290" s="29">
        <f t="shared" ca="1" si="163"/>
        <v>2</v>
      </c>
      <c r="AE290" s="29">
        <f t="shared" ca="1" si="163"/>
        <v>3</v>
      </c>
      <c r="AF290" s="29">
        <f t="shared" ca="1" si="163"/>
        <v>7</v>
      </c>
      <c r="AG290" s="29">
        <f t="shared" ca="1" si="162"/>
        <v>2</v>
      </c>
      <c r="AH290" s="29">
        <f t="shared" ca="1" si="162"/>
        <v>2</v>
      </c>
      <c r="AI290" s="29">
        <f t="shared" ca="1" si="162"/>
        <v>3</v>
      </c>
      <c r="AJ290" s="29">
        <f t="shared" ca="1" si="162"/>
        <v>2</v>
      </c>
      <c r="AK290" s="29">
        <f t="shared" ca="1" si="162"/>
        <v>4</v>
      </c>
      <c r="AL290" s="29">
        <f t="shared" ca="1" si="162"/>
        <v>1</v>
      </c>
      <c r="AM290" s="29">
        <f t="shared" ca="1" si="162"/>
        <v>2</v>
      </c>
      <c r="AN290" s="29">
        <f t="shared" ca="1" si="162"/>
        <v>2</v>
      </c>
      <c r="AO290" s="29">
        <f t="shared" ca="1" si="162"/>
        <v>1</v>
      </c>
      <c r="AP290" s="29">
        <f t="shared" ca="1" si="162"/>
        <v>4</v>
      </c>
      <c r="AQ290" s="29">
        <f t="shared" ca="1" si="162"/>
        <v>2</v>
      </c>
      <c r="AR290" s="29">
        <f t="shared" ca="1" si="162"/>
        <v>1</v>
      </c>
      <c r="AS290" s="29">
        <f t="shared" ca="1" si="162"/>
        <v>1</v>
      </c>
      <c r="AT290" s="29">
        <f t="shared" ca="1" si="162"/>
        <v>5</v>
      </c>
      <c r="AU290" s="29">
        <f t="shared" ca="1" si="162"/>
        <v>2</v>
      </c>
      <c r="AV290" s="29">
        <f t="shared" ca="1" si="165"/>
        <v>2</v>
      </c>
      <c r="AW290" s="29">
        <f t="shared" ca="1" si="165"/>
        <v>2</v>
      </c>
      <c r="AX290" s="29">
        <f t="shared" ca="1" si="165"/>
        <v>5</v>
      </c>
      <c r="AY290" s="29">
        <f t="shared" ca="1" si="165"/>
        <v>1</v>
      </c>
      <c r="AZ290" s="29">
        <f t="shared" ca="1" si="165"/>
        <v>4</v>
      </c>
      <c r="BA290" s="29">
        <f t="shared" ca="1" si="165"/>
        <v>1</v>
      </c>
      <c r="BB290" s="29">
        <f t="shared" ca="1" si="165"/>
        <v>1</v>
      </c>
      <c r="BC290" s="29">
        <f t="shared" ca="1" si="165"/>
        <v>3</v>
      </c>
      <c r="BD290" s="29">
        <f t="shared" ca="1" si="165"/>
        <v>5</v>
      </c>
      <c r="BE290" s="29">
        <f t="shared" ca="1" si="165"/>
        <v>1</v>
      </c>
      <c r="BF290" s="29">
        <f t="shared" ca="1" si="165"/>
        <v>2</v>
      </c>
      <c r="BG290" s="29">
        <f t="shared" ca="1" si="165"/>
        <v>3</v>
      </c>
      <c r="BH290" s="29">
        <f t="shared" ca="1" si="165"/>
        <v>1</v>
      </c>
      <c r="BI290" s="29">
        <f t="shared" ca="1" si="165"/>
        <v>1</v>
      </c>
      <c r="BJ290" s="29">
        <f t="shared" ca="1" si="165"/>
        <v>1</v>
      </c>
      <c r="BK290" s="29">
        <f t="shared" ca="1" si="165"/>
        <v>3</v>
      </c>
      <c r="BL290" s="29">
        <f t="shared" ca="1" si="164"/>
        <v>3</v>
      </c>
      <c r="BM290" s="29">
        <f t="shared" ca="1" si="164"/>
        <v>4</v>
      </c>
      <c r="BN290" s="29">
        <f t="shared" ca="1" si="164"/>
        <v>4</v>
      </c>
      <c r="BO290" s="29">
        <f t="shared" ca="1" si="164"/>
        <v>2</v>
      </c>
      <c r="BP290" s="29">
        <f t="shared" ca="1" si="164"/>
        <v>3</v>
      </c>
      <c r="BQ290" s="29">
        <f t="shared" ca="1" si="164"/>
        <v>1</v>
      </c>
      <c r="BR290" s="29">
        <f t="shared" ca="1" si="164"/>
        <v>6</v>
      </c>
      <c r="BS290" s="29">
        <f t="shared" ca="1" si="164"/>
        <v>2</v>
      </c>
      <c r="BT290" s="29">
        <f t="shared" ca="1" si="164"/>
        <v>3</v>
      </c>
      <c r="BU290" s="29">
        <f t="shared" ca="1" si="164"/>
        <v>4</v>
      </c>
      <c r="BV290" s="29">
        <f t="shared" ca="1" si="164"/>
        <v>0</v>
      </c>
      <c r="BW290" s="29">
        <f t="shared" ca="1" si="164"/>
        <v>0</v>
      </c>
      <c r="BX290" s="29">
        <f t="shared" ca="1" si="164"/>
        <v>4</v>
      </c>
      <c r="BY290" s="29">
        <f t="shared" ca="1" si="164"/>
        <v>0</v>
      </c>
      <c r="BZ290" s="29">
        <f t="shared" ca="1" si="164"/>
        <v>4</v>
      </c>
      <c r="CA290" s="29">
        <f t="shared" ca="1" si="161"/>
        <v>4</v>
      </c>
      <c r="CB290" s="29">
        <f t="shared" ca="1" si="161"/>
        <v>4</v>
      </c>
      <c r="CC290" s="29">
        <f t="shared" ca="1" si="161"/>
        <v>3</v>
      </c>
      <c r="CD290" s="29">
        <f t="shared" ca="1" si="161"/>
        <v>7</v>
      </c>
      <c r="CE290" s="29">
        <f t="shared" ca="1" si="161"/>
        <v>3</v>
      </c>
      <c r="CF290" s="29">
        <f t="shared" ca="1" si="161"/>
        <v>1</v>
      </c>
      <c r="CG290" s="29">
        <f t="shared" ca="1" si="161"/>
        <v>0</v>
      </c>
      <c r="CH290" s="29">
        <f t="shared" ca="1" si="161"/>
        <v>2</v>
      </c>
      <c r="CI290" s="29">
        <f t="shared" ca="1" si="161"/>
        <v>1</v>
      </c>
      <c r="CJ290" s="29">
        <f t="shared" ca="1" si="161"/>
        <v>1</v>
      </c>
      <c r="CK290" s="29">
        <f t="shared" ca="1" si="161"/>
        <v>5</v>
      </c>
      <c r="CL290" s="29">
        <f t="shared" ca="1" si="161"/>
        <v>2</v>
      </c>
      <c r="CM290" s="29">
        <f t="shared" ca="1" si="161"/>
        <v>1</v>
      </c>
      <c r="CN290" s="29">
        <f t="shared" ca="1" si="161"/>
        <v>2</v>
      </c>
      <c r="CO290" s="29">
        <f t="shared" ca="1" si="161"/>
        <v>2</v>
      </c>
      <c r="CP290" s="29">
        <f t="shared" ca="1" si="161"/>
        <v>3</v>
      </c>
      <c r="CQ290" s="29">
        <f t="shared" ca="1" si="160"/>
        <v>2</v>
      </c>
      <c r="CR290" s="29">
        <f t="shared" ca="1" si="160"/>
        <v>3</v>
      </c>
      <c r="CS290" s="29">
        <f t="shared" ca="1" si="160"/>
        <v>2</v>
      </c>
      <c r="CT290" s="29">
        <f t="shared" ca="1" si="160"/>
        <v>1</v>
      </c>
      <c r="CU290" s="29">
        <f t="shared" ca="1" si="160"/>
        <v>2</v>
      </c>
      <c r="CV290" s="29">
        <f t="shared" ca="1" si="160"/>
        <v>4</v>
      </c>
      <c r="CW290" s="29">
        <f t="shared" ca="1" si="160"/>
        <v>0</v>
      </c>
      <c r="CX290" s="29">
        <f t="shared" ca="1" si="160"/>
        <v>6</v>
      </c>
      <c r="CY290" s="29">
        <f t="shared" ca="1" si="160"/>
        <v>1</v>
      </c>
      <c r="CZ290" s="29">
        <f t="shared" ca="1" si="160"/>
        <v>4</v>
      </c>
      <c r="DA290" s="29">
        <f t="shared" ca="1" si="160"/>
        <v>2</v>
      </c>
      <c r="DB290" s="29">
        <f t="shared" ca="1" si="160"/>
        <v>3</v>
      </c>
      <c r="DC290" s="29">
        <f t="shared" ca="1" si="160"/>
        <v>0</v>
      </c>
      <c r="DD290" s="29">
        <f t="shared" ca="1" si="160"/>
        <v>2</v>
      </c>
      <c r="DE290" s="29">
        <f t="shared" ca="1" si="160"/>
        <v>1</v>
      </c>
      <c r="DF290" s="29">
        <f t="shared" ca="1" si="159"/>
        <v>1</v>
      </c>
      <c r="DG290" s="29">
        <f t="shared" ca="1" si="159"/>
        <v>0</v>
      </c>
      <c r="DH290" s="29">
        <f t="shared" ca="1" si="159"/>
        <v>2</v>
      </c>
      <c r="DI290" s="29">
        <f t="shared" ca="1" si="159"/>
        <v>1</v>
      </c>
      <c r="DJ290" s="29">
        <f t="shared" ca="1" si="159"/>
        <v>3</v>
      </c>
      <c r="DK290" s="29">
        <f t="shared" ca="1" si="159"/>
        <v>2</v>
      </c>
      <c r="DL290" s="29">
        <f t="shared" ca="1" si="159"/>
        <v>4</v>
      </c>
    </row>
    <row r="291" spans="1:116" ht="14.4" x14ac:dyDescent="0.3">
      <c r="A291" s="31">
        <v>998</v>
      </c>
      <c r="B291" s="28">
        <v>9.6999999999999993</v>
      </c>
      <c r="C291" s="30">
        <v>64.72</v>
      </c>
      <c r="D291" s="28">
        <v>3.22</v>
      </c>
      <c r="E291" s="34">
        <f t="shared" si="145"/>
        <v>6.4399999999999999E-2</v>
      </c>
      <c r="F291" s="35">
        <f t="shared" si="146"/>
        <v>16.18</v>
      </c>
      <c r="G291" s="34">
        <f t="shared" si="147"/>
        <v>80.5</v>
      </c>
      <c r="H291" s="33">
        <f t="shared" si="148"/>
        <v>6.6309278350515459</v>
      </c>
      <c r="I291" s="28">
        <f t="shared" si="151"/>
        <v>1079.4400000000005</v>
      </c>
      <c r="J291" s="32">
        <v>0</v>
      </c>
      <c r="K291" s="30">
        <f t="shared" si="149"/>
        <v>80.5</v>
      </c>
      <c r="L291" s="30"/>
      <c r="M291" s="30"/>
      <c r="N291" s="30"/>
      <c r="O291" s="30"/>
      <c r="Q291" s="29">
        <f t="shared" ca="1" si="150"/>
        <v>6</v>
      </c>
      <c r="R291" s="29">
        <f t="shared" ca="1" si="163"/>
        <v>1</v>
      </c>
      <c r="S291" s="29">
        <f t="shared" ca="1" si="163"/>
        <v>4</v>
      </c>
      <c r="T291" s="29">
        <f t="shared" ca="1" si="163"/>
        <v>7</v>
      </c>
      <c r="U291" s="29">
        <f t="shared" ca="1" si="163"/>
        <v>2</v>
      </c>
      <c r="V291" s="29">
        <f t="shared" ca="1" si="163"/>
        <v>4</v>
      </c>
      <c r="W291" s="29">
        <f t="shared" ca="1" si="163"/>
        <v>3</v>
      </c>
      <c r="X291" s="29">
        <f t="shared" ca="1" si="163"/>
        <v>1</v>
      </c>
      <c r="Y291" s="29">
        <f t="shared" ca="1" si="163"/>
        <v>3</v>
      </c>
      <c r="Z291" s="29">
        <f t="shared" ca="1" si="163"/>
        <v>2</v>
      </c>
      <c r="AA291" s="29">
        <f t="shared" ca="1" si="163"/>
        <v>5</v>
      </c>
      <c r="AB291" s="29">
        <f t="shared" ca="1" si="163"/>
        <v>2</v>
      </c>
      <c r="AC291" s="29">
        <f t="shared" ca="1" si="163"/>
        <v>4</v>
      </c>
      <c r="AD291" s="29">
        <f t="shared" ca="1" si="163"/>
        <v>3</v>
      </c>
      <c r="AE291" s="29">
        <f t="shared" ca="1" si="163"/>
        <v>0</v>
      </c>
      <c r="AF291" s="29">
        <f t="shared" ca="1" si="163"/>
        <v>5</v>
      </c>
      <c r="AG291" s="29">
        <f t="shared" ca="1" si="162"/>
        <v>1</v>
      </c>
      <c r="AH291" s="29">
        <f t="shared" ca="1" si="162"/>
        <v>1</v>
      </c>
      <c r="AI291" s="29">
        <f t="shared" ca="1" si="162"/>
        <v>2</v>
      </c>
      <c r="AJ291" s="29">
        <f t="shared" ca="1" si="162"/>
        <v>1</v>
      </c>
      <c r="AK291" s="29">
        <f t="shared" ca="1" si="162"/>
        <v>5</v>
      </c>
      <c r="AL291" s="29">
        <f t="shared" ca="1" si="162"/>
        <v>2</v>
      </c>
      <c r="AM291" s="29">
        <f t="shared" ca="1" si="162"/>
        <v>4</v>
      </c>
      <c r="AN291" s="29">
        <f t="shared" ca="1" si="162"/>
        <v>3</v>
      </c>
      <c r="AO291" s="29">
        <f t="shared" ca="1" si="162"/>
        <v>3</v>
      </c>
      <c r="AP291" s="29">
        <f t="shared" ca="1" si="162"/>
        <v>6</v>
      </c>
      <c r="AQ291" s="29">
        <f t="shared" ca="1" si="162"/>
        <v>4</v>
      </c>
      <c r="AR291" s="29">
        <f t="shared" ca="1" si="162"/>
        <v>2</v>
      </c>
      <c r="AS291" s="29">
        <f t="shared" ca="1" si="162"/>
        <v>4</v>
      </c>
      <c r="AT291" s="29">
        <f t="shared" ca="1" si="162"/>
        <v>3</v>
      </c>
      <c r="AU291" s="29">
        <f t="shared" ca="1" si="162"/>
        <v>3</v>
      </c>
      <c r="AV291" s="29">
        <f t="shared" ca="1" si="165"/>
        <v>3</v>
      </c>
      <c r="AW291" s="29">
        <f t="shared" ca="1" si="165"/>
        <v>1</v>
      </c>
      <c r="AX291" s="29">
        <f t="shared" ca="1" si="165"/>
        <v>3</v>
      </c>
      <c r="AY291" s="29">
        <f t="shared" ca="1" si="165"/>
        <v>1</v>
      </c>
      <c r="AZ291" s="29">
        <f t="shared" ca="1" si="165"/>
        <v>2</v>
      </c>
      <c r="BA291" s="29">
        <f t="shared" ca="1" si="165"/>
        <v>1</v>
      </c>
      <c r="BB291" s="29">
        <f t="shared" ca="1" si="165"/>
        <v>2</v>
      </c>
      <c r="BC291" s="29">
        <f t="shared" ca="1" si="165"/>
        <v>2</v>
      </c>
      <c r="BD291" s="29">
        <f t="shared" ca="1" si="165"/>
        <v>1</v>
      </c>
      <c r="BE291" s="29">
        <f t="shared" ca="1" si="165"/>
        <v>3</v>
      </c>
      <c r="BF291" s="29">
        <f t="shared" ca="1" si="165"/>
        <v>4</v>
      </c>
      <c r="BG291" s="29">
        <f t="shared" ca="1" si="165"/>
        <v>4</v>
      </c>
      <c r="BH291" s="29">
        <f t="shared" ca="1" si="165"/>
        <v>5</v>
      </c>
      <c r="BI291" s="29">
        <f t="shared" ca="1" si="165"/>
        <v>5</v>
      </c>
      <c r="BJ291" s="29">
        <f t="shared" ca="1" si="165"/>
        <v>2</v>
      </c>
      <c r="BK291" s="29">
        <f t="shared" ca="1" si="165"/>
        <v>3</v>
      </c>
      <c r="BL291" s="29">
        <f t="shared" ca="1" si="164"/>
        <v>3</v>
      </c>
      <c r="BM291" s="29">
        <f t="shared" ca="1" si="164"/>
        <v>4</v>
      </c>
      <c r="BN291" s="29">
        <f t="shared" ca="1" si="164"/>
        <v>6</v>
      </c>
      <c r="BO291" s="29">
        <f t="shared" ca="1" si="164"/>
        <v>3</v>
      </c>
      <c r="BP291" s="29">
        <f t="shared" ca="1" si="164"/>
        <v>3</v>
      </c>
      <c r="BQ291" s="29">
        <f t="shared" ca="1" si="164"/>
        <v>4</v>
      </c>
      <c r="BR291" s="29">
        <f t="shared" ca="1" si="164"/>
        <v>5</v>
      </c>
      <c r="BS291" s="29">
        <f t="shared" ca="1" si="164"/>
        <v>2</v>
      </c>
      <c r="BT291" s="29">
        <f t="shared" ca="1" si="164"/>
        <v>7</v>
      </c>
      <c r="BU291" s="29">
        <f t="shared" ca="1" si="164"/>
        <v>3</v>
      </c>
      <c r="BV291" s="29">
        <f t="shared" ca="1" si="164"/>
        <v>1</v>
      </c>
      <c r="BW291" s="29">
        <f t="shared" ca="1" si="164"/>
        <v>4</v>
      </c>
      <c r="BX291" s="29">
        <f t="shared" ca="1" si="164"/>
        <v>0</v>
      </c>
      <c r="BY291" s="29">
        <f t="shared" ca="1" si="164"/>
        <v>2</v>
      </c>
      <c r="BZ291" s="29">
        <f t="shared" ca="1" si="164"/>
        <v>2</v>
      </c>
      <c r="CA291" s="29">
        <f t="shared" ca="1" si="161"/>
        <v>1</v>
      </c>
      <c r="CB291" s="29">
        <f t="shared" ca="1" si="161"/>
        <v>3</v>
      </c>
      <c r="CC291" s="29">
        <f t="shared" ca="1" si="161"/>
        <v>2</v>
      </c>
      <c r="CD291" s="29">
        <f t="shared" ca="1" si="161"/>
        <v>5</v>
      </c>
      <c r="CE291" s="29">
        <f t="shared" ca="1" si="161"/>
        <v>4</v>
      </c>
      <c r="CF291" s="29">
        <f t="shared" ca="1" si="161"/>
        <v>4</v>
      </c>
      <c r="CG291" s="29">
        <f t="shared" ca="1" si="161"/>
        <v>2</v>
      </c>
      <c r="CH291" s="29">
        <f t="shared" ca="1" si="161"/>
        <v>4</v>
      </c>
      <c r="CI291" s="29">
        <f t="shared" ca="1" si="161"/>
        <v>7</v>
      </c>
      <c r="CJ291" s="29">
        <f t="shared" ca="1" si="161"/>
        <v>4</v>
      </c>
      <c r="CK291" s="29">
        <f t="shared" ca="1" si="161"/>
        <v>2</v>
      </c>
      <c r="CL291" s="29">
        <f t="shared" ca="1" si="161"/>
        <v>0</v>
      </c>
      <c r="CM291" s="29">
        <f t="shared" ca="1" si="161"/>
        <v>3</v>
      </c>
      <c r="CN291" s="29">
        <f t="shared" ca="1" si="161"/>
        <v>2</v>
      </c>
      <c r="CO291" s="29">
        <f t="shared" ca="1" si="161"/>
        <v>5</v>
      </c>
      <c r="CP291" s="29">
        <f t="shared" ca="1" si="161"/>
        <v>4</v>
      </c>
      <c r="CQ291" s="29">
        <f t="shared" ca="1" si="160"/>
        <v>6</v>
      </c>
      <c r="CR291" s="29">
        <f t="shared" ca="1" si="160"/>
        <v>2</v>
      </c>
      <c r="CS291" s="29">
        <f t="shared" ca="1" si="160"/>
        <v>7</v>
      </c>
      <c r="CT291" s="29">
        <f t="shared" ca="1" si="160"/>
        <v>4</v>
      </c>
      <c r="CU291" s="29">
        <f t="shared" ca="1" si="160"/>
        <v>1</v>
      </c>
      <c r="CV291" s="29">
        <f t="shared" ca="1" si="160"/>
        <v>2</v>
      </c>
      <c r="CW291" s="29">
        <f t="shared" ca="1" si="160"/>
        <v>4</v>
      </c>
      <c r="CX291" s="29">
        <f t="shared" ca="1" si="160"/>
        <v>3</v>
      </c>
      <c r="CY291" s="29">
        <f t="shared" ca="1" si="160"/>
        <v>0</v>
      </c>
      <c r="CZ291" s="29">
        <f t="shared" ca="1" si="160"/>
        <v>6</v>
      </c>
      <c r="DA291" s="29">
        <f t="shared" ca="1" si="160"/>
        <v>4</v>
      </c>
      <c r="DB291" s="29">
        <f t="shared" ca="1" si="160"/>
        <v>1</v>
      </c>
      <c r="DC291" s="29">
        <f t="shared" ca="1" si="160"/>
        <v>4</v>
      </c>
      <c r="DD291" s="29">
        <f t="shared" ca="1" si="160"/>
        <v>2</v>
      </c>
      <c r="DE291" s="29">
        <f t="shared" ca="1" si="160"/>
        <v>5</v>
      </c>
      <c r="DF291" s="29">
        <f t="shared" ca="1" si="159"/>
        <v>4</v>
      </c>
      <c r="DG291" s="29">
        <f t="shared" ca="1" si="159"/>
        <v>2</v>
      </c>
      <c r="DH291" s="29">
        <f t="shared" ca="1" si="159"/>
        <v>3</v>
      </c>
      <c r="DI291" s="29">
        <f t="shared" ca="1" si="159"/>
        <v>3</v>
      </c>
      <c r="DJ291" s="29">
        <f t="shared" ca="1" si="159"/>
        <v>2</v>
      </c>
      <c r="DK291" s="29">
        <f t="shared" ca="1" si="159"/>
        <v>4</v>
      </c>
      <c r="DL291" s="29">
        <f t="shared" ca="1" si="159"/>
        <v>7</v>
      </c>
    </row>
    <row r="292" spans="1:116" ht="14.4" x14ac:dyDescent="0.3">
      <c r="A292" s="31">
        <v>125</v>
      </c>
      <c r="B292" s="28">
        <v>2.69</v>
      </c>
      <c r="C292" s="30">
        <v>8.77</v>
      </c>
      <c r="D292" s="28">
        <v>0.8</v>
      </c>
      <c r="E292" s="34">
        <f t="shared" si="145"/>
        <v>1.6E-2</v>
      </c>
      <c r="F292" s="35">
        <f t="shared" si="146"/>
        <v>2.1924999999999999</v>
      </c>
      <c r="G292" s="34">
        <f t="shared" si="147"/>
        <v>20</v>
      </c>
      <c r="H292" s="33">
        <f t="shared" si="148"/>
        <v>6.619888475836432</v>
      </c>
      <c r="I292" s="28">
        <f t="shared" si="151"/>
        <v>1082.1300000000006</v>
      </c>
      <c r="J292" s="32">
        <v>0</v>
      </c>
      <c r="K292" s="30">
        <f t="shared" si="149"/>
        <v>20</v>
      </c>
      <c r="L292" s="30"/>
      <c r="M292" s="30"/>
      <c r="N292" s="30"/>
      <c r="O292" s="30"/>
      <c r="Q292" s="29">
        <f t="shared" ca="1" si="150"/>
        <v>1</v>
      </c>
      <c r="R292" s="29">
        <f t="shared" ca="1" si="163"/>
        <v>2</v>
      </c>
      <c r="S292" s="29">
        <f t="shared" ca="1" si="163"/>
        <v>2</v>
      </c>
      <c r="T292" s="29">
        <f t="shared" ca="1" si="163"/>
        <v>0</v>
      </c>
      <c r="U292" s="29">
        <f t="shared" ca="1" si="163"/>
        <v>2</v>
      </c>
      <c r="V292" s="29">
        <f t="shared" ca="1" si="163"/>
        <v>3</v>
      </c>
      <c r="W292" s="29">
        <f t="shared" ca="1" si="163"/>
        <v>2</v>
      </c>
      <c r="X292" s="29">
        <f t="shared" ca="1" si="163"/>
        <v>1</v>
      </c>
      <c r="Y292" s="29">
        <f t="shared" ca="1" si="163"/>
        <v>2</v>
      </c>
      <c r="Z292" s="29">
        <f t="shared" ca="1" si="163"/>
        <v>2</v>
      </c>
      <c r="AA292" s="29">
        <f t="shared" ca="1" si="163"/>
        <v>1</v>
      </c>
      <c r="AB292" s="29">
        <f t="shared" ca="1" si="163"/>
        <v>0</v>
      </c>
      <c r="AC292" s="29">
        <f t="shared" ca="1" si="163"/>
        <v>0</v>
      </c>
      <c r="AD292" s="29">
        <f t="shared" ca="1" si="163"/>
        <v>0</v>
      </c>
      <c r="AE292" s="29">
        <f t="shared" ca="1" si="163"/>
        <v>1</v>
      </c>
      <c r="AF292" s="29">
        <f t="shared" ca="1" si="163"/>
        <v>3</v>
      </c>
      <c r="AG292" s="29">
        <f t="shared" ca="1" si="162"/>
        <v>1</v>
      </c>
      <c r="AH292" s="29">
        <f t="shared" ca="1" si="162"/>
        <v>1</v>
      </c>
      <c r="AI292" s="29">
        <f t="shared" ca="1" si="162"/>
        <v>2</v>
      </c>
      <c r="AJ292" s="29">
        <f t="shared" ca="1" si="162"/>
        <v>2</v>
      </c>
      <c r="AK292" s="29">
        <f t="shared" ca="1" si="162"/>
        <v>3</v>
      </c>
      <c r="AL292" s="29">
        <f t="shared" ca="1" si="162"/>
        <v>1</v>
      </c>
      <c r="AM292" s="29">
        <f t="shared" ca="1" si="162"/>
        <v>1</v>
      </c>
      <c r="AN292" s="29">
        <f t="shared" ca="1" si="162"/>
        <v>1</v>
      </c>
      <c r="AO292" s="29">
        <f t="shared" ca="1" si="162"/>
        <v>1</v>
      </c>
      <c r="AP292" s="29">
        <f t="shared" ca="1" si="162"/>
        <v>0</v>
      </c>
      <c r="AQ292" s="29">
        <f t="shared" ca="1" si="162"/>
        <v>0</v>
      </c>
      <c r="AR292" s="29">
        <f t="shared" ca="1" si="162"/>
        <v>0</v>
      </c>
      <c r="AS292" s="29">
        <f t="shared" ca="1" si="162"/>
        <v>1</v>
      </c>
      <c r="AT292" s="29">
        <f t="shared" ca="1" si="162"/>
        <v>0</v>
      </c>
      <c r="AU292" s="29">
        <f t="shared" ca="1" si="162"/>
        <v>0</v>
      </c>
      <c r="AV292" s="29">
        <f t="shared" ca="1" si="165"/>
        <v>2</v>
      </c>
      <c r="AW292" s="29">
        <f t="shared" ca="1" si="165"/>
        <v>0</v>
      </c>
      <c r="AX292" s="29">
        <f t="shared" ca="1" si="165"/>
        <v>1</v>
      </c>
      <c r="AY292" s="29">
        <f t="shared" ca="1" si="165"/>
        <v>0</v>
      </c>
      <c r="AZ292" s="29">
        <f t="shared" ca="1" si="165"/>
        <v>0</v>
      </c>
      <c r="BA292" s="29">
        <f t="shared" ca="1" si="165"/>
        <v>0</v>
      </c>
      <c r="BB292" s="29">
        <f t="shared" ca="1" si="165"/>
        <v>2</v>
      </c>
      <c r="BC292" s="29">
        <f t="shared" ca="1" si="165"/>
        <v>0</v>
      </c>
      <c r="BD292" s="29">
        <f t="shared" ca="1" si="165"/>
        <v>0</v>
      </c>
      <c r="BE292" s="29">
        <f t="shared" ca="1" si="165"/>
        <v>1</v>
      </c>
      <c r="BF292" s="29">
        <f t="shared" ca="1" si="165"/>
        <v>1</v>
      </c>
      <c r="BG292" s="29">
        <f t="shared" ca="1" si="165"/>
        <v>0</v>
      </c>
      <c r="BH292" s="29">
        <f t="shared" ca="1" si="165"/>
        <v>0</v>
      </c>
      <c r="BI292" s="29">
        <f t="shared" ca="1" si="165"/>
        <v>1</v>
      </c>
      <c r="BJ292" s="29">
        <f t="shared" ca="1" si="165"/>
        <v>0</v>
      </c>
      <c r="BK292" s="29">
        <f t="shared" ca="1" si="165"/>
        <v>1</v>
      </c>
      <c r="BL292" s="29">
        <f t="shared" ca="1" si="164"/>
        <v>0</v>
      </c>
      <c r="BM292" s="29">
        <f t="shared" ca="1" si="164"/>
        <v>0</v>
      </c>
      <c r="BN292" s="29">
        <f t="shared" ca="1" si="164"/>
        <v>2</v>
      </c>
      <c r="BO292" s="29">
        <f t="shared" ca="1" si="164"/>
        <v>2</v>
      </c>
      <c r="BP292" s="29">
        <f t="shared" ca="1" si="164"/>
        <v>1</v>
      </c>
      <c r="BQ292" s="29">
        <f t="shared" ca="1" si="164"/>
        <v>2</v>
      </c>
      <c r="BR292" s="29">
        <f t="shared" ca="1" si="164"/>
        <v>0</v>
      </c>
      <c r="BS292" s="29">
        <f t="shared" ca="1" si="164"/>
        <v>0</v>
      </c>
      <c r="BT292" s="29">
        <f t="shared" ca="1" si="164"/>
        <v>1</v>
      </c>
      <c r="BU292" s="29">
        <f t="shared" ca="1" si="164"/>
        <v>1</v>
      </c>
      <c r="BV292" s="29">
        <f t="shared" ca="1" si="164"/>
        <v>1</v>
      </c>
      <c r="BW292" s="29">
        <f t="shared" ca="1" si="164"/>
        <v>0</v>
      </c>
      <c r="BX292" s="29">
        <f t="shared" ca="1" si="164"/>
        <v>1</v>
      </c>
      <c r="BY292" s="29">
        <f t="shared" ca="1" si="164"/>
        <v>1</v>
      </c>
      <c r="BZ292" s="29">
        <f t="shared" ca="1" si="164"/>
        <v>3</v>
      </c>
      <c r="CA292" s="29">
        <f t="shared" ca="1" si="161"/>
        <v>0</v>
      </c>
      <c r="CB292" s="29">
        <f t="shared" ca="1" si="161"/>
        <v>1</v>
      </c>
      <c r="CC292" s="29">
        <f t="shared" ca="1" si="161"/>
        <v>3</v>
      </c>
      <c r="CD292" s="29">
        <f t="shared" ca="1" si="161"/>
        <v>1</v>
      </c>
      <c r="CE292" s="29">
        <f t="shared" ca="1" si="161"/>
        <v>2</v>
      </c>
      <c r="CF292" s="29">
        <f t="shared" ca="1" si="161"/>
        <v>1</v>
      </c>
      <c r="CG292" s="29">
        <f t="shared" ca="1" si="161"/>
        <v>0</v>
      </c>
      <c r="CH292" s="29">
        <f t="shared" ca="1" si="161"/>
        <v>0</v>
      </c>
      <c r="CI292" s="29">
        <f t="shared" ca="1" si="161"/>
        <v>0</v>
      </c>
      <c r="CJ292" s="29">
        <f t="shared" ca="1" si="161"/>
        <v>0</v>
      </c>
      <c r="CK292" s="29">
        <f t="shared" ca="1" si="161"/>
        <v>1</v>
      </c>
      <c r="CL292" s="29">
        <f t="shared" ca="1" si="161"/>
        <v>2</v>
      </c>
      <c r="CM292" s="29">
        <f t="shared" ca="1" si="161"/>
        <v>2</v>
      </c>
      <c r="CN292" s="29">
        <f t="shared" ca="1" si="161"/>
        <v>0</v>
      </c>
      <c r="CO292" s="29">
        <f t="shared" ca="1" si="161"/>
        <v>2</v>
      </c>
      <c r="CP292" s="29">
        <f t="shared" ref="CP292:DE307" ca="1" si="166">_xlfn.BINOM.INV(50,$E292,RAND())</f>
        <v>2</v>
      </c>
      <c r="CQ292" s="29">
        <f t="shared" ca="1" si="166"/>
        <v>0</v>
      </c>
      <c r="CR292" s="29">
        <f t="shared" ca="1" si="166"/>
        <v>1</v>
      </c>
      <c r="CS292" s="29">
        <f t="shared" ca="1" si="166"/>
        <v>0</v>
      </c>
      <c r="CT292" s="29">
        <f t="shared" ca="1" si="166"/>
        <v>3</v>
      </c>
      <c r="CU292" s="29">
        <f t="shared" ca="1" si="166"/>
        <v>1</v>
      </c>
      <c r="CV292" s="29">
        <f t="shared" ca="1" si="166"/>
        <v>0</v>
      </c>
      <c r="CW292" s="29">
        <f t="shared" ca="1" si="166"/>
        <v>2</v>
      </c>
      <c r="CX292" s="29">
        <f t="shared" ca="1" si="166"/>
        <v>1</v>
      </c>
      <c r="CY292" s="29">
        <f t="shared" ca="1" si="166"/>
        <v>2</v>
      </c>
      <c r="CZ292" s="29">
        <f t="shared" ca="1" si="166"/>
        <v>0</v>
      </c>
      <c r="DA292" s="29">
        <f t="shared" ca="1" si="166"/>
        <v>1</v>
      </c>
      <c r="DB292" s="29">
        <f t="shared" ca="1" si="166"/>
        <v>0</v>
      </c>
      <c r="DC292" s="29">
        <f t="shared" ca="1" si="166"/>
        <v>1</v>
      </c>
      <c r="DD292" s="29">
        <f t="shared" ca="1" si="166"/>
        <v>0</v>
      </c>
      <c r="DE292" s="29">
        <f t="shared" ca="1" si="166"/>
        <v>0</v>
      </c>
      <c r="DF292" s="29">
        <f t="shared" ca="1" si="159"/>
        <v>1</v>
      </c>
      <c r="DG292" s="29">
        <f t="shared" ca="1" si="159"/>
        <v>1</v>
      </c>
      <c r="DH292" s="29">
        <f t="shared" ca="1" si="159"/>
        <v>0</v>
      </c>
      <c r="DI292" s="29">
        <f t="shared" ca="1" si="159"/>
        <v>0</v>
      </c>
      <c r="DJ292" s="29">
        <f t="shared" ca="1" si="159"/>
        <v>0</v>
      </c>
      <c r="DK292" s="29">
        <f t="shared" ca="1" si="159"/>
        <v>1</v>
      </c>
      <c r="DL292" s="29">
        <f t="shared" ca="1" si="159"/>
        <v>1</v>
      </c>
    </row>
    <row r="293" spans="1:116" ht="14.4" x14ac:dyDescent="0.3">
      <c r="A293" s="31">
        <v>804</v>
      </c>
      <c r="B293" s="28">
        <v>7.05</v>
      </c>
      <c r="C293" s="30">
        <v>5.33</v>
      </c>
      <c r="D293" s="28">
        <v>1.92</v>
      </c>
      <c r="E293" s="34">
        <f t="shared" si="145"/>
        <v>3.8399999999999997E-2</v>
      </c>
      <c r="F293" s="35">
        <f t="shared" si="146"/>
        <v>1.3325</v>
      </c>
      <c r="G293" s="34">
        <f t="shared" si="147"/>
        <v>48</v>
      </c>
      <c r="H293" s="33">
        <f t="shared" si="148"/>
        <v>6.6195035460992901</v>
      </c>
      <c r="I293" s="28">
        <f t="shared" si="151"/>
        <v>1089.1800000000005</v>
      </c>
      <c r="J293" s="32">
        <v>0</v>
      </c>
      <c r="K293" s="30">
        <f t="shared" si="149"/>
        <v>48</v>
      </c>
      <c r="L293" s="30"/>
      <c r="M293" s="30"/>
      <c r="N293" s="30"/>
      <c r="O293" s="30"/>
      <c r="Q293" s="29">
        <f t="shared" ca="1" si="150"/>
        <v>3</v>
      </c>
      <c r="R293" s="29">
        <f t="shared" ca="1" si="163"/>
        <v>0</v>
      </c>
      <c r="S293" s="29">
        <f t="shared" ca="1" si="163"/>
        <v>1</v>
      </c>
      <c r="T293" s="29">
        <f t="shared" ca="1" si="163"/>
        <v>1</v>
      </c>
      <c r="U293" s="29">
        <f t="shared" ca="1" si="163"/>
        <v>2</v>
      </c>
      <c r="V293" s="29">
        <f t="shared" ca="1" si="163"/>
        <v>0</v>
      </c>
      <c r="W293" s="29">
        <f t="shared" ca="1" si="163"/>
        <v>1</v>
      </c>
      <c r="X293" s="29">
        <f t="shared" ca="1" si="163"/>
        <v>0</v>
      </c>
      <c r="Y293" s="29">
        <f t="shared" ca="1" si="163"/>
        <v>5</v>
      </c>
      <c r="Z293" s="29">
        <f t="shared" ca="1" si="163"/>
        <v>4</v>
      </c>
      <c r="AA293" s="29">
        <f t="shared" ca="1" si="163"/>
        <v>2</v>
      </c>
      <c r="AB293" s="29">
        <f t="shared" ca="1" si="163"/>
        <v>0</v>
      </c>
      <c r="AC293" s="29">
        <f t="shared" ca="1" si="163"/>
        <v>5</v>
      </c>
      <c r="AD293" s="29">
        <f t="shared" ca="1" si="163"/>
        <v>1</v>
      </c>
      <c r="AE293" s="29">
        <f t="shared" ca="1" si="163"/>
        <v>1</v>
      </c>
      <c r="AF293" s="29">
        <f t="shared" ca="1" si="163"/>
        <v>1</v>
      </c>
      <c r="AG293" s="29">
        <f t="shared" ca="1" si="162"/>
        <v>2</v>
      </c>
      <c r="AH293" s="29">
        <f t="shared" ca="1" si="162"/>
        <v>1</v>
      </c>
      <c r="AI293" s="29">
        <f t="shared" ca="1" si="162"/>
        <v>3</v>
      </c>
      <c r="AJ293" s="29">
        <f t="shared" ca="1" si="162"/>
        <v>1</v>
      </c>
      <c r="AK293" s="29">
        <f t="shared" ca="1" si="162"/>
        <v>3</v>
      </c>
      <c r="AL293" s="29">
        <f t="shared" ca="1" si="162"/>
        <v>4</v>
      </c>
      <c r="AM293" s="29">
        <f t="shared" ca="1" si="162"/>
        <v>1</v>
      </c>
      <c r="AN293" s="29">
        <f t="shared" ca="1" si="162"/>
        <v>1</v>
      </c>
      <c r="AO293" s="29">
        <f t="shared" ca="1" si="162"/>
        <v>1</v>
      </c>
      <c r="AP293" s="29">
        <f t="shared" ca="1" si="162"/>
        <v>3</v>
      </c>
      <c r="AQ293" s="29">
        <f t="shared" ca="1" si="162"/>
        <v>4</v>
      </c>
      <c r="AR293" s="29">
        <f t="shared" ca="1" si="162"/>
        <v>2</v>
      </c>
      <c r="AS293" s="29">
        <f t="shared" ca="1" si="162"/>
        <v>2</v>
      </c>
      <c r="AT293" s="29">
        <f t="shared" ca="1" si="162"/>
        <v>3</v>
      </c>
      <c r="AU293" s="29">
        <f t="shared" ca="1" si="162"/>
        <v>0</v>
      </c>
      <c r="AV293" s="29">
        <f t="shared" ca="1" si="165"/>
        <v>2</v>
      </c>
      <c r="AW293" s="29">
        <f t="shared" ca="1" si="165"/>
        <v>3</v>
      </c>
      <c r="AX293" s="29">
        <f t="shared" ca="1" si="165"/>
        <v>5</v>
      </c>
      <c r="AY293" s="29">
        <f t="shared" ca="1" si="165"/>
        <v>1</v>
      </c>
      <c r="AZ293" s="29">
        <f t="shared" ca="1" si="165"/>
        <v>1</v>
      </c>
      <c r="BA293" s="29">
        <f t="shared" ca="1" si="165"/>
        <v>1</v>
      </c>
      <c r="BB293" s="29">
        <f t="shared" ca="1" si="165"/>
        <v>1</v>
      </c>
      <c r="BC293" s="29">
        <f t="shared" ca="1" si="165"/>
        <v>2</v>
      </c>
      <c r="BD293" s="29">
        <f t="shared" ca="1" si="165"/>
        <v>6</v>
      </c>
      <c r="BE293" s="29">
        <f t="shared" ca="1" si="165"/>
        <v>3</v>
      </c>
      <c r="BF293" s="29">
        <f t="shared" ca="1" si="165"/>
        <v>0</v>
      </c>
      <c r="BG293" s="29">
        <f t="shared" ca="1" si="165"/>
        <v>3</v>
      </c>
      <c r="BH293" s="29">
        <f t="shared" ca="1" si="165"/>
        <v>1</v>
      </c>
      <c r="BI293" s="29">
        <f t="shared" ca="1" si="165"/>
        <v>1</v>
      </c>
      <c r="BJ293" s="29">
        <f t="shared" ca="1" si="165"/>
        <v>0</v>
      </c>
      <c r="BK293" s="29">
        <f t="shared" ca="1" si="165"/>
        <v>4</v>
      </c>
      <c r="BL293" s="29">
        <f t="shared" ca="1" si="164"/>
        <v>3</v>
      </c>
      <c r="BM293" s="29">
        <f t="shared" ca="1" si="164"/>
        <v>1</v>
      </c>
      <c r="BN293" s="29">
        <f t="shared" ca="1" si="164"/>
        <v>2</v>
      </c>
      <c r="BO293" s="29">
        <f t="shared" ca="1" si="164"/>
        <v>2</v>
      </c>
      <c r="BP293" s="29">
        <f t="shared" ca="1" si="164"/>
        <v>0</v>
      </c>
      <c r="BQ293" s="29">
        <f t="shared" ca="1" si="164"/>
        <v>2</v>
      </c>
      <c r="BR293" s="29">
        <f t="shared" ca="1" si="164"/>
        <v>3</v>
      </c>
      <c r="BS293" s="29">
        <f t="shared" ca="1" si="164"/>
        <v>2</v>
      </c>
      <c r="BT293" s="29">
        <f t="shared" ca="1" si="164"/>
        <v>1</v>
      </c>
      <c r="BU293" s="29">
        <f t="shared" ca="1" si="164"/>
        <v>3</v>
      </c>
      <c r="BV293" s="29">
        <f t="shared" ca="1" si="164"/>
        <v>3</v>
      </c>
      <c r="BW293" s="29">
        <f t="shared" ca="1" si="164"/>
        <v>2</v>
      </c>
      <c r="BX293" s="29">
        <f t="shared" ca="1" si="164"/>
        <v>2</v>
      </c>
      <c r="BY293" s="29">
        <f t="shared" ca="1" si="164"/>
        <v>1</v>
      </c>
      <c r="BZ293" s="29">
        <f t="shared" ca="1" si="164"/>
        <v>1</v>
      </c>
      <c r="CA293" s="29">
        <f t="shared" ref="CA293:CP308" ca="1" si="167">_xlfn.BINOM.INV(50,$E293,RAND())</f>
        <v>1</v>
      </c>
      <c r="CB293" s="29">
        <f t="shared" ca="1" si="167"/>
        <v>3</v>
      </c>
      <c r="CC293" s="29">
        <f t="shared" ca="1" si="167"/>
        <v>0</v>
      </c>
      <c r="CD293" s="29">
        <f t="shared" ca="1" si="167"/>
        <v>0</v>
      </c>
      <c r="CE293" s="29">
        <f t="shared" ca="1" si="167"/>
        <v>1</v>
      </c>
      <c r="CF293" s="29">
        <f t="shared" ca="1" si="167"/>
        <v>2</v>
      </c>
      <c r="CG293" s="29">
        <f t="shared" ca="1" si="167"/>
        <v>1</v>
      </c>
      <c r="CH293" s="29">
        <f t="shared" ca="1" si="167"/>
        <v>1</v>
      </c>
      <c r="CI293" s="29">
        <f t="shared" ca="1" si="167"/>
        <v>2</v>
      </c>
      <c r="CJ293" s="29">
        <f t="shared" ca="1" si="167"/>
        <v>2</v>
      </c>
      <c r="CK293" s="29">
        <f t="shared" ca="1" si="167"/>
        <v>1</v>
      </c>
      <c r="CL293" s="29">
        <f t="shared" ca="1" si="167"/>
        <v>3</v>
      </c>
      <c r="CM293" s="29">
        <f t="shared" ca="1" si="167"/>
        <v>1</v>
      </c>
      <c r="CN293" s="29">
        <f t="shared" ca="1" si="167"/>
        <v>0</v>
      </c>
      <c r="CO293" s="29">
        <f t="shared" ca="1" si="167"/>
        <v>2</v>
      </c>
      <c r="CP293" s="29">
        <f t="shared" ca="1" si="167"/>
        <v>1</v>
      </c>
      <c r="CQ293" s="29">
        <f t="shared" ca="1" si="166"/>
        <v>0</v>
      </c>
      <c r="CR293" s="29">
        <f t="shared" ca="1" si="166"/>
        <v>2</v>
      </c>
      <c r="CS293" s="29">
        <f t="shared" ca="1" si="166"/>
        <v>0</v>
      </c>
      <c r="CT293" s="29">
        <f t="shared" ca="1" si="166"/>
        <v>0</v>
      </c>
      <c r="CU293" s="29">
        <f t="shared" ca="1" si="166"/>
        <v>1</v>
      </c>
      <c r="CV293" s="29">
        <f t="shared" ca="1" si="166"/>
        <v>0</v>
      </c>
      <c r="CW293" s="29">
        <f t="shared" ca="1" si="166"/>
        <v>3</v>
      </c>
      <c r="CX293" s="29">
        <f t="shared" ca="1" si="166"/>
        <v>1</v>
      </c>
      <c r="CY293" s="29">
        <f t="shared" ca="1" si="166"/>
        <v>6</v>
      </c>
      <c r="CZ293" s="29">
        <f t="shared" ca="1" si="166"/>
        <v>0</v>
      </c>
      <c r="DA293" s="29">
        <f t="shared" ca="1" si="166"/>
        <v>1</v>
      </c>
      <c r="DB293" s="29">
        <f t="shared" ca="1" si="166"/>
        <v>0</v>
      </c>
      <c r="DC293" s="29">
        <f t="shared" ca="1" si="166"/>
        <v>3</v>
      </c>
      <c r="DD293" s="29">
        <f t="shared" ca="1" si="166"/>
        <v>3</v>
      </c>
      <c r="DE293" s="29">
        <f t="shared" ca="1" si="166"/>
        <v>2</v>
      </c>
      <c r="DF293" s="29">
        <f t="shared" ca="1" si="159"/>
        <v>0</v>
      </c>
      <c r="DG293" s="29">
        <f t="shared" ca="1" si="159"/>
        <v>2</v>
      </c>
      <c r="DH293" s="29">
        <f t="shared" ca="1" si="159"/>
        <v>2</v>
      </c>
      <c r="DI293" s="29">
        <f t="shared" ca="1" si="159"/>
        <v>3</v>
      </c>
      <c r="DJ293" s="29">
        <f t="shared" ca="1" si="159"/>
        <v>7</v>
      </c>
      <c r="DK293" s="29">
        <f t="shared" ca="1" si="159"/>
        <v>2</v>
      </c>
      <c r="DL293" s="29">
        <f t="shared" ca="1" si="159"/>
        <v>1</v>
      </c>
    </row>
    <row r="294" spans="1:116" ht="14.4" x14ac:dyDescent="0.3">
      <c r="A294" s="31">
        <v>1082</v>
      </c>
      <c r="B294" s="28">
        <v>1.36</v>
      </c>
      <c r="C294" s="30">
        <v>84.02</v>
      </c>
      <c r="D294" s="28">
        <v>1.2</v>
      </c>
      <c r="E294" s="34">
        <f t="shared" si="145"/>
        <v>2.4E-2</v>
      </c>
      <c r="F294" s="35">
        <f t="shared" si="146"/>
        <v>21.004999999999999</v>
      </c>
      <c r="G294" s="34">
        <f t="shared" si="147"/>
        <v>30</v>
      </c>
      <c r="H294" s="33">
        <f t="shared" si="148"/>
        <v>6.6139705882352944</v>
      </c>
      <c r="I294" s="28">
        <f t="shared" si="151"/>
        <v>1090.5400000000004</v>
      </c>
      <c r="J294" s="32">
        <v>0</v>
      </c>
      <c r="K294" s="30">
        <f t="shared" si="149"/>
        <v>30</v>
      </c>
      <c r="L294" s="30"/>
      <c r="M294" s="30"/>
      <c r="N294" s="30"/>
      <c r="O294" s="30"/>
      <c r="Q294" s="29">
        <f t="shared" ca="1" si="150"/>
        <v>0</v>
      </c>
      <c r="R294" s="29">
        <f t="shared" ca="1" si="163"/>
        <v>1</v>
      </c>
      <c r="S294" s="29">
        <f t="shared" ca="1" si="163"/>
        <v>1</v>
      </c>
      <c r="T294" s="29">
        <f t="shared" ca="1" si="163"/>
        <v>1</v>
      </c>
      <c r="U294" s="29">
        <f t="shared" ca="1" si="163"/>
        <v>2</v>
      </c>
      <c r="V294" s="29">
        <f t="shared" ca="1" si="163"/>
        <v>2</v>
      </c>
      <c r="W294" s="29">
        <f t="shared" ca="1" si="163"/>
        <v>5</v>
      </c>
      <c r="X294" s="29">
        <f t="shared" ca="1" si="163"/>
        <v>1</v>
      </c>
      <c r="Y294" s="29">
        <f t="shared" ca="1" si="163"/>
        <v>0</v>
      </c>
      <c r="Z294" s="29">
        <f t="shared" ca="1" si="163"/>
        <v>0</v>
      </c>
      <c r="AA294" s="29">
        <f t="shared" ca="1" si="163"/>
        <v>1</v>
      </c>
      <c r="AB294" s="29">
        <f t="shared" ca="1" si="163"/>
        <v>1</v>
      </c>
      <c r="AC294" s="29">
        <f t="shared" ca="1" si="163"/>
        <v>2</v>
      </c>
      <c r="AD294" s="29">
        <f t="shared" ca="1" si="163"/>
        <v>3</v>
      </c>
      <c r="AE294" s="29">
        <f t="shared" ca="1" si="163"/>
        <v>1</v>
      </c>
      <c r="AF294" s="29">
        <f t="shared" ca="1" si="163"/>
        <v>0</v>
      </c>
      <c r="AG294" s="29">
        <f t="shared" ca="1" si="162"/>
        <v>0</v>
      </c>
      <c r="AH294" s="29">
        <f t="shared" ca="1" si="162"/>
        <v>2</v>
      </c>
      <c r="AI294" s="29">
        <f t="shared" ca="1" si="162"/>
        <v>0</v>
      </c>
      <c r="AJ294" s="29">
        <f t="shared" ca="1" si="162"/>
        <v>1</v>
      </c>
      <c r="AK294" s="29">
        <f t="shared" ca="1" si="162"/>
        <v>0</v>
      </c>
      <c r="AL294" s="29">
        <f t="shared" ca="1" si="162"/>
        <v>2</v>
      </c>
      <c r="AM294" s="29">
        <f t="shared" ca="1" si="162"/>
        <v>2</v>
      </c>
      <c r="AN294" s="29">
        <f t="shared" ca="1" si="162"/>
        <v>1</v>
      </c>
      <c r="AO294" s="29">
        <f t="shared" ca="1" si="162"/>
        <v>0</v>
      </c>
      <c r="AP294" s="29">
        <f t="shared" ca="1" si="162"/>
        <v>2</v>
      </c>
      <c r="AQ294" s="29">
        <f t="shared" ca="1" si="162"/>
        <v>0</v>
      </c>
      <c r="AR294" s="29">
        <f t="shared" ca="1" si="162"/>
        <v>0</v>
      </c>
      <c r="AS294" s="29">
        <f t="shared" ca="1" si="162"/>
        <v>1</v>
      </c>
      <c r="AT294" s="29">
        <f t="shared" ca="1" si="162"/>
        <v>2</v>
      </c>
      <c r="AU294" s="29">
        <f t="shared" ca="1" si="162"/>
        <v>1</v>
      </c>
      <c r="AV294" s="29">
        <f t="shared" ca="1" si="165"/>
        <v>1</v>
      </c>
      <c r="AW294" s="29">
        <f t="shared" ca="1" si="165"/>
        <v>1</v>
      </c>
      <c r="AX294" s="29">
        <f t="shared" ca="1" si="165"/>
        <v>0</v>
      </c>
      <c r="AY294" s="29">
        <f t="shared" ca="1" si="165"/>
        <v>3</v>
      </c>
      <c r="AZ294" s="29">
        <f t="shared" ca="1" si="165"/>
        <v>0</v>
      </c>
      <c r="BA294" s="29">
        <f t="shared" ca="1" si="165"/>
        <v>2</v>
      </c>
      <c r="BB294" s="29">
        <f t="shared" ca="1" si="165"/>
        <v>1</v>
      </c>
      <c r="BC294" s="29">
        <f t="shared" ca="1" si="165"/>
        <v>1</v>
      </c>
      <c r="BD294" s="29">
        <f t="shared" ca="1" si="165"/>
        <v>0</v>
      </c>
      <c r="BE294" s="29">
        <f t="shared" ca="1" si="165"/>
        <v>1</v>
      </c>
      <c r="BF294" s="29">
        <f t="shared" ca="1" si="165"/>
        <v>0</v>
      </c>
      <c r="BG294" s="29">
        <f t="shared" ca="1" si="165"/>
        <v>0</v>
      </c>
      <c r="BH294" s="29">
        <f t="shared" ca="1" si="165"/>
        <v>1</v>
      </c>
      <c r="BI294" s="29">
        <f t="shared" ca="1" si="165"/>
        <v>1</v>
      </c>
      <c r="BJ294" s="29">
        <f t="shared" ca="1" si="165"/>
        <v>2</v>
      </c>
      <c r="BK294" s="29">
        <f t="shared" ca="1" si="165"/>
        <v>1</v>
      </c>
      <c r="BL294" s="29">
        <f t="shared" ca="1" si="164"/>
        <v>1</v>
      </c>
      <c r="BM294" s="29">
        <f t="shared" ca="1" si="164"/>
        <v>1</v>
      </c>
      <c r="BN294" s="29">
        <f t="shared" ca="1" si="164"/>
        <v>3</v>
      </c>
      <c r="BO294" s="29">
        <f t="shared" ca="1" si="164"/>
        <v>0</v>
      </c>
      <c r="BP294" s="29">
        <f t="shared" ca="1" si="164"/>
        <v>2</v>
      </c>
      <c r="BQ294" s="29">
        <f t="shared" ca="1" si="164"/>
        <v>2</v>
      </c>
      <c r="BR294" s="29">
        <f t="shared" ca="1" si="164"/>
        <v>2</v>
      </c>
      <c r="BS294" s="29">
        <f t="shared" ca="1" si="164"/>
        <v>1</v>
      </c>
      <c r="BT294" s="29">
        <f t="shared" ca="1" si="164"/>
        <v>0</v>
      </c>
      <c r="BU294" s="29">
        <f t="shared" ca="1" si="164"/>
        <v>2</v>
      </c>
      <c r="BV294" s="29">
        <f t="shared" ca="1" si="164"/>
        <v>0</v>
      </c>
      <c r="BW294" s="29">
        <f t="shared" ca="1" si="164"/>
        <v>3</v>
      </c>
      <c r="BX294" s="29">
        <f t="shared" ca="1" si="164"/>
        <v>1</v>
      </c>
      <c r="BY294" s="29">
        <f t="shared" ca="1" si="164"/>
        <v>2</v>
      </c>
      <c r="BZ294" s="29">
        <f t="shared" ca="1" si="164"/>
        <v>3</v>
      </c>
      <c r="CA294" s="29">
        <f t="shared" ca="1" si="167"/>
        <v>0</v>
      </c>
      <c r="CB294" s="29">
        <f t="shared" ca="1" si="167"/>
        <v>2</v>
      </c>
      <c r="CC294" s="29">
        <f t="shared" ca="1" si="167"/>
        <v>1</v>
      </c>
      <c r="CD294" s="29">
        <f t="shared" ca="1" si="167"/>
        <v>1</v>
      </c>
      <c r="CE294" s="29">
        <f t="shared" ca="1" si="167"/>
        <v>2</v>
      </c>
      <c r="CF294" s="29">
        <f t="shared" ca="1" si="167"/>
        <v>1</v>
      </c>
      <c r="CG294" s="29">
        <f t="shared" ca="1" si="167"/>
        <v>2</v>
      </c>
      <c r="CH294" s="29">
        <f t="shared" ca="1" si="167"/>
        <v>0</v>
      </c>
      <c r="CI294" s="29">
        <f t="shared" ca="1" si="167"/>
        <v>2</v>
      </c>
      <c r="CJ294" s="29">
        <f t="shared" ca="1" si="167"/>
        <v>0</v>
      </c>
      <c r="CK294" s="29">
        <f t="shared" ca="1" si="167"/>
        <v>2</v>
      </c>
      <c r="CL294" s="29">
        <f t="shared" ca="1" si="167"/>
        <v>2</v>
      </c>
      <c r="CM294" s="29">
        <f t="shared" ca="1" si="167"/>
        <v>1</v>
      </c>
      <c r="CN294" s="29">
        <f t="shared" ca="1" si="167"/>
        <v>0</v>
      </c>
      <c r="CO294" s="29">
        <f t="shared" ca="1" si="167"/>
        <v>3</v>
      </c>
      <c r="CP294" s="29">
        <f t="shared" ca="1" si="167"/>
        <v>2</v>
      </c>
      <c r="CQ294" s="29">
        <f t="shared" ca="1" si="166"/>
        <v>1</v>
      </c>
      <c r="CR294" s="29">
        <f t="shared" ca="1" si="166"/>
        <v>1</v>
      </c>
      <c r="CS294" s="29">
        <f t="shared" ca="1" si="166"/>
        <v>3</v>
      </c>
      <c r="CT294" s="29">
        <f t="shared" ca="1" si="166"/>
        <v>2</v>
      </c>
      <c r="CU294" s="29">
        <f t="shared" ca="1" si="166"/>
        <v>1</v>
      </c>
      <c r="CV294" s="29">
        <f t="shared" ca="1" si="166"/>
        <v>2</v>
      </c>
      <c r="CW294" s="29">
        <f t="shared" ca="1" si="166"/>
        <v>2</v>
      </c>
      <c r="CX294" s="29">
        <f t="shared" ca="1" si="166"/>
        <v>0</v>
      </c>
      <c r="CY294" s="29">
        <f t="shared" ca="1" si="166"/>
        <v>3</v>
      </c>
      <c r="CZ294" s="29">
        <f t="shared" ca="1" si="166"/>
        <v>0</v>
      </c>
      <c r="DA294" s="29">
        <f t="shared" ca="1" si="166"/>
        <v>2</v>
      </c>
      <c r="DB294" s="29">
        <f t="shared" ca="1" si="166"/>
        <v>1</v>
      </c>
      <c r="DC294" s="29">
        <f t="shared" ca="1" si="166"/>
        <v>0</v>
      </c>
      <c r="DD294" s="29">
        <f t="shared" ca="1" si="166"/>
        <v>4</v>
      </c>
      <c r="DE294" s="29">
        <f t="shared" ca="1" si="166"/>
        <v>1</v>
      </c>
      <c r="DF294" s="29">
        <f t="shared" ca="1" si="159"/>
        <v>3</v>
      </c>
      <c r="DG294" s="29">
        <f t="shared" ca="1" si="159"/>
        <v>2</v>
      </c>
      <c r="DH294" s="29">
        <f t="shared" ca="1" si="159"/>
        <v>1</v>
      </c>
      <c r="DI294" s="29">
        <f t="shared" ca="1" si="159"/>
        <v>2</v>
      </c>
      <c r="DJ294" s="29">
        <f t="shared" ca="1" si="159"/>
        <v>1</v>
      </c>
      <c r="DK294" s="29">
        <f t="shared" ca="1" si="159"/>
        <v>2</v>
      </c>
      <c r="DL294" s="29">
        <f t="shared" ca="1" si="159"/>
        <v>2</v>
      </c>
    </row>
    <row r="295" spans="1:116" ht="14.4" x14ac:dyDescent="0.3">
      <c r="A295" s="31">
        <v>655</v>
      </c>
      <c r="B295" s="28">
        <v>6.25</v>
      </c>
      <c r="C295" s="30">
        <v>0.84</v>
      </c>
      <c r="D295" s="28">
        <v>1.66</v>
      </c>
      <c r="E295" s="34">
        <f t="shared" si="145"/>
        <v>3.32E-2</v>
      </c>
      <c r="F295" s="35">
        <f t="shared" si="146"/>
        <v>0.21</v>
      </c>
      <c r="G295" s="34">
        <f t="shared" si="147"/>
        <v>41.5</v>
      </c>
      <c r="H295" s="33">
        <f t="shared" si="148"/>
        <v>6.6063999999999998</v>
      </c>
      <c r="I295" s="28">
        <f t="shared" si="151"/>
        <v>1096.7900000000004</v>
      </c>
      <c r="J295" s="32">
        <v>0</v>
      </c>
      <c r="K295" s="30">
        <f t="shared" si="149"/>
        <v>41.5</v>
      </c>
      <c r="L295" s="30"/>
      <c r="M295" s="30"/>
      <c r="N295" s="30"/>
      <c r="O295" s="30"/>
      <c r="Q295" s="29">
        <f t="shared" ca="1" si="150"/>
        <v>2</v>
      </c>
      <c r="R295" s="29">
        <f t="shared" ca="1" si="163"/>
        <v>3</v>
      </c>
      <c r="S295" s="29">
        <f t="shared" ca="1" si="163"/>
        <v>1</v>
      </c>
      <c r="T295" s="29">
        <f t="shared" ca="1" si="163"/>
        <v>1</v>
      </c>
      <c r="U295" s="29">
        <f t="shared" ca="1" si="163"/>
        <v>1</v>
      </c>
      <c r="V295" s="29">
        <f t="shared" ca="1" si="163"/>
        <v>2</v>
      </c>
      <c r="W295" s="29">
        <f t="shared" ca="1" si="163"/>
        <v>1</v>
      </c>
      <c r="X295" s="29">
        <f t="shared" ca="1" si="163"/>
        <v>0</v>
      </c>
      <c r="Y295" s="29">
        <f t="shared" ca="1" si="163"/>
        <v>1</v>
      </c>
      <c r="Z295" s="29">
        <f t="shared" ca="1" si="163"/>
        <v>3</v>
      </c>
      <c r="AA295" s="29">
        <f t="shared" ca="1" si="163"/>
        <v>3</v>
      </c>
      <c r="AB295" s="29">
        <f t="shared" ca="1" si="163"/>
        <v>0</v>
      </c>
      <c r="AC295" s="29">
        <f t="shared" ca="1" si="163"/>
        <v>3</v>
      </c>
      <c r="AD295" s="29">
        <f t="shared" ca="1" si="163"/>
        <v>1</v>
      </c>
      <c r="AE295" s="29">
        <f t="shared" ca="1" si="163"/>
        <v>2</v>
      </c>
      <c r="AF295" s="29">
        <f t="shared" ca="1" si="163"/>
        <v>0</v>
      </c>
      <c r="AG295" s="29">
        <f t="shared" ca="1" si="162"/>
        <v>1</v>
      </c>
      <c r="AH295" s="29">
        <f t="shared" ca="1" si="162"/>
        <v>3</v>
      </c>
      <c r="AI295" s="29">
        <f t="shared" ca="1" si="162"/>
        <v>3</v>
      </c>
      <c r="AJ295" s="29">
        <f t="shared" ca="1" si="162"/>
        <v>0</v>
      </c>
      <c r="AK295" s="29">
        <f t="shared" ca="1" si="162"/>
        <v>1</v>
      </c>
      <c r="AL295" s="29">
        <f t="shared" ca="1" si="162"/>
        <v>0</v>
      </c>
      <c r="AM295" s="29">
        <f t="shared" ca="1" si="162"/>
        <v>1</v>
      </c>
      <c r="AN295" s="29">
        <f t="shared" ca="1" si="162"/>
        <v>2</v>
      </c>
      <c r="AO295" s="29">
        <f t="shared" ca="1" si="162"/>
        <v>0</v>
      </c>
      <c r="AP295" s="29">
        <f t="shared" ca="1" si="162"/>
        <v>2</v>
      </c>
      <c r="AQ295" s="29">
        <f t="shared" ca="1" si="162"/>
        <v>5</v>
      </c>
      <c r="AR295" s="29">
        <f t="shared" ca="1" si="162"/>
        <v>2</v>
      </c>
      <c r="AS295" s="29">
        <f t="shared" ca="1" si="162"/>
        <v>1</v>
      </c>
      <c r="AT295" s="29">
        <f t="shared" ca="1" si="162"/>
        <v>3</v>
      </c>
      <c r="AU295" s="29">
        <f t="shared" ca="1" si="162"/>
        <v>2</v>
      </c>
      <c r="AV295" s="29">
        <f t="shared" ca="1" si="165"/>
        <v>2</v>
      </c>
      <c r="AW295" s="29">
        <f t="shared" ca="1" si="165"/>
        <v>0</v>
      </c>
      <c r="AX295" s="29">
        <f t="shared" ca="1" si="165"/>
        <v>3</v>
      </c>
      <c r="AY295" s="29">
        <f t="shared" ca="1" si="165"/>
        <v>2</v>
      </c>
      <c r="AZ295" s="29">
        <f t="shared" ca="1" si="165"/>
        <v>5</v>
      </c>
      <c r="BA295" s="29">
        <f t="shared" ca="1" si="165"/>
        <v>3</v>
      </c>
      <c r="BB295" s="29">
        <f t="shared" ca="1" si="165"/>
        <v>1</v>
      </c>
      <c r="BC295" s="29">
        <f t="shared" ca="1" si="165"/>
        <v>0</v>
      </c>
      <c r="BD295" s="29">
        <f t="shared" ca="1" si="165"/>
        <v>1</v>
      </c>
      <c r="BE295" s="29">
        <f t="shared" ca="1" si="165"/>
        <v>2</v>
      </c>
      <c r="BF295" s="29">
        <f t="shared" ca="1" si="165"/>
        <v>1</v>
      </c>
      <c r="BG295" s="29">
        <f t="shared" ca="1" si="165"/>
        <v>2</v>
      </c>
      <c r="BH295" s="29">
        <f t="shared" ca="1" si="165"/>
        <v>1</v>
      </c>
      <c r="BI295" s="29">
        <f t="shared" ca="1" si="165"/>
        <v>3</v>
      </c>
      <c r="BJ295" s="29">
        <f t="shared" ca="1" si="165"/>
        <v>2</v>
      </c>
      <c r="BK295" s="29">
        <f t="shared" ca="1" si="165"/>
        <v>1</v>
      </c>
      <c r="BL295" s="29">
        <f t="shared" ca="1" si="164"/>
        <v>2</v>
      </c>
      <c r="BM295" s="29">
        <f t="shared" ca="1" si="164"/>
        <v>2</v>
      </c>
      <c r="BN295" s="29">
        <f t="shared" ca="1" si="164"/>
        <v>1</v>
      </c>
      <c r="BO295" s="29">
        <f t="shared" ca="1" si="164"/>
        <v>3</v>
      </c>
      <c r="BP295" s="29">
        <f t="shared" ca="1" si="164"/>
        <v>2</v>
      </c>
      <c r="BQ295" s="29">
        <f t="shared" ca="1" si="164"/>
        <v>1</v>
      </c>
      <c r="BR295" s="29">
        <f t="shared" ca="1" si="164"/>
        <v>3</v>
      </c>
      <c r="BS295" s="29">
        <f t="shared" ca="1" si="164"/>
        <v>1</v>
      </c>
      <c r="BT295" s="29">
        <f t="shared" ca="1" si="164"/>
        <v>3</v>
      </c>
      <c r="BU295" s="29">
        <f t="shared" ca="1" si="164"/>
        <v>0</v>
      </c>
      <c r="BV295" s="29">
        <f t="shared" ca="1" si="164"/>
        <v>6</v>
      </c>
      <c r="BW295" s="29">
        <f t="shared" ca="1" si="164"/>
        <v>1</v>
      </c>
      <c r="BX295" s="29">
        <f t="shared" ca="1" si="164"/>
        <v>2</v>
      </c>
      <c r="BY295" s="29">
        <f t="shared" ca="1" si="164"/>
        <v>1</v>
      </c>
      <c r="BZ295" s="29">
        <f t="shared" ca="1" si="164"/>
        <v>1</v>
      </c>
      <c r="CA295" s="29">
        <f t="shared" ca="1" si="167"/>
        <v>1</v>
      </c>
      <c r="CB295" s="29">
        <f t="shared" ca="1" si="167"/>
        <v>1</v>
      </c>
      <c r="CC295" s="29">
        <f t="shared" ca="1" si="167"/>
        <v>0</v>
      </c>
      <c r="CD295" s="29">
        <f t="shared" ca="1" si="167"/>
        <v>1</v>
      </c>
      <c r="CE295" s="29">
        <f t="shared" ca="1" si="167"/>
        <v>0</v>
      </c>
      <c r="CF295" s="29">
        <f t="shared" ca="1" si="167"/>
        <v>2</v>
      </c>
      <c r="CG295" s="29">
        <f t="shared" ca="1" si="167"/>
        <v>2</v>
      </c>
      <c r="CH295" s="29">
        <f t="shared" ca="1" si="167"/>
        <v>1</v>
      </c>
      <c r="CI295" s="29">
        <f t="shared" ca="1" si="167"/>
        <v>1</v>
      </c>
      <c r="CJ295" s="29">
        <f t="shared" ca="1" si="167"/>
        <v>3</v>
      </c>
      <c r="CK295" s="29">
        <f t="shared" ca="1" si="167"/>
        <v>1</v>
      </c>
      <c r="CL295" s="29">
        <f t="shared" ca="1" si="167"/>
        <v>2</v>
      </c>
      <c r="CM295" s="29">
        <f t="shared" ca="1" si="167"/>
        <v>1</v>
      </c>
      <c r="CN295" s="29">
        <f t="shared" ca="1" si="167"/>
        <v>1</v>
      </c>
      <c r="CO295" s="29">
        <f t="shared" ca="1" si="167"/>
        <v>3</v>
      </c>
      <c r="CP295" s="29">
        <f t="shared" ca="1" si="167"/>
        <v>1</v>
      </c>
      <c r="CQ295" s="29">
        <f t="shared" ca="1" si="166"/>
        <v>2</v>
      </c>
      <c r="CR295" s="29">
        <f t="shared" ca="1" si="166"/>
        <v>2</v>
      </c>
      <c r="CS295" s="29">
        <f t="shared" ca="1" si="166"/>
        <v>3</v>
      </c>
      <c r="CT295" s="29">
        <f t="shared" ca="1" si="166"/>
        <v>1</v>
      </c>
      <c r="CU295" s="29">
        <f t="shared" ca="1" si="166"/>
        <v>3</v>
      </c>
      <c r="CV295" s="29">
        <f t="shared" ca="1" si="166"/>
        <v>0</v>
      </c>
      <c r="CW295" s="29">
        <f t="shared" ca="1" si="166"/>
        <v>1</v>
      </c>
      <c r="CX295" s="29">
        <f t="shared" ca="1" si="166"/>
        <v>0</v>
      </c>
      <c r="CY295" s="29">
        <f t="shared" ca="1" si="166"/>
        <v>0</v>
      </c>
      <c r="CZ295" s="29">
        <f t="shared" ca="1" si="166"/>
        <v>1</v>
      </c>
      <c r="DA295" s="29">
        <f t="shared" ca="1" si="166"/>
        <v>0</v>
      </c>
      <c r="DB295" s="29">
        <f t="shared" ca="1" si="166"/>
        <v>1</v>
      </c>
      <c r="DC295" s="29">
        <f t="shared" ca="1" si="166"/>
        <v>2</v>
      </c>
      <c r="DD295" s="29">
        <f t="shared" ca="1" si="166"/>
        <v>6</v>
      </c>
      <c r="DE295" s="29">
        <f t="shared" ca="1" si="166"/>
        <v>4</v>
      </c>
      <c r="DF295" s="29">
        <f t="shared" ca="1" si="159"/>
        <v>2</v>
      </c>
      <c r="DG295" s="29">
        <f t="shared" ca="1" si="159"/>
        <v>1</v>
      </c>
      <c r="DH295" s="29">
        <f t="shared" ca="1" si="159"/>
        <v>1</v>
      </c>
      <c r="DI295" s="29">
        <f t="shared" ca="1" si="159"/>
        <v>1</v>
      </c>
      <c r="DJ295" s="29">
        <f t="shared" ca="1" si="159"/>
        <v>1</v>
      </c>
      <c r="DK295" s="29">
        <f t="shared" ca="1" si="159"/>
        <v>2</v>
      </c>
      <c r="DL295" s="29">
        <f t="shared" ca="1" si="159"/>
        <v>1</v>
      </c>
    </row>
    <row r="296" spans="1:116" ht="14.4" x14ac:dyDescent="0.3">
      <c r="A296" s="31">
        <v>43</v>
      </c>
      <c r="B296" s="28">
        <v>7.6</v>
      </c>
      <c r="C296" s="30">
        <v>6.11</v>
      </c>
      <c r="D296" s="28">
        <v>2.0499999999999998</v>
      </c>
      <c r="E296" s="34">
        <f t="shared" si="145"/>
        <v>4.0999999999999995E-2</v>
      </c>
      <c r="F296" s="35">
        <f t="shared" si="146"/>
        <v>1.5275000000000001</v>
      </c>
      <c r="G296" s="34">
        <f t="shared" si="147"/>
        <v>51.249999999999993</v>
      </c>
      <c r="H296" s="33">
        <f t="shared" si="148"/>
        <v>6.5424342105263147</v>
      </c>
      <c r="I296" s="28">
        <f t="shared" si="151"/>
        <v>1104.3900000000003</v>
      </c>
      <c r="J296" s="32">
        <v>0</v>
      </c>
      <c r="K296" s="30">
        <f t="shared" si="149"/>
        <v>51.249999999999993</v>
      </c>
      <c r="L296" s="30"/>
      <c r="M296" s="30"/>
      <c r="N296" s="30"/>
      <c r="O296" s="30"/>
      <c r="Q296" s="29">
        <f t="shared" ca="1" si="150"/>
        <v>0</v>
      </c>
      <c r="R296" s="29">
        <f t="shared" ca="1" si="163"/>
        <v>3</v>
      </c>
      <c r="S296" s="29">
        <f t="shared" ca="1" si="163"/>
        <v>2</v>
      </c>
      <c r="T296" s="29">
        <f t="shared" ca="1" si="163"/>
        <v>1</v>
      </c>
      <c r="U296" s="29">
        <f t="shared" ca="1" si="163"/>
        <v>5</v>
      </c>
      <c r="V296" s="29">
        <f t="shared" ca="1" si="163"/>
        <v>2</v>
      </c>
      <c r="W296" s="29">
        <f t="shared" ca="1" si="163"/>
        <v>1</v>
      </c>
      <c r="X296" s="29">
        <f t="shared" ca="1" si="163"/>
        <v>1</v>
      </c>
      <c r="Y296" s="29">
        <f t="shared" ca="1" si="163"/>
        <v>4</v>
      </c>
      <c r="Z296" s="29">
        <f t="shared" ca="1" si="163"/>
        <v>4</v>
      </c>
      <c r="AA296" s="29">
        <f t="shared" ca="1" si="163"/>
        <v>2</v>
      </c>
      <c r="AB296" s="29">
        <f t="shared" ca="1" si="163"/>
        <v>2</v>
      </c>
      <c r="AC296" s="29">
        <f t="shared" ca="1" si="163"/>
        <v>1</v>
      </c>
      <c r="AD296" s="29">
        <f t="shared" ca="1" si="163"/>
        <v>3</v>
      </c>
      <c r="AE296" s="29">
        <f t="shared" ca="1" si="163"/>
        <v>5</v>
      </c>
      <c r="AF296" s="29">
        <f t="shared" ca="1" si="163"/>
        <v>1</v>
      </c>
      <c r="AG296" s="29">
        <f t="shared" ca="1" si="162"/>
        <v>2</v>
      </c>
      <c r="AH296" s="29">
        <f t="shared" ca="1" si="162"/>
        <v>3</v>
      </c>
      <c r="AI296" s="29">
        <f t="shared" ca="1" si="162"/>
        <v>0</v>
      </c>
      <c r="AJ296" s="29">
        <f t="shared" ca="1" si="162"/>
        <v>2</v>
      </c>
      <c r="AK296" s="29">
        <f t="shared" ca="1" si="162"/>
        <v>2</v>
      </c>
      <c r="AL296" s="29">
        <f t="shared" ca="1" si="162"/>
        <v>2</v>
      </c>
      <c r="AM296" s="29">
        <f t="shared" ca="1" si="162"/>
        <v>1</v>
      </c>
      <c r="AN296" s="29">
        <f t="shared" ca="1" si="162"/>
        <v>2</v>
      </c>
      <c r="AO296" s="29">
        <f t="shared" ca="1" si="162"/>
        <v>1</v>
      </c>
      <c r="AP296" s="29">
        <f t="shared" ca="1" si="162"/>
        <v>0</v>
      </c>
      <c r="AQ296" s="29">
        <f t="shared" ca="1" si="162"/>
        <v>5</v>
      </c>
      <c r="AR296" s="29">
        <f t="shared" ca="1" si="162"/>
        <v>5</v>
      </c>
      <c r="AS296" s="29">
        <f t="shared" ca="1" si="162"/>
        <v>4</v>
      </c>
      <c r="AT296" s="29">
        <f t="shared" ca="1" si="162"/>
        <v>3</v>
      </c>
      <c r="AU296" s="29">
        <f t="shared" ca="1" si="162"/>
        <v>2</v>
      </c>
      <c r="AV296" s="29">
        <f t="shared" ca="1" si="165"/>
        <v>2</v>
      </c>
      <c r="AW296" s="29">
        <f t="shared" ca="1" si="165"/>
        <v>1</v>
      </c>
      <c r="AX296" s="29">
        <f t="shared" ca="1" si="165"/>
        <v>2</v>
      </c>
      <c r="AY296" s="29">
        <f t="shared" ca="1" si="165"/>
        <v>1</v>
      </c>
      <c r="AZ296" s="29">
        <f t="shared" ca="1" si="165"/>
        <v>1</v>
      </c>
      <c r="BA296" s="29">
        <f t="shared" ca="1" si="165"/>
        <v>2</v>
      </c>
      <c r="BB296" s="29">
        <f t="shared" ca="1" si="165"/>
        <v>1</v>
      </c>
      <c r="BC296" s="29">
        <f t="shared" ca="1" si="165"/>
        <v>3</v>
      </c>
      <c r="BD296" s="29">
        <f t="shared" ca="1" si="165"/>
        <v>3</v>
      </c>
      <c r="BE296" s="29">
        <f t="shared" ca="1" si="165"/>
        <v>1</v>
      </c>
      <c r="BF296" s="29">
        <f t="shared" ca="1" si="165"/>
        <v>1</v>
      </c>
      <c r="BG296" s="29">
        <f t="shared" ca="1" si="165"/>
        <v>0</v>
      </c>
      <c r="BH296" s="29">
        <f t="shared" ca="1" si="165"/>
        <v>4</v>
      </c>
      <c r="BI296" s="29">
        <f t="shared" ca="1" si="165"/>
        <v>1</v>
      </c>
      <c r="BJ296" s="29">
        <f t="shared" ca="1" si="165"/>
        <v>1</v>
      </c>
      <c r="BK296" s="29">
        <f t="shared" ca="1" si="165"/>
        <v>2</v>
      </c>
      <c r="BL296" s="29">
        <f t="shared" ca="1" si="164"/>
        <v>4</v>
      </c>
      <c r="BM296" s="29">
        <f t="shared" ca="1" si="164"/>
        <v>3</v>
      </c>
      <c r="BN296" s="29">
        <f t="shared" ca="1" si="164"/>
        <v>2</v>
      </c>
      <c r="BO296" s="29">
        <f t="shared" ca="1" si="164"/>
        <v>3</v>
      </c>
      <c r="BP296" s="29">
        <f t="shared" ca="1" si="164"/>
        <v>1</v>
      </c>
      <c r="BQ296" s="29">
        <f t="shared" ca="1" si="164"/>
        <v>2</v>
      </c>
      <c r="BR296" s="29">
        <f t="shared" ca="1" si="164"/>
        <v>2</v>
      </c>
      <c r="BS296" s="29">
        <f t="shared" ca="1" si="164"/>
        <v>1</v>
      </c>
      <c r="BT296" s="29">
        <f t="shared" ca="1" si="164"/>
        <v>2</v>
      </c>
      <c r="BU296" s="29">
        <f t="shared" ca="1" si="164"/>
        <v>3</v>
      </c>
      <c r="BV296" s="29">
        <f t="shared" ca="1" si="164"/>
        <v>1</v>
      </c>
      <c r="BW296" s="29">
        <f t="shared" ca="1" si="164"/>
        <v>2</v>
      </c>
      <c r="BX296" s="29">
        <f t="shared" ca="1" si="164"/>
        <v>3</v>
      </c>
      <c r="BY296" s="29">
        <f t="shared" ca="1" si="164"/>
        <v>1</v>
      </c>
      <c r="BZ296" s="29">
        <f t="shared" ca="1" si="164"/>
        <v>4</v>
      </c>
      <c r="CA296" s="29">
        <f t="shared" ca="1" si="167"/>
        <v>1</v>
      </c>
      <c r="CB296" s="29">
        <f t="shared" ca="1" si="167"/>
        <v>3</v>
      </c>
      <c r="CC296" s="29">
        <f t="shared" ca="1" si="167"/>
        <v>1</v>
      </c>
      <c r="CD296" s="29">
        <f t="shared" ca="1" si="167"/>
        <v>1</v>
      </c>
      <c r="CE296" s="29">
        <f t="shared" ca="1" si="167"/>
        <v>1</v>
      </c>
      <c r="CF296" s="29">
        <f t="shared" ca="1" si="167"/>
        <v>4</v>
      </c>
      <c r="CG296" s="29">
        <f t="shared" ca="1" si="167"/>
        <v>2</v>
      </c>
      <c r="CH296" s="29">
        <f t="shared" ca="1" si="167"/>
        <v>2</v>
      </c>
      <c r="CI296" s="29">
        <f t="shared" ca="1" si="167"/>
        <v>0</v>
      </c>
      <c r="CJ296" s="29">
        <f t="shared" ca="1" si="167"/>
        <v>1</v>
      </c>
      <c r="CK296" s="29">
        <f t="shared" ca="1" si="167"/>
        <v>2</v>
      </c>
      <c r="CL296" s="29">
        <f t="shared" ca="1" si="167"/>
        <v>1</v>
      </c>
      <c r="CM296" s="29">
        <f t="shared" ca="1" si="167"/>
        <v>0</v>
      </c>
      <c r="CN296" s="29">
        <f t="shared" ca="1" si="167"/>
        <v>1</v>
      </c>
      <c r="CO296" s="29">
        <f t="shared" ca="1" si="167"/>
        <v>6</v>
      </c>
      <c r="CP296" s="29">
        <f t="shared" ca="1" si="167"/>
        <v>2</v>
      </c>
      <c r="CQ296" s="29">
        <f t="shared" ca="1" si="166"/>
        <v>2</v>
      </c>
      <c r="CR296" s="29">
        <f t="shared" ca="1" si="166"/>
        <v>5</v>
      </c>
      <c r="CS296" s="29">
        <f t="shared" ca="1" si="166"/>
        <v>9</v>
      </c>
      <c r="CT296" s="29">
        <f t="shared" ca="1" si="166"/>
        <v>3</v>
      </c>
      <c r="CU296" s="29">
        <f t="shared" ca="1" si="166"/>
        <v>1</v>
      </c>
      <c r="CV296" s="29">
        <f t="shared" ca="1" si="166"/>
        <v>3</v>
      </c>
      <c r="CW296" s="29">
        <f t="shared" ca="1" si="166"/>
        <v>1</v>
      </c>
      <c r="CX296" s="29">
        <f t="shared" ca="1" si="166"/>
        <v>0</v>
      </c>
      <c r="CY296" s="29">
        <f t="shared" ca="1" si="166"/>
        <v>3</v>
      </c>
      <c r="CZ296" s="29">
        <f t="shared" ca="1" si="166"/>
        <v>0</v>
      </c>
      <c r="DA296" s="29">
        <f t="shared" ca="1" si="166"/>
        <v>1</v>
      </c>
      <c r="DB296" s="29">
        <f t="shared" ca="1" si="166"/>
        <v>3</v>
      </c>
      <c r="DC296" s="29">
        <f t="shared" ca="1" si="166"/>
        <v>1</v>
      </c>
      <c r="DD296" s="29">
        <f t="shared" ca="1" si="166"/>
        <v>4</v>
      </c>
      <c r="DE296" s="29">
        <f t="shared" ca="1" si="166"/>
        <v>2</v>
      </c>
      <c r="DF296" s="29">
        <f t="shared" ca="1" si="159"/>
        <v>2</v>
      </c>
      <c r="DG296" s="29">
        <f t="shared" ca="1" si="159"/>
        <v>3</v>
      </c>
      <c r="DH296" s="29">
        <f t="shared" ca="1" si="159"/>
        <v>5</v>
      </c>
      <c r="DI296" s="29">
        <f t="shared" ca="1" si="159"/>
        <v>1</v>
      </c>
      <c r="DJ296" s="29">
        <f t="shared" ca="1" si="159"/>
        <v>3</v>
      </c>
      <c r="DK296" s="29">
        <f t="shared" ca="1" si="159"/>
        <v>2</v>
      </c>
      <c r="DL296" s="29">
        <f t="shared" ca="1" si="159"/>
        <v>3</v>
      </c>
    </row>
    <row r="297" spans="1:116" ht="14.4" x14ac:dyDescent="0.3">
      <c r="A297" s="31">
        <v>361</v>
      </c>
      <c r="B297" s="28">
        <v>5.2</v>
      </c>
      <c r="C297" s="30">
        <v>6.11</v>
      </c>
      <c r="D297" s="28">
        <v>1.42</v>
      </c>
      <c r="E297" s="34">
        <f t="shared" si="145"/>
        <v>2.8399999999999998E-2</v>
      </c>
      <c r="F297" s="35">
        <f t="shared" si="146"/>
        <v>1.5275000000000001</v>
      </c>
      <c r="G297" s="34">
        <f t="shared" si="147"/>
        <v>35.5</v>
      </c>
      <c r="H297" s="33">
        <f t="shared" si="148"/>
        <v>6.5331730769230765</v>
      </c>
      <c r="I297" s="28">
        <f t="shared" si="151"/>
        <v>1109.5900000000004</v>
      </c>
      <c r="J297" s="32">
        <v>0</v>
      </c>
      <c r="K297" s="30">
        <f t="shared" si="149"/>
        <v>35.5</v>
      </c>
      <c r="L297" s="30"/>
      <c r="M297" s="30"/>
      <c r="N297" s="30"/>
      <c r="O297" s="30"/>
      <c r="Q297" s="29">
        <f t="shared" ca="1" si="150"/>
        <v>1</v>
      </c>
      <c r="R297" s="29">
        <f t="shared" ca="1" si="163"/>
        <v>2</v>
      </c>
      <c r="S297" s="29">
        <f t="shared" ca="1" si="163"/>
        <v>2</v>
      </c>
      <c r="T297" s="29">
        <f t="shared" ca="1" si="163"/>
        <v>0</v>
      </c>
      <c r="U297" s="29">
        <f t="shared" ca="1" si="163"/>
        <v>3</v>
      </c>
      <c r="V297" s="29">
        <f t="shared" ca="1" si="163"/>
        <v>1</v>
      </c>
      <c r="W297" s="29">
        <f t="shared" ca="1" si="163"/>
        <v>1</v>
      </c>
      <c r="X297" s="29">
        <f t="shared" ca="1" si="163"/>
        <v>0</v>
      </c>
      <c r="Y297" s="29">
        <f t="shared" ca="1" si="163"/>
        <v>2</v>
      </c>
      <c r="Z297" s="29">
        <f t="shared" ca="1" si="163"/>
        <v>1</v>
      </c>
      <c r="AA297" s="29">
        <f t="shared" ca="1" si="163"/>
        <v>1</v>
      </c>
      <c r="AB297" s="29">
        <f t="shared" ca="1" si="163"/>
        <v>2</v>
      </c>
      <c r="AC297" s="29">
        <f t="shared" ca="1" si="163"/>
        <v>1</v>
      </c>
      <c r="AD297" s="29">
        <f t="shared" ca="1" si="163"/>
        <v>2</v>
      </c>
      <c r="AE297" s="29">
        <f t="shared" ca="1" si="163"/>
        <v>1</v>
      </c>
      <c r="AF297" s="29">
        <f t="shared" ref="AF297:AU312" ca="1" si="168">_xlfn.BINOM.INV(50,$E297,RAND())</f>
        <v>1</v>
      </c>
      <c r="AG297" s="29">
        <f t="shared" ca="1" si="168"/>
        <v>4</v>
      </c>
      <c r="AH297" s="29">
        <f t="shared" ca="1" si="168"/>
        <v>1</v>
      </c>
      <c r="AI297" s="29">
        <f t="shared" ca="1" si="168"/>
        <v>3</v>
      </c>
      <c r="AJ297" s="29">
        <f t="shared" ca="1" si="168"/>
        <v>2</v>
      </c>
      <c r="AK297" s="29">
        <f t="shared" ca="1" si="168"/>
        <v>1</v>
      </c>
      <c r="AL297" s="29">
        <f t="shared" ca="1" si="168"/>
        <v>0</v>
      </c>
      <c r="AM297" s="29">
        <f t="shared" ca="1" si="168"/>
        <v>1</v>
      </c>
      <c r="AN297" s="29">
        <f t="shared" ca="1" si="168"/>
        <v>1</v>
      </c>
      <c r="AO297" s="29">
        <f t="shared" ca="1" si="168"/>
        <v>1</v>
      </c>
      <c r="AP297" s="29">
        <f t="shared" ca="1" si="168"/>
        <v>2</v>
      </c>
      <c r="AQ297" s="29">
        <f t="shared" ca="1" si="168"/>
        <v>0</v>
      </c>
      <c r="AR297" s="29">
        <f t="shared" ca="1" si="168"/>
        <v>3</v>
      </c>
      <c r="AS297" s="29">
        <f t="shared" ca="1" si="168"/>
        <v>0</v>
      </c>
      <c r="AT297" s="29">
        <f t="shared" ca="1" si="168"/>
        <v>2</v>
      </c>
      <c r="AU297" s="29">
        <f t="shared" ca="1" si="168"/>
        <v>0</v>
      </c>
      <c r="AV297" s="29">
        <f t="shared" ca="1" si="165"/>
        <v>1</v>
      </c>
      <c r="AW297" s="29">
        <f t="shared" ca="1" si="165"/>
        <v>2</v>
      </c>
      <c r="AX297" s="29">
        <f t="shared" ca="1" si="165"/>
        <v>4</v>
      </c>
      <c r="AY297" s="29">
        <f t="shared" ca="1" si="165"/>
        <v>2</v>
      </c>
      <c r="AZ297" s="29">
        <f t="shared" ca="1" si="165"/>
        <v>3</v>
      </c>
      <c r="BA297" s="29">
        <f t="shared" ca="1" si="165"/>
        <v>0</v>
      </c>
      <c r="BB297" s="29">
        <f t="shared" ca="1" si="165"/>
        <v>2</v>
      </c>
      <c r="BC297" s="29">
        <f t="shared" ca="1" si="165"/>
        <v>2</v>
      </c>
      <c r="BD297" s="29">
        <f t="shared" ca="1" si="165"/>
        <v>0</v>
      </c>
      <c r="BE297" s="29">
        <f t="shared" ca="1" si="165"/>
        <v>0</v>
      </c>
      <c r="BF297" s="29">
        <f t="shared" ca="1" si="165"/>
        <v>1</v>
      </c>
      <c r="BG297" s="29">
        <f t="shared" ca="1" si="165"/>
        <v>1</v>
      </c>
      <c r="BH297" s="29">
        <f t="shared" ca="1" si="165"/>
        <v>1</v>
      </c>
      <c r="BI297" s="29">
        <f t="shared" ca="1" si="165"/>
        <v>0</v>
      </c>
      <c r="BJ297" s="29">
        <f t="shared" ca="1" si="165"/>
        <v>1</v>
      </c>
      <c r="BK297" s="29">
        <f t="shared" ca="1" si="165"/>
        <v>1</v>
      </c>
      <c r="BL297" s="29">
        <f t="shared" ca="1" si="164"/>
        <v>1</v>
      </c>
      <c r="BM297" s="29">
        <f t="shared" ca="1" si="164"/>
        <v>1</v>
      </c>
      <c r="BN297" s="29">
        <f t="shared" ca="1" si="164"/>
        <v>2</v>
      </c>
      <c r="BO297" s="29">
        <f t="shared" ca="1" si="164"/>
        <v>1</v>
      </c>
      <c r="BP297" s="29">
        <f t="shared" ca="1" si="164"/>
        <v>0</v>
      </c>
      <c r="BQ297" s="29">
        <f t="shared" ca="1" si="164"/>
        <v>2</v>
      </c>
      <c r="BR297" s="29">
        <f t="shared" ca="1" si="164"/>
        <v>2</v>
      </c>
      <c r="BS297" s="29">
        <f t="shared" ca="1" si="164"/>
        <v>2</v>
      </c>
      <c r="BT297" s="29">
        <f t="shared" ca="1" si="164"/>
        <v>3</v>
      </c>
      <c r="BU297" s="29">
        <f t="shared" ca="1" si="164"/>
        <v>1</v>
      </c>
      <c r="BV297" s="29">
        <f t="shared" ca="1" si="164"/>
        <v>0</v>
      </c>
      <c r="BW297" s="29">
        <f t="shared" ca="1" si="164"/>
        <v>1</v>
      </c>
      <c r="BX297" s="29">
        <f t="shared" ca="1" si="164"/>
        <v>0</v>
      </c>
      <c r="BY297" s="29">
        <f t="shared" ca="1" si="164"/>
        <v>1</v>
      </c>
      <c r="BZ297" s="29">
        <f t="shared" ca="1" si="164"/>
        <v>1</v>
      </c>
      <c r="CA297" s="29">
        <f t="shared" ca="1" si="167"/>
        <v>0</v>
      </c>
      <c r="CB297" s="29">
        <f t="shared" ca="1" si="167"/>
        <v>0</v>
      </c>
      <c r="CC297" s="29">
        <f t="shared" ca="1" si="167"/>
        <v>0</v>
      </c>
      <c r="CD297" s="29">
        <f t="shared" ca="1" si="167"/>
        <v>4</v>
      </c>
      <c r="CE297" s="29">
        <f t="shared" ca="1" si="167"/>
        <v>3</v>
      </c>
      <c r="CF297" s="29">
        <f t="shared" ca="1" si="167"/>
        <v>0</v>
      </c>
      <c r="CG297" s="29">
        <f t="shared" ca="1" si="167"/>
        <v>1</v>
      </c>
      <c r="CH297" s="29">
        <f t="shared" ca="1" si="167"/>
        <v>0</v>
      </c>
      <c r="CI297" s="29">
        <f t="shared" ca="1" si="167"/>
        <v>2</v>
      </c>
      <c r="CJ297" s="29">
        <f t="shared" ca="1" si="167"/>
        <v>1</v>
      </c>
      <c r="CK297" s="29">
        <f t="shared" ca="1" si="167"/>
        <v>1</v>
      </c>
      <c r="CL297" s="29">
        <f t="shared" ca="1" si="167"/>
        <v>2</v>
      </c>
      <c r="CM297" s="29">
        <f t="shared" ca="1" si="167"/>
        <v>2</v>
      </c>
      <c r="CN297" s="29">
        <f t="shared" ca="1" si="167"/>
        <v>1</v>
      </c>
      <c r="CO297" s="29">
        <f t="shared" ca="1" si="167"/>
        <v>1</v>
      </c>
      <c r="CP297" s="29">
        <f t="shared" ca="1" si="167"/>
        <v>1</v>
      </c>
      <c r="CQ297" s="29">
        <f t="shared" ca="1" si="166"/>
        <v>1</v>
      </c>
      <c r="CR297" s="29">
        <f t="shared" ca="1" si="166"/>
        <v>0</v>
      </c>
      <c r="CS297" s="29">
        <f t="shared" ca="1" si="166"/>
        <v>0</v>
      </c>
      <c r="CT297" s="29">
        <f t="shared" ca="1" si="166"/>
        <v>0</v>
      </c>
      <c r="CU297" s="29">
        <f t="shared" ca="1" si="166"/>
        <v>0</v>
      </c>
      <c r="CV297" s="29">
        <f t="shared" ca="1" si="166"/>
        <v>0</v>
      </c>
      <c r="CW297" s="29">
        <f t="shared" ca="1" si="166"/>
        <v>1</v>
      </c>
      <c r="CX297" s="29">
        <f t="shared" ca="1" si="166"/>
        <v>5</v>
      </c>
      <c r="CY297" s="29">
        <f t="shared" ca="1" si="166"/>
        <v>1</v>
      </c>
      <c r="CZ297" s="29">
        <f t="shared" ca="1" si="166"/>
        <v>0</v>
      </c>
      <c r="DA297" s="29">
        <f t="shared" ca="1" si="166"/>
        <v>3</v>
      </c>
      <c r="DB297" s="29">
        <f t="shared" ca="1" si="166"/>
        <v>2</v>
      </c>
      <c r="DC297" s="29">
        <f t="shared" ca="1" si="166"/>
        <v>2</v>
      </c>
      <c r="DD297" s="29">
        <f t="shared" ca="1" si="166"/>
        <v>4</v>
      </c>
      <c r="DE297" s="29">
        <f t="shared" ca="1" si="166"/>
        <v>4</v>
      </c>
      <c r="DF297" s="29">
        <f t="shared" ca="1" si="159"/>
        <v>0</v>
      </c>
      <c r="DG297" s="29">
        <f t="shared" ca="1" si="159"/>
        <v>0</v>
      </c>
      <c r="DH297" s="29">
        <f t="shared" ca="1" si="159"/>
        <v>2</v>
      </c>
      <c r="DI297" s="29">
        <f t="shared" ca="1" si="159"/>
        <v>1</v>
      </c>
      <c r="DJ297" s="29">
        <f t="shared" ca="1" si="159"/>
        <v>5</v>
      </c>
      <c r="DK297" s="29">
        <f t="shared" ca="1" si="159"/>
        <v>2</v>
      </c>
      <c r="DL297" s="29">
        <f t="shared" ca="1" si="159"/>
        <v>2</v>
      </c>
    </row>
    <row r="298" spans="1:116" ht="14.4" x14ac:dyDescent="0.3">
      <c r="A298" s="31">
        <v>530</v>
      </c>
      <c r="B298" s="28">
        <v>2.21</v>
      </c>
      <c r="C298" s="30">
        <v>4.4800000000000004</v>
      </c>
      <c r="D298" s="28">
        <v>0.62</v>
      </c>
      <c r="E298" s="34">
        <f t="shared" si="145"/>
        <v>1.24E-2</v>
      </c>
      <c r="F298" s="35">
        <f t="shared" si="146"/>
        <v>1.1200000000000001</v>
      </c>
      <c r="G298" s="34">
        <f t="shared" si="147"/>
        <v>15.5</v>
      </c>
      <c r="H298" s="33">
        <f t="shared" si="148"/>
        <v>6.5067873303167421</v>
      </c>
      <c r="I298" s="28">
        <f t="shared" si="151"/>
        <v>1111.8000000000004</v>
      </c>
      <c r="J298" s="32">
        <v>0</v>
      </c>
      <c r="K298" s="30">
        <f t="shared" si="149"/>
        <v>15.5</v>
      </c>
      <c r="L298" s="30"/>
      <c r="M298" s="30"/>
      <c r="N298" s="30"/>
      <c r="O298" s="30"/>
      <c r="Q298" s="29">
        <f t="shared" ca="1" si="150"/>
        <v>2</v>
      </c>
      <c r="R298" s="29">
        <f t="shared" ref="R298:AF313" ca="1" si="169">_xlfn.BINOM.INV(50,$E298,RAND())</f>
        <v>0</v>
      </c>
      <c r="S298" s="29">
        <f t="shared" ca="1" si="169"/>
        <v>0</v>
      </c>
      <c r="T298" s="29">
        <f t="shared" ca="1" si="169"/>
        <v>0</v>
      </c>
      <c r="U298" s="29">
        <f t="shared" ca="1" si="169"/>
        <v>0</v>
      </c>
      <c r="V298" s="29">
        <f t="shared" ca="1" si="169"/>
        <v>0</v>
      </c>
      <c r="W298" s="29">
        <f t="shared" ca="1" si="169"/>
        <v>0</v>
      </c>
      <c r="X298" s="29">
        <f t="shared" ca="1" si="169"/>
        <v>0</v>
      </c>
      <c r="Y298" s="29">
        <f t="shared" ca="1" si="169"/>
        <v>0</v>
      </c>
      <c r="Z298" s="29">
        <f t="shared" ca="1" si="169"/>
        <v>0</v>
      </c>
      <c r="AA298" s="29">
        <f t="shared" ca="1" si="169"/>
        <v>0</v>
      </c>
      <c r="AB298" s="29">
        <f t="shared" ca="1" si="169"/>
        <v>0</v>
      </c>
      <c r="AC298" s="29">
        <f t="shared" ca="1" si="169"/>
        <v>1</v>
      </c>
      <c r="AD298" s="29">
        <f t="shared" ca="1" si="169"/>
        <v>1</v>
      </c>
      <c r="AE298" s="29">
        <f t="shared" ca="1" si="169"/>
        <v>0</v>
      </c>
      <c r="AF298" s="29">
        <f t="shared" ca="1" si="169"/>
        <v>2</v>
      </c>
      <c r="AG298" s="29">
        <f t="shared" ca="1" si="168"/>
        <v>0</v>
      </c>
      <c r="AH298" s="29">
        <f t="shared" ca="1" si="168"/>
        <v>1</v>
      </c>
      <c r="AI298" s="29">
        <f t="shared" ca="1" si="168"/>
        <v>0</v>
      </c>
      <c r="AJ298" s="29">
        <f t="shared" ca="1" si="168"/>
        <v>0</v>
      </c>
      <c r="AK298" s="29">
        <f t="shared" ca="1" si="168"/>
        <v>0</v>
      </c>
      <c r="AL298" s="29">
        <f t="shared" ca="1" si="168"/>
        <v>1</v>
      </c>
      <c r="AM298" s="29">
        <f t="shared" ca="1" si="168"/>
        <v>0</v>
      </c>
      <c r="AN298" s="29">
        <f t="shared" ca="1" si="168"/>
        <v>0</v>
      </c>
      <c r="AO298" s="29">
        <f t="shared" ca="1" si="168"/>
        <v>0</v>
      </c>
      <c r="AP298" s="29">
        <f t="shared" ca="1" si="168"/>
        <v>0</v>
      </c>
      <c r="AQ298" s="29">
        <f t="shared" ca="1" si="168"/>
        <v>0</v>
      </c>
      <c r="AR298" s="29">
        <f t="shared" ca="1" si="168"/>
        <v>0</v>
      </c>
      <c r="AS298" s="29">
        <f t="shared" ca="1" si="168"/>
        <v>2</v>
      </c>
      <c r="AT298" s="29">
        <f t="shared" ca="1" si="168"/>
        <v>0</v>
      </c>
      <c r="AU298" s="29">
        <f t="shared" ca="1" si="168"/>
        <v>2</v>
      </c>
      <c r="AV298" s="29">
        <f t="shared" ca="1" si="165"/>
        <v>0</v>
      </c>
      <c r="AW298" s="29">
        <f t="shared" ca="1" si="165"/>
        <v>2</v>
      </c>
      <c r="AX298" s="29">
        <f t="shared" ca="1" si="165"/>
        <v>2</v>
      </c>
      <c r="AY298" s="29">
        <f t="shared" ca="1" si="165"/>
        <v>1</v>
      </c>
      <c r="AZ298" s="29">
        <f t="shared" ca="1" si="165"/>
        <v>0</v>
      </c>
      <c r="BA298" s="29">
        <f t="shared" ca="1" si="165"/>
        <v>0</v>
      </c>
      <c r="BB298" s="29">
        <f t="shared" ca="1" si="165"/>
        <v>0</v>
      </c>
      <c r="BC298" s="29">
        <f t="shared" ca="1" si="165"/>
        <v>1</v>
      </c>
      <c r="BD298" s="29">
        <f t="shared" ca="1" si="165"/>
        <v>0</v>
      </c>
      <c r="BE298" s="29">
        <f t="shared" ca="1" si="165"/>
        <v>2</v>
      </c>
      <c r="BF298" s="29">
        <f t="shared" ca="1" si="165"/>
        <v>1</v>
      </c>
      <c r="BG298" s="29">
        <f t="shared" ca="1" si="165"/>
        <v>1</v>
      </c>
      <c r="BH298" s="29">
        <f t="shared" ca="1" si="165"/>
        <v>1</v>
      </c>
      <c r="BI298" s="29">
        <f t="shared" ca="1" si="165"/>
        <v>1</v>
      </c>
      <c r="BJ298" s="29">
        <f t="shared" ca="1" si="165"/>
        <v>0</v>
      </c>
      <c r="BK298" s="29">
        <f t="shared" ca="1" si="165"/>
        <v>3</v>
      </c>
      <c r="BL298" s="29">
        <f t="shared" ca="1" si="164"/>
        <v>0</v>
      </c>
      <c r="BM298" s="29">
        <f t="shared" ca="1" si="164"/>
        <v>0</v>
      </c>
      <c r="BN298" s="29">
        <f t="shared" ca="1" si="164"/>
        <v>1</v>
      </c>
      <c r="BO298" s="29">
        <f t="shared" ca="1" si="164"/>
        <v>0</v>
      </c>
      <c r="BP298" s="29">
        <f t="shared" ca="1" si="164"/>
        <v>0</v>
      </c>
      <c r="BQ298" s="29">
        <f t="shared" ca="1" si="164"/>
        <v>1</v>
      </c>
      <c r="BR298" s="29">
        <f t="shared" ca="1" si="164"/>
        <v>1</v>
      </c>
      <c r="BS298" s="29">
        <f t="shared" ca="1" si="164"/>
        <v>0</v>
      </c>
      <c r="BT298" s="29">
        <f t="shared" ca="1" si="164"/>
        <v>0</v>
      </c>
      <c r="BU298" s="29">
        <f t="shared" ca="1" si="164"/>
        <v>0</v>
      </c>
      <c r="BV298" s="29">
        <f t="shared" ca="1" si="164"/>
        <v>3</v>
      </c>
      <c r="BW298" s="29">
        <f t="shared" ca="1" si="164"/>
        <v>0</v>
      </c>
      <c r="BX298" s="29">
        <f t="shared" ca="1" si="164"/>
        <v>0</v>
      </c>
      <c r="BY298" s="29">
        <f t="shared" ca="1" si="164"/>
        <v>3</v>
      </c>
      <c r="BZ298" s="29">
        <f t="shared" ca="1" si="164"/>
        <v>0</v>
      </c>
      <c r="CA298" s="29">
        <f t="shared" ca="1" si="167"/>
        <v>2</v>
      </c>
      <c r="CB298" s="29">
        <f t="shared" ca="1" si="167"/>
        <v>2</v>
      </c>
      <c r="CC298" s="29">
        <f t="shared" ca="1" si="167"/>
        <v>3</v>
      </c>
      <c r="CD298" s="29">
        <f t="shared" ca="1" si="167"/>
        <v>1</v>
      </c>
      <c r="CE298" s="29">
        <f t="shared" ca="1" si="167"/>
        <v>2</v>
      </c>
      <c r="CF298" s="29">
        <f t="shared" ca="1" si="167"/>
        <v>0</v>
      </c>
      <c r="CG298" s="29">
        <f t="shared" ca="1" si="167"/>
        <v>0</v>
      </c>
      <c r="CH298" s="29">
        <f t="shared" ca="1" si="167"/>
        <v>0</v>
      </c>
      <c r="CI298" s="29">
        <f t="shared" ca="1" si="167"/>
        <v>0</v>
      </c>
      <c r="CJ298" s="29">
        <f t="shared" ca="1" si="167"/>
        <v>1</v>
      </c>
      <c r="CK298" s="29">
        <f t="shared" ca="1" si="167"/>
        <v>2</v>
      </c>
      <c r="CL298" s="29">
        <f t="shared" ca="1" si="167"/>
        <v>2</v>
      </c>
      <c r="CM298" s="29">
        <f t="shared" ca="1" si="167"/>
        <v>0</v>
      </c>
      <c r="CN298" s="29">
        <f t="shared" ca="1" si="167"/>
        <v>1</v>
      </c>
      <c r="CO298" s="29">
        <f t="shared" ca="1" si="167"/>
        <v>0</v>
      </c>
      <c r="CP298" s="29">
        <f t="shared" ca="1" si="167"/>
        <v>0</v>
      </c>
      <c r="CQ298" s="29">
        <f t="shared" ca="1" si="166"/>
        <v>0</v>
      </c>
      <c r="CR298" s="29">
        <f t="shared" ca="1" si="166"/>
        <v>1</v>
      </c>
      <c r="CS298" s="29">
        <f t="shared" ca="1" si="166"/>
        <v>2</v>
      </c>
      <c r="CT298" s="29">
        <f t="shared" ca="1" si="166"/>
        <v>2</v>
      </c>
      <c r="CU298" s="29">
        <f t="shared" ca="1" si="166"/>
        <v>0</v>
      </c>
      <c r="CV298" s="29">
        <f t="shared" ca="1" si="166"/>
        <v>0</v>
      </c>
      <c r="CW298" s="29">
        <f t="shared" ca="1" si="166"/>
        <v>0</v>
      </c>
      <c r="CX298" s="29">
        <f t="shared" ca="1" si="166"/>
        <v>0</v>
      </c>
      <c r="CY298" s="29">
        <f t="shared" ca="1" si="166"/>
        <v>0</v>
      </c>
      <c r="CZ298" s="29">
        <f t="shared" ca="1" si="166"/>
        <v>1</v>
      </c>
      <c r="DA298" s="29">
        <f t="shared" ca="1" si="166"/>
        <v>1</v>
      </c>
      <c r="DB298" s="29">
        <f t="shared" ca="1" si="166"/>
        <v>0</v>
      </c>
      <c r="DC298" s="29">
        <f t="shared" ca="1" si="166"/>
        <v>1</v>
      </c>
      <c r="DD298" s="29">
        <f t="shared" ca="1" si="166"/>
        <v>0</v>
      </c>
      <c r="DE298" s="29">
        <f t="shared" ca="1" si="166"/>
        <v>0</v>
      </c>
      <c r="DF298" s="29">
        <f t="shared" ca="1" si="159"/>
        <v>0</v>
      </c>
      <c r="DG298" s="29">
        <f t="shared" ca="1" si="159"/>
        <v>1</v>
      </c>
      <c r="DH298" s="29">
        <f t="shared" ca="1" si="159"/>
        <v>0</v>
      </c>
      <c r="DI298" s="29">
        <f t="shared" ca="1" si="159"/>
        <v>0</v>
      </c>
      <c r="DJ298" s="29">
        <f t="shared" ca="1" si="159"/>
        <v>2</v>
      </c>
      <c r="DK298" s="29">
        <f t="shared" ca="1" si="159"/>
        <v>0</v>
      </c>
      <c r="DL298" s="29">
        <f t="shared" ca="1" si="159"/>
        <v>1</v>
      </c>
    </row>
    <row r="299" spans="1:116" ht="14.4" x14ac:dyDescent="0.3">
      <c r="A299" s="31">
        <v>664</v>
      </c>
      <c r="B299" s="28">
        <v>8.93</v>
      </c>
      <c r="C299" s="30">
        <v>78.27</v>
      </c>
      <c r="D299" s="28">
        <v>3.1</v>
      </c>
      <c r="E299" s="34">
        <f t="shared" si="145"/>
        <v>6.2E-2</v>
      </c>
      <c r="F299" s="35">
        <f t="shared" si="146"/>
        <v>19.567499999999999</v>
      </c>
      <c r="G299" s="34">
        <f t="shared" si="147"/>
        <v>77.5</v>
      </c>
      <c r="H299" s="33">
        <f t="shared" si="148"/>
        <v>6.4874020156774925</v>
      </c>
      <c r="I299" s="28">
        <f t="shared" si="151"/>
        <v>1120.7300000000005</v>
      </c>
      <c r="J299" s="32">
        <v>0</v>
      </c>
      <c r="K299" s="30">
        <f t="shared" si="149"/>
        <v>77.5</v>
      </c>
      <c r="L299" s="30"/>
      <c r="M299" s="30"/>
      <c r="N299" s="30"/>
      <c r="O299" s="30"/>
      <c r="Q299" s="29">
        <f t="shared" ca="1" si="150"/>
        <v>2</v>
      </c>
      <c r="R299" s="29">
        <f t="shared" ca="1" si="169"/>
        <v>2</v>
      </c>
      <c r="S299" s="29">
        <f t="shared" ca="1" si="169"/>
        <v>2</v>
      </c>
      <c r="T299" s="29">
        <f t="shared" ca="1" si="169"/>
        <v>1</v>
      </c>
      <c r="U299" s="29">
        <f t="shared" ca="1" si="169"/>
        <v>4</v>
      </c>
      <c r="V299" s="29">
        <f t="shared" ca="1" si="169"/>
        <v>7</v>
      </c>
      <c r="W299" s="29">
        <f t="shared" ca="1" si="169"/>
        <v>3</v>
      </c>
      <c r="X299" s="29">
        <f t="shared" ca="1" si="169"/>
        <v>5</v>
      </c>
      <c r="Y299" s="29">
        <f t="shared" ca="1" si="169"/>
        <v>1</v>
      </c>
      <c r="Z299" s="29">
        <f t="shared" ca="1" si="169"/>
        <v>4</v>
      </c>
      <c r="AA299" s="29">
        <f t="shared" ca="1" si="169"/>
        <v>5</v>
      </c>
      <c r="AB299" s="29">
        <f t="shared" ca="1" si="169"/>
        <v>3</v>
      </c>
      <c r="AC299" s="29">
        <f t="shared" ca="1" si="169"/>
        <v>5</v>
      </c>
      <c r="AD299" s="29">
        <f t="shared" ca="1" si="169"/>
        <v>5</v>
      </c>
      <c r="AE299" s="29">
        <f t="shared" ca="1" si="169"/>
        <v>1</v>
      </c>
      <c r="AF299" s="29">
        <f t="shared" ca="1" si="169"/>
        <v>4</v>
      </c>
      <c r="AG299" s="29">
        <f t="shared" ca="1" si="168"/>
        <v>2</v>
      </c>
      <c r="AH299" s="29">
        <f t="shared" ca="1" si="168"/>
        <v>4</v>
      </c>
      <c r="AI299" s="29">
        <f t="shared" ca="1" si="168"/>
        <v>4</v>
      </c>
      <c r="AJ299" s="29">
        <f t="shared" ca="1" si="168"/>
        <v>3</v>
      </c>
      <c r="AK299" s="29">
        <f t="shared" ca="1" si="168"/>
        <v>4</v>
      </c>
      <c r="AL299" s="29">
        <f t="shared" ca="1" si="168"/>
        <v>4</v>
      </c>
      <c r="AM299" s="29">
        <f t="shared" ca="1" si="168"/>
        <v>2</v>
      </c>
      <c r="AN299" s="29">
        <f t="shared" ca="1" si="168"/>
        <v>3</v>
      </c>
      <c r="AO299" s="29">
        <f t="shared" ca="1" si="168"/>
        <v>5</v>
      </c>
      <c r="AP299" s="29">
        <f t="shared" ca="1" si="168"/>
        <v>2</v>
      </c>
      <c r="AQ299" s="29">
        <f t="shared" ca="1" si="168"/>
        <v>6</v>
      </c>
      <c r="AR299" s="29">
        <f t="shared" ca="1" si="168"/>
        <v>3</v>
      </c>
      <c r="AS299" s="29">
        <f t="shared" ca="1" si="168"/>
        <v>2</v>
      </c>
      <c r="AT299" s="29">
        <f t="shared" ca="1" si="168"/>
        <v>4</v>
      </c>
      <c r="AU299" s="29">
        <f t="shared" ca="1" si="168"/>
        <v>3</v>
      </c>
      <c r="AV299" s="29">
        <f t="shared" ca="1" si="165"/>
        <v>5</v>
      </c>
      <c r="AW299" s="29">
        <f t="shared" ca="1" si="165"/>
        <v>1</v>
      </c>
      <c r="AX299" s="29">
        <f t="shared" ca="1" si="165"/>
        <v>2</v>
      </c>
      <c r="AY299" s="29">
        <f t="shared" ca="1" si="165"/>
        <v>6</v>
      </c>
      <c r="AZ299" s="29">
        <f t="shared" ca="1" si="165"/>
        <v>3</v>
      </c>
      <c r="BA299" s="29">
        <f t="shared" ca="1" si="165"/>
        <v>5</v>
      </c>
      <c r="BB299" s="29">
        <f t="shared" ca="1" si="165"/>
        <v>5</v>
      </c>
      <c r="BC299" s="29">
        <f t="shared" ca="1" si="165"/>
        <v>7</v>
      </c>
      <c r="BD299" s="29">
        <f t="shared" ca="1" si="165"/>
        <v>5</v>
      </c>
      <c r="BE299" s="29">
        <f t="shared" ca="1" si="165"/>
        <v>5</v>
      </c>
      <c r="BF299" s="29">
        <f t="shared" ca="1" si="165"/>
        <v>4</v>
      </c>
      <c r="BG299" s="29">
        <f t="shared" ca="1" si="165"/>
        <v>4</v>
      </c>
      <c r="BH299" s="29">
        <f t="shared" ca="1" si="165"/>
        <v>7</v>
      </c>
      <c r="BI299" s="29">
        <f t="shared" ca="1" si="165"/>
        <v>2</v>
      </c>
      <c r="BJ299" s="29">
        <f t="shared" ca="1" si="165"/>
        <v>3</v>
      </c>
      <c r="BK299" s="29">
        <f t="shared" ca="1" si="165"/>
        <v>1</v>
      </c>
      <c r="BL299" s="29">
        <f t="shared" ca="1" si="164"/>
        <v>3</v>
      </c>
      <c r="BM299" s="29">
        <f t="shared" ca="1" si="164"/>
        <v>3</v>
      </c>
      <c r="BN299" s="29">
        <f t="shared" ca="1" si="164"/>
        <v>6</v>
      </c>
      <c r="BO299" s="29">
        <f t="shared" ca="1" si="164"/>
        <v>3</v>
      </c>
      <c r="BP299" s="29">
        <f t="shared" ca="1" si="164"/>
        <v>3</v>
      </c>
      <c r="BQ299" s="29">
        <f t="shared" ca="1" si="164"/>
        <v>5</v>
      </c>
      <c r="BR299" s="29">
        <f t="shared" ca="1" si="164"/>
        <v>1</v>
      </c>
      <c r="BS299" s="29">
        <f t="shared" ca="1" si="164"/>
        <v>2</v>
      </c>
      <c r="BT299" s="29">
        <f t="shared" ca="1" si="164"/>
        <v>4</v>
      </c>
      <c r="BU299" s="29">
        <f t="shared" ca="1" si="164"/>
        <v>1</v>
      </c>
      <c r="BV299" s="29">
        <f t="shared" ca="1" si="164"/>
        <v>1</v>
      </c>
      <c r="BW299" s="29">
        <f t="shared" ca="1" si="164"/>
        <v>3</v>
      </c>
      <c r="BX299" s="29">
        <f t="shared" ca="1" si="164"/>
        <v>2</v>
      </c>
      <c r="BY299" s="29">
        <f t="shared" ca="1" si="164"/>
        <v>1</v>
      </c>
      <c r="BZ299" s="29">
        <f t="shared" ca="1" si="164"/>
        <v>1</v>
      </c>
      <c r="CA299" s="29">
        <f t="shared" ca="1" si="167"/>
        <v>3</v>
      </c>
      <c r="CB299" s="29">
        <f t="shared" ca="1" si="167"/>
        <v>2</v>
      </c>
      <c r="CC299" s="29">
        <f t="shared" ca="1" si="167"/>
        <v>4</v>
      </c>
      <c r="CD299" s="29">
        <f t="shared" ca="1" si="167"/>
        <v>5</v>
      </c>
      <c r="CE299" s="29">
        <f t="shared" ca="1" si="167"/>
        <v>2</v>
      </c>
      <c r="CF299" s="29">
        <f t="shared" ca="1" si="167"/>
        <v>4</v>
      </c>
      <c r="CG299" s="29">
        <f t="shared" ca="1" si="167"/>
        <v>4</v>
      </c>
      <c r="CH299" s="29">
        <f t="shared" ca="1" si="167"/>
        <v>4</v>
      </c>
      <c r="CI299" s="29">
        <f t="shared" ca="1" si="167"/>
        <v>3</v>
      </c>
      <c r="CJ299" s="29">
        <f t="shared" ca="1" si="167"/>
        <v>5</v>
      </c>
      <c r="CK299" s="29">
        <f t="shared" ca="1" si="167"/>
        <v>1</v>
      </c>
      <c r="CL299" s="29">
        <f t="shared" ca="1" si="167"/>
        <v>4</v>
      </c>
      <c r="CM299" s="29">
        <f t="shared" ca="1" si="167"/>
        <v>2</v>
      </c>
      <c r="CN299" s="29">
        <f t="shared" ca="1" si="167"/>
        <v>3</v>
      </c>
      <c r="CO299" s="29">
        <f t="shared" ca="1" si="167"/>
        <v>4</v>
      </c>
      <c r="CP299" s="29">
        <f t="shared" ca="1" si="167"/>
        <v>1</v>
      </c>
      <c r="CQ299" s="29">
        <f t="shared" ca="1" si="166"/>
        <v>4</v>
      </c>
      <c r="CR299" s="29">
        <f t="shared" ca="1" si="166"/>
        <v>1</v>
      </c>
      <c r="CS299" s="29">
        <f t="shared" ca="1" si="166"/>
        <v>2</v>
      </c>
      <c r="CT299" s="29">
        <f t="shared" ca="1" si="166"/>
        <v>4</v>
      </c>
      <c r="CU299" s="29">
        <f t="shared" ca="1" si="166"/>
        <v>2</v>
      </c>
      <c r="CV299" s="29">
        <f t="shared" ca="1" si="166"/>
        <v>2</v>
      </c>
      <c r="CW299" s="29">
        <f t="shared" ca="1" si="166"/>
        <v>2</v>
      </c>
      <c r="CX299" s="29">
        <f t="shared" ca="1" si="166"/>
        <v>3</v>
      </c>
      <c r="CY299" s="29">
        <f t="shared" ca="1" si="166"/>
        <v>5</v>
      </c>
      <c r="CZ299" s="29">
        <f t="shared" ca="1" si="166"/>
        <v>4</v>
      </c>
      <c r="DA299" s="29">
        <f t="shared" ca="1" si="166"/>
        <v>8</v>
      </c>
      <c r="DB299" s="29">
        <f t="shared" ca="1" si="166"/>
        <v>3</v>
      </c>
      <c r="DC299" s="29">
        <f t="shared" ca="1" si="166"/>
        <v>2</v>
      </c>
      <c r="DD299" s="29">
        <f t="shared" ca="1" si="166"/>
        <v>2</v>
      </c>
      <c r="DE299" s="29">
        <f t="shared" ca="1" si="166"/>
        <v>6</v>
      </c>
      <c r="DF299" s="29">
        <f t="shared" ca="1" si="159"/>
        <v>1</v>
      </c>
      <c r="DG299" s="29">
        <f t="shared" ca="1" si="159"/>
        <v>3</v>
      </c>
      <c r="DH299" s="29">
        <f t="shared" ca="1" si="159"/>
        <v>5</v>
      </c>
      <c r="DI299" s="29">
        <f t="shared" ca="1" si="159"/>
        <v>1</v>
      </c>
      <c r="DJ299" s="29">
        <f t="shared" ca="1" si="159"/>
        <v>1</v>
      </c>
      <c r="DK299" s="29">
        <f t="shared" ca="1" si="159"/>
        <v>2</v>
      </c>
      <c r="DL299" s="29">
        <f t="shared" ca="1" si="159"/>
        <v>3</v>
      </c>
    </row>
    <row r="300" spans="1:116" ht="14.4" x14ac:dyDescent="0.3">
      <c r="A300" s="31">
        <v>854</v>
      </c>
      <c r="B300" s="28">
        <v>9.36</v>
      </c>
      <c r="C300" s="30">
        <v>84.22</v>
      </c>
      <c r="D300" s="28">
        <v>3.25</v>
      </c>
      <c r="E300" s="34">
        <f t="shared" si="145"/>
        <v>6.5000000000000002E-2</v>
      </c>
      <c r="F300" s="35">
        <f t="shared" si="146"/>
        <v>21.055</v>
      </c>
      <c r="G300" s="34">
        <f t="shared" si="147"/>
        <v>81.25</v>
      </c>
      <c r="H300" s="33">
        <f t="shared" si="148"/>
        <v>6.4310897435897436</v>
      </c>
      <c r="I300" s="28">
        <f t="shared" si="151"/>
        <v>1130.0900000000004</v>
      </c>
      <c r="J300" s="32">
        <v>0</v>
      </c>
      <c r="K300" s="30">
        <f t="shared" si="149"/>
        <v>81.25</v>
      </c>
      <c r="L300" s="30"/>
      <c r="M300" s="30"/>
      <c r="N300" s="30"/>
      <c r="O300" s="30"/>
      <c r="Q300" s="29">
        <f t="shared" ca="1" si="150"/>
        <v>4</v>
      </c>
      <c r="R300" s="29">
        <f t="shared" ca="1" si="169"/>
        <v>6</v>
      </c>
      <c r="S300" s="29">
        <f t="shared" ca="1" si="169"/>
        <v>2</v>
      </c>
      <c r="T300" s="29">
        <f t="shared" ca="1" si="169"/>
        <v>4</v>
      </c>
      <c r="U300" s="29">
        <f t="shared" ca="1" si="169"/>
        <v>4</v>
      </c>
      <c r="V300" s="29">
        <f t="shared" ca="1" si="169"/>
        <v>5</v>
      </c>
      <c r="W300" s="29">
        <f t="shared" ca="1" si="169"/>
        <v>2</v>
      </c>
      <c r="X300" s="29">
        <f t="shared" ca="1" si="169"/>
        <v>1</v>
      </c>
      <c r="Y300" s="29">
        <f t="shared" ca="1" si="169"/>
        <v>4</v>
      </c>
      <c r="Z300" s="29">
        <f t="shared" ca="1" si="169"/>
        <v>3</v>
      </c>
      <c r="AA300" s="29">
        <f t="shared" ca="1" si="169"/>
        <v>6</v>
      </c>
      <c r="AB300" s="29">
        <f t="shared" ca="1" si="169"/>
        <v>3</v>
      </c>
      <c r="AC300" s="29">
        <f t="shared" ca="1" si="169"/>
        <v>7</v>
      </c>
      <c r="AD300" s="29">
        <f t="shared" ca="1" si="169"/>
        <v>3</v>
      </c>
      <c r="AE300" s="29">
        <f t="shared" ca="1" si="169"/>
        <v>2</v>
      </c>
      <c r="AF300" s="29">
        <f t="shared" ca="1" si="169"/>
        <v>4</v>
      </c>
      <c r="AG300" s="29">
        <f t="shared" ca="1" si="168"/>
        <v>5</v>
      </c>
      <c r="AH300" s="29">
        <f t="shared" ca="1" si="168"/>
        <v>0</v>
      </c>
      <c r="AI300" s="29">
        <f t="shared" ca="1" si="168"/>
        <v>3</v>
      </c>
      <c r="AJ300" s="29">
        <f t="shared" ca="1" si="168"/>
        <v>1</v>
      </c>
      <c r="AK300" s="29">
        <f t="shared" ca="1" si="168"/>
        <v>3</v>
      </c>
      <c r="AL300" s="29">
        <f t="shared" ca="1" si="168"/>
        <v>4</v>
      </c>
      <c r="AM300" s="29">
        <f t="shared" ca="1" si="168"/>
        <v>2</v>
      </c>
      <c r="AN300" s="29">
        <f t="shared" ca="1" si="168"/>
        <v>1</v>
      </c>
      <c r="AO300" s="29">
        <f t="shared" ca="1" si="168"/>
        <v>5</v>
      </c>
      <c r="AP300" s="29">
        <f t="shared" ca="1" si="168"/>
        <v>2</v>
      </c>
      <c r="AQ300" s="29">
        <f t="shared" ca="1" si="168"/>
        <v>3</v>
      </c>
      <c r="AR300" s="29">
        <f t="shared" ca="1" si="168"/>
        <v>6</v>
      </c>
      <c r="AS300" s="29">
        <f t="shared" ca="1" si="168"/>
        <v>2</v>
      </c>
      <c r="AT300" s="29">
        <f t="shared" ca="1" si="168"/>
        <v>0</v>
      </c>
      <c r="AU300" s="29">
        <f t="shared" ca="1" si="168"/>
        <v>4</v>
      </c>
      <c r="AV300" s="29">
        <f t="shared" ca="1" si="165"/>
        <v>4</v>
      </c>
      <c r="AW300" s="29">
        <f t="shared" ca="1" si="165"/>
        <v>4</v>
      </c>
      <c r="AX300" s="29">
        <f t="shared" ca="1" si="165"/>
        <v>6</v>
      </c>
      <c r="AY300" s="29">
        <f t="shared" ca="1" si="165"/>
        <v>2</v>
      </c>
      <c r="AZ300" s="29">
        <f t="shared" ca="1" si="165"/>
        <v>5</v>
      </c>
      <c r="BA300" s="29">
        <f t="shared" ca="1" si="165"/>
        <v>7</v>
      </c>
      <c r="BB300" s="29">
        <f t="shared" ca="1" si="165"/>
        <v>0</v>
      </c>
      <c r="BC300" s="29">
        <f t="shared" ca="1" si="165"/>
        <v>6</v>
      </c>
      <c r="BD300" s="29">
        <f t="shared" ca="1" si="165"/>
        <v>3</v>
      </c>
      <c r="BE300" s="29">
        <f t="shared" ca="1" si="165"/>
        <v>5</v>
      </c>
      <c r="BF300" s="29">
        <f t="shared" ca="1" si="165"/>
        <v>3</v>
      </c>
      <c r="BG300" s="29">
        <f t="shared" ca="1" si="165"/>
        <v>2</v>
      </c>
      <c r="BH300" s="29">
        <f t="shared" ca="1" si="165"/>
        <v>3</v>
      </c>
      <c r="BI300" s="29">
        <f t="shared" ca="1" si="165"/>
        <v>1</v>
      </c>
      <c r="BJ300" s="29">
        <f t="shared" ca="1" si="165"/>
        <v>4</v>
      </c>
      <c r="BK300" s="29">
        <f t="shared" ref="BK300:BZ315" ca="1" si="170">_xlfn.BINOM.INV(50,$E300,RAND())</f>
        <v>1</v>
      </c>
      <c r="BL300" s="29">
        <f t="shared" ca="1" si="170"/>
        <v>1</v>
      </c>
      <c r="BM300" s="29">
        <f t="shared" ca="1" si="170"/>
        <v>1</v>
      </c>
      <c r="BN300" s="29">
        <f t="shared" ca="1" si="170"/>
        <v>4</v>
      </c>
      <c r="BO300" s="29">
        <f t="shared" ca="1" si="170"/>
        <v>0</v>
      </c>
      <c r="BP300" s="29">
        <f t="shared" ca="1" si="170"/>
        <v>3</v>
      </c>
      <c r="BQ300" s="29">
        <f t="shared" ca="1" si="170"/>
        <v>4</v>
      </c>
      <c r="BR300" s="29">
        <f t="shared" ca="1" si="170"/>
        <v>4</v>
      </c>
      <c r="BS300" s="29">
        <f t="shared" ca="1" si="170"/>
        <v>1</v>
      </c>
      <c r="BT300" s="29">
        <f t="shared" ca="1" si="170"/>
        <v>3</v>
      </c>
      <c r="BU300" s="29">
        <f t="shared" ca="1" si="170"/>
        <v>4</v>
      </c>
      <c r="BV300" s="29">
        <f t="shared" ca="1" si="170"/>
        <v>3</v>
      </c>
      <c r="BW300" s="29">
        <f t="shared" ca="1" si="170"/>
        <v>2</v>
      </c>
      <c r="BX300" s="29">
        <f t="shared" ca="1" si="170"/>
        <v>3</v>
      </c>
      <c r="BY300" s="29">
        <f t="shared" ca="1" si="170"/>
        <v>2</v>
      </c>
      <c r="BZ300" s="29">
        <f t="shared" ca="1" si="170"/>
        <v>4</v>
      </c>
      <c r="CA300" s="29">
        <f t="shared" ca="1" si="167"/>
        <v>2</v>
      </c>
      <c r="CB300" s="29">
        <f t="shared" ca="1" si="167"/>
        <v>7</v>
      </c>
      <c r="CC300" s="29">
        <f t="shared" ca="1" si="167"/>
        <v>2</v>
      </c>
      <c r="CD300" s="29">
        <f t="shared" ca="1" si="167"/>
        <v>8</v>
      </c>
      <c r="CE300" s="29">
        <f t="shared" ca="1" si="167"/>
        <v>2</v>
      </c>
      <c r="CF300" s="29">
        <f t="shared" ca="1" si="167"/>
        <v>5</v>
      </c>
      <c r="CG300" s="29">
        <f t="shared" ca="1" si="167"/>
        <v>4</v>
      </c>
      <c r="CH300" s="29">
        <f t="shared" ca="1" si="167"/>
        <v>5</v>
      </c>
      <c r="CI300" s="29">
        <f t="shared" ca="1" si="167"/>
        <v>4</v>
      </c>
      <c r="CJ300" s="29">
        <f t="shared" ca="1" si="167"/>
        <v>1</v>
      </c>
      <c r="CK300" s="29">
        <f t="shared" ca="1" si="167"/>
        <v>5</v>
      </c>
      <c r="CL300" s="29">
        <f t="shared" ca="1" si="167"/>
        <v>1</v>
      </c>
      <c r="CM300" s="29">
        <f t="shared" ca="1" si="167"/>
        <v>1</v>
      </c>
      <c r="CN300" s="29">
        <f t="shared" ca="1" si="167"/>
        <v>1</v>
      </c>
      <c r="CO300" s="29">
        <f t="shared" ca="1" si="167"/>
        <v>2</v>
      </c>
      <c r="CP300" s="29">
        <f t="shared" ca="1" si="167"/>
        <v>6</v>
      </c>
      <c r="CQ300" s="29">
        <f t="shared" ca="1" si="166"/>
        <v>3</v>
      </c>
      <c r="CR300" s="29">
        <f t="shared" ca="1" si="166"/>
        <v>2</v>
      </c>
      <c r="CS300" s="29">
        <f t="shared" ca="1" si="166"/>
        <v>2</v>
      </c>
      <c r="CT300" s="29">
        <f t="shared" ca="1" si="166"/>
        <v>3</v>
      </c>
      <c r="CU300" s="29">
        <f t="shared" ca="1" si="166"/>
        <v>2</v>
      </c>
      <c r="CV300" s="29">
        <f t="shared" ca="1" si="166"/>
        <v>4</v>
      </c>
      <c r="CW300" s="29">
        <f t="shared" ca="1" si="166"/>
        <v>2</v>
      </c>
      <c r="CX300" s="29">
        <f t="shared" ca="1" si="166"/>
        <v>6</v>
      </c>
      <c r="CY300" s="29">
        <f t="shared" ca="1" si="166"/>
        <v>3</v>
      </c>
      <c r="CZ300" s="29">
        <f t="shared" ca="1" si="166"/>
        <v>0</v>
      </c>
      <c r="DA300" s="29">
        <f t="shared" ca="1" si="166"/>
        <v>6</v>
      </c>
      <c r="DB300" s="29">
        <f t="shared" ca="1" si="166"/>
        <v>2</v>
      </c>
      <c r="DC300" s="29">
        <f t="shared" ca="1" si="166"/>
        <v>2</v>
      </c>
      <c r="DD300" s="29">
        <f t="shared" ca="1" si="166"/>
        <v>4</v>
      </c>
      <c r="DE300" s="29">
        <f t="shared" ca="1" si="166"/>
        <v>2</v>
      </c>
      <c r="DF300" s="29">
        <f t="shared" ca="1" si="159"/>
        <v>4</v>
      </c>
      <c r="DG300" s="29">
        <f t="shared" ca="1" si="159"/>
        <v>2</v>
      </c>
      <c r="DH300" s="29">
        <f t="shared" ca="1" si="159"/>
        <v>6</v>
      </c>
      <c r="DI300" s="29">
        <f t="shared" ca="1" si="159"/>
        <v>7</v>
      </c>
      <c r="DJ300" s="29">
        <f t="shared" ca="1" si="159"/>
        <v>5</v>
      </c>
      <c r="DK300" s="29">
        <f t="shared" ca="1" si="159"/>
        <v>1</v>
      </c>
      <c r="DL300" s="29">
        <f t="shared" ca="1" si="159"/>
        <v>3</v>
      </c>
    </row>
    <row r="301" spans="1:116" ht="14.4" x14ac:dyDescent="0.3">
      <c r="A301" s="31">
        <v>130</v>
      </c>
      <c r="B301" s="28">
        <v>6</v>
      </c>
      <c r="C301" s="30">
        <v>3.54</v>
      </c>
      <c r="D301" s="28">
        <v>1.57</v>
      </c>
      <c r="E301" s="34">
        <f t="shared" si="145"/>
        <v>3.1400000000000004E-2</v>
      </c>
      <c r="F301" s="35">
        <f t="shared" si="146"/>
        <v>0.88500000000000001</v>
      </c>
      <c r="G301" s="34">
        <f t="shared" si="147"/>
        <v>39.25</v>
      </c>
      <c r="H301" s="33">
        <f t="shared" si="148"/>
        <v>6.394166666666667</v>
      </c>
      <c r="I301" s="28">
        <f t="shared" si="151"/>
        <v>1136.0900000000004</v>
      </c>
      <c r="J301" s="32">
        <v>0</v>
      </c>
      <c r="K301" s="30">
        <f t="shared" si="149"/>
        <v>39.25</v>
      </c>
      <c r="L301" s="30"/>
      <c r="M301" s="30"/>
      <c r="N301" s="30"/>
      <c r="O301" s="30"/>
      <c r="Q301" s="29">
        <f t="shared" ca="1" si="150"/>
        <v>1</v>
      </c>
      <c r="R301" s="29">
        <f t="shared" ca="1" si="169"/>
        <v>1</v>
      </c>
      <c r="S301" s="29">
        <f t="shared" ca="1" si="169"/>
        <v>0</v>
      </c>
      <c r="T301" s="29">
        <f t="shared" ca="1" si="169"/>
        <v>1</v>
      </c>
      <c r="U301" s="29">
        <f t="shared" ca="1" si="169"/>
        <v>3</v>
      </c>
      <c r="V301" s="29">
        <f t="shared" ca="1" si="169"/>
        <v>3</v>
      </c>
      <c r="W301" s="29">
        <f t="shared" ca="1" si="169"/>
        <v>3</v>
      </c>
      <c r="X301" s="29">
        <f t="shared" ca="1" si="169"/>
        <v>0</v>
      </c>
      <c r="Y301" s="29">
        <f t="shared" ca="1" si="169"/>
        <v>1</v>
      </c>
      <c r="Z301" s="29">
        <f t="shared" ca="1" si="169"/>
        <v>4</v>
      </c>
      <c r="AA301" s="29">
        <f t="shared" ca="1" si="169"/>
        <v>0</v>
      </c>
      <c r="AB301" s="29">
        <f t="shared" ca="1" si="169"/>
        <v>1</v>
      </c>
      <c r="AC301" s="29">
        <f t="shared" ca="1" si="169"/>
        <v>2</v>
      </c>
      <c r="AD301" s="29">
        <f t="shared" ca="1" si="169"/>
        <v>3</v>
      </c>
      <c r="AE301" s="29">
        <f t="shared" ca="1" si="169"/>
        <v>0</v>
      </c>
      <c r="AF301" s="29">
        <f t="shared" ca="1" si="169"/>
        <v>2</v>
      </c>
      <c r="AG301" s="29">
        <f t="shared" ca="1" si="168"/>
        <v>3</v>
      </c>
      <c r="AH301" s="29">
        <f t="shared" ca="1" si="168"/>
        <v>2</v>
      </c>
      <c r="AI301" s="29">
        <f t="shared" ca="1" si="168"/>
        <v>2</v>
      </c>
      <c r="AJ301" s="29">
        <f t="shared" ca="1" si="168"/>
        <v>1</v>
      </c>
      <c r="AK301" s="29">
        <f t="shared" ca="1" si="168"/>
        <v>2</v>
      </c>
      <c r="AL301" s="29">
        <f t="shared" ca="1" si="168"/>
        <v>0</v>
      </c>
      <c r="AM301" s="29">
        <f t="shared" ca="1" si="168"/>
        <v>3</v>
      </c>
      <c r="AN301" s="29">
        <f t="shared" ca="1" si="168"/>
        <v>2</v>
      </c>
      <c r="AO301" s="29">
        <f t="shared" ca="1" si="168"/>
        <v>2</v>
      </c>
      <c r="AP301" s="29">
        <f t="shared" ca="1" si="168"/>
        <v>2</v>
      </c>
      <c r="AQ301" s="29">
        <f t="shared" ca="1" si="168"/>
        <v>0</v>
      </c>
      <c r="AR301" s="29">
        <f t="shared" ca="1" si="168"/>
        <v>3</v>
      </c>
      <c r="AS301" s="29">
        <f t="shared" ca="1" si="168"/>
        <v>3</v>
      </c>
      <c r="AT301" s="29">
        <f t="shared" ca="1" si="168"/>
        <v>4</v>
      </c>
      <c r="AU301" s="29">
        <f t="shared" ca="1" si="168"/>
        <v>1</v>
      </c>
      <c r="AV301" s="29">
        <f t="shared" ref="AV301:BK316" ca="1" si="171">_xlfn.BINOM.INV(50,$E301,RAND())</f>
        <v>1</v>
      </c>
      <c r="AW301" s="29">
        <f t="shared" ca="1" si="171"/>
        <v>4</v>
      </c>
      <c r="AX301" s="29">
        <f t="shared" ca="1" si="171"/>
        <v>1</v>
      </c>
      <c r="AY301" s="29">
        <f t="shared" ca="1" si="171"/>
        <v>1</v>
      </c>
      <c r="AZ301" s="29">
        <f t="shared" ca="1" si="171"/>
        <v>1</v>
      </c>
      <c r="BA301" s="29">
        <f t="shared" ca="1" si="171"/>
        <v>0</v>
      </c>
      <c r="BB301" s="29">
        <f t="shared" ca="1" si="171"/>
        <v>2</v>
      </c>
      <c r="BC301" s="29">
        <f t="shared" ca="1" si="171"/>
        <v>3</v>
      </c>
      <c r="BD301" s="29">
        <f t="shared" ca="1" si="171"/>
        <v>0</v>
      </c>
      <c r="BE301" s="29">
        <f t="shared" ca="1" si="171"/>
        <v>3</v>
      </c>
      <c r="BF301" s="29">
        <f t="shared" ca="1" si="171"/>
        <v>1</v>
      </c>
      <c r="BG301" s="29">
        <f t="shared" ca="1" si="171"/>
        <v>1</v>
      </c>
      <c r="BH301" s="29">
        <f t="shared" ca="1" si="171"/>
        <v>1</v>
      </c>
      <c r="BI301" s="29">
        <f t="shared" ca="1" si="171"/>
        <v>0</v>
      </c>
      <c r="BJ301" s="29">
        <f t="shared" ca="1" si="171"/>
        <v>2</v>
      </c>
      <c r="BK301" s="29">
        <f t="shared" ca="1" si="171"/>
        <v>0</v>
      </c>
      <c r="BL301" s="29">
        <f t="shared" ca="1" si="170"/>
        <v>2</v>
      </c>
      <c r="BM301" s="29">
        <f t="shared" ca="1" si="170"/>
        <v>1</v>
      </c>
      <c r="BN301" s="29">
        <f t="shared" ca="1" si="170"/>
        <v>1</v>
      </c>
      <c r="BO301" s="29">
        <f t="shared" ca="1" si="170"/>
        <v>1</v>
      </c>
      <c r="BP301" s="29">
        <f t="shared" ca="1" si="170"/>
        <v>1</v>
      </c>
      <c r="BQ301" s="29">
        <f t="shared" ca="1" si="170"/>
        <v>0</v>
      </c>
      <c r="BR301" s="29">
        <f t="shared" ca="1" si="170"/>
        <v>2</v>
      </c>
      <c r="BS301" s="29">
        <f t="shared" ca="1" si="170"/>
        <v>0</v>
      </c>
      <c r="BT301" s="29">
        <f t="shared" ca="1" si="170"/>
        <v>2</v>
      </c>
      <c r="BU301" s="29">
        <f t="shared" ca="1" si="170"/>
        <v>2</v>
      </c>
      <c r="BV301" s="29">
        <f t="shared" ca="1" si="170"/>
        <v>2</v>
      </c>
      <c r="BW301" s="29">
        <f t="shared" ca="1" si="170"/>
        <v>2</v>
      </c>
      <c r="BX301" s="29">
        <f t="shared" ca="1" si="170"/>
        <v>0</v>
      </c>
      <c r="BY301" s="29">
        <f t="shared" ca="1" si="170"/>
        <v>0</v>
      </c>
      <c r="BZ301" s="29">
        <f t="shared" ca="1" si="170"/>
        <v>4</v>
      </c>
      <c r="CA301" s="29">
        <f t="shared" ca="1" si="167"/>
        <v>3</v>
      </c>
      <c r="CB301" s="29">
        <f t="shared" ca="1" si="167"/>
        <v>3</v>
      </c>
      <c r="CC301" s="29">
        <f t="shared" ca="1" si="167"/>
        <v>2</v>
      </c>
      <c r="CD301" s="29">
        <f t="shared" ca="1" si="167"/>
        <v>1</v>
      </c>
      <c r="CE301" s="29">
        <f t="shared" ca="1" si="167"/>
        <v>2</v>
      </c>
      <c r="CF301" s="29">
        <f t="shared" ca="1" si="167"/>
        <v>0</v>
      </c>
      <c r="CG301" s="29">
        <f t="shared" ca="1" si="167"/>
        <v>0</v>
      </c>
      <c r="CH301" s="29">
        <f t="shared" ca="1" si="167"/>
        <v>1</v>
      </c>
      <c r="CI301" s="29">
        <f t="shared" ca="1" si="167"/>
        <v>3</v>
      </c>
      <c r="CJ301" s="29">
        <f t="shared" ca="1" si="167"/>
        <v>1</v>
      </c>
      <c r="CK301" s="29">
        <f t="shared" ca="1" si="167"/>
        <v>3</v>
      </c>
      <c r="CL301" s="29">
        <f t="shared" ca="1" si="167"/>
        <v>1</v>
      </c>
      <c r="CM301" s="29">
        <f t="shared" ca="1" si="167"/>
        <v>3</v>
      </c>
      <c r="CN301" s="29">
        <f t="shared" ca="1" si="167"/>
        <v>0</v>
      </c>
      <c r="CO301" s="29">
        <f t="shared" ca="1" si="167"/>
        <v>1</v>
      </c>
      <c r="CP301" s="29">
        <f t="shared" ca="1" si="167"/>
        <v>4</v>
      </c>
      <c r="CQ301" s="29">
        <f t="shared" ca="1" si="166"/>
        <v>1</v>
      </c>
      <c r="CR301" s="29">
        <f t="shared" ca="1" si="166"/>
        <v>1</v>
      </c>
      <c r="CS301" s="29">
        <f t="shared" ca="1" si="166"/>
        <v>1</v>
      </c>
      <c r="CT301" s="29">
        <f t="shared" ca="1" si="166"/>
        <v>0</v>
      </c>
      <c r="CU301" s="29">
        <f t="shared" ca="1" si="166"/>
        <v>0</v>
      </c>
      <c r="CV301" s="29">
        <f t="shared" ca="1" si="166"/>
        <v>3</v>
      </c>
      <c r="CW301" s="29">
        <f t="shared" ca="1" si="166"/>
        <v>2</v>
      </c>
      <c r="CX301" s="29">
        <f t="shared" ca="1" si="166"/>
        <v>2</v>
      </c>
      <c r="CY301" s="29">
        <f t="shared" ca="1" si="166"/>
        <v>0</v>
      </c>
      <c r="CZ301" s="29">
        <f t="shared" ca="1" si="166"/>
        <v>4</v>
      </c>
      <c r="DA301" s="29">
        <f t="shared" ca="1" si="166"/>
        <v>2</v>
      </c>
      <c r="DB301" s="29">
        <f t="shared" ca="1" si="166"/>
        <v>3</v>
      </c>
      <c r="DC301" s="29">
        <f t="shared" ca="1" si="166"/>
        <v>2</v>
      </c>
      <c r="DD301" s="29">
        <f t="shared" ca="1" si="166"/>
        <v>0</v>
      </c>
      <c r="DE301" s="29">
        <f t="shared" ca="1" si="166"/>
        <v>0</v>
      </c>
      <c r="DF301" s="29">
        <f t="shared" ca="1" si="159"/>
        <v>3</v>
      </c>
      <c r="DG301" s="29">
        <f t="shared" ca="1" si="159"/>
        <v>0</v>
      </c>
      <c r="DH301" s="29">
        <f t="shared" ca="1" si="159"/>
        <v>2</v>
      </c>
      <c r="DI301" s="29">
        <f t="shared" ca="1" si="159"/>
        <v>1</v>
      </c>
      <c r="DJ301" s="29">
        <f t="shared" ca="1" si="159"/>
        <v>3</v>
      </c>
      <c r="DK301" s="29">
        <f t="shared" ca="1" si="159"/>
        <v>1</v>
      </c>
      <c r="DL301" s="29">
        <f t="shared" ca="1" si="159"/>
        <v>1</v>
      </c>
    </row>
    <row r="302" spans="1:116" ht="14.4" x14ac:dyDescent="0.3">
      <c r="A302" s="31">
        <v>723</v>
      </c>
      <c r="B302" s="28">
        <v>9.9499999999999993</v>
      </c>
      <c r="C302" s="30">
        <v>62.52</v>
      </c>
      <c r="D302" s="28">
        <v>3.15</v>
      </c>
      <c r="E302" s="34">
        <f t="shared" si="145"/>
        <v>6.3E-2</v>
      </c>
      <c r="F302" s="35">
        <f t="shared" si="146"/>
        <v>15.63</v>
      </c>
      <c r="G302" s="34">
        <f t="shared" si="147"/>
        <v>78.75</v>
      </c>
      <c r="H302" s="33">
        <f t="shared" si="148"/>
        <v>6.3437185929648239</v>
      </c>
      <c r="I302" s="28">
        <f t="shared" si="151"/>
        <v>1146.0400000000004</v>
      </c>
      <c r="J302" s="32">
        <v>0</v>
      </c>
      <c r="K302" s="30">
        <f t="shared" si="149"/>
        <v>78.75</v>
      </c>
      <c r="L302" s="30"/>
      <c r="M302" s="30"/>
      <c r="N302" s="30"/>
      <c r="O302" s="30"/>
      <c r="Q302" s="29">
        <f t="shared" ca="1" si="150"/>
        <v>3</v>
      </c>
      <c r="R302" s="29">
        <f t="shared" ca="1" si="169"/>
        <v>7</v>
      </c>
      <c r="S302" s="29">
        <f t="shared" ca="1" si="169"/>
        <v>7</v>
      </c>
      <c r="T302" s="29">
        <f t="shared" ca="1" si="169"/>
        <v>2</v>
      </c>
      <c r="U302" s="29">
        <f t="shared" ca="1" si="169"/>
        <v>3</v>
      </c>
      <c r="V302" s="29">
        <f t="shared" ca="1" si="169"/>
        <v>4</v>
      </c>
      <c r="W302" s="29">
        <f t="shared" ca="1" si="169"/>
        <v>4</v>
      </c>
      <c r="X302" s="29">
        <f t="shared" ca="1" si="169"/>
        <v>1</v>
      </c>
      <c r="Y302" s="29">
        <f t="shared" ca="1" si="169"/>
        <v>5</v>
      </c>
      <c r="Z302" s="29">
        <f t="shared" ca="1" si="169"/>
        <v>2</v>
      </c>
      <c r="AA302" s="29">
        <f t="shared" ca="1" si="169"/>
        <v>3</v>
      </c>
      <c r="AB302" s="29">
        <f t="shared" ca="1" si="169"/>
        <v>2</v>
      </c>
      <c r="AC302" s="29">
        <f t="shared" ca="1" si="169"/>
        <v>5</v>
      </c>
      <c r="AD302" s="29">
        <f t="shared" ca="1" si="169"/>
        <v>3</v>
      </c>
      <c r="AE302" s="29">
        <f t="shared" ca="1" si="169"/>
        <v>4</v>
      </c>
      <c r="AF302" s="29">
        <f t="shared" ca="1" si="169"/>
        <v>0</v>
      </c>
      <c r="AG302" s="29">
        <f t="shared" ca="1" si="168"/>
        <v>2</v>
      </c>
      <c r="AH302" s="29">
        <f t="shared" ca="1" si="168"/>
        <v>0</v>
      </c>
      <c r="AI302" s="29">
        <f t="shared" ca="1" si="168"/>
        <v>3</v>
      </c>
      <c r="AJ302" s="29">
        <f t="shared" ca="1" si="168"/>
        <v>1</v>
      </c>
      <c r="AK302" s="29">
        <f t="shared" ca="1" si="168"/>
        <v>2</v>
      </c>
      <c r="AL302" s="29">
        <f t="shared" ca="1" si="168"/>
        <v>5</v>
      </c>
      <c r="AM302" s="29">
        <f t="shared" ca="1" si="168"/>
        <v>7</v>
      </c>
      <c r="AN302" s="29">
        <f t="shared" ca="1" si="168"/>
        <v>2</v>
      </c>
      <c r="AO302" s="29">
        <f t="shared" ca="1" si="168"/>
        <v>2</v>
      </c>
      <c r="AP302" s="29">
        <f t="shared" ca="1" si="168"/>
        <v>2</v>
      </c>
      <c r="AQ302" s="29">
        <f t="shared" ca="1" si="168"/>
        <v>1</v>
      </c>
      <c r="AR302" s="29">
        <f t="shared" ca="1" si="168"/>
        <v>2</v>
      </c>
      <c r="AS302" s="29">
        <f t="shared" ca="1" si="168"/>
        <v>6</v>
      </c>
      <c r="AT302" s="29">
        <f t="shared" ca="1" si="168"/>
        <v>2</v>
      </c>
      <c r="AU302" s="29">
        <f t="shared" ca="1" si="168"/>
        <v>5</v>
      </c>
      <c r="AV302" s="29">
        <f t="shared" ca="1" si="171"/>
        <v>8</v>
      </c>
      <c r="AW302" s="29">
        <f t="shared" ca="1" si="171"/>
        <v>4</v>
      </c>
      <c r="AX302" s="29">
        <f t="shared" ca="1" si="171"/>
        <v>3</v>
      </c>
      <c r="AY302" s="29">
        <f t="shared" ca="1" si="171"/>
        <v>3</v>
      </c>
      <c r="AZ302" s="29">
        <f t="shared" ca="1" si="171"/>
        <v>2</v>
      </c>
      <c r="BA302" s="29">
        <f t="shared" ca="1" si="171"/>
        <v>1</v>
      </c>
      <c r="BB302" s="29">
        <f t="shared" ca="1" si="171"/>
        <v>3</v>
      </c>
      <c r="BC302" s="29">
        <f t="shared" ca="1" si="171"/>
        <v>1</v>
      </c>
      <c r="BD302" s="29">
        <f t="shared" ca="1" si="171"/>
        <v>2</v>
      </c>
      <c r="BE302" s="29">
        <f t="shared" ca="1" si="171"/>
        <v>2</v>
      </c>
      <c r="BF302" s="29">
        <f t="shared" ca="1" si="171"/>
        <v>3</v>
      </c>
      <c r="BG302" s="29">
        <f t="shared" ca="1" si="171"/>
        <v>3</v>
      </c>
      <c r="BH302" s="29">
        <f t="shared" ca="1" si="171"/>
        <v>7</v>
      </c>
      <c r="BI302" s="29">
        <f t="shared" ca="1" si="171"/>
        <v>3</v>
      </c>
      <c r="BJ302" s="29">
        <f t="shared" ca="1" si="171"/>
        <v>2</v>
      </c>
      <c r="BK302" s="29">
        <f t="shared" ca="1" si="171"/>
        <v>5</v>
      </c>
      <c r="BL302" s="29">
        <f t="shared" ca="1" si="170"/>
        <v>8</v>
      </c>
      <c r="BM302" s="29">
        <f t="shared" ca="1" si="170"/>
        <v>3</v>
      </c>
      <c r="BN302" s="29">
        <f t="shared" ca="1" si="170"/>
        <v>6</v>
      </c>
      <c r="BO302" s="29">
        <f t="shared" ca="1" si="170"/>
        <v>0</v>
      </c>
      <c r="BP302" s="29">
        <f t="shared" ca="1" si="170"/>
        <v>2</v>
      </c>
      <c r="BQ302" s="29">
        <f t="shared" ca="1" si="170"/>
        <v>5</v>
      </c>
      <c r="BR302" s="29">
        <f t="shared" ca="1" si="170"/>
        <v>2</v>
      </c>
      <c r="BS302" s="29">
        <f t="shared" ca="1" si="170"/>
        <v>3</v>
      </c>
      <c r="BT302" s="29">
        <f t="shared" ca="1" si="170"/>
        <v>5</v>
      </c>
      <c r="BU302" s="29">
        <f t="shared" ca="1" si="170"/>
        <v>3</v>
      </c>
      <c r="BV302" s="29">
        <f t="shared" ca="1" si="170"/>
        <v>6</v>
      </c>
      <c r="BW302" s="29">
        <f t="shared" ca="1" si="170"/>
        <v>3</v>
      </c>
      <c r="BX302" s="29">
        <f t="shared" ca="1" si="170"/>
        <v>2</v>
      </c>
      <c r="BY302" s="29">
        <f t="shared" ca="1" si="170"/>
        <v>6</v>
      </c>
      <c r="BZ302" s="29">
        <f t="shared" ca="1" si="170"/>
        <v>4</v>
      </c>
      <c r="CA302" s="29">
        <f t="shared" ca="1" si="167"/>
        <v>0</v>
      </c>
      <c r="CB302" s="29">
        <f t="shared" ca="1" si="167"/>
        <v>5</v>
      </c>
      <c r="CC302" s="29">
        <f t="shared" ca="1" si="167"/>
        <v>3</v>
      </c>
      <c r="CD302" s="29">
        <f t="shared" ca="1" si="167"/>
        <v>1</v>
      </c>
      <c r="CE302" s="29">
        <f t="shared" ca="1" si="167"/>
        <v>5</v>
      </c>
      <c r="CF302" s="29">
        <f t="shared" ca="1" si="167"/>
        <v>1</v>
      </c>
      <c r="CG302" s="29">
        <f t="shared" ca="1" si="167"/>
        <v>3</v>
      </c>
      <c r="CH302" s="29">
        <f t="shared" ca="1" si="167"/>
        <v>2</v>
      </c>
      <c r="CI302" s="29">
        <f t="shared" ca="1" si="167"/>
        <v>5</v>
      </c>
      <c r="CJ302" s="29">
        <f t="shared" ca="1" si="167"/>
        <v>3</v>
      </c>
      <c r="CK302" s="29">
        <f t="shared" ca="1" si="167"/>
        <v>5</v>
      </c>
      <c r="CL302" s="29">
        <f t="shared" ca="1" si="167"/>
        <v>4</v>
      </c>
      <c r="CM302" s="29">
        <f t="shared" ca="1" si="167"/>
        <v>3</v>
      </c>
      <c r="CN302" s="29">
        <f t="shared" ca="1" si="167"/>
        <v>1</v>
      </c>
      <c r="CO302" s="29">
        <f t="shared" ca="1" si="167"/>
        <v>2</v>
      </c>
      <c r="CP302" s="29">
        <f t="shared" ca="1" si="167"/>
        <v>2</v>
      </c>
      <c r="CQ302" s="29">
        <f t="shared" ca="1" si="166"/>
        <v>7</v>
      </c>
      <c r="CR302" s="29">
        <f t="shared" ca="1" si="166"/>
        <v>1</v>
      </c>
      <c r="CS302" s="29">
        <f t="shared" ca="1" si="166"/>
        <v>1</v>
      </c>
      <c r="CT302" s="29">
        <f t="shared" ca="1" si="166"/>
        <v>2</v>
      </c>
      <c r="CU302" s="29">
        <f t="shared" ca="1" si="166"/>
        <v>2</v>
      </c>
      <c r="CV302" s="29">
        <f t="shared" ca="1" si="166"/>
        <v>2</v>
      </c>
      <c r="CW302" s="29">
        <f t="shared" ca="1" si="166"/>
        <v>4</v>
      </c>
      <c r="CX302" s="29">
        <f t="shared" ca="1" si="166"/>
        <v>2</v>
      </c>
      <c r="CY302" s="29">
        <f t="shared" ca="1" si="166"/>
        <v>3</v>
      </c>
      <c r="CZ302" s="29">
        <f t="shared" ca="1" si="166"/>
        <v>5</v>
      </c>
      <c r="DA302" s="29">
        <f t="shared" ca="1" si="166"/>
        <v>4</v>
      </c>
      <c r="DB302" s="29">
        <f t="shared" ca="1" si="166"/>
        <v>5</v>
      </c>
      <c r="DC302" s="29">
        <f t="shared" ca="1" si="166"/>
        <v>2</v>
      </c>
      <c r="DD302" s="29">
        <f t="shared" ca="1" si="166"/>
        <v>3</v>
      </c>
      <c r="DE302" s="29">
        <f t="shared" ca="1" si="166"/>
        <v>2</v>
      </c>
      <c r="DF302" s="29">
        <f t="shared" ca="1" si="159"/>
        <v>4</v>
      </c>
      <c r="DG302" s="29">
        <f t="shared" ca="1" si="159"/>
        <v>4</v>
      </c>
      <c r="DH302" s="29">
        <f t="shared" ca="1" si="159"/>
        <v>4</v>
      </c>
      <c r="DI302" s="29">
        <f t="shared" ca="1" si="159"/>
        <v>3</v>
      </c>
      <c r="DJ302" s="29">
        <f t="shared" ca="1" si="159"/>
        <v>4</v>
      </c>
      <c r="DK302" s="29">
        <f t="shared" ca="1" si="159"/>
        <v>2</v>
      </c>
      <c r="DL302" s="29">
        <f t="shared" ca="1" si="159"/>
        <v>2</v>
      </c>
    </row>
    <row r="303" spans="1:116" ht="14.4" x14ac:dyDescent="0.3">
      <c r="A303" s="31">
        <v>273</v>
      </c>
      <c r="B303" s="28">
        <v>9.0500000000000007</v>
      </c>
      <c r="C303" s="30">
        <v>0.71</v>
      </c>
      <c r="D303" s="28">
        <v>2.2999999999999998</v>
      </c>
      <c r="E303" s="34">
        <f t="shared" si="145"/>
        <v>4.5999999999999999E-2</v>
      </c>
      <c r="F303" s="35">
        <f t="shared" si="146"/>
        <v>0.17749999999999999</v>
      </c>
      <c r="G303" s="34">
        <f t="shared" si="147"/>
        <v>57.499999999999993</v>
      </c>
      <c r="H303" s="33">
        <f t="shared" si="148"/>
        <v>6.333977900552485</v>
      </c>
      <c r="I303" s="28">
        <f t="shared" si="151"/>
        <v>1155.0900000000004</v>
      </c>
      <c r="J303" s="32">
        <v>0</v>
      </c>
      <c r="K303" s="30">
        <f t="shared" si="149"/>
        <v>57.499999999999993</v>
      </c>
      <c r="L303" s="30"/>
      <c r="M303" s="30"/>
      <c r="N303" s="30"/>
      <c r="O303" s="30"/>
      <c r="Q303" s="29">
        <f t="shared" ca="1" si="150"/>
        <v>4</v>
      </c>
      <c r="R303" s="29">
        <f t="shared" ca="1" si="169"/>
        <v>3</v>
      </c>
      <c r="S303" s="29">
        <f t="shared" ca="1" si="169"/>
        <v>0</v>
      </c>
      <c r="T303" s="29">
        <f t="shared" ca="1" si="169"/>
        <v>3</v>
      </c>
      <c r="U303" s="29">
        <f t="shared" ca="1" si="169"/>
        <v>6</v>
      </c>
      <c r="V303" s="29">
        <f t="shared" ca="1" si="169"/>
        <v>4</v>
      </c>
      <c r="W303" s="29">
        <f t="shared" ca="1" si="169"/>
        <v>1</v>
      </c>
      <c r="X303" s="29">
        <f t="shared" ca="1" si="169"/>
        <v>2</v>
      </c>
      <c r="Y303" s="29">
        <f t="shared" ca="1" si="169"/>
        <v>2</v>
      </c>
      <c r="Z303" s="29">
        <f t="shared" ca="1" si="169"/>
        <v>1</v>
      </c>
      <c r="AA303" s="29">
        <f t="shared" ca="1" si="169"/>
        <v>1</v>
      </c>
      <c r="AB303" s="29">
        <f t="shared" ca="1" si="169"/>
        <v>3</v>
      </c>
      <c r="AC303" s="29">
        <f t="shared" ca="1" si="169"/>
        <v>2</v>
      </c>
      <c r="AD303" s="29">
        <f t="shared" ca="1" si="169"/>
        <v>3</v>
      </c>
      <c r="AE303" s="29">
        <f t="shared" ca="1" si="169"/>
        <v>1</v>
      </c>
      <c r="AF303" s="29">
        <f t="shared" ca="1" si="169"/>
        <v>2</v>
      </c>
      <c r="AG303" s="29">
        <f t="shared" ca="1" si="168"/>
        <v>0</v>
      </c>
      <c r="AH303" s="29">
        <f t="shared" ca="1" si="168"/>
        <v>0</v>
      </c>
      <c r="AI303" s="29">
        <f t="shared" ca="1" si="168"/>
        <v>2</v>
      </c>
      <c r="AJ303" s="29">
        <f t="shared" ca="1" si="168"/>
        <v>2</v>
      </c>
      <c r="AK303" s="29">
        <f t="shared" ca="1" si="168"/>
        <v>5</v>
      </c>
      <c r="AL303" s="29">
        <f t="shared" ca="1" si="168"/>
        <v>2</v>
      </c>
      <c r="AM303" s="29">
        <f t="shared" ca="1" si="168"/>
        <v>5</v>
      </c>
      <c r="AN303" s="29">
        <f t="shared" ca="1" si="168"/>
        <v>0</v>
      </c>
      <c r="AO303" s="29">
        <f t="shared" ca="1" si="168"/>
        <v>1</v>
      </c>
      <c r="AP303" s="29">
        <f t="shared" ca="1" si="168"/>
        <v>5</v>
      </c>
      <c r="AQ303" s="29">
        <f t="shared" ca="1" si="168"/>
        <v>2</v>
      </c>
      <c r="AR303" s="29">
        <f t="shared" ca="1" si="168"/>
        <v>2</v>
      </c>
      <c r="AS303" s="29">
        <f t="shared" ca="1" si="168"/>
        <v>1</v>
      </c>
      <c r="AT303" s="29">
        <f t="shared" ca="1" si="168"/>
        <v>3</v>
      </c>
      <c r="AU303" s="29">
        <f t="shared" ca="1" si="168"/>
        <v>0</v>
      </c>
      <c r="AV303" s="29">
        <f t="shared" ca="1" si="171"/>
        <v>4</v>
      </c>
      <c r="AW303" s="29">
        <f t="shared" ca="1" si="171"/>
        <v>1</v>
      </c>
      <c r="AX303" s="29">
        <f t="shared" ca="1" si="171"/>
        <v>2</v>
      </c>
      <c r="AY303" s="29">
        <f t="shared" ca="1" si="171"/>
        <v>2</v>
      </c>
      <c r="AZ303" s="29">
        <f t="shared" ca="1" si="171"/>
        <v>3</v>
      </c>
      <c r="BA303" s="29">
        <f t="shared" ca="1" si="171"/>
        <v>0</v>
      </c>
      <c r="BB303" s="29">
        <f t="shared" ca="1" si="171"/>
        <v>2</v>
      </c>
      <c r="BC303" s="29">
        <f t="shared" ca="1" si="171"/>
        <v>1</v>
      </c>
      <c r="BD303" s="29">
        <f t="shared" ca="1" si="171"/>
        <v>1</v>
      </c>
      <c r="BE303" s="29">
        <f t="shared" ca="1" si="171"/>
        <v>1</v>
      </c>
      <c r="BF303" s="29">
        <f t="shared" ca="1" si="171"/>
        <v>2</v>
      </c>
      <c r="BG303" s="29">
        <f t="shared" ca="1" si="171"/>
        <v>4</v>
      </c>
      <c r="BH303" s="29">
        <f t="shared" ca="1" si="171"/>
        <v>3</v>
      </c>
      <c r="BI303" s="29">
        <f t="shared" ca="1" si="171"/>
        <v>3</v>
      </c>
      <c r="BJ303" s="29">
        <f t="shared" ca="1" si="171"/>
        <v>5</v>
      </c>
      <c r="BK303" s="29">
        <f t="shared" ca="1" si="171"/>
        <v>2</v>
      </c>
      <c r="BL303" s="29">
        <f t="shared" ca="1" si="170"/>
        <v>3</v>
      </c>
      <c r="BM303" s="29">
        <f t="shared" ca="1" si="170"/>
        <v>0</v>
      </c>
      <c r="BN303" s="29">
        <f t="shared" ca="1" si="170"/>
        <v>2</v>
      </c>
      <c r="BO303" s="29">
        <f t="shared" ca="1" si="170"/>
        <v>0</v>
      </c>
      <c r="BP303" s="29">
        <f t="shared" ca="1" si="170"/>
        <v>0</v>
      </c>
      <c r="BQ303" s="29">
        <f t="shared" ca="1" si="170"/>
        <v>1</v>
      </c>
      <c r="BR303" s="29">
        <f t="shared" ca="1" si="170"/>
        <v>2</v>
      </c>
      <c r="BS303" s="29">
        <f t="shared" ca="1" si="170"/>
        <v>1</v>
      </c>
      <c r="BT303" s="29">
        <f t="shared" ca="1" si="170"/>
        <v>2</v>
      </c>
      <c r="BU303" s="29">
        <f t="shared" ca="1" si="170"/>
        <v>0</v>
      </c>
      <c r="BV303" s="29">
        <f t="shared" ca="1" si="170"/>
        <v>1</v>
      </c>
      <c r="BW303" s="29">
        <f t="shared" ca="1" si="170"/>
        <v>1</v>
      </c>
      <c r="BX303" s="29">
        <f t="shared" ca="1" si="170"/>
        <v>0</v>
      </c>
      <c r="BY303" s="29">
        <f t="shared" ca="1" si="170"/>
        <v>1</v>
      </c>
      <c r="BZ303" s="29">
        <f t="shared" ca="1" si="170"/>
        <v>1</v>
      </c>
      <c r="CA303" s="29">
        <f t="shared" ca="1" si="167"/>
        <v>2</v>
      </c>
      <c r="CB303" s="29">
        <f t="shared" ca="1" si="167"/>
        <v>2</v>
      </c>
      <c r="CC303" s="29">
        <f t="shared" ca="1" si="167"/>
        <v>2</v>
      </c>
      <c r="CD303" s="29">
        <f t="shared" ca="1" si="167"/>
        <v>3</v>
      </c>
      <c r="CE303" s="29">
        <f t="shared" ca="1" si="167"/>
        <v>3</v>
      </c>
      <c r="CF303" s="29">
        <f t="shared" ca="1" si="167"/>
        <v>1</v>
      </c>
      <c r="CG303" s="29">
        <f t="shared" ca="1" si="167"/>
        <v>1</v>
      </c>
      <c r="CH303" s="29">
        <f t="shared" ca="1" si="167"/>
        <v>2</v>
      </c>
      <c r="CI303" s="29">
        <f t="shared" ca="1" si="167"/>
        <v>0</v>
      </c>
      <c r="CJ303" s="29">
        <f t="shared" ca="1" si="167"/>
        <v>1</v>
      </c>
      <c r="CK303" s="29">
        <f t="shared" ca="1" si="167"/>
        <v>3</v>
      </c>
      <c r="CL303" s="29">
        <f t="shared" ca="1" si="167"/>
        <v>0</v>
      </c>
      <c r="CM303" s="29">
        <f t="shared" ca="1" si="167"/>
        <v>1</v>
      </c>
      <c r="CN303" s="29">
        <f t="shared" ca="1" si="167"/>
        <v>2</v>
      </c>
      <c r="CO303" s="29">
        <f t="shared" ca="1" si="167"/>
        <v>2</v>
      </c>
      <c r="CP303" s="29">
        <f t="shared" ca="1" si="167"/>
        <v>3</v>
      </c>
      <c r="CQ303" s="29">
        <f t="shared" ca="1" si="166"/>
        <v>1</v>
      </c>
      <c r="CR303" s="29">
        <f t="shared" ca="1" si="166"/>
        <v>2</v>
      </c>
      <c r="CS303" s="29">
        <f t="shared" ca="1" si="166"/>
        <v>2</v>
      </c>
      <c r="CT303" s="29">
        <f t="shared" ca="1" si="166"/>
        <v>2</v>
      </c>
      <c r="CU303" s="29">
        <f t="shared" ca="1" si="166"/>
        <v>1</v>
      </c>
      <c r="CV303" s="29">
        <f t="shared" ca="1" si="166"/>
        <v>3</v>
      </c>
      <c r="CW303" s="29">
        <f t="shared" ca="1" si="166"/>
        <v>4</v>
      </c>
      <c r="CX303" s="29">
        <f t="shared" ca="1" si="166"/>
        <v>3</v>
      </c>
      <c r="CY303" s="29">
        <f t="shared" ca="1" si="166"/>
        <v>5</v>
      </c>
      <c r="CZ303" s="29">
        <f t="shared" ca="1" si="166"/>
        <v>3</v>
      </c>
      <c r="DA303" s="29">
        <f t="shared" ca="1" si="166"/>
        <v>4</v>
      </c>
      <c r="DB303" s="29">
        <f t="shared" ca="1" si="166"/>
        <v>1</v>
      </c>
      <c r="DC303" s="29">
        <f t="shared" ca="1" si="166"/>
        <v>2</v>
      </c>
      <c r="DD303" s="29">
        <f t="shared" ca="1" si="166"/>
        <v>2</v>
      </c>
      <c r="DE303" s="29">
        <f t="shared" ca="1" si="166"/>
        <v>1</v>
      </c>
      <c r="DF303" s="29">
        <f t="shared" ca="1" si="159"/>
        <v>3</v>
      </c>
      <c r="DG303" s="29">
        <f t="shared" ca="1" si="159"/>
        <v>1</v>
      </c>
      <c r="DH303" s="29">
        <f t="shared" ca="1" si="159"/>
        <v>1</v>
      </c>
      <c r="DI303" s="29">
        <f t="shared" ca="1" si="159"/>
        <v>2</v>
      </c>
      <c r="DJ303" s="29">
        <f t="shared" ca="1" si="159"/>
        <v>4</v>
      </c>
      <c r="DK303" s="29">
        <f t="shared" ca="1" si="159"/>
        <v>4</v>
      </c>
      <c r="DL303" s="29">
        <f t="shared" ca="1" si="159"/>
        <v>1</v>
      </c>
    </row>
    <row r="304" spans="1:116" ht="14.4" x14ac:dyDescent="0.3">
      <c r="A304" s="31">
        <v>991</v>
      </c>
      <c r="B304" s="28">
        <v>1.99</v>
      </c>
      <c r="C304" s="30">
        <v>63.63</v>
      </c>
      <c r="D304" s="28">
        <v>1.1399999999999999</v>
      </c>
      <c r="E304" s="34">
        <f t="shared" si="145"/>
        <v>2.2799999999999997E-2</v>
      </c>
      <c r="F304" s="35">
        <f t="shared" si="146"/>
        <v>15.907500000000001</v>
      </c>
      <c r="G304" s="34">
        <f t="shared" si="147"/>
        <v>28.499999999999996</v>
      </c>
      <c r="H304" s="33">
        <f t="shared" si="148"/>
        <v>6.3278894472361786</v>
      </c>
      <c r="I304" s="28">
        <f t="shared" si="151"/>
        <v>1157.0800000000004</v>
      </c>
      <c r="J304" s="32">
        <v>0</v>
      </c>
      <c r="K304" s="30">
        <f t="shared" si="149"/>
        <v>28.499999999999996</v>
      </c>
      <c r="L304" s="30"/>
      <c r="M304" s="30"/>
      <c r="N304" s="30"/>
      <c r="O304" s="30"/>
      <c r="Q304" s="29">
        <f t="shared" ca="1" si="150"/>
        <v>1</v>
      </c>
      <c r="R304" s="29">
        <f t="shared" ca="1" si="169"/>
        <v>1</v>
      </c>
      <c r="S304" s="29">
        <f t="shared" ca="1" si="169"/>
        <v>1</v>
      </c>
      <c r="T304" s="29">
        <f t="shared" ca="1" si="169"/>
        <v>0</v>
      </c>
      <c r="U304" s="29">
        <f t="shared" ca="1" si="169"/>
        <v>0</v>
      </c>
      <c r="V304" s="29">
        <f t="shared" ca="1" si="169"/>
        <v>0</v>
      </c>
      <c r="W304" s="29">
        <f t="shared" ca="1" si="169"/>
        <v>1</v>
      </c>
      <c r="X304" s="29">
        <f t="shared" ca="1" si="169"/>
        <v>1</v>
      </c>
      <c r="Y304" s="29">
        <f t="shared" ca="1" si="169"/>
        <v>2</v>
      </c>
      <c r="Z304" s="29">
        <f t="shared" ca="1" si="169"/>
        <v>0</v>
      </c>
      <c r="AA304" s="29">
        <f t="shared" ca="1" si="169"/>
        <v>1</v>
      </c>
      <c r="AB304" s="29">
        <f t="shared" ca="1" si="169"/>
        <v>2</v>
      </c>
      <c r="AC304" s="29">
        <f t="shared" ca="1" si="169"/>
        <v>2</v>
      </c>
      <c r="AD304" s="29">
        <f t="shared" ca="1" si="169"/>
        <v>0</v>
      </c>
      <c r="AE304" s="29">
        <f t="shared" ca="1" si="169"/>
        <v>1</v>
      </c>
      <c r="AF304" s="29">
        <f t="shared" ca="1" si="169"/>
        <v>1</v>
      </c>
      <c r="AG304" s="29">
        <f t="shared" ca="1" si="168"/>
        <v>1</v>
      </c>
      <c r="AH304" s="29">
        <f t="shared" ca="1" si="168"/>
        <v>0</v>
      </c>
      <c r="AI304" s="29">
        <f t="shared" ca="1" si="168"/>
        <v>1</v>
      </c>
      <c r="AJ304" s="29">
        <f t="shared" ca="1" si="168"/>
        <v>1</v>
      </c>
      <c r="AK304" s="29">
        <f t="shared" ca="1" si="168"/>
        <v>0</v>
      </c>
      <c r="AL304" s="29">
        <f t="shared" ca="1" si="168"/>
        <v>0</v>
      </c>
      <c r="AM304" s="29">
        <f t="shared" ca="1" si="168"/>
        <v>3</v>
      </c>
      <c r="AN304" s="29">
        <f t="shared" ca="1" si="168"/>
        <v>0</v>
      </c>
      <c r="AO304" s="29">
        <f t="shared" ca="1" si="168"/>
        <v>0</v>
      </c>
      <c r="AP304" s="29">
        <f t="shared" ca="1" si="168"/>
        <v>1</v>
      </c>
      <c r="AQ304" s="29">
        <f t="shared" ca="1" si="168"/>
        <v>1</v>
      </c>
      <c r="AR304" s="29">
        <f t="shared" ca="1" si="168"/>
        <v>3</v>
      </c>
      <c r="AS304" s="29">
        <f t="shared" ca="1" si="168"/>
        <v>1</v>
      </c>
      <c r="AT304" s="29">
        <f t="shared" ca="1" si="168"/>
        <v>0</v>
      </c>
      <c r="AU304" s="29">
        <f t="shared" ca="1" si="168"/>
        <v>0</v>
      </c>
      <c r="AV304" s="29">
        <f t="shared" ca="1" si="171"/>
        <v>1</v>
      </c>
      <c r="AW304" s="29">
        <f t="shared" ca="1" si="171"/>
        <v>4</v>
      </c>
      <c r="AX304" s="29">
        <f t="shared" ca="1" si="171"/>
        <v>0</v>
      </c>
      <c r="AY304" s="29">
        <f t="shared" ca="1" si="171"/>
        <v>1</v>
      </c>
      <c r="AZ304" s="29">
        <f t="shared" ca="1" si="171"/>
        <v>0</v>
      </c>
      <c r="BA304" s="29">
        <f t="shared" ca="1" si="171"/>
        <v>1</v>
      </c>
      <c r="BB304" s="29">
        <f t="shared" ca="1" si="171"/>
        <v>2</v>
      </c>
      <c r="BC304" s="29">
        <f t="shared" ca="1" si="171"/>
        <v>2</v>
      </c>
      <c r="BD304" s="29">
        <f t="shared" ca="1" si="171"/>
        <v>2</v>
      </c>
      <c r="BE304" s="29">
        <f t="shared" ca="1" si="171"/>
        <v>1</v>
      </c>
      <c r="BF304" s="29">
        <f t="shared" ca="1" si="171"/>
        <v>1</v>
      </c>
      <c r="BG304" s="29">
        <f t="shared" ca="1" si="171"/>
        <v>1</v>
      </c>
      <c r="BH304" s="29">
        <f t="shared" ca="1" si="171"/>
        <v>1</v>
      </c>
      <c r="BI304" s="29">
        <f t="shared" ca="1" si="171"/>
        <v>1</v>
      </c>
      <c r="BJ304" s="29">
        <f t="shared" ca="1" si="171"/>
        <v>1</v>
      </c>
      <c r="BK304" s="29">
        <f t="shared" ca="1" si="171"/>
        <v>0</v>
      </c>
      <c r="BL304" s="29">
        <f t="shared" ca="1" si="170"/>
        <v>2</v>
      </c>
      <c r="BM304" s="29">
        <f t="shared" ca="1" si="170"/>
        <v>0</v>
      </c>
      <c r="BN304" s="29">
        <f t="shared" ca="1" si="170"/>
        <v>1</v>
      </c>
      <c r="BO304" s="29">
        <f t="shared" ca="1" si="170"/>
        <v>0</v>
      </c>
      <c r="BP304" s="29">
        <f t="shared" ca="1" si="170"/>
        <v>2</v>
      </c>
      <c r="BQ304" s="29">
        <f t="shared" ca="1" si="170"/>
        <v>1</v>
      </c>
      <c r="BR304" s="29">
        <f t="shared" ca="1" si="170"/>
        <v>1</v>
      </c>
      <c r="BS304" s="29">
        <f t="shared" ca="1" si="170"/>
        <v>3</v>
      </c>
      <c r="BT304" s="29">
        <f t="shared" ca="1" si="170"/>
        <v>1</v>
      </c>
      <c r="BU304" s="29">
        <f t="shared" ca="1" si="170"/>
        <v>0</v>
      </c>
      <c r="BV304" s="29">
        <f t="shared" ca="1" si="170"/>
        <v>3</v>
      </c>
      <c r="BW304" s="29">
        <f t="shared" ca="1" si="170"/>
        <v>0</v>
      </c>
      <c r="BX304" s="29">
        <f t="shared" ca="1" si="170"/>
        <v>1</v>
      </c>
      <c r="BY304" s="29">
        <f t="shared" ca="1" si="170"/>
        <v>3</v>
      </c>
      <c r="BZ304" s="29">
        <f t="shared" ca="1" si="170"/>
        <v>2</v>
      </c>
      <c r="CA304" s="29">
        <f t="shared" ca="1" si="167"/>
        <v>1</v>
      </c>
      <c r="CB304" s="29">
        <f t="shared" ca="1" si="167"/>
        <v>0</v>
      </c>
      <c r="CC304" s="29">
        <f t="shared" ca="1" si="167"/>
        <v>1</v>
      </c>
      <c r="CD304" s="29">
        <f t="shared" ca="1" si="167"/>
        <v>0</v>
      </c>
      <c r="CE304" s="29">
        <f t="shared" ca="1" si="167"/>
        <v>0</v>
      </c>
      <c r="CF304" s="29">
        <f t="shared" ca="1" si="167"/>
        <v>1</v>
      </c>
      <c r="CG304" s="29">
        <f t="shared" ca="1" si="167"/>
        <v>1</v>
      </c>
      <c r="CH304" s="29">
        <f t="shared" ca="1" si="167"/>
        <v>1</v>
      </c>
      <c r="CI304" s="29">
        <f t="shared" ca="1" si="167"/>
        <v>0</v>
      </c>
      <c r="CJ304" s="29">
        <f t="shared" ca="1" si="167"/>
        <v>1</v>
      </c>
      <c r="CK304" s="29">
        <f t="shared" ca="1" si="167"/>
        <v>1</v>
      </c>
      <c r="CL304" s="29">
        <f t="shared" ca="1" si="167"/>
        <v>1</v>
      </c>
      <c r="CM304" s="29">
        <f t="shared" ca="1" si="167"/>
        <v>0</v>
      </c>
      <c r="CN304" s="29">
        <f t="shared" ca="1" si="167"/>
        <v>2</v>
      </c>
      <c r="CO304" s="29">
        <f t="shared" ca="1" si="167"/>
        <v>1</v>
      </c>
      <c r="CP304" s="29">
        <f t="shared" ca="1" si="167"/>
        <v>2</v>
      </c>
      <c r="CQ304" s="29">
        <f t="shared" ca="1" si="166"/>
        <v>0</v>
      </c>
      <c r="CR304" s="29">
        <f t="shared" ca="1" si="166"/>
        <v>2</v>
      </c>
      <c r="CS304" s="29">
        <f t="shared" ca="1" si="166"/>
        <v>1</v>
      </c>
      <c r="CT304" s="29">
        <f t="shared" ca="1" si="166"/>
        <v>3</v>
      </c>
      <c r="CU304" s="29">
        <f t="shared" ca="1" si="166"/>
        <v>2</v>
      </c>
      <c r="CV304" s="29">
        <f t="shared" ca="1" si="166"/>
        <v>1</v>
      </c>
      <c r="CW304" s="29">
        <f t="shared" ca="1" si="166"/>
        <v>1</v>
      </c>
      <c r="CX304" s="29">
        <f t="shared" ca="1" si="166"/>
        <v>1</v>
      </c>
      <c r="CY304" s="29">
        <f t="shared" ca="1" si="166"/>
        <v>0</v>
      </c>
      <c r="CZ304" s="29">
        <f t="shared" ca="1" si="166"/>
        <v>1</v>
      </c>
      <c r="DA304" s="29">
        <f t="shared" ca="1" si="166"/>
        <v>1</v>
      </c>
      <c r="DB304" s="29">
        <f t="shared" ca="1" si="166"/>
        <v>1</v>
      </c>
      <c r="DC304" s="29">
        <f t="shared" ca="1" si="166"/>
        <v>1</v>
      </c>
      <c r="DD304" s="29">
        <f t="shared" ca="1" si="166"/>
        <v>0</v>
      </c>
      <c r="DE304" s="29">
        <f t="shared" ca="1" si="166"/>
        <v>1</v>
      </c>
      <c r="DF304" s="29">
        <f t="shared" ca="1" si="159"/>
        <v>3</v>
      </c>
      <c r="DG304" s="29">
        <f t="shared" ca="1" si="159"/>
        <v>1</v>
      </c>
      <c r="DH304" s="29">
        <f t="shared" ca="1" si="159"/>
        <v>1</v>
      </c>
      <c r="DI304" s="29">
        <f t="shared" ca="1" si="159"/>
        <v>0</v>
      </c>
      <c r="DJ304" s="29">
        <f t="shared" ca="1" si="159"/>
        <v>2</v>
      </c>
      <c r="DK304" s="29">
        <f t="shared" ca="1" si="159"/>
        <v>0</v>
      </c>
      <c r="DL304" s="29">
        <f t="shared" ca="1" si="159"/>
        <v>0</v>
      </c>
    </row>
    <row r="305" spans="1:116" ht="14.4" x14ac:dyDescent="0.3">
      <c r="A305" s="31">
        <v>1106</v>
      </c>
      <c r="B305" s="28">
        <v>3.07</v>
      </c>
      <c r="C305" s="30">
        <v>53.77</v>
      </c>
      <c r="D305" s="28">
        <v>1.31</v>
      </c>
      <c r="E305" s="34">
        <f t="shared" si="145"/>
        <v>2.6200000000000001E-2</v>
      </c>
      <c r="F305" s="35">
        <f t="shared" si="146"/>
        <v>13.442500000000001</v>
      </c>
      <c r="G305" s="34">
        <f t="shared" si="147"/>
        <v>32.75</v>
      </c>
      <c r="H305" s="33">
        <f t="shared" si="148"/>
        <v>6.2890879478827353</v>
      </c>
      <c r="I305" s="28">
        <f t="shared" si="151"/>
        <v>1160.1500000000003</v>
      </c>
      <c r="J305" s="32">
        <v>0</v>
      </c>
      <c r="K305" s="30">
        <f t="shared" si="149"/>
        <v>32.75</v>
      </c>
      <c r="L305" s="30"/>
      <c r="M305" s="30"/>
      <c r="N305" s="30"/>
      <c r="O305" s="30"/>
      <c r="Q305" s="29">
        <f t="shared" ca="1" si="150"/>
        <v>1</v>
      </c>
      <c r="R305" s="29">
        <f t="shared" ca="1" si="169"/>
        <v>0</v>
      </c>
      <c r="S305" s="29">
        <f t="shared" ca="1" si="169"/>
        <v>1</v>
      </c>
      <c r="T305" s="29">
        <f t="shared" ca="1" si="169"/>
        <v>1</v>
      </c>
      <c r="U305" s="29">
        <f t="shared" ca="1" si="169"/>
        <v>1</v>
      </c>
      <c r="V305" s="29">
        <f t="shared" ca="1" si="169"/>
        <v>2</v>
      </c>
      <c r="W305" s="29">
        <f t="shared" ca="1" si="169"/>
        <v>1</v>
      </c>
      <c r="X305" s="29">
        <f t="shared" ca="1" si="169"/>
        <v>3</v>
      </c>
      <c r="Y305" s="29">
        <f t="shared" ca="1" si="169"/>
        <v>3</v>
      </c>
      <c r="Z305" s="29">
        <f t="shared" ca="1" si="169"/>
        <v>1</v>
      </c>
      <c r="AA305" s="29">
        <f t="shared" ca="1" si="169"/>
        <v>1</v>
      </c>
      <c r="AB305" s="29">
        <f t="shared" ca="1" si="169"/>
        <v>2</v>
      </c>
      <c r="AC305" s="29">
        <f t="shared" ca="1" si="169"/>
        <v>3</v>
      </c>
      <c r="AD305" s="29">
        <f t="shared" ca="1" si="169"/>
        <v>1</v>
      </c>
      <c r="AE305" s="29">
        <f t="shared" ca="1" si="169"/>
        <v>1</v>
      </c>
      <c r="AF305" s="29">
        <f t="shared" ca="1" si="169"/>
        <v>0</v>
      </c>
      <c r="AG305" s="29">
        <f t="shared" ca="1" si="168"/>
        <v>2</v>
      </c>
      <c r="AH305" s="29">
        <f t="shared" ca="1" si="168"/>
        <v>1</v>
      </c>
      <c r="AI305" s="29">
        <f t="shared" ca="1" si="168"/>
        <v>1</v>
      </c>
      <c r="AJ305" s="29">
        <f t="shared" ca="1" si="168"/>
        <v>3</v>
      </c>
      <c r="AK305" s="29">
        <f t="shared" ca="1" si="168"/>
        <v>0</v>
      </c>
      <c r="AL305" s="29">
        <f t="shared" ca="1" si="168"/>
        <v>2</v>
      </c>
      <c r="AM305" s="29">
        <f t="shared" ca="1" si="168"/>
        <v>1</v>
      </c>
      <c r="AN305" s="29">
        <f t="shared" ca="1" si="168"/>
        <v>0</v>
      </c>
      <c r="AO305" s="29">
        <f t="shared" ca="1" si="168"/>
        <v>0</v>
      </c>
      <c r="AP305" s="29">
        <f t="shared" ca="1" si="168"/>
        <v>0</v>
      </c>
      <c r="AQ305" s="29">
        <f t="shared" ca="1" si="168"/>
        <v>0</v>
      </c>
      <c r="AR305" s="29">
        <f t="shared" ca="1" si="168"/>
        <v>3</v>
      </c>
      <c r="AS305" s="29">
        <f t="shared" ca="1" si="168"/>
        <v>1</v>
      </c>
      <c r="AT305" s="29">
        <f t="shared" ca="1" si="168"/>
        <v>1</v>
      </c>
      <c r="AU305" s="29">
        <f t="shared" ca="1" si="168"/>
        <v>0</v>
      </c>
      <c r="AV305" s="29">
        <f t="shared" ca="1" si="171"/>
        <v>1</v>
      </c>
      <c r="AW305" s="29">
        <f t="shared" ca="1" si="171"/>
        <v>2</v>
      </c>
      <c r="AX305" s="29">
        <f t="shared" ca="1" si="171"/>
        <v>3</v>
      </c>
      <c r="AY305" s="29">
        <f t="shared" ca="1" si="171"/>
        <v>1</v>
      </c>
      <c r="AZ305" s="29">
        <f t="shared" ca="1" si="171"/>
        <v>3</v>
      </c>
      <c r="BA305" s="29">
        <f t="shared" ca="1" si="171"/>
        <v>2</v>
      </c>
      <c r="BB305" s="29">
        <f t="shared" ca="1" si="171"/>
        <v>2</v>
      </c>
      <c r="BC305" s="29">
        <f t="shared" ca="1" si="171"/>
        <v>0</v>
      </c>
      <c r="BD305" s="29">
        <f t="shared" ca="1" si="171"/>
        <v>2</v>
      </c>
      <c r="BE305" s="29">
        <f t="shared" ca="1" si="171"/>
        <v>1</v>
      </c>
      <c r="BF305" s="29">
        <f t="shared" ca="1" si="171"/>
        <v>0</v>
      </c>
      <c r="BG305" s="29">
        <f t="shared" ca="1" si="171"/>
        <v>0</v>
      </c>
      <c r="BH305" s="29">
        <f t="shared" ca="1" si="171"/>
        <v>2</v>
      </c>
      <c r="BI305" s="29">
        <f t="shared" ca="1" si="171"/>
        <v>1</v>
      </c>
      <c r="BJ305" s="29">
        <f t="shared" ca="1" si="171"/>
        <v>0</v>
      </c>
      <c r="BK305" s="29">
        <f t="shared" ca="1" si="171"/>
        <v>1</v>
      </c>
      <c r="BL305" s="29">
        <f t="shared" ca="1" si="170"/>
        <v>2</v>
      </c>
      <c r="BM305" s="29">
        <f t="shared" ca="1" si="170"/>
        <v>1</v>
      </c>
      <c r="BN305" s="29">
        <f t="shared" ca="1" si="170"/>
        <v>8</v>
      </c>
      <c r="BO305" s="29">
        <f t="shared" ca="1" si="170"/>
        <v>1</v>
      </c>
      <c r="BP305" s="29">
        <f t="shared" ca="1" si="170"/>
        <v>2</v>
      </c>
      <c r="BQ305" s="29">
        <f t="shared" ca="1" si="170"/>
        <v>1</v>
      </c>
      <c r="BR305" s="29">
        <f t="shared" ca="1" si="170"/>
        <v>1</v>
      </c>
      <c r="BS305" s="29">
        <f t="shared" ca="1" si="170"/>
        <v>2</v>
      </c>
      <c r="BT305" s="29">
        <f t="shared" ca="1" si="170"/>
        <v>3</v>
      </c>
      <c r="BU305" s="29">
        <f t="shared" ca="1" si="170"/>
        <v>2</v>
      </c>
      <c r="BV305" s="29">
        <f t="shared" ca="1" si="170"/>
        <v>2</v>
      </c>
      <c r="BW305" s="29">
        <f t="shared" ca="1" si="170"/>
        <v>2</v>
      </c>
      <c r="BX305" s="29">
        <f t="shared" ca="1" si="170"/>
        <v>0</v>
      </c>
      <c r="BY305" s="29">
        <f t="shared" ca="1" si="170"/>
        <v>0</v>
      </c>
      <c r="BZ305" s="29">
        <f t="shared" ca="1" si="170"/>
        <v>1</v>
      </c>
      <c r="CA305" s="29">
        <f t="shared" ca="1" si="167"/>
        <v>0</v>
      </c>
      <c r="CB305" s="29">
        <f t="shared" ca="1" si="167"/>
        <v>3</v>
      </c>
      <c r="CC305" s="29">
        <f t="shared" ca="1" si="167"/>
        <v>0</v>
      </c>
      <c r="CD305" s="29">
        <f t="shared" ca="1" si="167"/>
        <v>3</v>
      </c>
      <c r="CE305" s="29">
        <f t="shared" ca="1" si="167"/>
        <v>0</v>
      </c>
      <c r="CF305" s="29">
        <f t="shared" ca="1" si="167"/>
        <v>1</v>
      </c>
      <c r="CG305" s="29">
        <f t="shared" ca="1" si="167"/>
        <v>4</v>
      </c>
      <c r="CH305" s="29">
        <f t="shared" ca="1" si="167"/>
        <v>1</v>
      </c>
      <c r="CI305" s="29">
        <f t="shared" ca="1" si="167"/>
        <v>2</v>
      </c>
      <c r="CJ305" s="29">
        <f t="shared" ca="1" si="167"/>
        <v>0</v>
      </c>
      <c r="CK305" s="29">
        <f t="shared" ca="1" si="167"/>
        <v>1</v>
      </c>
      <c r="CL305" s="29">
        <f t="shared" ca="1" si="167"/>
        <v>2</v>
      </c>
      <c r="CM305" s="29">
        <f t="shared" ca="1" si="167"/>
        <v>0</v>
      </c>
      <c r="CN305" s="29">
        <f t="shared" ca="1" si="167"/>
        <v>0</v>
      </c>
      <c r="CO305" s="29">
        <f t="shared" ca="1" si="167"/>
        <v>5</v>
      </c>
      <c r="CP305" s="29">
        <f t="shared" ca="1" si="167"/>
        <v>3</v>
      </c>
      <c r="CQ305" s="29">
        <f t="shared" ca="1" si="166"/>
        <v>3</v>
      </c>
      <c r="CR305" s="29">
        <f t="shared" ca="1" si="166"/>
        <v>1</v>
      </c>
      <c r="CS305" s="29">
        <f t="shared" ca="1" si="166"/>
        <v>0</v>
      </c>
      <c r="CT305" s="29">
        <f t="shared" ca="1" si="166"/>
        <v>3</v>
      </c>
      <c r="CU305" s="29">
        <f t="shared" ca="1" si="166"/>
        <v>0</v>
      </c>
      <c r="CV305" s="29">
        <f t="shared" ca="1" si="166"/>
        <v>0</v>
      </c>
      <c r="CW305" s="29">
        <f t="shared" ca="1" si="166"/>
        <v>1</v>
      </c>
      <c r="CX305" s="29">
        <f t="shared" ca="1" si="166"/>
        <v>2</v>
      </c>
      <c r="CY305" s="29">
        <f t="shared" ca="1" si="166"/>
        <v>1</v>
      </c>
      <c r="CZ305" s="29">
        <f t="shared" ca="1" si="166"/>
        <v>1</v>
      </c>
      <c r="DA305" s="29">
        <f t="shared" ca="1" si="166"/>
        <v>1</v>
      </c>
      <c r="DB305" s="29">
        <f t="shared" ca="1" si="166"/>
        <v>3</v>
      </c>
      <c r="DC305" s="29">
        <f t="shared" ca="1" si="166"/>
        <v>1</v>
      </c>
      <c r="DD305" s="29">
        <f t="shared" ca="1" si="166"/>
        <v>2</v>
      </c>
      <c r="DE305" s="29">
        <f t="shared" ca="1" si="166"/>
        <v>0</v>
      </c>
      <c r="DF305" s="29">
        <f t="shared" ca="1" si="159"/>
        <v>1</v>
      </c>
      <c r="DG305" s="29">
        <f t="shared" ca="1" si="159"/>
        <v>1</v>
      </c>
      <c r="DH305" s="29">
        <f t="shared" ca="1" si="159"/>
        <v>0</v>
      </c>
      <c r="DI305" s="29">
        <f t="shared" ref="DI305:DL305" ca="1" si="172">_xlfn.BINOM.INV(50,$E305,RAND())</f>
        <v>3</v>
      </c>
      <c r="DJ305" s="29">
        <f t="shared" ca="1" si="172"/>
        <v>0</v>
      </c>
      <c r="DK305" s="29">
        <f t="shared" ca="1" si="172"/>
        <v>0</v>
      </c>
      <c r="DL305" s="29">
        <f t="shared" ca="1" si="172"/>
        <v>0</v>
      </c>
    </row>
    <row r="306" spans="1:116" ht="14.4" x14ac:dyDescent="0.3">
      <c r="A306" s="31">
        <v>443</v>
      </c>
      <c r="B306" s="28">
        <v>7.58</v>
      </c>
      <c r="C306" s="30">
        <v>1.03</v>
      </c>
      <c r="D306" s="28">
        <v>1.9</v>
      </c>
      <c r="E306" s="34">
        <f t="shared" si="145"/>
        <v>3.7999999999999999E-2</v>
      </c>
      <c r="F306" s="35">
        <f t="shared" si="146"/>
        <v>0.25750000000000001</v>
      </c>
      <c r="G306" s="34">
        <f t="shared" si="147"/>
        <v>47.5</v>
      </c>
      <c r="H306" s="33">
        <f t="shared" si="148"/>
        <v>6.2325197889182054</v>
      </c>
      <c r="I306" s="28">
        <f t="shared" si="151"/>
        <v>1167.7300000000002</v>
      </c>
      <c r="J306" s="32">
        <v>0</v>
      </c>
      <c r="K306" s="30">
        <f t="shared" si="149"/>
        <v>47.5</v>
      </c>
      <c r="L306" s="30"/>
      <c r="M306" s="30"/>
      <c r="N306" s="30"/>
      <c r="O306" s="30"/>
      <c r="Q306" s="29">
        <f t="shared" ca="1" si="150"/>
        <v>1</v>
      </c>
      <c r="R306" s="29">
        <f t="shared" ca="1" si="169"/>
        <v>3</v>
      </c>
      <c r="S306" s="29">
        <f t="shared" ca="1" si="169"/>
        <v>3</v>
      </c>
      <c r="T306" s="29">
        <f t="shared" ca="1" si="169"/>
        <v>1</v>
      </c>
      <c r="U306" s="29">
        <f t="shared" ca="1" si="169"/>
        <v>2</v>
      </c>
      <c r="V306" s="29">
        <f t="shared" ca="1" si="169"/>
        <v>3</v>
      </c>
      <c r="W306" s="29">
        <f t="shared" ca="1" si="169"/>
        <v>0</v>
      </c>
      <c r="X306" s="29">
        <f t="shared" ca="1" si="169"/>
        <v>3</v>
      </c>
      <c r="Y306" s="29">
        <f t="shared" ca="1" si="169"/>
        <v>1</v>
      </c>
      <c r="Z306" s="29">
        <f t="shared" ca="1" si="169"/>
        <v>1</v>
      </c>
      <c r="AA306" s="29">
        <f t="shared" ca="1" si="169"/>
        <v>0</v>
      </c>
      <c r="AB306" s="29">
        <f t="shared" ca="1" si="169"/>
        <v>2</v>
      </c>
      <c r="AC306" s="29">
        <f t="shared" ca="1" si="169"/>
        <v>1</v>
      </c>
      <c r="AD306" s="29">
        <f t="shared" ca="1" si="169"/>
        <v>2</v>
      </c>
      <c r="AE306" s="29">
        <f t="shared" ca="1" si="169"/>
        <v>2</v>
      </c>
      <c r="AF306" s="29">
        <f t="shared" ca="1" si="169"/>
        <v>0</v>
      </c>
      <c r="AG306" s="29">
        <f t="shared" ca="1" si="168"/>
        <v>3</v>
      </c>
      <c r="AH306" s="29">
        <f t="shared" ca="1" si="168"/>
        <v>0</v>
      </c>
      <c r="AI306" s="29">
        <f t="shared" ca="1" si="168"/>
        <v>2</v>
      </c>
      <c r="AJ306" s="29">
        <f t="shared" ca="1" si="168"/>
        <v>2</v>
      </c>
      <c r="AK306" s="29">
        <f t="shared" ca="1" si="168"/>
        <v>2</v>
      </c>
      <c r="AL306" s="29">
        <f t="shared" ca="1" si="168"/>
        <v>1</v>
      </c>
      <c r="AM306" s="29">
        <f t="shared" ca="1" si="168"/>
        <v>1</v>
      </c>
      <c r="AN306" s="29">
        <f t="shared" ca="1" si="168"/>
        <v>3</v>
      </c>
      <c r="AO306" s="29">
        <f t="shared" ca="1" si="168"/>
        <v>0</v>
      </c>
      <c r="AP306" s="29">
        <f t="shared" ca="1" si="168"/>
        <v>2</v>
      </c>
      <c r="AQ306" s="29">
        <f t="shared" ca="1" si="168"/>
        <v>3</v>
      </c>
      <c r="AR306" s="29">
        <f t="shared" ca="1" si="168"/>
        <v>0</v>
      </c>
      <c r="AS306" s="29">
        <f t="shared" ca="1" si="168"/>
        <v>1</v>
      </c>
      <c r="AT306" s="29">
        <f t="shared" ca="1" si="168"/>
        <v>0</v>
      </c>
      <c r="AU306" s="29">
        <f t="shared" ca="1" si="168"/>
        <v>1</v>
      </c>
      <c r="AV306" s="29">
        <f t="shared" ca="1" si="171"/>
        <v>2</v>
      </c>
      <c r="AW306" s="29">
        <f t="shared" ca="1" si="171"/>
        <v>2</v>
      </c>
      <c r="AX306" s="29">
        <f t="shared" ca="1" si="171"/>
        <v>0</v>
      </c>
      <c r="AY306" s="29">
        <f t="shared" ca="1" si="171"/>
        <v>1</v>
      </c>
      <c r="AZ306" s="29">
        <f t="shared" ca="1" si="171"/>
        <v>0</v>
      </c>
      <c r="BA306" s="29">
        <f t="shared" ca="1" si="171"/>
        <v>2</v>
      </c>
      <c r="BB306" s="29">
        <f t="shared" ca="1" si="171"/>
        <v>2</v>
      </c>
      <c r="BC306" s="29">
        <f t="shared" ca="1" si="171"/>
        <v>2</v>
      </c>
      <c r="BD306" s="29">
        <f t="shared" ca="1" si="171"/>
        <v>3</v>
      </c>
      <c r="BE306" s="29">
        <f t="shared" ca="1" si="171"/>
        <v>3</v>
      </c>
      <c r="BF306" s="29">
        <f t="shared" ca="1" si="171"/>
        <v>1</v>
      </c>
      <c r="BG306" s="29">
        <f t="shared" ca="1" si="171"/>
        <v>4</v>
      </c>
      <c r="BH306" s="29">
        <f t="shared" ca="1" si="171"/>
        <v>2</v>
      </c>
      <c r="BI306" s="29">
        <f t="shared" ca="1" si="171"/>
        <v>4</v>
      </c>
      <c r="BJ306" s="29">
        <f t="shared" ca="1" si="171"/>
        <v>3</v>
      </c>
      <c r="BK306" s="29">
        <f t="shared" ca="1" si="171"/>
        <v>1</v>
      </c>
      <c r="BL306" s="29">
        <f t="shared" ca="1" si="170"/>
        <v>3</v>
      </c>
      <c r="BM306" s="29">
        <f t="shared" ca="1" si="170"/>
        <v>2</v>
      </c>
      <c r="BN306" s="29">
        <f t="shared" ca="1" si="170"/>
        <v>1</v>
      </c>
      <c r="BO306" s="29">
        <f t="shared" ca="1" si="170"/>
        <v>2</v>
      </c>
      <c r="BP306" s="29">
        <f t="shared" ca="1" si="170"/>
        <v>2</v>
      </c>
      <c r="BQ306" s="29">
        <f t="shared" ca="1" si="170"/>
        <v>0</v>
      </c>
      <c r="BR306" s="29">
        <f t="shared" ca="1" si="170"/>
        <v>1</v>
      </c>
      <c r="BS306" s="29">
        <f t="shared" ca="1" si="170"/>
        <v>4</v>
      </c>
      <c r="BT306" s="29">
        <f t="shared" ca="1" si="170"/>
        <v>0</v>
      </c>
      <c r="BU306" s="29">
        <f t="shared" ca="1" si="170"/>
        <v>2</v>
      </c>
      <c r="BV306" s="29">
        <f t="shared" ca="1" si="170"/>
        <v>2</v>
      </c>
      <c r="BW306" s="29">
        <f t="shared" ca="1" si="170"/>
        <v>2</v>
      </c>
      <c r="BX306" s="29">
        <f t="shared" ca="1" si="170"/>
        <v>1</v>
      </c>
      <c r="BY306" s="29">
        <f t="shared" ca="1" si="170"/>
        <v>0</v>
      </c>
      <c r="BZ306" s="29">
        <f t="shared" ca="1" si="170"/>
        <v>2</v>
      </c>
      <c r="CA306" s="29">
        <f t="shared" ca="1" si="167"/>
        <v>1</v>
      </c>
      <c r="CB306" s="29">
        <f t="shared" ca="1" si="167"/>
        <v>2</v>
      </c>
      <c r="CC306" s="29">
        <f t="shared" ca="1" si="167"/>
        <v>1</v>
      </c>
      <c r="CD306" s="29">
        <f t="shared" ca="1" si="167"/>
        <v>1</v>
      </c>
      <c r="CE306" s="29">
        <f t="shared" ca="1" si="167"/>
        <v>5</v>
      </c>
      <c r="CF306" s="29">
        <f t="shared" ca="1" si="167"/>
        <v>2</v>
      </c>
      <c r="CG306" s="29">
        <f t="shared" ca="1" si="167"/>
        <v>2</v>
      </c>
      <c r="CH306" s="29">
        <f t="shared" ca="1" si="167"/>
        <v>3</v>
      </c>
      <c r="CI306" s="29">
        <f t="shared" ca="1" si="167"/>
        <v>0</v>
      </c>
      <c r="CJ306" s="29">
        <f t="shared" ca="1" si="167"/>
        <v>3</v>
      </c>
      <c r="CK306" s="29">
        <f t="shared" ca="1" si="167"/>
        <v>3</v>
      </c>
      <c r="CL306" s="29">
        <f t="shared" ca="1" si="167"/>
        <v>1</v>
      </c>
      <c r="CM306" s="29">
        <f t="shared" ca="1" si="167"/>
        <v>1</v>
      </c>
      <c r="CN306" s="29">
        <f t="shared" ca="1" si="167"/>
        <v>0</v>
      </c>
      <c r="CO306" s="29">
        <f t="shared" ca="1" si="167"/>
        <v>1</v>
      </c>
      <c r="CP306" s="29">
        <f t="shared" ca="1" si="167"/>
        <v>4</v>
      </c>
      <c r="CQ306" s="29">
        <f t="shared" ca="1" si="166"/>
        <v>3</v>
      </c>
      <c r="CR306" s="29">
        <f t="shared" ca="1" si="166"/>
        <v>1</v>
      </c>
      <c r="CS306" s="29">
        <f t="shared" ca="1" si="166"/>
        <v>0</v>
      </c>
      <c r="CT306" s="29">
        <f t="shared" ca="1" si="166"/>
        <v>0</v>
      </c>
      <c r="CU306" s="29">
        <f t="shared" ca="1" si="166"/>
        <v>2</v>
      </c>
      <c r="CV306" s="29">
        <f t="shared" ca="1" si="166"/>
        <v>2</v>
      </c>
      <c r="CW306" s="29">
        <f t="shared" ca="1" si="166"/>
        <v>1</v>
      </c>
      <c r="CX306" s="29">
        <f t="shared" ca="1" si="166"/>
        <v>0</v>
      </c>
      <c r="CY306" s="29">
        <f t="shared" ca="1" si="166"/>
        <v>2</v>
      </c>
      <c r="CZ306" s="29">
        <f t="shared" ca="1" si="166"/>
        <v>2</v>
      </c>
      <c r="DA306" s="29">
        <f t="shared" ca="1" si="166"/>
        <v>3</v>
      </c>
      <c r="DB306" s="29">
        <f t="shared" ca="1" si="166"/>
        <v>1</v>
      </c>
      <c r="DC306" s="29">
        <f t="shared" ca="1" si="166"/>
        <v>1</v>
      </c>
      <c r="DD306" s="29">
        <f t="shared" ca="1" si="166"/>
        <v>4</v>
      </c>
      <c r="DE306" s="29">
        <f t="shared" ca="1" si="166"/>
        <v>2</v>
      </c>
      <c r="DF306" s="29">
        <f t="shared" ref="DF306:DL342" ca="1" si="173">_xlfn.BINOM.INV(50,$E306,RAND())</f>
        <v>2</v>
      </c>
      <c r="DG306" s="29">
        <f t="shared" ca="1" si="173"/>
        <v>2</v>
      </c>
      <c r="DH306" s="29">
        <f t="shared" ca="1" si="173"/>
        <v>0</v>
      </c>
      <c r="DI306" s="29">
        <f t="shared" ca="1" si="173"/>
        <v>1</v>
      </c>
      <c r="DJ306" s="29">
        <f t="shared" ca="1" si="173"/>
        <v>3</v>
      </c>
      <c r="DK306" s="29">
        <f t="shared" ca="1" si="173"/>
        <v>3</v>
      </c>
      <c r="DL306" s="29">
        <f t="shared" ca="1" si="173"/>
        <v>5</v>
      </c>
    </row>
    <row r="307" spans="1:116" ht="14.4" x14ac:dyDescent="0.3">
      <c r="A307" s="31">
        <v>941</v>
      </c>
      <c r="B307" s="28">
        <v>9.74</v>
      </c>
      <c r="C307" s="30">
        <v>61.3</v>
      </c>
      <c r="D307" s="28">
        <v>3.04</v>
      </c>
      <c r="E307" s="34">
        <f t="shared" si="145"/>
        <v>6.08E-2</v>
      </c>
      <c r="F307" s="35">
        <f t="shared" si="146"/>
        <v>15.324999999999999</v>
      </c>
      <c r="G307" s="34">
        <f t="shared" si="147"/>
        <v>76</v>
      </c>
      <c r="H307" s="33">
        <f t="shared" si="148"/>
        <v>6.229466119096509</v>
      </c>
      <c r="I307" s="28">
        <f t="shared" si="151"/>
        <v>1177.4700000000003</v>
      </c>
      <c r="J307" s="32">
        <v>0</v>
      </c>
      <c r="K307" s="30">
        <f t="shared" si="149"/>
        <v>76</v>
      </c>
      <c r="L307" s="30"/>
      <c r="M307" s="30"/>
      <c r="N307" s="30"/>
      <c r="O307" s="30"/>
      <c r="Q307" s="29">
        <f t="shared" ca="1" si="150"/>
        <v>2</v>
      </c>
      <c r="R307" s="29">
        <f t="shared" ca="1" si="169"/>
        <v>3</v>
      </c>
      <c r="S307" s="29">
        <f t="shared" ca="1" si="169"/>
        <v>8</v>
      </c>
      <c r="T307" s="29">
        <f t="shared" ca="1" si="169"/>
        <v>0</v>
      </c>
      <c r="U307" s="29">
        <f t="shared" ca="1" si="169"/>
        <v>5</v>
      </c>
      <c r="V307" s="29">
        <f t="shared" ca="1" si="169"/>
        <v>3</v>
      </c>
      <c r="W307" s="29">
        <f t="shared" ca="1" si="169"/>
        <v>3</v>
      </c>
      <c r="X307" s="29">
        <f t="shared" ca="1" si="169"/>
        <v>5</v>
      </c>
      <c r="Y307" s="29">
        <f t="shared" ca="1" si="169"/>
        <v>2</v>
      </c>
      <c r="Z307" s="29">
        <f t="shared" ca="1" si="169"/>
        <v>2</v>
      </c>
      <c r="AA307" s="29">
        <f t="shared" ca="1" si="169"/>
        <v>1</v>
      </c>
      <c r="AB307" s="29">
        <f t="shared" ca="1" si="169"/>
        <v>2</v>
      </c>
      <c r="AC307" s="29">
        <f t="shared" ca="1" si="169"/>
        <v>4</v>
      </c>
      <c r="AD307" s="29">
        <f t="shared" ca="1" si="169"/>
        <v>4</v>
      </c>
      <c r="AE307" s="29">
        <f t="shared" ca="1" si="169"/>
        <v>1</v>
      </c>
      <c r="AF307" s="29">
        <f t="shared" ca="1" si="169"/>
        <v>4</v>
      </c>
      <c r="AG307" s="29">
        <f t="shared" ca="1" si="168"/>
        <v>1</v>
      </c>
      <c r="AH307" s="29">
        <f t="shared" ca="1" si="168"/>
        <v>3</v>
      </c>
      <c r="AI307" s="29">
        <f t="shared" ca="1" si="168"/>
        <v>1</v>
      </c>
      <c r="AJ307" s="29">
        <f t="shared" ca="1" si="168"/>
        <v>4</v>
      </c>
      <c r="AK307" s="29">
        <f t="shared" ca="1" si="168"/>
        <v>3</v>
      </c>
      <c r="AL307" s="29">
        <f t="shared" ca="1" si="168"/>
        <v>2</v>
      </c>
      <c r="AM307" s="29">
        <f t="shared" ca="1" si="168"/>
        <v>5</v>
      </c>
      <c r="AN307" s="29">
        <f t="shared" ca="1" si="168"/>
        <v>7</v>
      </c>
      <c r="AO307" s="29">
        <f t="shared" ca="1" si="168"/>
        <v>3</v>
      </c>
      <c r="AP307" s="29">
        <f t="shared" ca="1" si="168"/>
        <v>3</v>
      </c>
      <c r="AQ307" s="29">
        <f t="shared" ca="1" si="168"/>
        <v>4</v>
      </c>
      <c r="AR307" s="29">
        <f t="shared" ca="1" si="168"/>
        <v>5</v>
      </c>
      <c r="AS307" s="29">
        <f t="shared" ca="1" si="168"/>
        <v>2</v>
      </c>
      <c r="AT307" s="29">
        <f t="shared" ca="1" si="168"/>
        <v>0</v>
      </c>
      <c r="AU307" s="29">
        <f t="shared" ca="1" si="168"/>
        <v>3</v>
      </c>
      <c r="AV307" s="29">
        <f t="shared" ca="1" si="171"/>
        <v>2</v>
      </c>
      <c r="AW307" s="29">
        <f t="shared" ca="1" si="171"/>
        <v>0</v>
      </c>
      <c r="AX307" s="29">
        <f t="shared" ca="1" si="171"/>
        <v>6</v>
      </c>
      <c r="AY307" s="29">
        <f t="shared" ca="1" si="171"/>
        <v>5</v>
      </c>
      <c r="AZ307" s="29">
        <f t="shared" ca="1" si="171"/>
        <v>4</v>
      </c>
      <c r="BA307" s="29">
        <f t="shared" ca="1" si="171"/>
        <v>4</v>
      </c>
      <c r="BB307" s="29">
        <f t="shared" ca="1" si="171"/>
        <v>7</v>
      </c>
      <c r="BC307" s="29">
        <f t="shared" ca="1" si="171"/>
        <v>1</v>
      </c>
      <c r="BD307" s="29">
        <f t="shared" ca="1" si="171"/>
        <v>4</v>
      </c>
      <c r="BE307" s="29">
        <f t="shared" ca="1" si="171"/>
        <v>3</v>
      </c>
      <c r="BF307" s="29">
        <f t="shared" ca="1" si="171"/>
        <v>3</v>
      </c>
      <c r="BG307" s="29">
        <f t="shared" ca="1" si="171"/>
        <v>1</v>
      </c>
      <c r="BH307" s="29">
        <f t="shared" ca="1" si="171"/>
        <v>3</v>
      </c>
      <c r="BI307" s="29">
        <f t="shared" ca="1" si="171"/>
        <v>3</v>
      </c>
      <c r="BJ307" s="29">
        <f t="shared" ca="1" si="171"/>
        <v>1</v>
      </c>
      <c r="BK307" s="29">
        <f t="shared" ca="1" si="171"/>
        <v>1</v>
      </c>
      <c r="BL307" s="29">
        <f t="shared" ca="1" si="170"/>
        <v>2</v>
      </c>
      <c r="BM307" s="29">
        <f t="shared" ca="1" si="170"/>
        <v>4</v>
      </c>
      <c r="BN307" s="29">
        <f t="shared" ca="1" si="170"/>
        <v>4</v>
      </c>
      <c r="BO307" s="29">
        <f t="shared" ca="1" si="170"/>
        <v>6</v>
      </c>
      <c r="BP307" s="29">
        <f t="shared" ca="1" si="170"/>
        <v>3</v>
      </c>
      <c r="BQ307" s="29">
        <f t="shared" ca="1" si="170"/>
        <v>2</v>
      </c>
      <c r="BR307" s="29">
        <f t="shared" ca="1" si="170"/>
        <v>3</v>
      </c>
      <c r="BS307" s="29">
        <f t="shared" ca="1" si="170"/>
        <v>3</v>
      </c>
      <c r="BT307" s="29">
        <f t="shared" ca="1" si="170"/>
        <v>4</v>
      </c>
      <c r="BU307" s="29">
        <f t="shared" ca="1" si="170"/>
        <v>4</v>
      </c>
      <c r="BV307" s="29">
        <f t="shared" ca="1" si="170"/>
        <v>3</v>
      </c>
      <c r="BW307" s="29">
        <f t="shared" ca="1" si="170"/>
        <v>3</v>
      </c>
      <c r="BX307" s="29">
        <f t="shared" ca="1" si="170"/>
        <v>3</v>
      </c>
      <c r="BY307" s="29">
        <f t="shared" ca="1" si="170"/>
        <v>1</v>
      </c>
      <c r="BZ307" s="29">
        <f t="shared" ca="1" si="170"/>
        <v>3</v>
      </c>
      <c r="CA307" s="29">
        <f t="shared" ca="1" si="167"/>
        <v>2</v>
      </c>
      <c r="CB307" s="29">
        <f t="shared" ca="1" si="167"/>
        <v>3</v>
      </c>
      <c r="CC307" s="29">
        <f t="shared" ca="1" si="167"/>
        <v>2</v>
      </c>
      <c r="CD307" s="29">
        <f t="shared" ca="1" si="167"/>
        <v>4</v>
      </c>
      <c r="CE307" s="29">
        <f t="shared" ca="1" si="167"/>
        <v>2</v>
      </c>
      <c r="CF307" s="29">
        <f t="shared" ca="1" si="167"/>
        <v>2</v>
      </c>
      <c r="CG307" s="29">
        <f t="shared" ca="1" si="167"/>
        <v>2</v>
      </c>
      <c r="CH307" s="29">
        <f t="shared" ca="1" si="167"/>
        <v>7</v>
      </c>
      <c r="CI307" s="29">
        <f t="shared" ca="1" si="167"/>
        <v>2</v>
      </c>
      <c r="CJ307" s="29">
        <f t="shared" ca="1" si="167"/>
        <v>4</v>
      </c>
      <c r="CK307" s="29">
        <f t="shared" ca="1" si="167"/>
        <v>6</v>
      </c>
      <c r="CL307" s="29">
        <f t="shared" ca="1" si="167"/>
        <v>3</v>
      </c>
      <c r="CM307" s="29">
        <f t="shared" ca="1" si="167"/>
        <v>4</v>
      </c>
      <c r="CN307" s="29">
        <f t="shared" ca="1" si="167"/>
        <v>5</v>
      </c>
      <c r="CO307" s="29">
        <f t="shared" ca="1" si="167"/>
        <v>4</v>
      </c>
      <c r="CP307" s="29">
        <f t="shared" ca="1" si="167"/>
        <v>2</v>
      </c>
      <c r="CQ307" s="29">
        <f t="shared" ca="1" si="166"/>
        <v>1</v>
      </c>
      <c r="CR307" s="29">
        <f t="shared" ca="1" si="166"/>
        <v>6</v>
      </c>
      <c r="CS307" s="29">
        <f t="shared" ca="1" si="166"/>
        <v>2</v>
      </c>
      <c r="CT307" s="29">
        <f t="shared" ca="1" si="166"/>
        <v>3</v>
      </c>
      <c r="CU307" s="29">
        <f t="shared" ca="1" si="166"/>
        <v>4</v>
      </c>
      <c r="CV307" s="29">
        <f t="shared" ca="1" si="166"/>
        <v>2</v>
      </c>
      <c r="CW307" s="29">
        <f t="shared" ca="1" si="166"/>
        <v>7</v>
      </c>
      <c r="CX307" s="29">
        <f t="shared" ca="1" si="166"/>
        <v>2</v>
      </c>
      <c r="CY307" s="29">
        <f t="shared" ca="1" si="166"/>
        <v>2</v>
      </c>
      <c r="CZ307" s="29">
        <f t="shared" ca="1" si="166"/>
        <v>2</v>
      </c>
      <c r="DA307" s="29">
        <f t="shared" ca="1" si="166"/>
        <v>1</v>
      </c>
      <c r="DB307" s="29">
        <f t="shared" ca="1" si="166"/>
        <v>5</v>
      </c>
      <c r="DC307" s="29">
        <f t="shared" ca="1" si="166"/>
        <v>7</v>
      </c>
      <c r="DD307" s="29">
        <f t="shared" ca="1" si="166"/>
        <v>5</v>
      </c>
      <c r="DE307" s="29">
        <f t="shared" ca="1" si="166"/>
        <v>4</v>
      </c>
      <c r="DF307" s="29">
        <f t="shared" ca="1" si="173"/>
        <v>5</v>
      </c>
      <c r="DG307" s="29">
        <f t="shared" ca="1" si="173"/>
        <v>0</v>
      </c>
      <c r="DH307" s="29">
        <f t="shared" ca="1" si="173"/>
        <v>4</v>
      </c>
      <c r="DI307" s="29">
        <f t="shared" ca="1" si="173"/>
        <v>5</v>
      </c>
      <c r="DJ307" s="29">
        <f t="shared" ca="1" si="173"/>
        <v>3</v>
      </c>
      <c r="DK307" s="29">
        <f t="shared" ca="1" si="173"/>
        <v>3</v>
      </c>
      <c r="DL307" s="29">
        <f t="shared" ca="1" si="173"/>
        <v>5</v>
      </c>
    </row>
    <row r="308" spans="1:116" ht="14.4" x14ac:dyDescent="0.3">
      <c r="A308" s="31">
        <v>970</v>
      </c>
      <c r="B308" s="28">
        <v>9.52</v>
      </c>
      <c r="C308" s="30">
        <v>66.489999999999995</v>
      </c>
      <c r="D308" s="28">
        <v>2.98</v>
      </c>
      <c r="E308" s="34">
        <f t="shared" si="145"/>
        <v>5.96E-2</v>
      </c>
      <c r="F308" s="35">
        <f t="shared" si="146"/>
        <v>16.622499999999999</v>
      </c>
      <c r="G308" s="34">
        <f t="shared" si="147"/>
        <v>74.5</v>
      </c>
      <c r="H308" s="33">
        <f t="shared" si="148"/>
        <v>6.0795693277310923</v>
      </c>
      <c r="I308" s="28">
        <f t="shared" si="151"/>
        <v>1186.9900000000002</v>
      </c>
      <c r="J308" s="32">
        <v>0</v>
      </c>
      <c r="K308" s="30">
        <f t="shared" si="149"/>
        <v>74.5</v>
      </c>
      <c r="L308" s="30"/>
      <c r="M308" s="30"/>
      <c r="N308" s="30"/>
      <c r="O308" s="30"/>
      <c r="Q308" s="29">
        <f t="shared" ca="1" si="150"/>
        <v>2</v>
      </c>
      <c r="R308" s="29">
        <f t="shared" ca="1" si="169"/>
        <v>3</v>
      </c>
      <c r="S308" s="29">
        <f t="shared" ca="1" si="169"/>
        <v>2</v>
      </c>
      <c r="T308" s="29">
        <f t="shared" ca="1" si="169"/>
        <v>3</v>
      </c>
      <c r="U308" s="29">
        <f t="shared" ca="1" si="169"/>
        <v>4</v>
      </c>
      <c r="V308" s="29">
        <f t="shared" ca="1" si="169"/>
        <v>3</v>
      </c>
      <c r="W308" s="29">
        <f t="shared" ca="1" si="169"/>
        <v>3</v>
      </c>
      <c r="X308" s="29">
        <f t="shared" ca="1" si="169"/>
        <v>5</v>
      </c>
      <c r="Y308" s="29">
        <f t="shared" ca="1" si="169"/>
        <v>4</v>
      </c>
      <c r="Z308" s="29">
        <f t="shared" ca="1" si="169"/>
        <v>3</v>
      </c>
      <c r="AA308" s="29">
        <f t="shared" ca="1" si="169"/>
        <v>0</v>
      </c>
      <c r="AB308" s="29">
        <f t="shared" ca="1" si="169"/>
        <v>3</v>
      </c>
      <c r="AC308" s="29">
        <f t="shared" ca="1" si="169"/>
        <v>2</v>
      </c>
      <c r="AD308" s="29">
        <f t="shared" ca="1" si="169"/>
        <v>1</v>
      </c>
      <c r="AE308" s="29">
        <f t="shared" ca="1" si="169"/>
        <v>3</v>
      </c>
      <c r="AF308" s="29">
        <f t="shared" ca="1" si="169"/>
        <v>4</v>
      </c>
      <c r="AG308" s="29">
        <f t="shared" ca="1" si="168"/>
        <v>1</v>
      </c>
      <c r="AH308" s="29">
        <f t="shared" ca="1" si="168"/>
        <v>3</v>
      </c>
      <c r="AI308" s="29">
        <f t="shared" ca="1" si="168"/>
        <v>2</v>
      </c>
      <c r="AJ308" s="29">
        <f t="shared" ca="1" si="168"/>
        <v>0</v>
      </c>
      <c r="AK308" s="29">
        <f t="shared" ca="1" si="168"/>
        <v>3</v>
      </c>
      <c r="AL308" s="29">
        <f t="shared" ca="1" si="168"/>
        <v>3</v>
      </c>
      <c r="AM308" s="29">
        <f t="shared" ca="1" si="168"/>
        <v>5</v>
      </c>
      <c r="AN308" s="29">
        <f t="shared" ca="1" si="168"/>
        <v>5</v>
      </c>
      <c r="AO308" s="29">
        <f t="shared" ca="1" si="168"/>
        <v>2</v>
      </c>
      <c r="AP308" s="29">
        <f t="shared" ca="1" si="168"/>
        <v>1</v>
      </c>
      <c r="AQ308" s="29">
        <f t="shared" ca="1" si="168"/>
        <v>7</v>
      </c>
      <c r="AR308" s="29">
        <f t="shared" ca="1" si="168"/>
        <v>7</v>
      </c>
      <c r="AS308" s="29">
        <f t="shared" ca="1" si="168"/>
        <v>4</v>
      </c>
      <c r="AT308" s="29">
        <f t="shared" ca="1" si="168"/>
        <v>4</v>
      </c>
      <c r="AU308" s="29">
        <f t="shared" ca="1" si="168"/>
        <v>7</v>
      </c>
      <c r="AV308" s="29">
        <f t="shared" ca="1" si="171"/>
        <v>6</v>
      </c>
      <c r="AW308" s="29">
        <f t="shared" ca="1" si="171"/>
        <v>3</v>
      </c>
      <c r="AX308" s="29">
        <f t="shared" ca="1" si="171"/>
        <v>4</v>
      </c>
      <c r="AY308" s="29">
        <f t="shared" ca="1" si="171"/>
        <v>4</v>
      </c>
      <c r="AZ308" s="29">
        <f t="shared" ca="1" si="171"/>
        <v>2</v>
      </c>
      <c r="BA308" s="29">
        <f t="shared" ca="1" si="171"/>
        <v>5</v>
      </c>
      <c r="BB308" s="29">
        <f t="shared" ca="1" si="171"/>
        <v>5</v>
      </c>
      <c r="BC308" s="29">
        <f t="shared" ca="1" si="171"/>
        <v>5</v>
      </c>
      <c r="BD308" s="29">
        <f t="shared" ca="1" si="171"/>
        <v>2</v>
      </c>
      <c r="BE308" s="29">
        <f t="shared" ca="1" si="171"/>
        <v>1</v>
      </c>
      <c r="BF308" s="29">
        <f t="shared" ca="1" si="171"/>
        <v>3</v>
      </c>
      <c r="BG308" s="29">
        <f t="shared" ca="1" si="171"/>
        <v>6</v>
      </c>
      <c r="BH308" s="29">
        <f t="shared" ca="1" si="171"/>
        <v>1</v>
      </c>
      <c r="BI308" s="29">
        <f t="shared" ca="1" si="171"/>
        <v>1</v>
      </c>
      <c r="BJ308" s="29">
        <f t="shared" ca="1" si="171"/>
        <v>2</v>
      </c>
      <c r="BK308" s="29">
        <f t="shared" ca="1" si="171"/>
        <v>4</v>
      </c>
      <c r="BL308" s="29">
        <f t="shared" ca="1" si="170"/>
        <v>3</v>
      </c>
      <c r="BM308" s="29">
        <f t="shared" ca="1" si="170"/>
        <v>5</v>
      </c>
      <c r="BN308" s="29">
        <f t="shared" ca="1" si="170"/>
        <v>3</v>
      </c>
      <c r="BO308" s="29">
        <f t="shared" ca="1" si="170"/>
        <v>3</v>
      </c>
      <c r="BP308" s="29">
        <f t="shared" ca="1" si="170"/>
        <v>1</v>
      </c>
      <c r="BQ308" s="29">
        <f t="shared" ca="1" si="170"/>
        <v>3</v>
      </c>
      <c r="BR308" s="29">
        <f t="shared" ca="1" si="170"/>
        <v>2</v>
      </c>
      <c r="BS308" s="29">
        <f t="shared" ca="1" si="170"/>
        <v>8</v>
      </c>
      <c r="BT308" s="29">
        <f t="shared" ca="1" si="170"/>
        <v>4</v>
      </c>
      <c r="BU308" s="29">
        <f t="shared" ca="1" si="170"/>
        <v>2</v>
      </c>
      <c r="BV308" s="29">
        <f t="shared" ca="1" si="170"/>
        <v>4</v>
      </c>
      <c r="BW308" s="29">
        <f t="shared" ca="1" si="170"/>
        <v>3</v>
      </c>
      <c r="BX308" s="29">
        <f t="shared" ca="1" si="170"/>
        <v>1</v>
      </c>
      <c r="BY308" s="29">
        <f t="shared" ca="1" si="170"/>
        <v>1</v>
      </c>
      <c r="BZ308" s="29">
        <f t="shared" ca="1" si="170"/>
        <v>1</v>
      </c>
      <c r="CA308" s="29">
        <f t="shared" ca="1" si="167"/>
        <v>2</v>
      </c>
      <c r="CB308" s="29">
        <f t="shared" ca="1" si="167"/>
        <v>4</v>
      </c>
      <c r="CC308" s="29">
        <f t="shared" ca="1" si="167"/>
        <v>4</v>
      </c>
      <c r="CD308" s="29">
        <f t="shared" ca="1" si="167"/>
        <v>5</v>
      </c>
      <c r="CE308" s="29">
        <f t="shared" ca="1" si="167"/>
        <v>7</v>
      </c>
      <c r="CF308" s="29">
        <f t="shared" ca="1" si="167"/>
        <v>2</v>
      </c>
      <c r="CG308" s="29">
        <f t="shared" ca="1" si="167"/>
        <v>0</v>
      </c>
      <c r="CH308" s="29">
        <f t="shared" ca="1" si="167"/>
        <v>3</v>
      </c>
      <c r="CI308" s="29">
        <f t="shared" ca="1" si="167"/>
        <v>1</v>
      </c>
      <c r="CJ308" s="29">
        <f t="shared" ca="1" si="167"/>
        <v>3</v>
      </c>
      <c r="CK308" s="29">
        <f t="shared" ca="1" si="167"/>
        <v>0</v>
      </c>
      <c r="CL308" s="29">
        <f t="shared" ca="1" si="167"/>
        <v>1</v>
      </c>
      <c r="CM308" s="29">
        <f t="shared" ca="1" si="167"/>
        <v>7</v>
      </c>
      <c r="CN308" s="29">
        <f t="shared" ca="1" si="167"/>
        <v>2</v>
      </c>
      <c r="CO308" s="29">
        <f t="shared" ca="1" si="167"/>
        <v>1</v>
      </c>
      <c r="CP308" s="29">
        <f t="shared" ref="CP308:DE323" ca="1" si="174">_xlfn.BINOM.INV(50,$E308,RAND())</f>
        <v>3</v>
      </c>
      <c r="CQ308" s="29">
        <f t="shared" ca="1" si="174"/>
        <v>3</v>
      </c>
      <c r="CR308" s="29">
        <f t="shared" ca="1" si="174"/>
        <v>2</v>
      </c>
      <c r="CS308" s="29">
        <f t="shared" ca="1" si="174"/>
        <v>3</v>
      </c>
      <c r="CT308" s="29">
        <f t="shared" ca="1" si="174"/>
        <v>3</v>
      </c>
      <c r="CU308" s="29">
        <f t="shared" ca="1" si="174"/>
        <v>4</v>
      </c>
      <c r="CV308" s="29">
        <f t="shared" ca="1" si="174"/>
        <v>1</v>
      </c>
      <c r="CW308" s="29">
        <f t="shared" ca="1" si="174"/>
        <v>2</v>
      </c>
      <c r="CX308" s="29">
        <f t="shared" ca="1" si="174"/>
        <v>2</v>
      </c>
      <c r="CY308" s="29">
        <f t="shared" ca="1" si="174"/>
        <v>4</v>
      </c>
      <c r="CZ308" s="29">
        <f t="shared" ca="1" si="174"/>
        <v>4</v>
      </c>
      <c r="DA308" s="29">
        <f t="shared" ca="1" si="174"/>
        <v>4</v>
      </c>
      <c r="DB308" s="29">
        <f t="shared" ca="1" si="174"/>
        <v>4</v>
      </c>
      <c r="DC308" s="29">
        <f t="shared" ca="1" si="174"/>
        <v>1</v>
      </c>
      <c r="DD308" s="29">
        <f t="shared" ca="1" si="174"/>
        <v>2</v>
      </c>
      <c r="DE308" s="29">
        <f t="shared" ca="1" si="174"/>
        <v>2</v>
      </c>
      <c r="DF308" s="29">
        <f t="shared" ca="1" si="173"/>
        <v>3</v>
      </c>
      <c r="DG308" s="29">
        <f t="shared" ca="1" si="173"/>
        <v>4</v>
      </c>
      <c r="DH308" s="29">
        <f t="shared" ca="1" si="173"/>
        <v>3</v>
      </c>
      <c r="DI308" s="29">
        <f t="shared" ca="1" si="173"/>
        <v>2</v>
      </c>
      <c r="DJ308" s="29">
        <f t="shared" ca="1" si="173"/>
        <v>4</v>
      </c>
      <c r="DK308" s="29">
        <f t="shared" ca="1" si="173"/>
        <v>4</v>
      </c>
      <c r="DL308" s="29">
        <f t="shared" ca="1" si="173"/>
        <v>2</v>
      </c>
    </row>
    <row r="309" spans="1:116" ht="14.4" x14ac:dyDescent="0.3">
      <c r="A309" s="31">
        <v>497</v>
      </c>
      <c r="B309" s="28">
        <v>9.64</v>
      </c>
      <c r="C309" s="30">
        <v>72.5</v>
      </c>
      <c r="D309" s="28">
        <v>3.04</v>
      </c>
      <c r="E309" s="34">
        <f t="shared" si="145"/>
        <v>6.08E-2</v>
      </c>
      <c r="F309" s="35">
        <f t="shared" si="146"/>
        <v>18.125</v>
      </c>
      <c r="G309" s="34">
        <f t="shared" si="147"/>
        <v>76</v>
      </c>
      <c r="H309" s="33">
        <f t="shared" si="148"/>
        <v>6.0036307053941904</v>
      </c>
      <c r="I309" s="28">
        <f t="shared" si="151"/>
        <v>1196.6300000000003</v>
      </c>
      <c r="J309" s="32">
        <v>0</v>
      </c>
      <c r="K309" s="30">
        <f t="shared" si="149"/>
        <v>76</v>
      </c>
      <c r="L309" s="30"/>
      <c r="M309" s="30"/>
      <c r="N309" s="30"/>
      <c r="O309" s="30"/>
      <c r="Q309" s="29">
        <f t="shared" ca="1" si="150"/>
        <v>2</v>
      </c>
      <c r="R309" s="29">
        <f t="shared" ca="1" si="169"/>
        <v>4</v>
      </c>
      <c r="S309" s="29">
        <f t="shared" ca="1" si="169"/>
        <v>1</v>
      </c>
      <c r="T309" s="29">
        <f t="shared" ca="1" si="169"/>
        <v>2</v>
      </c>
      <c r="U309" s="29">
        <f t="shared" ca="1" si="169"/>
        <v>4</v>
      </c>
      <c r="V309" s="29">
        <f t="shared" ca="1" si="169"/>
        <v>3</v>
      </c>
      <c r="W309" s="29">
        <f t="shared" ca="1" si="169"/>
        <v>3</v>
      </c>
      <c r="X309" s="29">
        <f t="shared" ca="1" si="169"/>
        <v>4</v>
      </c>
      <c r="Y309" s="29">
        <f t="shared" ca="1" si="169"/>
        <v>3</v>
      </c>
      <c r="Z309" s="29">
        <f t="shared" ca="1" si="169"/>
        <v>3</v>
      </c>
      <c r="AA309" s="29">
        <f t="shared" ca="1" si="169"/>
        <v>3</v>
      </c>
      <c r="AB309" s="29">
        <f t="shared" ca="1" si="169"/>
        <v>3</v>
      </c>
      <c r="AC309" s="29">
        <f t="shared" ca="1" si="169"/>
        <v>7</v>
      </c>
      <c r="AD309" s="29">
        <f t="shared" ca="1" si="169"/>
        <v>3</v>
      </c>
      <c r="AE309" s="29">
        <f t="shared" ca="1" si="169"/>
        <v>0</v>
      </c>
      <c r="AF309" s="29">
        <f t="shared" ca="1" si="169"/>
        <v>3</v>
      </c>
      <c r="AG309" s="29">
        <f t="shared" ca="1" si="168"/>
        <v>5</v>
      </c>
      <c r="AH309" s="29">
        <f t="shared" ca="1" si="168"/>
        <v>1</v>
      </c>
      <c r="AI309" s="29">
        <f t="shared" ca="1" si="168"/>
        <v>5</v>
      </c>
      <c r="AJ309" s="29">
        <f t="shared" ca="1" si="168"/>
        <v>1</v>
      </c>
      <c r="AK309" s="29">
        <f t="shared" ca="1" si="168"/>
        <v>3</v>
      </c>
      <c r="AL309" s="29">
        <f t="shared" ca="1" si="168"/>
        <v>1</v>
      </c>
      <c r="AM309" s="29">
        <f t="shared" ca="1" si="168"/>
        <v>5</v>
      </c>
      <c r="AN309" s="29">
        <f t="shared" ca="1" si="168"/>
        <v>2</v>
      </c>
      <c r="AO309" s="29">
        <f t="shared" ca="1" si="168"/>
        <v>2</v>
      </c>
      <c r="AP309" s="29">
        <f t="shared" ca="1" si="168"/>
        <v>6</v>
      </c>
      <c r="AQ309" s="29">
        <f t="shared" ca="1" si="168"/>
        <v>2</v>
      </c>
      <c r="AR309" s="29">
        <f t="shared" ca="1" si="168"/>
        <v>3</v>
      </c>
      <c r="AS309" s="29">
        <f t="shared" ca="1" si="168"/>
        <v>6</v>
      </c>
      <c r="AT309" s="29">
        <f t="shared" ca="1" si="168"/>
        <v>0</v>
      </c>
      <c r="AU309" s="29">
        <f t="shared" ca="1" si="168"/>
        <v>2</v>
      </c>
      <c r="AV309" s="29">
        <f t="shared" ca="1" si="171"/>
        <v>6</v>
      </c>
      <c r="AW309" s="29">
        <f t="shared" ca="1" si="171"/>
        <v>1</v>
      </c>
      <c r="AX309" s="29">
        <f t="shared" ca="1" si="171"/>
        <v>2</v>
      </c>
      <c r="AY309" s="29">
        <f t="shared" ca="1" si="171"/>
        <v>1</v>
      </c>
      <c r="AZ309" s="29">
        <f t="shared" ca="1" si="171"/>
        <v>6</v>
      </c>
      <c r="BA309" s="29">
        <f t="shared" ca="1" si="171"/>
        <v>3</v>
      </c>
      <c r="BB309" s="29">
        <f t="shared" ca="1" si="171"/>
        <v>5</v>
      </c>
      <c r="BC309" s="29">
        <f t="shared" ca="1" si="171"/>
        <v>2</v>
      </c>
      <c r="BD309" s="29">
        <f t="shared" ca="1" si="171"/>
        <v>1</v>
      </c>
      <c r="BE309" s="29">
        <f t="shared" ca="1" si="171"/>
        <v>2</v>
      </c>
      <c r="BF309" s="29">
        <f t="shared" ca="1" si="171"/>
        <v>3</v>
      </c>
      <c r="BG309" s="29">
        <f t="shared" ca="1" si="171"/>
        <v>1</v>
      </c>
      <c r="BH309" s="29">
        <f t="shared" ca="1" si="171"/>
        <v>2</v>
      </c>
      <c r="BI309" s="29">
        <f t="shared" ca="1" si="171"/>
        <v>3</v>
      </c>
      <c r="BJ309" s="29">
        <f t="shared" ca="1" si="171"/>
        <v>2</v>
      </c>
      <c r="BK309" s="29">
        <f t="shared" ca="1" si="171"/>
        <v>3</v>
      </c>
      <c r="BL309" s="29">
        <f t="shared" ca="1" si="170"/>
        <v>3</v>
      </c>
      <c r="BM309" s="29">
        <f t="shared" ca="1" si="170"/>
        <v>4</v>
      </c>
      <c r="BN309" s="29">
        <f t="shared" ca="1" si="170"/>
        <v>1</v>
      </c>
      <c r="BO309" s="29">
        <f t="shared" ca="1" si="170"/>
        <v>4</v>
      </c>
      <c r="BP309" s="29">
        <f t="shared" ca="1" si="170"/>
        <v>2</v>
      </c>
      <c r="BQ309" s="29">
        <f t="shared" ca="1" si="170"/>
        <v>3</v>
      </c>
      <c r="BR309" s="29">
        <f t="shared" ca="1" si="170"/>
        <v>2</v>
      </c>
      <c r="BS309" s="29">
        <f t="shared" ca="1" si="170"/>
        <v>3</v>
      </c>
      <c r="BT309" s="29">
        <f t="shared" ca="1" si="170"/>
        <v>3</v>
      </c>
      <c r="BU309" s="29">
        <f t="shared" ca="1" si="170"/>
        <v>2</v>
      </c>
      <c r="BV309" s="29">
        <f t="shared" ca="1" si="170"/>
        <v>5</v>
      </c>
      <c r="BW309" s="29">
        <f t="shared" ca="1" si="170"/>
        <v>0</v>
      </c>
      <c r="BX309" s="29">
        <f t="shared" ca="1" si="170"/>
        <v>2</v>
      </c>
      <c r="BY309" s="29">
        <f t="shared" ca="1" si="170"/>
        <v>5</v>
      </c>
      <c r="BZ309" s="29">
        <f t="shared" ca="1" si="170"/>
        <v>3</v>
      </c>
      <c r="CA309" s="29">
        <f t="shared" ref="CA309:CP324" ca="1" si="175">_xlfn.BINOM.INV(50,$E309,RAND())</f>
        <v>2</v>
      </c>
      <c r="CB309" s="29">
        <f t="shared" ca="1" si="175"/>
        <v>1</v>
      </c>
      <c r="CC309" s="29">
        <f t="shared" ca="1" si="175"/>
        <v>4</v>
      </c>
      <c r="CD309" s="29">
        <f t="shared" ca="1" si="175"/>
        <v>6</v>
      </c>
      <c r="CE309" s="29">
        <f t="shared" ca="1" si="175"/>
        <v>1</v>
      </c>
      <c r="CF309" s="29">
        <f t="shared" ca="1" si="175"/>
        <v>5</v>
      </c>
      <c r="CG309" s="29">
        <f t="shared" ca="1" si="175"/>
        <v>6</v>
      </c>
      <c r="CH309" s="29">
        <f t="shared" ca="1" si="175"/>
        <v>3</v>
      </c>
      <c r="CI309" s="29">
        <f t="shared" ca="1" si="175"/>
        <v>1</v>
      </c>
      <c r="CJ309" s="29">
        <f t="shared" ca="1" si="175"/>
        <v>3</v>
      </c>
      <c r="CK309" s="29">
        <f t="shared" ca="1" si="175"/>
        <v>5</v>
      </c>
      <c r="CL309" s="29">
        <f t="shared" ca="1" si="175"/>
        <v>1</v>
      </c>
      <c r="CM309" s="29">
        <f t="shared" ca="1" si="175"/>
        <v>7</v>
      </c>
      <c r="CN309" s="29">
        <f t="shared" ca="1" si="175"/>
        <v>7</v>
      </c>
      <c r="CO309" s="29">
        <f t="shared" ca="1" si="175"/>
        <v>8</v>
      </c>
      <c r="CP309" s="29">
        <f t="shared" ca="1" si="175"/>
        <v>6</v>
      </c>
      <c r="CQ309" s="29">
        <f t="shared" ca="1" si="174"/>
        <v>3</v>
      </c>
      <c r="CR309" s="29">
        <f t="shared" ca="1" si="174"/>
        <v>3</v>
      </c>
      <c r="CS309" s="29">
        <f t="shared" ca="1" si="174"/>
        <v>3</v>
      </c>
      <c r="CT309" s="29">
        <f t="shared" ca="1" si="174"/>
        <v>5</v>
      </c>
      <c r="CU309" s="29">
        <f t="shared" ca="1" si="174"/>
        <v>3</v>
      </c>
      <c r="CV309" s="29">
        <f t="shared" ca="1" si="174"/>
        <v>1</v>
      </c>
      <c r="CW309" s="29">
        <f t="shared" ca="1" si="174"/>
        <v>2</v>
      </c>
      <c r="CX309" s="29">
        <f t="shared" ca="1" si="174"/>
        <v>3</v>
      </c>
      <c r="CY309" s="29">
        <f t="shared" ca="1" si="174"/>
        <v>2</v>
      </c>
      <c r="CZ309" s="29">
        <f t="shared" ca="1" si="174"/>
        <v>2</v>
      </c>
      <c r="DA309" s="29">
        <f t="shared" ca="1" si="174"/>
        <v>3</v>
      </c>
      <c r="DB309" s="29">
        <f t="shared" ca="1" si="174"/>
        <v>0</v>
      </c>
      <c r="DC309" s="29">
        <f t="shared" ca="1" si="174"/>
        <v>1</v>
      </c>
      <c r="DD309" s="29">
        <f t="shared" ca="1" si="174"/>
        <v>1</v>
      </c>
      <c r="DE309" s="29">
        <f t="shared" ca="1" si="174"/>
        <v>2</v>
      </c>
      <c r="DF309" s="29">
        <f t="shared" ca="1" si="173"/>
        <v>3</v>
      </c>
      <c r="DG309" s="29">
        <f t="shared" ca="1" si="173"/>
        <v>3</v>
      </c>
      <c r="DH309" s="29">
        <f t="shared" ca="1" si="173"/>
        <v>2</v>
      </c>
      <c r="DI309" s="29">
        <f t="shared" ca="1" si="173"/>
        <v>2</v>
      </c>
      <c r="DJ309" s="29">
        <f t="shared" ca="1" si="173"/>
        <v>4</v>
      </c>
      <c r="DK309" s="29">
        <f t="shared" ca="1" si="173"/>
        <v>2</v>
      </c>
      <c r="DL309" s="29">
        <f t="shared" ca="1" si="173"/>
        <v>1</v>
      </c>
    </row>
    <row r="310" spans="1:116" ht="14.4" x14ac:dyDescent="0.3">
      <c r="A310" s="31">
        <v>465</v>
      </c>
      <c r="B310" s="28">
        <v>2.96</v>
      </c>
      <c r="C310" s="30">
        <v>24.24</v>
      </c>
      <c r="D310" s="28">
        <v>0.95</v>
      </c>
      <c r="E310" s="34">
        <f t="shared" si="145"/>
        <v>1.9E-2</v>
      </c>
      <c r="F310" s="35">
        <f t="shared" si="146"/>
        <v>6.06</v>
      </c>
      <c r="G310" s="34">
        <f t="shared" si="147"/>
        <v>23.75</v>
      </c>
      <c r="H310" s="33">
        <f t="shared" si="148"/>
        <v>5.9763513513513518</v>
      </c>
      <c r="I310" s="28">
        <f t="shared" si="151"/>
        <v>1199.5900000000004</v>
      </c>
      <c r="J310" s="32">
        <v>0</v>
      </c>
      <c r="K310" s="30">
        <f t="shared" si="149"/>
        <v>23.75</v>
      </c>
      <c r="L310" s="30"/>
      <c r="M310" s="30"/>
      <c r="N310" s="30"/>
      <c r="O310" s="30"/>
      <c r="Q310" s="29">
        <f t="shared" ca="1" si="150"/>
        <v>1</v>
      </c>
      <c r="R310" s="29">
        <f t="shared" ca="1" si="169"/>
        <v>1</v>
      </c>
      <c r="S310" s="29">
        <f t="shared" ca="1" si="169"/>
        <v>1</v>
      </c>
      <c r="T310" s="29">
        <f t="shared" ca="1" si="169"/>
        <v>2</v>
      </c>
      <c r="U310" s="29">
        <f t="shared" ca="1" si="169"/>
        <v>0</v>
      </c>
      <c r="V310" s="29">
        <f t="shared" ca="1" si="169"/>
        <v>1</v>
      </c>
      <c r="W310" s="29">
        <f t="shared" ca="1" si="169"/>
        <v>4</v>
      </c>
      <c r="X310" s="29">
        <f t="shared" ca="1" si="169"/>
        <v>1</v>
      </c>
      <c r="Y310" s="29">
        <f t="shared" ca="1" si="169"/>
        <v>3</v>
      </c>
      <c r="Z310" s="29">
        <f t="shared" ca="1" si="169"/>
        <v>0</v>
      </c>
      <c r="AA310" s="29">
        <f t="shared" ca="1" si="169"/>
        <v>1</v>
      </c>
      <c r="AB310" s="29">
        <f t="shared" ca="1" si="169"/>
        <v>0</v>
      </c>
      <c r="AC310" s="29">
        <f t="shared" ca="1" si="169"/>
        <v>0</v>
      </c>
      <c r="AD310" s="29">
        <f t="shared" ca="1" si="169"/>
        <v>0</v>
      </c>
      <c r="AE310" s="29">
        <f t="shared" ca="1" si="169"/>
        <v>0</v>
      </c>
      <c r="AF310" s="29">
        <f t="shared" ca="1" si="169"/>
        <v>5</v>
      </c>
      <c r="AG310" s="29">
        <f t="shared" ca="1" si="168"/>
        <v>0</v>
      </c>
      <c r="AH310" s="29">
        <f t="shared" ca="1" si="168"/>
        <v>3</v>
      </c>
      <c r="AI310" s="29">
        <f t="shared" ca="1" si="168"/>
        <v>0</v>
      </c>
      <c r="AJ310" s="29">
        <f t="shared" ca="1" si="168"/>
        <v>1</v>
      </c>
      <c r="AK310" s="29">
        <f t="shared" ca="1" si="168"/>
        <v>1</v>
      </c>
      <c r="AL310" s="29">
        <f t="shared" ca="1" si="168"/>
        <v>0</v>
      </c>
      <c r="AM310" s="29">
        <f t="shared" ca="1" si="168"/>
        <v>0</v>
      </c>
      <c r="AN310" s="29">
        <f t="shared" ca="1" si="168"/>
        <v>1</v>
      </c>
      <c r="AO310" s="29">
        <f t="shared" ca="1" si="168"/>
        <v>1</v>
      </c>
      <c r="AP310" s="29">
        <f t="shared" ca="1" si="168"/>
        <v>2</v>
      </c>
      <c r="AQ310" s="29">
        <f t="shared" ca="1" si="168"/>
        <v>1</v>
      </c>
      <c r="AR310" s="29">
        <f t="shared" ca="1" si="168"/>
        <v>2</v>
      </c>
      <c r="AS310" s="29">
        <f t="shared" ca="1" si="168"/>
        <v>2</v>
      </c>
      <c r="AT310" s="29">
        <f t="shared" ca="1" si="168"/>
        <v>0</v>
      </c>
      <c r="AU310" s="29">
        <f t="shared" ca="1" si="168"/>
        <v>2</v>
      </c>
      <c r="AV310" s="29">
        <f t="shared" ca="1" si="171"/>
        <v>0</v>
      </c>
      <c r="AW310" s="29">
        <f t="shared" ca="1" si="171"/>
        <v>1</v>
      </c>
      <c r="AX310" s="29">
        <f t="shared" ca="1" si="171"/>
        <v>2</v>
      </c>
      <c r="AY310" s="29">
        <f t="shared" ca="1" si="171"/>
        <v>0</v>
      </c>
      <c r="AZ310" s="29">
        <f t="shared" ca="1" si="171"/>
        <v>0</v>
      </c>
      <c r="BA310" s="29">
        <f t="shared" ca="1" si="171"/>
        <v>1</v>
      </c>
      <c r="BB310" s="29">
        <f t="shared" ca="1" si="171"/>
        <v>2</v>
      </c>
      <c r="BC310" s="29">
        <f t="shared" ca="1" si="171"/>
        <v>1</v>
      </c>
      <c r="BD310" s="29">
        <f t="shared" ca="1" si="171"/>
        <v>1</v>
      </c>
      <c r="BE310" s="29">
        <f t="shared" ca="1" si="171"/>
        <v>2</v>
      </c>
      <c r="BF310" s="29">
        <f t="shared" ca="1" si="171"/>
        <v>0</v>
      </c>
      <c r="BG310" s="29">
        <f t="shared" ca="1" si="171"/>
        <v>2</v>
      </c>
      <c r="BH310" s="29">
        <f t="shared" ca="1" si="171"/>
        <v>0</v>
      </c>
      <c r="BI310" s="29">
        <f t="shared" ca="1" si="171"/>
        <v>1</v>
      </c>
      <c r="BJ310" s="29">
        <f t="shared" ca="1" si="171"/>
        <v>1</v>
      </c>
      <c r="BK310" s="29">
        <f t="shared" ca="1" si="171"/>
        <v>1</v>
      </c>
      <c r="BL310" s="29">
        <f t="shared" ca="1" si="170"/>
        <v>0</v>
      </c>
      <c r="BM310" s="29">
        <f t="shared" ca="1" si="170"/>
        <v>2</v>
      </c>
      <c r="BN310" s="29">
        <f t="shared" ca="1" si="170"/>
        <v>1</v>
      </c>
      <c r="BO310" s="29">
        <f t="shared" ca="1" si="170"/>
        <v>0</v>
      </c>
      <c r="BP310" s="29">
        <f t="shared" ca="1" si="170"/>
        <v>2</v>
      </c>
      <c r="BQ310" s="29">
        <f t="shared" ca="1" si="170"/>
        <v>1</v>
      </c>
      <c r="BR310" s="29">
        <f t="shared" ca="1" si="170"/>
        <v>1</v>
      </c>
      <c r="BS310" s="29">
        <f t="shared" ca="1" si="170"/>
        <v>0</v>
      </c>
      <c r="BT310" s="29">
        <f t="shared" ca="1" si="170"/>
        <v>0</v>
      </c>
      <c r="BU310" s="29">
        <f t="shared" ca="1" si="170"/>
        <v>0</v>
      </c>
      <c r="BV310" s="29">
        <f t="shared" ca="1" si="170"/>
        <v>1</v>
      </c>
      <c r="BW310" s="29">
        <f t="shared" ca="1" si="170"/>
        <v>0</v>
      </c>
      <c r="BX310" s="29">
        <f t="shared" ca="1" si="170"/>
        <v>0</v>
      </c>
      <c r="BY310" s="29">
        <f t="shared" ca="1" si="170"/>
        <v>1</v>
      </c>
      <c r="BZ310" s="29">
        <f t="shared" ca="1" si="170"/>
        <v>1</v>
      </c>
      <c r="CA310" s="29">
        <f t="shared" ca="1" si="175"/>
        <v>0</v>
      </c>
      <c r="CB310" s="29">
        <f t="shared" ca="1" si="175"/>
        <v>3</v>
      </c>
      <c r="CC310" s="29">
        <f t="shared" ca="1" si="175"/>
        <v>1</v>
      </c>
      <c r="CD310" s="29">
        <f t="shared" ca="1" si="175"/>
        <v>4</v>
      </c>
      <c r="CE310" s="29">
        <f t="shared" ca="1" si="175"/>
        <v>0</v>
      </c>
      <c r="CF310" s="29">
        <f t="shared" ca="1" si="175"/>
        <v>1</v>
      </c>
      <c r="CG310" s="29">
        <f t="shared" ca="1" si="175"/>
        <v>0</v>
      </c>
      <c r="CH310" s="29">
        <f t="shared" ca="1" si="175"/>
        <v>0</v>
      </c>
      <c r="CI310" s="29">
        <f t="shared" ca="1" si="175"/>
        <v>0</v>
      </c>
      <c r="CJ310" s="29">
        <f t="shared" ca="1" si="175"/>
        <v>1</v>
      </c>
      <c r="CK310" s="29">
        <f t="shared" ca="1" si="175"/>
        <v>0</v>
      </c>
      <c r="CL310" s="29">
        <f t="shared" ca="1" si="175"/>
        <v>1</v>
      </c>
      <c r="CM310" s="29">
        <f t="shared" ca="1" si="175"/>
        <v>1</v>
      </c>
      <c r="CN310" s="29">
        <f t="shared" ca="1" si="175"/>
        <v>0</v>
      </c>
      <c r="CO310" s="29">
        <f t="shared" ca="1" si="175"/>
        <v>0</v>
      </c>
      <c r="CP310" s="29">
        <f t="shared" ca="1" si="175"/>
        <v>1</v>
      </c>
      <c r="CQ310" s="29">
        <f t="shared" ca="1" si="174"/>
        <v>2</v>
      </c>
      <c r="CR310" s="29">
        <f t="shared" ca="1" si="174"/>
        <v>0</v>
      </c>
      <c r="CS310" s="29">
        <f t="shared" ca="1" si="174"/>
        <v>0</v>
      </c>
      <c r="CT310" s="29">
        <f t="shared" ca="1" si="174"/>
        <v>1</v>
      </c>
      <c r="CU310" s="29">
        <f t="shared" ca="1" si="174"/>
        <v>1</v>
      </c>
      <c r="CV310" s="29">
        <f t="shared" ca="1" si="174"/>
        <v>2</v>
      </c>
      <c r="CW310" s="29">
        <f t="shared" ca="1" si="174"/>
        <v>1</v>
      </c>
      <c r="CX310" s="29">
        <f t="shared" ca="1" si="174"/>
        <v>2</v>
      </c>
      <c r="CY310" s="29">
        <f t="shared" ca="1" si="174"/>
        <v>1</v>
      </c>
      <c r="CZ310" s="29">
        <f t="shared" ca="1" si="174"/>
        <v>0</v>
      </c>
      <c r="DA310" s="29">
        <f t="shared" ca="1" si="174"/>
        <v>0</v>
      </c>
      <c r="DB310" s="29">
        <f t="shared" ca="1" si="174"/>
        <v>0</v>
      </c>
      <c r="DC310" s="29">
        <f t="shared" ca="1" si="174"/>
        <v>3</v>
      </c>
      <c r="DD310" s="29">
        <f t="shared" ca="1" si="174"/>
        <v>1</v>
      </c>
      <c r="DE310" s="29">
        <f t="shared" ca="1" si="174"/>
        <v>1</v>
      </c>
      <c r="DF310" s="29">
        <f t="shared" ca="1" si="173"/>
        <v>1</v>
      </c>
      <c r="DG310" s="29">
        <f t="shared" ca="1" si="173"/>
        <v>3</v>
      </c>
      <c r="DH310" s="29">
        <f t="shared" ca="1" si="173"/>
        <v>2</v>
      </c>
      <c r="DI310" s="29">
        <f t="shared" ca="1" si="173"/>
        <v>0</v>
      </c>
      <c r="DJ310" s="29">
        <f t="shared" ca="1" si="173"/>
        <v>0</v>
      </c>
      <c r="DK310" s="29">
        <f t="shared" ca="1" si="173"/>
        <v>0</v>
      </c>
      <c r="DL310" s="29">
        <f t="shared" ca="1" si="173"/>
        <v>1</v>
      </c>
    </row>
    <row r="311" spans="1:116" ht="14.4" x14ac:dyDescent="0.3">
      <c r="A311" s="31">
        <v>252</v>
      </c>
      <c r="B311" s="28">
        <v>9.7200000000000006</v>
      </c>
      <c r="C311" s="30">
        <v>59.26</v>
      </c>
      <c r="D311" s="28">
        <v>2.91</v>
      </c>
      <c r="E311" s="34">
        <f t="shared" si="145"/>
        <v>5.8200000000000002E-2</v>
      </c>
      <c r="F311" s="35">
        <f t="shared" si="146"/>
        <v>14.815</v>
      </c>
      <c r="G311" s="34">
        <f t="shared" si="147"/>
        <v>72.75</v>
      </c>
      <c r="H311" s="33">
        <f t="shared" si="148"/>
        <v>5.9603909465020575</v>
      </c>
      <c r="I311" s="28">
        <f t="shared" si="151"/>
        <v>1209.3100000000004</v>
      </c>
      <c r="J311" s="32">
        <v>0</v>
      </c>
      <c r="K311" s="30">
        <f t="shared" si="149"/>
        <v>72.75</v>
      </c>
      <c r="L311" s="30"/>
      <c r="M311" s="30"/>
      <c r="N311" s="30"/>
      <c r="O311" s="30"/>
      <c r="Q311" s="29">
        <f t="shared" ca="1" si="150"/>
        <v>3</v>
      </c>
      <c r="R311" s="29">
        <f t="shared" ca="1" si="169"/>
        <v>3</v>
      </c>
      <c r="S311" s="29">
        <f t="shared" ca="1" si="169"/>
        <v>2</v>
      </c>
      <c r="T311" s="29">
        <f t="shared" ca="1" si="169"/>
        <v>2</v>
      </c>
      <c r="U311" s="29">
        <f t="shared" ca="1" si="169"/>
        <v>3</v>
      </c>
      <c r="V311" s="29">
        <f t="shared" ca="1" si="169"/>
        <v>5</v>
      </c>
      <c r="W311" s="29">
        <f t="shared" ca="1" si="169"/>
        <v>5</v>
      </c>
      <c r="X311" s="29">
        <f t="shared" ca="1" si="169"/>
        <v>4</v>
      </c>
      <c r="Y311" s="29">
        <f t="shared" ca="1" si="169"/>
        <v>4</v>
      </c>
      <c r="Z311" s="29">
        <f t="shared" ca="1" si="169"/>
        <v>3</v>
      </c>
      <c r="AA311" s="29">
        <f t="shared" ca="1" si="169"/>
        <v>1</v>
      </c>
      <c r="AB311" s="29">
        <f t="shared" ca="1" si="169"/>
        <v>3</v>
      </c>
      <c r="AC311" s="29">
        <f t="shared" ca="1" si="169"/>
        <v>2</v>
      </c>
      <c r="AD311" s="29">
        <f t="shared" ca="1" si="169"/>
        <v>5</v>
      </c>
      <c r="AE311" s="29">
        <f t="shared" ca="1" si="169"/>
        <v>6</v>
      </c>
      <c r="AF311" s="29">
        <f t="shared" ca="1" si="169"/>
        <v>5</v>
      </c>
      <c r="AG311" s="29">
        <f t="shared" ca="1" si="168"/>
        <v>2</v>
      </c>
      <c r="AH311" s="29">
        <f t="shared" ca="1" si="168"/>
        <v>3</v>
      </c>
      <c r="AI311" s="29">
        <f t="shared" ca="1" si="168"/>
        <v>6</v>
      </c>
      <c r="AJ311" s="29">
        <f t="shared" ca="1" si="168"/>
        <v>3</v>
      </c>
      <c r="AK311" s="29">
        <f t="shared" ca="1" si="168"/>
        <v>2</v>
      </c>
      <c r="AL311" s="29">
        <f t="shared" ca="1" si="168"/>
        <v>4</v>
      </c>
      <c r="AM311" s="29">
        <f t="shared" ca="1" si="168"/>
        <v>0</v>
      </c>
      <c r="AN311" s="29">
        <f t="shared" ca="1" si="168"/>
        <v>2</v>
      </c>
      <c r="AO311" s="29">
        <f t="shared" ca="1" si="168"/>
        <v>2</v>
      </c>
      <c r="AP311" s="29">
        <f t="shared" ca="1" si="168"/>
        <v>5</v>
      </c>
      <c r="AQ311" s="29">
        <f t="shared" ca="1" si="168"/>
        <v>4</v>
      </c>
      <c r="AR311" s="29">
        <f t="shared" ca="1" si="168"/>
        <v>2</v>
      </c>
      <c r="AS311" s="29">
        <f t="shared" ca="1" si="168"/>
        <v>2</v>
      </c>
      <c r="AT311" s="29">
        <f t="shared" ca="1" si="168"/>
        <v>4</v>
      </c>
      <c r="AU311" s="29">
        <f t="shared" ca="1" si="168"/>
        <v>1</v>
      </c>
      <c r="AV311" s="29">
        <f t="shared" ca="1" si="171"/>
        <v>0</v>
      </c>
      <c r="AW311" s="29">
        <f t="shared" ca="1" si="171"/>
        <v>4</v>
      </c>
      <c r="AX311" s="29">
        <f t="shared" ca="1" si="171"/>
        <v>3</v>
      </c>
      <c r="AY311" s="29">
        <f t="shared" ca="1" si="171"/>
        <v>0</v>
      </c>
      <c r="AZ311" s="29">
        <f t="shared" ca="1" si="171"/>
        <v>2</v>
      </c>
      <c r="BA311" s="29">
        <f t="shared" ca="1" si="171"/>
        <v>3</v>
      </c>
      <c r="BB311" s="29">
        <f t="shared" ca="1" si="171"/>
        <v>3</v>
      </c>
      <c r="BC311" s="29">
        <f t="shared" ca="1" si="171"/>
        <v>3</v>
      </c>
      <c r="BD311" s="29">
        <f t="shared" ca="1" si="171"/>
        <v>2</v>
      </c>
      <c r="BE311" s="29">
        <f t="shared" ca="1" si="171"/>
        <v>4</v>
      </c>
      <c r="BF311" s="29">
        <f t="shared" ca="1" si="171"/>
        <v>1</v>
      </c>
      <c r="BG311" s="29">
        <f t="shared" ca="1" si="171"/>
        <v>2</v>
      </c>
      <c r="BH311" s="29">
        <f t="shared" ca="1" si="171"/>
        <v>3</v>
      </c>
      <c r="BI311" s="29">
        <f t="shared" ca="1" si="171"/>
        <v>2</v>
      </c>
      <c r="BJ311" s="29">
        <f t="shared" ca="1" si="171"/>
        <v>1</v>
      </c>
      <c r="BK311" s="29">
        <f t="shared" ca="1" si="171"/>
        <v>2</v>
      </c>
      <c r="BL311" s="29">
        <f t="shared" ca="1" si="170"/>
        <v>4</v>
      </c>
      <c r="BM311" s="29">
        <f t="shared" ca="1" si="170"/>
        <v>3</v>
      </c>
      <c r="BN311" s="29">
        <f t="shared" ca="1" si="170"/>
        <v>4</v>
      </c>
      <c r="BO311" s="29">
        <f t="shared" ca="1" si="170"/>
        <v>2</v>
      </c>
      <c r="BP311" s="29">
        <f t="shared" ca="1" si="170"/>
        <v>3</v>
      </c>
      <c r="BQ311" s="29">
        <f t="shared" ca="1" si="170"/>
        <v>1</v>
      </c>
      <c r="BR311" s="29">
        <f t="shared" ca="1" si="170"/>
        <v>2</v>
      </c>
      <c r="BS311" s="29">
        <f t="shared" ca="1" si="170"/>
        <v>3</v>
      </c>
      <c r="BT311" s="29">
        <f t="shared" ca="1" si="170"/>
        <v>1</v>
      </c>
      <c r="BU311" s="29">
        <f t="shared" ca="1" si="170"/>
        <v>4</v>
      </c>
      <c r="BV311" s="29">
        <f t="shared" ca="1" si="170"/>
        <v>5</v>
      </c>
      <c r="BW311" s="29">
        <f t="shared" ca="1" si="170"/>
        <v>1</v>
      </c>
      <c r="BX311" s="29">
        <f t="shared" ca="1" si="170"/>
        <v>3</v>
      </c>
      <c r="BY311" s="29">
        <f t="shared" ca="1" si="170"/>
        <v>3</v>
      </c>
      <c r="BZ311" s="29">
        <f t="shared" ca="1" si="170"/>
        <v>2</v>
      </c>
      <c r="CA311" s="29">
        <f t="shared" ca="1" si="175"/>
        <v>2</v>
      </c>
      <c r="CB311" s="29">
        <f t="shared" ca="1" si="175"/>
        <v>3</v>
      </c>
      <c r="CC311" s="29">
        <f t="shared" ca="1" si="175"/>
        <v>1</v>
      </c>
      <c r="CD311" s="29">
        <f t="shared" ca="1" si="175"/>
        <v>0</v>
      </c>
      <c r="CE311" s="29">
        <f t="shared" ca="1" si="175"/>
        <v>5</v>
      </c>
      <c r="CF311" s="29">
        <f t="shared" ca="1" si="175"/>
        <v>2</v>
      </c>
      <c r="CG311" s="29">
        <f t="shared" ca="1" si="175"/>
        <v>2</v>
      </c>
      <c r="CH311" s="29">
        <f t="shared" ca="1" si="175"/>
        <v>2</v>
      </c>
      <c r="CI311" s="29">
        <f t="shared" ca="1" si="175"/>
        <v>5</v>
      </c>
      <c r="CJ311" s="29">
        <f t="shared" ca="1" si="175"/>
        <v>2</v>
      </c>
      <c r="CK311" s="29">
        <f t="shared" ca="1" si="175"/>
        <v>0</v>
      </c>
      <c r="CL311" s="29">
        <f t="shared" ca="1" si="175"/>
        <v>2</v>
      </c>
      <c r="CM311" s="29">
        <f t="shared" ca="1" si="175"/>
        <v>2</v>
      </c>
      <c r="CN311" s="29">
        <f t="shared" ca="1" si="175"/>
        <v>3</v>
      </c>
      <c r="CO311" s="29">
        <f t="shared" ca="1" si="175"/>
        <v>4</v>
      </c>
      <c r="CP311" s="29">
        <f t="shared" ca="1" si="175"/>
        <v>3</v>
      </c>
      <c r="CQ311" s="29">
        <f t="shared" ca="1" si="174"/>
        <v>0</v>
      </c>
      <c r="CR311" s="29">
        <f t="shared" ca="1" si="174"/>
        <v>1</v>
      </c>
      <c r="CS311" s="29">
        <f t="shared" ca="1" si="174"/>
        <v>6</v>
      </c>
      <c r="CT311" s="29">
        <f t="shared" ca="1" si="174"/>
        <v>1</v>
      </c>
      <c r="CU311" s="29">
        <f t="shared" ca="1" si="174"/>
        <v>1</v>
      </c>
      <c r="CV311" s="29">
        <f t="shared" ca="1" si="174"/>
        <v>3</v>
      </c>
      <c r="CW311" s="29">
        <f t="shared" ca="1" si="174"/>
        <v>4</v>
      </c>
      <c r="CX311" s="29">
        <f t="shared" ca="1" si="174"/>
        <v>4</v>
      </c>
      <c r="CY311" s="29">
        <f t="shared" ca="1" si="174"/>
        <v>4</v>
      </c>
      <c r="CZ311" s="29">
        <f t="shared" ca="1" si="174"/>
        <v>2</v>
      </c>
      <c r="DA311" s="29">
        <f t="shared" ca="1" si="174"/>
        <v>2</v>
      </c>
      <c r="DB311" s="29">
        <f t="shared" ca="1" si="174"/>
        <v>1</v>
      </c>
      <c r="DC311" s="29">
        <f t="shared" ca="1" si="174"/>
        <v>2</v>
      </c>
      <c r="DD311" s="29">
        <f t="shared" ca="1" si="174"/>
        <v>4</v>
      </c>
      <c r="DE311" s="29">
        <f t="shared" ca="1" si="174"/>
        <v>4</v>
      </c>
      <c r="DF311" s="29">
        <f t="shared" ca="1" si="173"/>
        <v>4</v>
      </c>
      <c r="DG311" s="29">
        <f t="shared" ca="1" si="173"/>
        <v>5</v>
      </c>
      <c r="DH311" s="29">
        <f t="shared" ca="1" si="173"/>
        <v>1</v>
      </c>
      <c r="DI311" s="29">
        <f t="shared" ca="1" si="173"/>
        <v>1</v>
      </c>
      <c r="DJ311" s="29">
        <f t="shared" ca="1" si="173"/>
        <v>4</v>
      </c>
      <c r="DK311" s="29">
        <f t="shared" ca="1" si="173"/>
        <v>2</v>
      </c>
      <c r="DL311" s="29">
        <f t="shared" ca="1" si="173"/>
        <v>2</v>
      </c>
    </row>
    <row r="312" spans="1:116" ht="14.4" x14ac:dyDescent="0.3">
      <c r="A312" s="31">
        <v>32</v>
      </c>
      <c r="B312" s="28">
        <v>9.48</v>
      </c>
      <c r="C312" s="30">
        <v>92.76</v>
      </c>
      <c r="D312" s="28">
        <v>3.17</v>
      </c>
      <c r="E312" s="34">
        <f t="shared" si="145"/>
        <v>6.3399999999999998E-2</v>
      </c>
      <c r="F312" s="35">
        <f t="shared" si="146"/>
        <v>23.19</v>
      </c>
      <c r="G312" s="34">
        <f t="shared" si="147"/>
        <v>79.25</v>
      </c>
      <c r="H312" s="33">
        <f t="shared" si="148"/>
        <v>5.9135021097046412</v>
      </c>
      <c r="I312" s="28">
        <f t="shared" si="151"/>
        <v>1218.7900000000004</v>
      </c>
      <c r="J312" s="32">
        <v>0</v>
      </c>
      <c r="K312" s="30">
        <f t="shared" si="149"/>
        <v>79.25</v>
      </c>
      <c r="L312" s="30"/>
      <c r="M312" s="30"/>
      <c r="N312" s="30"/>
      <c r="O312" s="30"/>
      <c r="Q312" s="29">
        <f t="shared" ca="1" si="150"/>
        <v>2</v>
      </c>
      <c r="R312" s="29">
        <f t="shared" ca="1" si="169"/>
        <v>5</v>
      </c>
      <c r="S312" s="29">
        <f t="shared" ca="1" si="169"/>
        <v>3</v>
      </c>
      <c r="T312" s="29">
        <f t="shared" ca="1" si="169"/>
        <v>1</v>
      </c>
      <c r="U312" s="29">
        <f t="shared" ca="1" si="169"/>
        <v>1</v>
      </c>
      <c r="V312" s="29">
        <f t="shared" ca="1" si="169"/>
        <v>2</v>
      </c>
      <c r="W312" s="29">
        <f t="shared" ca="1" si="169"/>
        <v>1</v>
      </c>
      <c r="X312" s="29">
        <f t="shared" ca="1" si="169"/>
        <v>4</v>
      </c>
      <c r="Y312" s="29">
        <f t="shared" ca="1" si="169"/>
        <v>1</v>
      </c>
      <c r="Z312" s="29">
        <f t="shared" ca="1" si="169"/>
        <v>3</v>
      </c>
      <c r="AA312" s="29">
        <f t="shared" ca="1" si="169"/>
        <v>2</v>
      </c>
      <c r="AB312" s="29">
        <f t="shared" ca="1" si="169"/>
        <v>1</v>
      </c>
      <c r="AC312" s="29">
        <f t="shared" ca="1" si="169"/>
        <v>2</v>
      </c>
      <c r="AD312" s="29">
        <f t="shared" ca="1" si="169"/>
        <v>4</v>
      </c>
      <c r="AE312" s="29">
        <f t="shared" ca="1" si="169"/>
        <v>6</v>
      </c>
      <c r="AF312" s="29">
        <f t="shared" ca="1" si="169"/>
        <v>4</v>
      </c>
      <c r="AG312" s="29">
        <f t="shared" ca="1" si="168"/>
        <v>5</v>
      </c>
      <c r="AH312" s="29">
        <f t="shared" ca="1" si="168"/>
        <v>2</v>
      </c>
      <c r="AI312" s="29">
        <f t="shared" ca="1" si="168"/>
        <v>0</v>
      </c>
      <c r="AJ312" s="29">
        <f t="shared" ca="1" si="168"/>
        <v>4</v>
      </c>
      <c r="AK312" s="29">
        <f t="shared" ca="1" si="168"/>
        <v>2</v>
      </c>
      <c r="AL312" s="29">
        <f t="shared" ca="1" si="168"/>
        <v>6</v>
      </c>
      <c r="AM312" s="29">
        <f t="shared" ca="1" si="168"/>
        <v>4</v>
      </c>
      <c r="AN312" s="29">
        <f t="shared" ca="1" si="168"/>
        <v>3</v>
      </c>
      <c r="AO312" s="29">
        <f t="shared" ca="1" si="168"/>
        <v>3</v>
      </c>
      <c r="AP312" s="29">
        <f t="shared" ca="1" si="168"/>
        <v>4</v>
      </c>
      <c r="AQ312" s="29">
        <f t="shared" ca="1" si="168"/>
        <v>6</v>
      </c>
      <c r="AR312" s="29">
        <f t="shared" ca="1" si="168"/>
        <v>3</v>
      </c>
      <c r="AS312" s="29">
        <f t="shared" ca="1" si="168"/>
        <v>2</v>
      </c>
      <c r="AT312" s="29">
        <f t="shared" ca="1" si="168"/>
        <v>4</v>
      </c>
      <c r="AU312" s="29">
        <f t="shared" ca="1" si="168"/>
        <v>3</v>
      </c>
      <c r="AV312" s="29">
        <f t="shared" ca="1" si="171"/>
        <v>4</v>
      </c>
      <c r="AW312" s="29">
        <f t="shared" ca="1" si="171"/>
        <v>5</v>
      </c>
      <c r="AX312" s="29">
        <f t="shared" ca="1" si="171"/>
        <v>4</v>
      </c>
      <c r="AY312" s="29">
        <f t="shared" ca="1" si="171"/>
        <v>4</v>
      </c>
      <c r="AZ312" s="29">
        <f t="shared" ca="1" si="171"/>
        <v>3</v>
      </c>
      <c r="BA312" s="29">
        <f t="shared" ca="1" si="171"/>
        <v>3</v>
      </c>
      <c r="BB312" s="29">
        <f t="shared" ca="1" si="171"/>
        <v>4</v>
      </c>
      <c r="BC312" s="29">
        <f t="shared" ca="1" si="171"/>
        <v>1</v>
      </c>
      <c r="BD312" s="29">
        <f t="shared" ca="1" si="171"/>
        <v>3</v>
      </c>
      <c r="BE312" s="29">
        <f t="shared" ca="1" si="171"/>
        <v>1</v>
      </c>
      <c r="BF312" s="29">
        <f t="shared" ca="1" si="171"/>
        <v>3</v>
      </c>
      <c r="BG312" s="29">
        <f t="shared" ca="1" si="171"/>
        <v>4</v>
      </c>
      <c r="BH312" s="29">
        <f t="shared" ca="1" si="171"/>
        <v>3</v>
      </c>
      <c r="BI312" s="29">
        <f t="shared" ca="1" si="171"/>
        <v>6</v>
      </c>
      <c r="BJ312" s="29">
        <f t="shared" ca="1" si="171"/>
        <v>3</v>
      </c>
      <c r="BK312" s="29">
        <f t="shared" ca="1" si="171"/>
        <v>7</v>
      </c>
      <c r="BL312" s="29">
        <f t="shared" ca="1" si="170"/>
        <v>6</v>
      </c>
      <c r="BM312" s="29">
        <f t="shared" ca="1" si="170"/>
        <v>1</v>
      </c>
      <c r="BN312" s="29">
        <f t="shared" ca="1" si="170"/>
        <v>3</v>
      </c>
      <c r="BO312" s="29">
        <f t="shared" ca="1" si="170"/>
        <v>2</v>
      </c>
      <c r="BP312" s="29">
        <f t="shared" ca="1" si="170"/>
        <v>6</v>
      </c>
      <c r="BQ312" s="29">
        <f t="shared" ca="1" si="170"/>
        <v>6</v>
      </c>
      <c r="BR312" s="29">
        <f t="shared" ca="1" si="170"/>
        <v>2</v>
      </c>
      <c r="BS312" s="29">
        <f t="shared" ca="1" si="170"/>
        <v>0</v>
      </c>
      <c r="BT312" s="29">
        <f t="shared" ca="1" si="170"/>
        <v>4</v>
      </c>
      <c r="BU312" s="29">
        <f t="shared" ca="1" si="170"/>
        <v>3</v>
      </c>
      <c r="BV312" s="29">
        <f t="shared" ca="1" si="170"/>
        <v>3</v>
      </c>
      <c r="BW312" s="29">
        <f t="shared" ca="1" si="170"/>
        <v>6</v>
      </c>
      <c r="BX312" s="29">
        <f t="shared" ca="1" si="170"/>
        <v>7</v>
      </c>
      <c r="BY312" s="29">
        <f t="shared" ca="1" si="170"/>
        <v>2</v>
      </c>
      <c r="BZ312" s="29">
        <f t="shared" ca="1" si="170"/>
        <v>2</v>
      </c>
      <c r="CA312" s="29">
        <f t="shared" ca="1" si="175"/>
        <v>0</v>
      </c>
      <c r="CB312" s="29">
        <f t="shared" ca="1" si="175"/>
        <v>3</v>
      </c>
      <c r="CC312" s="29">
        <f t="shared" ca="1" si="175"/>
        <v>2</v>
      </c>
      <c r="CD312" s="29">
        <f t="shared" ca="1" si="175"/>
        <v>4</v>
      </c>
      <c r="CE312" s="29">
        <f t="shared" ca="1" si="175"/>
        <v>4</v>
      </c>
      <c r="CF312" s="29">
        <f t="shared" ca="1" si="175"/>
        <v>2</v>
      </c>
      <c r="CG312" s="29">
        <f t="shared" ca="1" si="175"/>
        <v>4</v>
      </c>
      <c r="CH312" s="29">
        <f t="shared" ca="1" si="175"/>
        <v>7</v>
      </c>
      <c r="CI312" s="29">
        <f t="shared" ca="1" si="175"/>
        <v>4</v>
      </c>
      <c r="CJ312" s="29">
        <f t="shared" ca="1" si="175"/>
        <v>3</v>
      </c>
      <c r="CK312" s="29">
        <f t="shared" ca="1" si="175"/>
        <v>1</v>
      </c>
      <c r="CL312" s="29">
        <f t="shared" ca="1" si="175"/>
        <v>3</v>
      </c>
      <c r="CM312" s="29">
        <f t="shared" ca="1" si="175"/>
        <v>1</v>
      </c>
      <c r="CN312" s="29">
        <f t="shared" ca="1" si="175"/>
        <v>4</v>
      </c>
      <c r="CO312" s="29">
        <f t="shared" ca="1" si="175"/>
        <v>1</v>
      </c>
      <c r="CP312" s="29">
        <f t="shared" ca="1" si="175"/>
        <v>1</v>
      </c>
      <c r="CQ312" s="29">
        <f t="shared" ca="1" si="174"/>
        <v>1</v>
      </c>
      <c r="CR312" s="29">
        <f t="shared" ca="1" si="174"/>
        <v>3</v>
      </c>
      <c r="CS312" s="29">
        <f t="shared" ca="1" si="174"/>
        <v>4</v>
      </c>
      <c r="CT312" s="29">
        <f t="shared" ca="1" si="174"/>
        <v>0</v>
      </c>
      <c r="CU312" s="29">
        <f t="shared" ca="1" si="174"/>
        <v>4</v>
      </c>
      <c r="CV312" s="29">
        <f t="shared" ca="1" si="174"/>
        <v>3</v>
      </c>
      <c r="CW312" s="29">
        <f t="shared" ca="1" si="174"/>
        <v>4</v>
      </c>
      <c r="CX312" s="29">
        <f t="shared" ca="1" si="174"/>
        <v>4</v>
      </c>
      <c r="CY312" s="29">
        <f t="shared" ca="1" si="174"/>
        <v>4</v>
      </c>
      <c r="CZ312" s="29">
        <f t="shared" ca="1" si="174"/>
        <v>3</v>
      </c>
      <c r="DA312" s="29">
        <f t="shared" ca="1" si="174"/>
        <v>1</v>
      </c>
      <c r="DB312" s="29">
        <f t="shared" ca="1" si="174"/>
        <v>1</v>
      </c>
      <c r="DC312" s="29">
        <f t="shared" ca="1" si="174"/>
        <v>3</v>
      </c>
      <c r="DD312" s="29">
        <f t="shared" ca="1" si="174"/>
        <v>5</v>
      </c>
      <c r="DE312" s="29">
        <f t="shared" ca="1" si="174"/>
        <v>2</v>
      </c>
      <c r="DF312" s="29">
        <f t="shared" ca="1" si="173"/>
        <v>4</v>
      </c>
      <c r="DG312" s="29">
        <f t="shared" ca="1" si="173"/>
        <v>2</v>
      </c>
      <c r="DH312" s="29">
        <f t="shared" ca="1" si="173"/>
        <v>1</v>
      </c>
      <c r="DI312" s="29">
        <f t="shared" ca="1" si="173"/>
        <v>6</v>
      </c>
      <c r="DJ312" s="29">
        <f t="shared" ca="1" si="173"/>
        <v>4</v>
      </c>
      <c r="DK312" s="29">
        <f t="shared" ca="1" si="173"/>
        <v>1</v>
      </c>
      <c r="DL312" s="29">
        <f t="shared" ca="1" si="173"/>
        <v>7</v>
      </c>
    </row>
    <row r="313" spans="1:116" ht="14.4" x14ac:dyDescent="0.3">
      <c r="A313" s="31">
        <v>203</v>
      </c>
      <c r="B313" s="28">
        <v>7.82</v>
      </c>
      <c r="C313" s="30">
        <v>0.03</v>
      </c>
      <c r="D313" s="28">
        <v>1.85</v>
      </c>
      <c r="E313" s="34">
        <f t="shared" si="145"/>
        <v>3.7000000000000005E-2</v>
      </c>
      <c r="F313" s="35">
        <f t="shared" si="146"/>
        <v>7.4999999999999997E-3</v>
      </c>
      <c r="G313" s="34">
        <f t="shared" si="147"/>
        <v>46.25</v>
      </c>
      <c r="H313" s="33">
        <f t="shared" si="148"/>
        <v>5.9133631713554982</v>
      </c>
      <c r="I313" s="28">
        <f t="shared" si="151"/>
        <v>1226.6100000000004</v>
      </c>
      <c r="J313" s="32">
        <v>0</v>
      </c>
      <c r="K313" s="30">
        <f t="shared" si="149"/>
        <v>46.25</v>
      </c>
      <c r="L313" s="30"/>
      <c r="M313" s="30"/>
      <c r="N313" s="30"/>
      <c r="O313" s="30"/>
      <c r="Q313" s="29">
        <f t="shared" ca="1" si="150"/>
        <v>4</v>
      </c>
      <c r="R313" s="29">
        <f t="shared" ca="1" si="169"/>
        <v>3</v>
      </c>
      <c r="S313" s="29">
        <f t="shared" ca="1" si="169"/>
        <v>4</v>
      </c>
      <c r="T313" s="29">
        <f t="shared" ca="1" si="169"/>
        <v>3</v>
      </c>
      <c r="U313" s="29">
        <f t="shared" ca="1" si="169"/>
        <v>0</v>
      </c>
      <c r="V313" s="29">
        <f t="shared" ca="1" si="169"/>
        <v>1</v>
      </c>
      <c r="W313" s="29">
        <f t="shared" ca="1" si="169"/>
        <v>3</v>
      </c>
      <c r="X313" s="29">
        <f t="shared" ca="1" si="169"/>
        <v>3</v>
      </c>
      <c r="Y313" s="29">
        <f t="shared" ca="1" si="169"/>
        <v>2</v>
      </c>
      <c r="Z313" s="29">
        <f t="shared" ca="1" si="169"/>
        <v>1</v>
      </c>
      <c r="AA313" s="29">
        <f t="shared" ca="1" si="169"/>
        <v>3</v>
      </c>
      <c r="AB313" s="29">
        <f t="shared" ca="1" si="169"/>
        <v>1</v>
      </c>
      <c r="AC313" s="29">
        <f t="shared" ca="1" si="169"/>
        <v>1</v>
      </c>
      <c r="AD313" s="29">
        <f t="shared" ca="1" si="169"/>
        <v>2</v>
      </c>
      <c r="AE313" s="29">
        <f t="shared" ca="1" si="169"/>
        <v>0</v>
      </c>
      <c r="AF313" s="29">
        <f t="shared" ref="AF313:AU328" ca="1" si="176">_xlfn.BINOM.INV(50,$E313,RAND())</f>
        <v>0</v>
      </c>
      <c r="AG313" s="29">
        <f t="shared" ca="1" si="176"/>
        <v>2</v>
      </c>
      <c r="AH313" s="29">
        <f t="shared" ca="1" si="176"/>
        <v>1</v>
      </c>
      <c r="AI313" s="29">
        <f t="shared" ca="1" si="176"/>
        <v>1</v>
      </c>
      <c r="AJ313" s="29">
        <f t="shared" ca="1" si="176"/>
        <v>2</v>
      </c>
      <c r="AK313" s="29">
        <f t="shared" ca="1" si="176"/>
        <v>4</v>
      </c>
      <c r="AL313" s="29">
        <f t="shared" ca="1" si="176"/>
        <v>1</v>
      </c>
      <c r="AM313" s="29">
        <f t="shared" ca="1" si="176"/>
        <v>1</v>
      </c>
      <c r="AN313" s="29">
        <f t="shared" ca="1" si="176"/>
        <v>1</v>
      </c>
      <c r="AO313" s="29">
        <f t="shared" ca="1" si="176"/>
        <v>5</v>
      </c>
      <c r="AP313" s="29">
        <f t="shared" ca="1" si="176"/>
        <v>2</v>
      </c>
      <c r="AQ313" s="29">
        <f t="shared" ca="1" si="176"/>
        <v>2</v>
      </c>
      <c r="AR313" s="29">
        <f t="shared" ca="1" si="176"/>
        <v>2</v>
      </c>
      <c r="AS313" s="29">
        <f t="shared" ca="1" si="176"/>
        <v>5</v>
      </c>
      <c r="AT313" s="29">
        <f t="shared" ca="1" si="176"/>
        <v>3</v>
      </c>
      <c r="AU313" s="29">
        <f t="shared" ca="1" si="176"/>
        <v>2</v>
      </c>
      <c r="AV313" s="29">
        <f t="shared" ca="1" si="171"/>
        <v>1</v>
      </c>
      <c r="AW313" s="29">
        <f t="shared" ca="1" si="171"/>
        <v>2</v>
      </c>
      <c r="AX313" s="29">
        <f t="shared" ca="1" si="171"/>
        <v>2</v>
      </c>
      <c r="AY313" s="29">
        <f t="shared" ca="1" si="171"/>
        <v>0</v>
      </c>
      <c r="AZ313" s="29">
        <f t="shared" ca="1" si="171"/>
        <v>1</v>
      </c>
      <c r="BA313" s="29">
        <f t="shared" ca="1" si="171"/>
        <v>2</v>
      </c>
      <c r="BB313" s="29">
        <f t="shared" ca="1" si="171"/>
        <v>1</v>
      </c>
      <c r="BC313" s="29">
        <f t="shared" ca="1" si="171"/>
        <v>1</v>
      </c>
      <c r="BD313" s="29">
        <f t="shared" ca="1" si="171"/>
        <v>2</v>
      </c>
      <c r="BE313" s="29">
        <f t="shared" ca="1" si="171"/>
        <v>2</v>
      </c>
      <c r="BF313" s="29">
        <f t="shared" ca="1" si="171"/>
        <v>0</v>
      </c>
      <c r="BG313" s="29">
        <f t="shared" ca="1" si="171"/>
        <v>1</v>
      </c>
      <c r="BH313" s="29">
        <f t="shared" ca="1" si="171"/>
        <v>0</v>
      </c>
      <c r="BI313" s="29">
        <f t="shared" ca="1" si="171"/>
        <v>3</v>
      </c>
      <c r="BJ313" s="29">
        <f t="shared" ca="1" si="171"/>
        <v>3</v>
      </c>
      <c r="BK313" s="29">
        <f t="shared" ca="1" si="171"/>
        <v>1</v>
      </c>
      <c r="BL313" s="29">
        <f t="shared" ca="1" si="170"/>
        <v>1</v>
      </c>
      <c r="BM313" s="29">
        <f t="shared" ca="1" si="170"/>
        <v>1</v>
      </c>
      <c r="BN313" s="29">
        <f t="shared" ca="1" si="170"/>
        <v>1</v>
      </c>
      <c r="BO313" s="29">
        <f t="shared" ca="1" si="170"/>
        <v>1</v>
      </c>
      <c r="BP313" s="29">
        <f t="shared" ca="1" si="170"/>
        <v>4</v>
      </c>
      <c r="BQ313" s="29">
        <f t="shared" ca="1" si="170"/>
        <v>1</v>
      </c>
      <c r="BR313" s="29">
        <f t="shared" ca="1" si="170"/>
        <v>3</v>
      </c>
      <c r="BS313" s="29">
        <f t="shared" ca="1" si="170"/>
        <v>2</v>
      </c>
      <c r="BT313" s="29">
        <f t="shared" ca="1" si="170"/>
        <v>3</v>
      </c>
      <c r="BU313" s="29">
        <f t="shared" ca="1" si="170"/>
        <v>0</v>
      </c>
      <c r="BV313" s="29">
        <f t="shared" ca="1" si="170"/>
        <v>3</v>
      </c>
      <c r="BW313" s="29">
        <f t="shared" ca="1" si="170"/>
        <v>3</v>
      </c>
      <c r="BX313" s="29">
        <f t="shared" ca="1" si="170"/>
        <v>1</v>
      </c>
      <c r="BY313" s="29">
        <f t="shared" ca="1" si="170"/>
        <v>1</v>
      </c>
      <c r="BZ313" s="29">
        <f t="shared" ca="1" si="170"/>
        <v>0</v>
      </c>
      <c r="CA313" s="29">
        <f t="shared" ca="1" si="175"/>
        <v>1</v>
      </c>
      <c r="CB313" s="29">
        <f t="shared" ca="1" si="175"/>
        <v>3</v>
      </c>
      <c r="CC313" s="29">
        <f t="shared" ca="1" si="175"/>
        <v>3</v>
      </c>
      <c r="CD313" s="29">
        <f t="shared" ca="1" si="175"/>
        <v>3</v>
      </c>
      <c r="CE313" s="29">
        <f t="shared" ca="1" si="175"/>
        <v>4</v>
      </c>
      <c r="CF313" s="29">
        <f t="shared" ca="1" si="175"/>
        <v>1</v>
      </c>
      <c r="CG313" s="29">
        <f t="shared" ca="1" si="175"/>
        <v>4</v>
      </c>
      <c r="CH313" s="29">
        <f t="shared" ca="1" si="175"/>
        <v>3</v>
      </c>
      <c r="CI313" s="29">
        <f t="shared" ca="1" si="175"/>
        <v>1</v>
      </c>
      <c r="CJ313" s="29">
        <f t="shared" ca="1" si="175"/>
        <v>4</v>
      </c>
      <c r="CK313" s="29">
        <f t="shared" ca="1" si="175"/>
        <v>4</v>
      </c>
      <c r="CL313" s="29">
        <f t="shared" ca="1" si="175"/>
        <v>1</v>
      </c>
      <c r="CM313" s="29">
        <f t="shared" ca="1" si="175"/>
        <v>2</v>
      </c>
      <c r="CN313" s="29">
        <f t="shared" ca="1" si="175"/>
        <v>1</v>
      </c>
      <c r="CO313" s="29">
        <f t="shared" ca="1" si="175"/>
        <v>3</v>
      </c>
      <c r="CP313" s="29">
        <f t="shared" ca="1" si="175"/>
        <v>2</v>
      </c>
      <c r="CQ313" s="29">
        <f t="shared" ca="1" si="174"/>
        <v>0</v>
      </c>
      <c r="CR313" s="29">
        <f t="shared" ca="1" si="174"/>
        <v>2</v>
      </c>
      <c r="CS313" s="29">
        <f t="shared" ca="1" si="174"/>
        <v>3</v>
      </c>
      <c r="CT313" s="29">
        <f t="shared" ca="1" si="174"/>
        <v>2</v>
      </c>
      <c r="CU313" s="29">
        <f t="shared" ca="1" si="174"/>
        <v>2</v>
      </c>
      <c r="CV313" s="29">
        <f t="shared" ca="1" si="174"/>
        <v>3</v>
      </c>
      <c r="CW313" s="29">
        <f t="shared" ca="1" si="174"/>
        <v>1</v>
      </c>
      <c r="CX313" s="29">
        <f t="shared" ca="1" si="174"/>
        <v>0</v>
      </c>
      <c r="CY313" s="29">
        <f t="shared" ca="1" si="174"/>
        <v>2</v>
      </c>
      <c r="CZ313" s="29">
        <f t="shared" ca="1" si="174"/>
        <v>3</v>
      </c>
      <c r="DA313" s="29">
        <f t="shared" ca="1" si="174"/>
        <v>2</v>
      </c>
      <c r="DB313" s="29">
        <f t="shared" ca="1" si="174"/>
        <v>3</v>
      </c>
      <c r="DC313" s="29">
        <f t="shared" ca="1" si="174"/>
        <v>2</v>
      </c>
      <c r="DD313" s="29">
        <f t="shared" ca="1" si="174"/>
        <v>1</v>
      </c>
      <c r="DE313" s="29">
        <f t="shared" ca="1" si="174"/>
        <v>0</v>
      </c>
      <c r="DF313" s="29">
        <f t="shared" ca="1" si="173"/>
        <v>2</v>
      </c>
      <c r="DG313" s="29">
        <f t="shared" ca="1" si="173"/>
        <v>2</v>
      </c>
      <c r="DH313" s="29">
        <f t="shared" ca="1" si="173"/>
        <v>1</v>
      </c>
      <c r="DI313" s="29">
        <f t="shared" ca="1" si="173"/>
        <v>2</v>
      </c>
      <c r="DJ313" s="29">
        <f t="shared" ca="1" si="173"/>
        <v>1</v>
      </c>
      <c r="DK313" s="29">
        <f t="shared" ca="1" si="173"/>
        <v>2</v>
      </c>
      <c r="DL313" s="29">
        <f t="shared" ca="1" si="173"/>
        <v>0</v>
      </c>
    </row>
    <row r="314" spans="1:116" ht="14.4" x14ac:dyDescent="0.3">
      <c r="A314" s="31">
        <v>110</v>
      </c>
      <c r="B314" s="28">
        <v>9.82</v>
      </c>
      <c r="C314" s="30">
        <v>2.12</v>
      </c>
      <c r="D314" s="28">
        <v>2.34</v>
      </c>
      <c r="E314" s="34">
        <f t="shared" si="145"/>
        <v>4.6799999999999994E-2</v>
      </c>
      <c r="F314" s="35">
        <f t="shared" si="146"/>
        <v>0.53</v>
      </c>
      <c r="G314" s="34">
        <f t="shared" si="147"/>
        <v>58.5</v>
      </c>
      <c r="H314" s="33">
        <f t="shared" si="148"/>
        <v>5.9032586558044802</v>
      </c>
      <c r="I314" s="28">
        <f t="shared" si="151"/>
        <v>1236.4300000000003</v>
      </c>
      <c r="J314" s="32">
        <v>0</v>
      </c>
      <c r="K314" s="30">
        <f t="shared" si="149"/>
        <v>58.5</v>
      </c>
      <c r="L314" s="30"/>
      <c r="M314" s="30"/>
      <c r="N314" s="30"/>
      <c r="O314" s="30"/>
      <c r="Q314" s="29">
        <f t="shared" ca="1" si="150"/>
        <v>2</v>
      </c>
      <c r="R314" s="29">
        <f t="shared" ref="R314:AF329" ca="1" si="177">_xlfn.BINOM.INV(50,$E314,RAND())</f>
        <v>4</v>
      </c>
      <c r="S314" s="29">
        <f t="shared" ca="1" si="177"/>
        <v>5</v>
      </c>
      <c r="T314" s="29">
        <f t="shared" ca="1" si="177"/>
        <v>5</v>
      </c>
      <c r="U314" s="29">
        <f t="shared" ca="1" si="177"/>
        <v>2</v>
      </c>
      <c r="V314" s="29">
        <f t="shared" ca="1" si="177"/>
        <v>1</v>
      </c>
      <c r="W314" s="29">
        <f t="shared" ca="1" si="177"/>
        <v>4</v>
      </c>
      <c r="X314" s="29">
        <f t="shared" ca="1" si="177"/>
        <v>4</v>
      </c>
      <c r="Y314" s="29">
        <f t="shared" ca="1" si="177"/>
        <v>1</v>
      </c>
      <c r="Z314" s="29">
        <f t="shared" ca="1" si="177"/>
        <v>1</v>
      </c>
      <c r="AA314" s="29">
        <f t="shared" ca="1" si="177"/>
        <v>4</v>
      </c>
      <c r="AB314" s="29">
        <f t="shared" ca="1" si="177"/>
        <v>2</v>
      </c>
      <c r="AC314" s="29">
        <f t="shared" ca="1" si="177"/>
        <v>3</v>
      </c>
      <c r="AD314" s="29">
        <f t="shared" ca="1" si="177"/>
        <v>7</v>
      </c>
      <c r="AE314" s="29">
        <f t="shared" ca="1" si="177"/>
        <v>0</v>
      </c>
      <c r="AF314" s="29">
        <f t="shared" ca="1" si="177"/>
        <v>4</v>
      </c>
      <c r="AG314" s="29">
        <f t="shared" ca="1" si="176"/>
        <v>2</v>
      </c>
      <c r="AH314" s="29">
        <f t="shared" ca="1" si="176"/>
        <v>4</v>
      </c>
      <c r="AI314" s="29">
        <f t="shared" ca="1" si="176"/>
        <v>1</v>
      </c>
      <c r="AJ314" s="29">
        <f t="shared" ca="1" si="176"/>
        <v>1</v>
      </c>
      <c r="AK314" s="29">
        <f t="shared" ca="1" si="176"/>
        <v>1</v>
      </c>
      <c r="AL314" s="29">
        <f t="shared" ca="1" si="176"/>
        <v>3</v>
      </c>
      <c r="AM314" s="29">
        <f t="shared" ca="1" si="176"/>
        <v>3</v>
      </c>
      <c r="AN314" s="29">
        <f t="shared" ca="1" si="176"/>
        <v>2</v>
      </c>
      <c r="AO314" s="29">
        <f t="shared" ca="1" si="176"/>
        <v>1</v>
      </c>
      <c r="AP314" s="29">
        <f t="shared" ca="1" si="176"/>
        <v>3</v>
      </c>
      <c r="AQ314" s="29">
        <f t="shared" ca="1" si="176"/>
        <v>1</v>
      </c>
      <c r="AR314" s="29">
        <f t="shared" ca="1" si="176"/>
        <v>2</v>
      </c>
      <c r="AS314" s="29">
        <f t="shared" ca="1" si="176"/>
        <v>2</v>
      </c>
      <c r="AT314" s="29">
        <f t="shared" ca="1" si="176"/>
        <v>1</v>
      </c>
      <c r="AU314" s="29">
        <f t="shared" ca="1" si="176"/>
        <v>2</v>
      </c>
      <c r="AV314" s="29">
        <f t="shared" ca="1" si="171"/>
        <v>2</v>
      </c>
      <c r="AW314" s="29">
        <f t="shared" ca="1" si="171"/>
        <v>2</v>
      </c>
      <c r="AX314" s="29">
        <f t="shared" ca="1" si="171"/>
        <v>1</v>
      </c>
      <c r="AY314" s="29">
        <f t="shared" ca="1" si="171"/>
        <v>1</v>
      </c>
      <c r="AZ314" s="29">
        <f t="shared" ca="1" si="171"/>
        <v>2</v>
      </c>
      <c r="BA314" s="29">
        <f t="shared" ca="1" si="171"/>
        <v>6</v>
      </c>
      <c r="BB314" s="29">
        <f t="shared" ca="1" si="171"/>
        <v>0</v>
      </c>
      <c r="BC314" s="29">
        <f t="shared" ca="1" si="171"/>
        <v>1</v>
      </c>
      <c r="BD314" s="29">
        <f t="shared" ca="1" si="171"/>
        <v>2</v>
      </c>
      <c r="BE314" s="29">
        <f t="shared" ca="1" si="171"/>
        <v>3</v>
      </c>
      <c r="BF314" s="29">
        <f t="shared" ca="1" si="171"/>
        <v>3</v>
      </c>
      <c r="BG314" s="29">
        <f t="shared" ca="1" si="171"/>
        <v>1</v>
      </c>
      <c r="BH314" s="29">
        <f t="shared" ca="1" si="171"/>
        <v>4</v>
      </c>
      <c r="BI314" s="29">
        <f t="shared" ca="1" si="171"/>
        <v>0</v>
      </c>
      <c r="BJ314" s="29">
        <f t="shared" ca="1" si="171"/>
        <v>1</v>
      </c>
      <c r="BK314" s="29">
        <f t="shared" ca="1" si="171"/>
        <v>2</v>
      </c>
      <c r="BL314" s="29">
        <f t="shared" ca="1" si="170"/>
        <v>4</v>
      </c>
      <c r="BM314" s="29">
        <f t="shared" ca="1" si="170"/>
        <v>1</v>
      </c>
      <c r="BN314" s="29">
        <f t="shared" ca="1" si="170"/>
        <v>2</v>
      </c>
      <c r="BO314" s="29">
        <f t="shared" ca="1" si="170"/>
        <v>0</v>
      </c>
      <c r="BP314" s="29">
        <f t="shared" ca="1" si="170"/>
        <v>4</v>
      </c>
      <c r="BQ314" s="29">
        <f t="shared" ca="1" si="170"/>
        <v>5</v>
      </c>
      <c r="BR314" s="29">
        <f t="shared" ca="1" si="170"/>
        <v>3</v>
      </c>
      <c r="BS314" s="29">
        <f t="shared" ca="1" si="170"/>
        <v>2</v>
      </c>
      <c r="BT314" s="29">
        <f t="shared" ca="1" si="170"/>
        <v>5</v>
      </c>
      <c r="BU314" s="29">
        <f t="shared" ca="1" si="170"/>
        <v>1</v>
      </c>
      <c r="BV314" s="29">
        <f t="shared" ca="1" si="170"/>
        <v>3</v>
      </c>
      <c r="BW314" s="29">
        <f t="shared" ca="1" si="170"/>
        <v>3</v>
      </c>
      <c r="BX314" s="29">
        <f t="shared" ca="1" si="170"/>
        <v>1</v>
      </c>
      <c r="BY314" s="29">
        <f t="shared" ca="1" si="170"/>
        <v>2</v>
      </c>
      <c r="BZ314" s="29">
        <f t="shared" ca="1" si="170"/>
        <v>2</v>
      </c>
      <c r="CA314" s="29">
        <f t="shared" ca="1" si="175"/>
        <v>2</v>
      </c>
      <c r="CB314" s="29">
        <f t="shared" ca="1" si="175"/>
        <v>4</v>
      </c>
      <c r="CC314" s="29">
        <f t="shared" ca="1" si="175"/>
        <v>5</v>
      </c>
      <c r="CD314" s="29">
        <f t="shared" ca="1" si="175"/>
        <v>2</v>
      </c>
      <c r="CE314" s="29">
        <f t="shared" ca="1" si="175"/>
        <v>0</v>
      </c>
      <c r="CF314" s="29">
        <f t="shared" ca="1" si="175"/>
        <v>1</v>
      </c>
      <c r="CG314" s="29">
        <f t="shared" ca="1" si="175"/>
        <v>3</v>
      </c>
      <c r="CH314" s="29">
        <f t="shared" ca="1" si="175"/>
        <v>3</v>
      </c>
      <c r="CI314" s="29">
        <f t="shared" ca="1" si="175"/>
        <v>1</v>
      </c>
      <c r="CJ314" s="29">
        <f t="shared" ca="1" si="175"/>
        <v>7</v>
      </c>
      <c r="CK314" s="29">
        <f t="shared" ca="1" si="175"/>
        <v>4</v>
      </c>
      <c r="CL314" s="29">
        <f t="shared" ca="1" si="175"/>
        <v>2</v>
      </c>
      <c r="CM314" s="29">
        <f t="shared" ca="1" si="175"/>
        <v>0</v>
      </c>
      <c r="CN314" s="29">
        <f t="shared" ca="1" si="175"/>
        <v>2</v>
      </c>
      <c r="CO314" s="29">
        <f t="shared" ca="1" si="175"/>
        <v>2</v>
      </c>
      <c r="CP314" s="29">
        <f t="shared" ca="1" si="175"/>
        <v>3</v>
      </c>
      <c r="CQ314" s="29">
        <f t="shared" ca="1" si="174"/>
        <v>0</v>
      </c>
      <c r="CR314" s="29">
        <f t="shared" ca="1" si="174"/>
        <v>5</v>
      </c>
      <c r="CS314" s="29">
        <f t="shared" ca="1" si="174"/>
        <v>1</v>
      </c>
      <c r="CT314" s="29">
        <f t="shared" ca="1" si="174"/>
        <v>4</v>
      </c>
      <c r="CU314" s="29">
        <f t="shared" ca="1" si="174"/>
        <v>1</v>
      </c>
      <c r="CV314" s="29">
        <f t="shared" ca="1" si="174"/>
        <v>5</v>
      </c>
      <c r="CW314" s="29">
        <f t="shared" ca="1" si="174"/>
        <v>3</v>
      </c>
      <c r="CX314" s="29">
        <f t="shared" ca="1" si="174"/>
        <v>2</v>
      </c>
      <c r="CY314" s="29">
        <f t="shared" ca="1" si="174"/>
        <v>2</v>
      </c>
      <c r="CZ314" s="29">
        <f t="shared" ca="1" si="174"/>
        <v>4</v>
      </c>
      <c r="DA314" s="29">
        <f t="shared" ca="1" si="174"/>
        <v>2</v>
      </c>
      <c r="DB314" s="29">
        <f t="shared" ca="1" si="174"/>
        <v>3</v>
      </c>
      <c r="DC314" s="29">
        <f t="shared" ca="1" si="174"/>
        <v>1</v>
      </c>
      <c r="DD314" s="29">
        <f t="shared" ca="1" si="174"/>
        <v>3</v>
      </c>
      <c r="DE314" s="29">
        <f t="shared" ca="1" si="174"/>
        <v>5</v>
      </c>
      <c r="DF314" s="29">
        <f t="shared" ca="1" si="173"/>
        <v>0</v>
      </c>
      <c r="DG314" s="29">
        <f t="shared" ca="1" si="173"/>
        <v>5</v>
      </c>
      <c r="DH314" s="29">
        <f t="shared" ca="1" si="173"/>
        <v>3</v>
      </c>
      <c r="DI314" s="29">
        <f t="shared" ca="1" si="173"/>
        <v>1</v>
      </c>
      <c r="DJ314" s="29">
        <f t="shared" ca="1" si="173"/>
        <v>2</v>
      </c>
      <c r="DK314" s="29">
        <f t="shared" ca="1" si="173"/>
        <v>5</v>
      </c>
      <c r="DL314" s="29">
        <f t="shared" ca="1" si="173"/>
        <v>1</v>
      </c>
    </row>
    <row r="315" spans="1:116" ht="14.4" x14ac:dyDescent="0.3">
      <c r="A315" s="31">
        <v>617</v>
      </c>
      <c r="B315" s="28">
        <v>9.8699999999999992</v>
      </c>
      <c r="C315" s="30">
        <v>6.51</v>
      </c>
      <c r="D315" s="28">
        <v>2.36</v>
      </c>
      <c r="E315" s="34">
        <f t="shared" si="145"/>
        <v>4.7199999999999999E-2</v>
      </c>
      <c r="F315" s="35">
        <f t="shared" si="146"/>
        <v>1.6274999999999999</v>
      </c>
      <c r="G315" s="34">
        <f t="shared" si="147"/>
        <v>59</v>
      </c>
      <c r="H315" s="33">
        <f t="shared" si="148"/>
        <v>5.8128166160081056</v>
      </c>
      <c r="I315" s="28">
        <f t="shared" si="151"/>
        <v>1246.3000000000002</v>
      </c>
      <c r="J315" s="32">
        <v>0</v>
      </c>
      <c r="K315" s="30">
        <f t="shared" si="149"/>
        <v>59</v>
      </c>
      <c r="L315" s="30"/>
      <c r="M315" s="30"/>
      <c r="N315" s="30"/>
      <c r="O315" s="30"/>
      <c r="Q315" s="29">
        <f t="shared" ca="1" si="150"/>
        <v>1</v>
      </c>
      <c r="R315" s="29">
        <f t="shared" ca="1" si="177"/>
        <v>0</v>
      </c>
      <c r="S315" s="29">
        <f t="shared" ca="1" si="177"/>
        <v>2</v>
      </c>
      <c r="T315" s="29">
        <f t="shared" ca="1" si="177"/>
        <v>2</v>
      </c>
      <c r="U315" s="29">
        <f t="shared" ca="1" si="177"/>
        <v>0</v>
      </c>
      <c r="V315" s="29">
        <f t="shared" ca="1" si="177"/>
        <v>2</v>
      </c>
      <c r="W315" s="29">
        <f t="shared" ca="1" si="177"/>
        <v>1</v>
      </c>
      <c r="X315" s="29">
        <f t="shared" ca="1" si="177"/>
        <v>4</v>
      </c>
      <c r="Y315" s="29">
        <f t="shared" ca="1" si="177"/>
        <v>2</v>
      </c>
      <c r="Z315" s="29">
        <f t="shared" ca="1" si="177"/>
        <v>2</v>
      </c>
      <c r="AA315" s="29">
        <f t="shared" ca="1" si="177"/>
        <v>5</v>
      </c>
      <c r="AB315" s="29">
        <f t="shared" ca="1" si="177"/>
        <v>1</v>
      </c>
      <c r="AC315" s="29">
        <f t="shared" ca="1" si="177"/>
        <v>1</v>
      </c>
      <c r="AD315" s="29">
        <f t="shared" ca="1" si="177"/>
        <v>3</v>
      </c>
      <c r="AE315" s="29">
        <f t="shared" ca="1" si="177"/>
        <v>4</v>
      </c>
      <c r="AF315" s="29">
        <f t="shared" ca="1" si="177"/>
        <v>2</v>
      </c>
      <c r="AG315" s="29">
        <f t="shared" ca="1" si="176"/>
        <v>3</v>
      </c>
      <c r="AH315" s="29">
        <f t="shared" ca="1" si="176"/>
        <v>2</v>
      </c>
      <c r="AI315" s="29">
        <f t="shared" ca="1" si="176"/>
        <v>0</v>
      </c>
      <c r="AJ315" s="29">
        <f t="shared" ca="1" si="176"/>
        <v>3</v>
      </c>
      <c r="AK315" s="29">
        <f t="shared" ca="1" si="176"/>
        <v>3</v>
      </c>
      <c r="AL315" s="29">
        <f t="shared" ca="1" si="176"/>
        <v>6</v>
      </c>
      <c r="AM315" s="29">
        <f t="shared" ca="1" si="176"/>
        <v>2</v>
      </c>
      <c r="AN315" s="29">
        <f t="shared" ca="1" si="176"/>
        <v>3</v>
      </c>
      <c r="AO315" s="29">
        <f t="shared" ca="1" si="176"/>
        <v>1</v>
      </c>
      <c r="AP315" s="29">
        <f t="shared" ca="1" si="176"/>
        <v>2</v>
      </c>
      <c r="AQ315" s="29">
        <f t="shared" ca="1" si="176"/>
        <v>2</v>
      </c>
      <c r="AR315" s="29">
        <f t="shared" ca="1" si="176"/>
        <v>5</v>
      </c>
      <c r="AS315" s="29">
        <f t="shared" ca="1" si="176"/>
        <v>1</v>
      </c>
      <c r="AT315" s="29">
        <f t="shared" ca="1" si="176"/>
        <v>2</v>
      </c>
      <c r="AU315" s="29">
        <f t="shared" ca="1" si="176"/>
        <v>2</v>
      </c>
      <c r="AV315" s="29">
        <f t="shared" ca="1" si="171"/>
        <v>2</v>
      </c>
      <c r="AW315" s="29">
        <f t="shared" ca="1" si="171"/>
        <v>4</v>
      </c>
      <c r="AX315" s="29">
        <f t="shared" ca="1" si="171"/>
        <v>1</v>
      </c>
      <c r="AY315" s="29">
        <f t="shared" ca="1" si="171"/>
        <v>4</v>
      </c>
      <c r="AZ315" s="29">
        <f t="shared" ca="1" si="171"/>
        <v>4</v>
      </c>
      <c r="BA315" s="29">
        <f t="shared" ca="1" si="171"/>
        <v>1</v>
      </c>
      <c r="BB315" s="29">
        <f t="shared" ca="1" si="171"/>
        <v>2</v>
      </c>
      <c r="BC315" s="29">
        <f t="shared" ca="1" si="171"/>
        <v>1</v>
      </c>
      <c r="BD315" s="29">
        <f t="shared" ca="1" si="171"/>
        <v>2</v>
      </c>
      <c r="BE315" s="29">
        <f t="shared" ca="1" si="171"/>
        <v>4</v>
      </c>
      <c r="BF315" s="29">
        <f t="shared" ca="1" si="171"/>
        <v>0</v>
      </c>
      <c r="BG315" s="29">
        <f t="shared" ca="1" si="171"/>
        <v>4</v>
      </c>
      <c r="BH315" s="29">
        <f t="shared" ca="1" si="171"/>
        <v>3</v>
      </c>
      <c r="BI315" s="29">
        <f t="shared" ca="1" si="171"/>
        <v>3</v>
      </c>
      <c r="BJ315" s="29">
        <f t="shared" ca="1" si="171"/>
        <v>1</v>
      </c>
      <c r="BK315" s="29">
        <f t="shared" ca="1" si="171"/>
        <v>3</v>
      </c>
      <c r="BL315" s="29">
        <f t="shared" ca="1" si="170"/>
        <v>2</v>
      </c>
      <c r="BM315" s="29">
        <f t="shared" ca="1" si="170"/>
        <v>2</v>
      </c>
      <c r="BN315" s="29">
        <f t="shared" ca="1" si="170"/>
        <v>2</v>
      </c>
      <c r="BO315" s="29">
        <f t="shared" ca="1" si="170"/>
        <v>2</v>
      </c>
      <c r="BP315" s="29">
        <f t="shared" ca="1" si="170"/>
        <v>1</v>
      </c>
      <c r="BQ315" s="29">
        <f t="shared" ca="1" si="170"/>
        <v>2</v>
      </c>
      <c r="BR315" s="29">
        <f t="shared" ca="1" si="170"/>
        <v>3</v>
      </c>
      <c r="BS315" s="29">
        <f t="shared" ca="1" si="170"/>
        <v>3</v>
      </c>
      <c r="BT315" s="29">
        <f t="shared" ca="1" si="170"/>
        <v>3</v>
      </c>
      <c r="BU315" s="29">
        <f t="shared" ca="1" si="170"/>
        <v>3</v>
      </c>
      <c r="BV315" s="29">
        <f t="shared" ca="1" si="170"/>
        <v>5</v>
      </c>
      <c r="BW315" s="29">
        <f t="shared" ca="1" si="170"/>
        <v>2</v>
      </c>
      <c r="BX315" s="29">
        <f t="shared" ca="1" si="170"/>
        <v>2</v>
      </c>
      <c r="BY315" s="29">
        <f t="shared" ca="1" si="170"/>
        <v>3</v>
      </c>
      <c r="BZ315" s="29">
        <f t="shared" ca="1" si="170"/>
        <v>0</v>
      </c>
      <c r="CA315" s="29">
        <f t="shared" ca="1" si="175"/>
        <v>5</v>
      </c>
      <c r="CB315" s="29">
        <f t="shared" ca="1" si="175"/>
        <v>6</v>
      </c>
      <c r="CC315" s="29">
        <f t="shared" ca="1" si="175"/>
        <v>0</v>
      </c>
      <c r="CD315" s="29">
        <f t="shared" ca="1" si="175"/>
        <v>1</v>
      </c>
      <c r="CE315" s="29">
        <f t="shared" ca="1" si="175"/>
        <v>2</v>
      </c>
      <c r="CF315" s="29">
        <f t="shared" ca="1" si="175"/>
        <v>4</v>
      </c>
      <c r="CG315" s="29">
        <f t="shared" ca="1" si="175"/>
        <v>2</v>
      </c>
      <c r="CH315" s="29">
        <f t="shared" ca="1" si="175"/>
        <v>1</v>
      </c>
      <c r="CI315" s="29">
        <f t="shared" ca="1" si="175"/>
        <v>1</v>
      </c>
      <c r="CJ315" s="29">
        <f t="shared" ca="1" si="175"/>
        <v>2</v>
      </c>
      <c r="CK315" s="29">
        <f t="shared" ca="1" si="175"/>
        <v>0</v>
      </c>
      <c r="CL315" s="29">
        <f t="shared" ca="1" si="175"/>
        <v>3</v>
      </c>
      <c r="CM315" s="29">
        <f t="shared" ca="1" si="175"/>
        <v>3</v>
      </c>
      <c r="CN315" s="29">
        <f t="shared" ca="1" si="175"/>
        <v>3</v>
      </c>
      <c r="CO315" s="29">
        <f t="shared" ca="1" si="175"/>
        <v>2</v>
      </c>
      <c r="CP315" s="29">
        <f t="shared" ca="1" si="175"/>
        <v>1</v>
      </c>
      <c r="CQ315" s="29">
        <f t="shared" ca="1" si="174"/>
        <v>7</v>
      </c>
      <c r="CR315" s="29">
        <f t="shared" ca="1" si="174"/>
        <v>2</v>
      </c>
      <c r="CS315" s="29">
        <f t="shared" ca="1" si="174"/>
        <v>5</v>
      </c>
      <c r="CT315" s="29">
        <f t="shared" ca="1" si="174"/>
        <v>4</v>
      </c>
      <c r="CU315" s="29">
        <f t="shared" ca="1" si="174"/>
        <v>2</v>
      </c>
      <c r="CV315" s="29">
        <f t="shared" ca="1" si="174"/>
        <v>2</v>
      </c>
      <c r="CW315" s="29">
        <f t="shared" ca="1" si="174"/>
        <v>4</v>
      </c>
      <c r="CX315" s="29">
        <f t="shared" ca="1" si="174"/>
        <v>1</v>
      </c>
      <c r="CY315" s="29">
        <f t="shared" ca="1" si="174"/>
        <v>3</v>
      </c>
      <c r="CZ315" s="29">
        <f t="shared" ca="1" si="174"/>
        <v>2</v>
      </c>
      <c r="DA315" s="29">
        <f t="shared" ca="1" si="174"/>
        <v>6</v>
      </c>
      <c r="DB315" s="29">
        <f t="shared" ca="1" si="174"/>
        <v>3</v>
      </c>
      <c r="DC315" s="29">
        <f t="shared" ca="1" si="174"/>
        <v>2</v>
      </c>
      <c r="DD315" s="29">
        <f t="shared" ca="1" si="174"/>
        <v>0</v>
      </c>
      <c r="DE315" s="29">
        <f t="shared" ca="1" si="174"/>
        <v>0</v>
      </c>
      <c r="DF315" s="29">
        <f t="shared" ca="1" si="173"/>
        <v>1</v>
      </c>
      <c r="DG315" s="29">
        <f t="shared" ca="1" si="173"/>
        <v>2</v>
      </c>
      <c r="DH315" s="29">
        <f t="shared" ca="1" si="173"/>
        <v>5</v>
      </c>
      <c r="DI315" s="29">
        <f t="shared" ca="1" si="173"/>
        <v>2</v>
      </c>
      <c r="DJ315" s="29">
        <f t="shared" ca="1" si="173"/>
        <v>5</v>
      </c>
      <c r="DK315" s="29">
        <f t="shared" ca="1" si="173"/>
        <v>0</v>
      </c>
      <c r="DL315" s="29">
        <f t="shared" ca="1" si="173"/>
        <v>1</v>
      </c>
    </row>
    <row r="316" spans="1:116" ht="14.4" x14ac:dyDescent="0.3">
      <c r="A316" s="31">
        <v>877</v>
      </c>
      <c r="B316" s="28">
        <v>1.1299999999999999</v>
      </c>
      <c r="C316" s="30">
        <v>19.760000000000002</v>
      </c>
      <c r="D316" s="28">
        <v>0.46</v>
      </c>
      <c r="E316" s="34">
        <f t="shared" si="145"/>
        <v>9.1999999999999998E-3</v>
      </c>
      <c r="F316" s="35">
        <f t="shared" si="146"/>
        <v>4.9400000000000004</v>
      </c>
      <c r="G316" s="34">
        <f t="shared" si="147"/>
        <v>11.5</v>
      </c>
      <c r="H316" s="33">
        <f t="shared" si="148"/>
        <v>5.8053097345132745</v>
      </c>
      <c r="I316" s="28">
        <f t="shared" si="151"/>
        <v>1247.4300000000003</v>
      </c>
      <c r="J316" s="32">
        <v>0</v>
      </c>
      <c r="K316" s="30">
        <f t="shared" si="149"/>
        <v>11.5</v>
      </c>
      <c r="L316" s="30"/>
      <c r="M316" s="30"/>
      <c r="N316" s="30"/>
      <c r="O316" s="30"/>
      <c r="Q316" s="29">
        <f t="shared" ca="1" si="150"/>
        <v>1</v>
      </c>
      <c r="R316" s="29">
        <f t="shared" ca="1" si="177"/>
        <v>1</v>
      </c>
      <c r="S316" s="29">
        <f t="shared" ca="1" si="177"/>
        <v>0</v>
      </c>
      <c r="T316" s="29">
        <f t="shared" ca="1" si="177"/>
        <v>0</v>
      </c>
      <c r="U316" s="29">
        <f t="shared" ca="1" si="177"/>
        <v>0</v>
      </c>
      <c r="V316" s="29">
        <f t="shared" ca="1" si="177"/>
        <v>0</v>
      </c>
      <c r="W316" s="29">
        <f t="shared" ca="1" si="177"/>
        <v>0</v>
      </c>
      <c r="X316" s="29">
        <f t="shared" ca="1" si="177"/>
        <v>1</v>
      </c>
      <c r="Y316" s="29">
        <f t="shared" ca="1" si="177"/>
        <v>0</v>
      </c>
      <c r="Z316" s="29">
        <f t="shared" ca="1" si="177"/>
        <v>1</v>
      </c>
      <c r="AA316" s="29">
        <f t="shared" ca="1" si="177"/>
        <v>0</v>
      </c>
      <c r="AB316" s="29">
        <f t="shared" ca="1" si="177"/>
        <v>0</v>
      </c>
      <c r="AC316" s="29">
        <f t="shared" ca="1" si="177"/>
        <v>0</v>
      </c>
      <c r="AD316" s="29">
        <f t="shared" ca="1" si="177"/>
        <v>1</v>
      </c>
      <c r="AE316" s="29">
        <f t="shared" ca="1" si="177"/>
        <v>1</v>
      </c>
      <c r="AF316" s="29">
        <f t="shared" ca="1" si="177"/>
        <v>1</v>
      </c>
      <c r="AG316" s="29">
        <f t="shared" ca="1" si="176"/>
        <v>1</v>
      </c>
      <c r="AH316" s="29">
        <f t="shared" ca="1" si="176"/>
        <v>0</v>
      </c>
      <c r="AI316" s="29">
        <f t="shared" ca="1" si="176"/>
        <v>0</v>
      </c>
      <c r="AJ316" s="29">
        <f t="shared" ca="1" si="176"/>
        <v>1</v>
      </c>
      <c r="AK316" s="29">
        <f t="shared" ca="1" si="176"/>
        <v>0</v>
      </c>
      <c r="AL316" s="29">
        <f t="shared" ca="1" si="176"/>
        <v>1</v>
      </c>
      <c r="AM316" s="29">
        <f t="shared" ca="1" si="176"/>
        <v>0</v>
      </c>
      <c r="AN316" s="29">
        <f t="shared" ca="1" si="176"/>
        <v>0</v>
      </c>
      <c r="AO316" s="29">
        <f t="shared" ca="1" si="176"/>
        <v>0</v>
      </c>
      <c r="AP316" s="29">
        <f t="shared" ca="1" si="176"/>
        <v>1</v>
      </c>
      <c r="AQ316" s="29">
        <f t="shared" ca="1" si="176"/>
        <v>1</v>
      </c>
      <c r="AR316" s="29">
        <f t="shared" ca="1" si="176"/>
        <v>1</v>
      </c>
      <c r="AS316" s="29">
        <f t="shared" ca="1" si="176"/>
        <v>0</v>
      </c>
      <c r="AT316" s="29">
        <f t="shared" ca="1" si="176"/>
        <v>0</v>
      </c>
      <c r="AU316" s="29">
        <f t="shared" ca="1" si="176"/>
        <v>0</v>
      </c>
      <c r="AV316" s="29">
        <f t="shared" ca="1" si="171"/>
        <v>0</v>
      </c>
      <c r="AW316" s="29">
        <f t="shared" ca="1" si="171"/>
        <v>1</v>
      </c>
      <c r="AX316" s="29">
        <f t="shared" ca="1" si="171"/>
        <v>3</v>
      </c>
      <c r="AY316" s="29">
        <f t="shared" ca="1" si="171"/>
        <v>0</v>
      </c>
      <c r="AZ316" s="29">
        <f t="shared" ca="1" si="171"/>
        <v>1</v>
      </c>
      <c r="BA316" s="29">
        <f t="shared" ca="1" si="171"/>
        <v>1</v>
      </c>
      <c r="BB316" s="29">
        <f t="shared" ca="1" si="171"/>
        <v>1</v>
      </c>
      <c r="BC316" s="29">
        <f t="shared" ca="1" si="171"/>
        <v>1</v>
      </c>
      <c r="BD316" s="29">
        <f t="shared" ca="1" si="171"/>
        <v>0</v>
      </c>
      <c r="BE316" s="29">
        <f t="shared" ca="1" si="171"/>
        <v>0</v>
      </c>
      <c r="BF316" s="29">
        <f t="shared" ca="1" si="171"/>
        <v>1</v>
      </c>
      <c r="BG316" s="29">
        <f t="shared" ca="1" si="171"/>
        <v>0</v>
      </c>
      <c r="BH316" s="29">
        <f t="shared" ca="1" si="171"/>
        <v>3</v>
      </c>
      <c r="BI316" s="29">
        <f t="shared" ca="1" si="171"/>
        <v>1</v>
      </c>
      <c r="BJ316" s="29">
        <f t="shared" ca="1" si="171"/>
        <v>0</v>
      </c>
      <c r="BK316" s="29">
        <f t="shared" ref="BK316:BZ331" ca="1" si="178">_xlfn.BINOM.INV(50,$E316,RAND())</f>
        <v>0</v>
      </c>
      <c r="BL316" s="29">
        <f t="shared" ca="1" si="178"/>
        <v>0</v>
      </c>
      <c r="BM316" s="29">
        <f t="shared" ca="1" si="178"/>
        <v>0</v>
      </c>
      <c r="BN316" s="29">
        <f t="shared" ca="1" si="178"/>
        <v>0</v>
      </c>
      <c r="BO316" s="29">
        <f t="shared" ca="1" si="178"/>
        <v>0</v>
      </c>
      <c r="BP316" s="29">
        <f t="shared" ca="1" si="178"/>
        <v>0</v>
      </c>
      <c r="BQ316" s="29">
        <f t="shared" ca="1" si="178"/>
        <v>0</v>
      </c>
      <c r="BR316" s="29">
        <f t="shared" ca="1" si="178"/>
        <v>0</v>
      </c>
      <c r="BS316" s="29">
        <f t="shared" ca="1" si="178"/>
        <v>1</v>
      </c>
      <c r="BT316" s="29">
        <f t="shared" ca="1" si="178"/>
        <v>1</v>
      </c>
      <c r="BU316" s="29">
        <f t="shared" ca="1" si="178"/>
        <v>0</v>
      </c>
      <c r="BV316" s="29">
        <f t="shared" ca="1" si="178"/>
        <v>0</v>
      </c>
      <c r="BW316" s="29">
        <f t="shared" ca="1" si="178"/>
        <v>0</v>
      </c>
      <c r="BX316" s="29">
        <f t="shared" ca="1" si="178"/>
        <v>0</v>
      </c>
      <c r="BY316" s="29">
        <f t="shared" ca="1" si="178"/>
        <v>0</v>
      </c>
      <c r="BZ316" s="29">
        <f t="shared" ca="1" si="178"/>
        <v>0</v>
      </c>
      <c r="CA316" s="29">
        <f t="shared" ca="1" si="175"/>
        <v>0</v>
      </c>
      <c r="CB316" s="29">
        <f t="shared" ca="1" si="175"/>
        <v>1</v>
      </c>
      <c r="CC316" s="29">
        <f t="shared" ca="1" si="175"/>
        <v>1</v>
      </c>
      <c r="CD316" s="29">
        <f t="shared" ca="1" si="175"/>
        <v>0</v>
      </c>
      <c r="CE316" s="29">
        <f t="shared" ca="1" si="175"/>
        <v>0</v>
      </c>
      <c r="CF316" s="29">
        <f t="shared" ca="1" si="175"/>
        <v>0</v>
      </c>
      <c r="CG316" s="29">
        <f t="shared" ca="1" si="175"/>
        <v>0</v>
      </c>
      <c r="CH316" s="29">
        <f t="shared" ca="1" si="175"/>
        <v>0</v>
      </c>
      <c r="CI316" s="29">
        <f t="shared" ca="1" si="175"/>
        <v>1</v>
      </c>
      <c r="CJ316" s="29">
        <f t="shared" ca="1" si="175"/>
        <v>2</v>
      </c>
      <c r="CK316" s="29">
        <f t="shared" ca="1" si="175"/>
        <v>0</v>
      </c>
      <c r="CL316" s="29">
        <f t="shared" ca="1" si="175"/>
        <v>1</v>
      </c>
      <c r="CM316" s="29">
        <f t="shared" ca="1" si="175"/>
        <v>0</v>
      </c>
      <c r="CN316" s="29">
        <f t="shared" ca="1" si="175"/>
        <v>0</v>
      </c>
      <c r="CO316" s="29">
        <f t="shared" ca="1" si="175"/>
        <v>1</v>
      </c>
      <c r="CP316" s="29">
        <f t="shared" ca="1" si="175"/>
        <v>1</v>
      </c>
      <c r="CQ316" s="29">
        <f t="shared" ca="1" si="174"/>
        <v>0</v>
      </c>
      <c r="CR316" s="29">
        <f t="shared" ca="1" si="174"/>
        <v>0</v>
      </c>
      <c r="CS316" s="29">
        <f t="shared" ca="1" si="174"/>
        <v>1</v>
      </c>
      <c r="CT316" s="29">
        <f t="shared" ca="1" si="174"/>
        <v>0</v>
      </c>
      <c r="CU316" s="29">
        <f t="shared" ca="1" si="174"/>
        <v>0</v>
      </c>
      <c r="CV316" s="29">
        <f t="shared" ca="1" si="174"/>
        <v>0</v>
      </c>
      <c r="CW316" s="29">
        <f t="shared" ca="1" si="174"/>
        <v>0</v>
      </c>
      <c r="CX316" s="29">
        <f t="shared" ca="1" si="174"/>
        <v>1</v>
      </c>
      <c r="CY316" s="29">
        <f t="shared" ca="1" si="174"/>
        <v>1</v>
      </c>
      <c r="CZ316" s="29">
        <f t="shared" ca="1" si="174"/>
        <v>2</v>
      </c>
      <c r="DA316" s="29">
        <f t="shared" ca="1" si="174"/>
        <v>1</v>
      </c>
      <c r="DB316" s="29">
        <f t="shared" ca="1" si="174"/>
        <v>0</v>
      </c>
      <c r="DC316" s="29">
        <f t="shared" ca="1" si="174"/>
        <v>0</v>
      </c>
      <c r="DD316" s="29">
        <f t="shared" ca="1" si="174"/>
        <v>1</v>
      </c>
      <c r="DE316" s="29">
        <f t="shared" ca="1" si="174"/>
        <v>1</v>
      </c>
      <c r="DF316" s="29">
        <f t="shared" ca="1" si="173"/>
        <v>0</v>
      </c>
      <c r="DG316" s="29">
        <f t="shared" ca="1" si="173"/>
        <v>1</v>
      </c>
      <c r="DH316" s="29">
        <f t="shared" ca="1" si="173"/>
        <v>0</v>
      </c>
      <c r="DI316" s="29">
        <f t="shared" ca="1" si="173"/>
        <v>1</v>
      </c>
      <c r="DJ316" s="29">
        <f t="shared" ca="1" si="173"/>
        <v>1</v>
      </c>
      <c r="DK316" s="29">
        <f t="shared" ca="1" si="173"/>
        <v>0</v>
      </c>
      <c r="DL316" s="29">
        <f t="shared" ca="1" si="173"/>
        <v>1</v>
      </c>
    </row>
    <row r="317" spans="1:116" ht="14.4" x14ac:dyDescent="0.3">
      <c r="A317" s="31">
        <v>592</v>
      </c>
      <c r="B317" s="28">
        <v>9.9499999999999993</v>
      </c>
      <c r="C317" s="30">
        <v>73.319999999999993</v>
      </c>
      <c r="D317" s="28">
        <v>3.04</v>
      </c>
      <c r="E317" s="34">
        <f t="shared" si="145"/>
        <v>6.08E-2</v>
      </c>
      <c r="F317" s="35">
        <f t="shared" si="146"/>
        <v>18.329999999999998</v>
      </c>
      <c r="G317" s="34">
        <f t="shared" si="147"/>
        <v>76</v>
      </c>
      <c r="H317" s="33">
        <f t="shared" si="148"/>
        <v>5.795979899497488</v>
      </c>
      <c r="I317" s="28">
        <f t="shared" si="151"/>
        <v>1257.3800000000003</v>
      </c>
      <c r="J317" s="32">
        <v>0</v>
      </c>
      <c r="K317" s="30">
        <f t="shared" si="149"/>
        <v>76</v>
      </c>
      <c r="L317" s="30"/>
      <c r="M317" s="30"/>
      <c r="N317" s="30"/>
      <c r="O317" s="30"/>
      <c r="Q317" s="29">
        <f t="shared" ca="1" si="150"/>
        <v>1</v>
      </c>
      <c r="R317" s="29">
        <f t="shared" ca="1" si="177"/>
        <v>7</v>
      </c>
      <c r="S317" s="29">
        <f t="shared" ca="1" si="177"/>
        <v>2</v>
      </c>
      <c r="T317" s="29">
        <f t="shared" ca="1" si="177"/>
        <v>3</v>
      </c>
      <c r="U317" s="29">
        <f t="shared" ca="1" si="177"/>
        <v>6</v>
      </c>
      <c r="V317" s="29">
        <f t="shared" ca="1" si="177"/>
        <v>2</v>
      </c>
      <c r="W317" s="29">
        <f t="shared" ca="1" si="177"/>
        <v>2</v>
      </c>
      <c r="X317" s="29">
        <f t="shared" ca="1" si="177"/>
        <v>5</v>
      </c>
      <c r="Y317" s="29">
        <f t="shared" ca="1" si="177"/>
        <v>5</v>
      </c>
      <c r="Z317" s="29">
        <f t="shared" ca="1" si="177"/>
        <v>3</v>
      </c>
      <c r="AA317" s="29">
        <f t="shared" ca="1" si="177"/>
        <v>2</v>
      </c>
      <c r="AB317" s="29">
        <f t="shared" ca="1" si="177"/>
        <v>1</v>
      </c>
      <c r="AC317" s="29">
        <f t="shared" ca="1" si="177"/>
        <v>4</v>
      </c>
      <c r="AD317" s="29">
        <f t="shared" ca="1" si="177"/>
        <v>5</v>
      </c>
      <c r="AE317" s="29">
        <f t="shared" ca="1" si="177"/>
        <v>2</v>
      </c>
      <c r="AF317" s="29">
        <f t="shared" ca="1" si="177"/>
        <v>1</v>
      </c>
      <c r="AG317" s="29">
        <f t="shared" ca="1" si="176"/>
        <v>4</v>
      </c>
      <c r="AH317" s="29">
        <f t="shared" ca="1" si="176"/>
        <v>3</v>
      </c>
      <c r="AI317" s="29">
        <f t="shared" ca="1" si="176"/>
        <v>2</v>
      </c>
      <c r="AJ317" s="29">
        <f t="shared" ca="1" si="176"/>
        <v>1</v>
      </c>
      <c r="AK317" s="29">
        <f t="shared" ca="1" si="176"/>
        <v>6</v>
      </c>
      <c r="AL317" s="29">
        <f t="shared" ca="1" si="176"/>
        <v>1</v>
      </c>
      <c r="AM317" s="29">
        <f t="shared" ca="1" si="176"/>
        <v>4</v>
      </c>
      <c r="AN317" s="29">
        <f t="shared" ca="1" si="176"/>
        <v>3</v>
      </c>
      <c r="AO317" s="29">
        <f t="shared" ca="1" si="176"/>
        <v>2</v>
      </c>
      <c r="AP317" s="29">
        <f t="shared" ca="1" si="176"/>
        <v>0</v>
      </c>
      <c r="AQ317" s="29">
        <f t="shared" ca="1" si="176"/>
        <v>3</v>
      </c>
      <c r="AR317" s="29">
        <f t="shared" ca="1" si="176"/>
        <v>4</v>
      </c>
      <c r="AS317" s="29">
        <f t="shared" ca="1" si="176"/>
        <v>3</v>
      </c>
      <c r="AT317" s="29">
        <f t="shared" ca="1" si="176"/>
        <v>4</v>
      </c>
      <c r="AU317" s="29">
        <f t="shared" ca="1" si="176"/>
        <v>1</v>
      </c>
      <c r="AV317" s="29">
        <f t="shared" ref="AV317:BK332" ca="1" si="179">_xlfn.BINOM.INV(50,$E317,RAND())</f>
        <v>0</v>
      </c>
      <c r="AW317" s="29">
        <f t="shared" ca="1" si="179"/>
        <v>3</v>
      </c>
      <c r="AX317" s="29">
        <f t="shared" ca="1" si="179"/>
        <v>2</v>
      </c>
      <c r="AY317" s="29">
        <f t="shared" ca="1" si="179"/>
        <v>2</v>
      </c>
      <c r="AZ317" s="29">
        <f t="shared" ca="1" si="179"/>
        <v>4</v>
      </c>
      <c r="BA317" s="29">
        <f t="shared" ca="1" si="179"/>
        <v>3</v>
      </c>
      <c r="BB317" s="29">
        <f t="shared" ca="1" si="179"/>
        <v>1</v>
      </c>
      <c r="BC317" s="29">
        <f t="shared" ca="1" si="179"/>
        <v>3</v>
      </c>
      <c r="BD317" s="29">
        <f t="shared" ca="1" si="179"/>
        <v>4</v>
      </c>
      <c r="BE317" s="29">
        <f t="shared" ca="1" si="179"/>
        <v>5</v>
      </c>
      <c r="BF317" s="29">
        <f t="shared" ca="1" si="179"/>
        <v>6</v>
      </c>
      <c r="BG317" s="29">
        <f t="shared" ca="1" si="179"/>
        <v>5</v>
      </c>
      <c r="BH317" s="29">
        <f t="shared" ca="1" si="179"/>
        <v>5</v>
      </c>
      <c r="BI317" s="29">
        <f t="shared" ca="1" si="179"/>
        <v>2</v>
      </c>
      <c r="BJ317" s="29">
        <f t="shared" ca="1" si="179"/>
        <v>2</v>
      </c>
      <c r="BK317" s="29">
        <f t="shared" ca="1" si="179"/>
        <v>3</v>
      </c>
      <c r="BL317" s="29">
        <f t="shared" ca="1" si="178"/>
        <v>4</v>
      </c>
      <c r="BM317" s="29">
        <f t="shared" ca="1" si="178"/>
        <v>6</v>
      </c>
      <c r="BN317" s="29">
        <f t="shared" ca="1" si="178"/>
        <v>2</v>
      </c>
      <c r="BO317" s="29">
        <f t="shared" ca="1" si="178"/>
        <v>3</v>
      </c>
      <c r="BP317" s="29">
        <f t="shared" ca="1" si="178"/>
        <v>3</v>
      </c>
      <c r="BQ317" s="29">
        <f t="shared" ca="1" si="178"/>
        <v>1</v>
      </c>
      <c r="BR317" s="29">
        <f t="shared" ca="1" si="178"/>
        <v>8</v>
      </c>
      <c r="BS317" s="29">
        <f t="shared" ca="1" si="178"/>
        <v>1</v>
      </c>
      <c r="BT317" s="29">
        <f t="shared" ca="1" si="178"/>
        <v>3</v>
      </c>
      <c r="BU317" s="29">
        <f t="shared" ca="1" si="178"/>
        <v>2</v>
      </c>
      <c r="BV317" s="29">
        <f t="shared" ca="1" si="178"/>
        <v>5</v>
      </c>
      <c r="BW317" s="29">
        <f t="shared" ca="1" si="178"/>
        <v>0</v>
      </c>
      <c r="BX317" s="29">
        <f t="shared" ca="1" si="178"/>
        <v>2</v>
      </c>
      <c r="BY317" s="29">
        <f t="shared" ca="1" si="178"/>
        <v>1</v>
      </c>
      <c r="BZ317" s="29">
        <f t="shared" ca="1" si="178"/>
        <v>4</v>
      </c>
      <c r="CA317" s="29">
        <f t="shared" ca="1" si="175"/>
        <v>4</v>
      </c>
      <c r="CB317" s="29">
        <f t="shared" ca="1" si="175"/>
        <v>2</v>
      </c>
      <c r="CC317" s="29">
        <f t="shared" ca="1" si="175"/>
        <v>5</v>
      </c>
      <c r="CD317" s="29">
        <f t="shared" ca="1" si="175"/>
        <v>3</v>
      </c>
      <c r="CE317" s="29">
        <f t="shared" ca="1" si="175"/>
        <v>1</v>
      </c>
      <c r="CF317" s="29">
        <f t="shared" ca="1" si="175"/>
        <v>2</v>
      </c>
      <c r="CG317" s="29">
        <f t="shared" ca="1" si="175"/>
        <v>4</v>
      </c>
      <c r="CH317" s="29">
        <f t="shared" ca="1" si="175"/>
        <v>5</v>
      </c>
      <c r="CI317" s="29">
        <f t="shared" ca="1" si="175"/>
        <v>6</v>
      </c>
      <c r="CJ317" s="29">
        <f t="shared" ca="1" si="175"/>
        <v>3</v>
      </c>
      <c r="CK317" s="29">
        <f t="shared" ca="1" si="175"/>
        <v>5</v>
      </c>
      <c r="CL317" s="29">
        <f t="shared" ca="1" si="175"/>
        <v>2</v>
      </c>
      <c r="CM317" s="29">
        <f t="shared" ca="1" si="175"/>
        <v>3</v>
      </c>
      <c r="CN317" s="29">
        <f t="shared" ca="1" si="175"/>
        <v>2</v>
      </c>
      <c r="CO317" s="29">
        <f t="shared" ca="1" si="175"/>
        <v>3</v>
      </c>
      <c r="CP317" s="29">
        <f t="shared" ca="1" si="175"/>
        <v>2</v>
      </c>
      <c r="CQ317" s="29">
        <f t="shared" ca="1" si="174"/>
        <v>2</v>
      </c>
      <c r="CR317" s="29">
        <f t="shared" ca="1" si="174"/>
        <v>3</v>
      </c>
      <c r="CS317" s="29">
        <f t="shared" ca="1" si="174"/>
        <v>1</v>
      </c>
      <c r="CT317" s="29">
        <f t="shared" ca="1" si="174"/>
        <v>4</v>
      </c>
      <c r="CU317" s="29">
        <f t="shared" ca="1" si="174"/>
        <v>4</v>
      </c>
      <c r="CV317" s="29">
        <f t="shared" ca="1" si="174"/>
        <v>2</v>
      </c>
      <c r="CW317" s="29">
        <f t="shared" ca="1" si="174"/>
        <v>1</v>
      </c>
      <c r="CX317" s="29">
        <f t="shared" ca="1" si="174"/>
        <v>3</v>
      </c>
      <c r="CY317" s="29">
        <f t="shared" ca="1" si="174"/>
        <v>2</v>
      </c>
      <c r="CZ317" s="29">
        <f t="shared" ca="1" si="174"/>
        <v>3</v>
      </c>
      <c r="DA317" s="29">
        <f t="shared" ca="1" si="174"/>
        <v>3</v>
      </c>
      <c r="DB317" s="29">
        <f t="shared" ca="1" si="174"/>
        <v>2</v>
      </c>
      <c r="DC317" s="29">
        <f t="shared" ca="1" si="174"/>
        <v>8</v>
      </c>
      <c r="DD317" s="29">
        <f t="shared" ca="1" si="174"/>
        <v>2</v>
      </c>
      <c r="DE317" s="29">
        <f t="shared" ca="1" si="174"/>
        <v>1</v>
      </c>
      <c r="DF317" s="29">
        <f t="shared" ca="1" si="173"/>
        <v>4</v>
      </c>
      <c r="DG317" s="29">
        <f t="shared" ca="1" si="173"/>
        <v>2</v>
      </c>
      <c r="DH317" s="29">
        <f t="shared" ca="1" si="173"/>
        <v>4</v>
      </c>
      <c r="DI317" s="29">
        <f t="shared" ca="1" si="173"/>
        <v>5</v>
      </c>
      <c r="DJ317" s="29">
        <f t="shared" ca="1" si="173"/>
        <v>5</v>
      </c>
      <c r="DK317" s="29">
        <f t="shared" ca="1" si="173"/>
        <v>4</v>
      </c>
      <c r="DL317" s="29">
        <f t="shared" ca="1" si="173"/>
        <v>1</v>
      </c>
    </row>
    <row r="318" spans="1:116" ht="14.4" x14ac:dyDescent="0.3">
      <c r="A318" s="31">
        <v>82</v>
      </c>
      <c r="B318" s="28">
        <v>3.25</v>
      </c>
      <c r="C318" s="30">
        <v>84.69</v>
      </c>
      <c r="D318" s="28">
        <v>1.6</v>
      </c>
      <c r="E318" s="34">
        <f t="shared" si="145"/>
        <v>3.2000000000000001E-2</v>
      </c>
      <c r="F318" s="35">
        <f t="shared" si="146"/>
        <v>21.172499999999999</v>
      </c>
      <c r="G318" s="34">
        <f t="shared" si="147"/>
        <v>40</v>
      </c>
      <c r="H318" s="33">
        <f t="shared" si="148"/>
        <v>5.7930769230769235</v>
      </c>
      <c r="I318" s="28">
        <f t="shared" si="151"/>
        <v>1260.6300000000003</v>
      </c>
      <c r="J318" s="32">
        <v>0</v>
      </c>
      <c r="K318" s="30">
        <f t="shared" si="149"/>
        <v>40</v>
      </c>
      <c r="L318" s="30"/>
      <c r="M318" s="30"/>
      <c r="N318" s="30"/>
      <c r="O318" s="30"/>
      <c r="Q318" s="29">
        <f t="shared" ca="1" si="150"/>
        <v>0</v>
      </c>
      <c r="R318" s="29">
        <f t="shared" ca="1" si="177"/>
        <v>1</v>
      </c>
      <c r="S318" s="29">
        <f t="shared" ca="1" si="177"/>
        <v>1</v>
      </c>
      <c r="T318" s="29">
        <f t="shared" ca="1" si="177"/>
        <v>0</v>
      </c>
      <c r="U318" s="29">
        <f t="shared" ca="1" si="177"/>
        <v>2</v>
      </c>
      <c r="V318" s="29">
        <f t="shared" ca="1" si="177"/>
        <v>2</v>
      </c>
      <c r="W318" s="29">
        <f t="shared" ca="1" si="177"/>
        <v>1</v>
      </c>
      <c r="X318" s="29">
        <f t="shared" ca="1" si="177"/>
        <v>3</v>
      </c>
      <c r="Y318" s="29">
        <f t="shared" ca="1" si="177"/>
        <v>4</v>
      </c>
      <c r="Z318" s="29">
        <f t="shared" ca="1" si="177"/>
        <v>4</v>
      </c>
      <c r="AA318" s="29">
        <f t="shared" ca="1" si="177"/>
        <v>2</v>
      </c>
      <c r="AB318" s="29">
        <f t="shared" ca="1" si="177"/>
        <v>5</v>
      </c>
      <c r="AC318" s="29">
        <f t="shared" ca="1" si="177"/>
        <v>1</v>
      </c>
      <c r="AD318" s="29">
        <f t="shared" ca="1" si="177"/>
        <v>1</v>
      </c>
      <c r="AE318" s="29">
        <f t="shared" ca="1" si="177"/>
        <v>2</v>
      </c>
      <c r="AF318" s="29">
        <f t="shared" ca="1" si="177"/>
        <v>0</v>
      </c>
      <c r="AG318" s="29">
        <f t="shared" ca="1" si="176"/>
        <v>4</v>
      </c>
      <c r="AH318" s="29">
        <f t="shared" ca="1" si="176"/>
        <v>1</v>
      </c>
      <c r="AI318" s="29">
        <f t="shared" ca="1" si="176"/>
        <v>1</v>
      </c>
      <c r="AJ318" s="29">
        <f t="shared" ca="1" si="176"/>
        <v>2</v>
      </c>
      <c r="AK318" s="29">
        <f t="shared" ca="1" si="176"/>
        <v>3</v>
      </c>
      <c r="AL318" s="29">
        <f t="shared" ca="1" si="176"/>
        <v>3</v>
      </c>
      <c r="AM318" s="29">
        <f t="shared" ca="1" si="176"/>
        <v>0</v>
      </c>
      <c r="AN318" s="29">
        <f t="shared" ca="1" si="176"/>
        <v>2</v>
      </c>
      <c r="AO318" s="29">
        <f t="shared" ca="1" si="176"/>
        <v>1</v>
      </c>
      <c r="AP318" s="29">
        <f t="shared" ca="1" si="176"/>
        <v>1</v>
      </c>
      <c r="AQ318" s="29">
        <f t="shared" ca="1" si="176"/>
        <v>1</v>
      </c>
      <c r="AR318" s="29">
        <f t="shared" ca="1" si="176"/>
        <v>0</v>
      </c>
      <c r="AS318" s="29">
        <f t="shared" ca="1" si="176"/>
        <v>1</v>
      </c>
      <c r="AT318" s="29">
        <f t="shared" ca="1" si="176"/>
        <v>0</v>
      </c>
      <c r="AU318" s="29">
        <f t="shared" ca="1" si="176"/>
        <v>1</v>
      </c>
      <c r="AV318" s="29">
        <f t="shared" ca="1" si="179"/>
        <v>1</v>
      </c>
      <c r="AW318" s="29">
        <f t="shared" ca="1" si="179"/>
        <v>0</v>
      </c>
      <c r="AX318" s="29">
        <f t="shared" ca="1" si="179"/>
        <v>0</v>
      </c>
      <c r="AY318" s="29">
        <f t="shared" ca="1" si="179"/>
        <v>1</v>
      </c>
      <c r="AZ318" s="29">
        <f t="shared" ca="1" si="179"/>
        <v>4</v>
      </c>
      <c r="BA318" s="29">
        <f t="shared" ca="1" si="179"/>
        <v>4</v>
      </c>
      <c r="BB318" s="29">
        <f t="shared" ca="1" si="179"/>
        <v>3</v>
      </c>
      <c r="BC318" s="29">
        <f t="shared" ca="1" si="179"/>
        <v>1</v>
      </c>
      <c r="BD318" s="29">
        <f t="shared" ca="1" si="179"/>
        <v>2</v>
      </c>
      <c r="BE318" s="29">
        <f t="shared" ca="1" si="179"/>
        <v>1</v>
      </c>
      <c r="BF318" s="29">
        <f t="shared" ca="1" si="179"/>
        <v>1</v>
      </c>
      <c r="BG318" s="29">
        <f t="shared" ca="1" si="179"/>
        <v>2</v>
      </c>
      <c r="BH318" s="29">
        <f t="shared" ca="1" si="179"/>
        <v>1</v>
      </c>
      <c r="BI318" s="29">
        <f t="shared" ca="1" si="179"/>
        <v>1</v>
      </c>
      <c r="BJ318" s="29">
        <f t="shared" ca="1" si="179"/>
        <v>2</v>
      </c>
      <c r="BK318" s="29">
        <f t="shared" ca="1" si="179"/>
        <v>1</v>
      </c>
      <c r="BL318" s="29">
        <f t="shared" ca="1" si="178"/>
        <v>1</v>
      </c>
      <c r="BM318" s="29">
        <f t="shared" ca="1" si="178"/>
        <v>2</v>
      </c>
      <c r="BN318" s="29">
        <f t="shared" ca="1" si="178"/>
        <v>1</v>
      </c>
      <c r="BO318" s="29">
        <f t="shared" ca="1" si="178"/>
        <v>2</v>
      </c>
      <c r="BP318" s="29">
        <f t="shared" ca="1" si="178"/>
        <v>0</v>
      </c>
      <c r="BQ318" s="29">
        <f t="shared" ca="1" si="178"/>
        <v>3</v>
      </c>
      <c r="BR318" s="29">
        <f t="shared" ca="1" si="178"/>
        <v>3</v>
      </c>
      <c r="BS318" s="29">
        <f t="shared" ca="1" si="178"/>
        <v>2</v>
      </c>
      <c r="BT318" s="29">
        <f t="shared" ca="1" si="178"/>
        <v>3</v>
      </c>
      <c r="BU318" s="29">
        <f t="shared" ca="1" si="178"/>
        <v>0</v>
      </c>
      <c r="BV318" s="29">
        <f t="shared" ca="1" si="178"/>
        <v>1</v>
      </c>
      <c r="BW318" s="29">
        <f t="shared" ca="1" si="178"/>
        <v>1</v>
      </c>
      <c r="BX318" s="29">
        <f t="shared" ca="1" si="178"/>
        <v>1</v>
      </c>
      <c r="BY318" s="29">
        <f t="shared" ca="1" si="178"/>
        <v>0</v>
      </c>
      <c r="BZ318" s="29">
        <f t="shared" ca="1" si="178"/>
        <v>2</v>
      </c>
      <c r="CA318" s="29">
        <f t="shared" ca="1" si="175"/>
        <v>0</v>
      </c>
      <c r="CB318" s="29">
        <f t="shared" ca="1" si="175"/>
        <v>2</v>
      </c>
      <c r="CC318" s="29">
        <f t="shared" ca="1" si="175"/>
        <v>3</v>
      </c>
      <c r="CD318" s="29">
        <f t="shared" ca="1" si="175"/>
        <v>2</v>
      </c>
      <c r="CE318" s="29">
        <f t="shared" ca="1" si="175"/>
        <v>3</v>
      </c>
      <c r="CF318" s="29">
        <f t="shared" ca="1" si="175"/>
        <v>1</v>
      </c>
      <c r="CG318" s="29">
        <f t="shared" ca="1" si="175"/>
        <v>1</v>
      </c>
      <c r="CH318" s="29">
        <f t="shared" ca="1" si="175"/>
        <v>2</v>
      </c>
      <c r="CI318" s="29">
        <f t="shared" ca="1" si="175"/>
        <v>1</v>
      </c>
      <c r="CJ318" s="29">
        <f t="shared" ca="1" si="175"/>
        <v>2</v>
      </c>
      <c r="CK318" s="29">
        <f t="shared" ca="1" si="175"/>
        <v>0</v>
      </c>
      <c r="CL318" s="29">
        <f t="shared" ca="1" si="175"/>
        <v>1</v>
      </c>
      <c r="CM318" s="29">
        <f t="shared" ca="1" si="175"/>
        <v>1</v>
      </c>
      <c r="CN318" s="29">
        <f t="shared" ca="1" si="175"/>
        <v>1</v>
      </c>
      <c r="CO318" s="29">
        <f t="shared" ca="1" si="175"/>
        <v>1</v>
      </c>
      <c r="CP318" s="29">
        <f t="shared" ca="1" si="175"/>
        <v>1</v>
      </c>
      <c r="CQ318" s="29">
        <f t="shared" ca="1" si="174"/>
        <v>2</v>
      </c>
      <c r="CR318" s="29">
        <f t="shared" ca="1" si="174"/>
        <v>2</v>
      </c>
      <c r="CS318" s="29">
        <f t="shared" ca="1" si="174"/>
        <v>2</v>
      </c>
      <c r="CT318" s="29">
        <f t="shared" ca="1" si="174"/>
        <v>2</v>
      </c>
      <c r="CU318" s="29">
        <f t="shared" ca="1" si="174"/>
        <v>1</v>
      </c>
      <c r="CV318" s="29">
        <f t="shared" ca="1" si="174"/>
        <v>1</v>
      </c>
      <c r="CW318" s="29">
        <f t="shared" ca="1" si="174"/>
        <v>2</v>
      </c>
      <c r="CX318" s="29">
        <f t="shared" ca="1" si="174"/>
        <v>2</v>
      </c>
      <c r="CY318" s="29">
        <f t="shared" ca="1" si="174"/>
        <v>1</v>
      </c>
      <c r="CZ318" s="29">
        <f t="shared" ca="1" si="174"/>
        <v>1</v>
      </c>
      <c r="DA318" s="29">
        <f t="shared" ca="1" si="174"/>
        <v>2</v>
      </c>
      <c r="DB318" s="29">
        <f t="shared" ca="1" si="174"/>
        <v>2</v>
      </c>
      <c r="DC318" s="29">
        <f t="shared" ca="1" si="174"/>
        <v>4</v>
      </c>
      <c r="DD318" s="29">
        <f t="shared" ca="1" si="174"/>
        <v>1</v>
      </c>
      <c r="DE318" s="29">
        <f t="shared" ca="1" si="174"/>
        <v>2</v>
      </c>
      <c r="DF318" s="29">
        <f t="shared" ca="1" si="173"/>
        <v>0</v>
      </c>
      <c r="DG318" s="29">
        <f t="shared" ca="1" si="173"/>
        <v>0</v>
      </c>
      <c r="DH318" s="29">
        <f t="shared" ca="1" si="173"/>
        <v>3</v>
      </c>
      <c r="DI318" s="29">
        <f t="shared" ca="1" si="173"/>
        <v>6</v>
      </c>
      <c r="DJ318" s="29">
        <f t="shared" ca="1" si="173"/>
        <v>2</v>
      </c>
      <c r="DK318" s="29">
        <f t="shared" ca="1" si="173"/>
        <v>2</v>
      </c>
      <c r="DL318" s="29">
        <f t="shared" ca="1" si="173"/>
        <v>1</v>
      </c>
    </row>
    <row r="319" spans="1:116" ht="14.4" x14ac:dyDescent="0.3">
      <c r="A319" s="31">
        <v>237</v>
      </c>
      <c r="B319" s="28">
        <v>3.2</v>
      </c>
      <c r="C319" s="30">
        <v>22.92</v>
      </c>
      <c r="D319" s="28">
        <v>0.97</v>
      </c>
      <c r="E319" s="34">
        <f t="shared" si="145"/>
        <v>1.9400000000000001E-2</v>
      </c>
      <c r="F319" s="35">
        <f t="shared" si="146"/>
        <v>5.73</v>
      </c>
      <c r="G319" s="34">
        <f t="shared" si="147"/>
        <v>24.25</v>
      </c>
      <c r="H319" s="33">
        <f t="shared" si="148"/>
        <v>5.7874999999999996</v>
      </c>
      <c r="I319" s="28">
        <f t="shared" si="151"/>
        <v>1263.8300000000004</v>
      </c>
      <c r="J319" s="32">
        <v>0</v>
      </c>
      <c r="K319" s="30">
        <f t="shared" si="149"/>
        <v>24.25</v>
      </c>
      <c r="L319" s="30"/>
      <c r="M319" s="30"/>
      <c r="N319" s="30"/>
      <c r="O319" s="30"/>
      <c r="Q319" s="29">
        <f t="shared" ca="1" si="150"/>
        <v>2</v>
      </c>
      <c r="R319" s="29">
        <f t="shared" ca="1" si="177"/>
        <v>1</v>
      </c>
      <c r="S319" s="29">
        <f t="shared" ca="1" si="177"/>
        <v>0</v>
      </c>
      <c r="T319" s="29">
        <f t="shared" ca="1" si="177"/>
        <v>2</v>
      </c>
      <c r="U319" s="29">
        <f t="shared" ca="1" si="177"/>
        <v>0</v>
      </c>
      <c r="V319" s="29">
        <f t="shared" ca="1" si="177"/>
        <v>1</v>
      </c>
      <c r="W319" s="29">
        <f t="shared" ca="1" si="177"/>
        <v>1</v>
      </c>
      <c r="X319" s="29">
        <f t="shared" ca="1" si="177"/>
        <v>0</v>
      </c>
      <c r="Y319" s="29">
        <f t="shared" ca="1" si="177"/>
        <v>1</v>
      </c>
      <c r="Z319" s="29">
        <f t="shared" ca="1" si="177"/>
        <v>4</v>
      </c>
      <c r="AA319" s="29">
        <f t="shared" ca="1" si="177"/>
        <v>2</v>
      </c>
      <c r="AB319" s="29">
        <f t="shared" ca="1" si="177"/>
        <v>1</v>
      </c>
      <c r="AC319" s="29">
        <f t="shared" ca="1" si="177"/>
        <v>1</v>
      </c>
      <c r="AD319" s="29">
        <f t="shared" ca="1" si="177"/>
        <v>1</v>
      </c>
      <c r="AE319" s="29">
        <f t="shared" ca="1" si="177"/>
        <v>0</v>
      </c>
      <c r="AF319" s="29">
        <f t="shared" ca="1" si="177"/>
        <v>0</v>
      </c>
      <c r="AG319" s="29">
        <f t="shared" ca="1" si="176"/>
        <v>0</v>
      </c>
      <c r="AH319" s="29">
        <f t="shared" ca="1" si="176"/>
        <v>2</v>
      </c>
      <c r="AI319" s="29">
        <f t="shared" ca="1" si="176"/>
        <v>1</v>
      </c>
      <c r="AJ319" s="29">
        <f t="shared" ca="1" si="176"/>
        <v>0</v>
      </c>
      <c r="AK319" s="29">
        <f t="shared" ca="1" si="176"/>
        <v>1</v>
      </c>
      <c r="AL319" s="29">
        <f t="shared" ca="1" si="176"/>
        <v>2</v>
      </c>
      <c r="AM319" s="29">
        <f t="shared" ca="1" si="176"/>
        <v>0</v>
      </c>
      <c r="AN319" s="29">
        <f t="shared" ca="1" si="176"/>
        <v>3</v>
      </c>
      <c r="AO319" s="29">
        <f t="shared" ca="1" si="176"/>
        <v>0</v>
      </c>
      <c r="AP319" s="29">
        <f t="shared" ca="1" si="176"/>
        <v>0</v>
      </c>
      <c r="AQ319" s="29">
        <f t="shared" ca="1" si="176"/>
        <v>2</v>
      </c>
      <c r="AR319" s="29">
        <f t="shared" ca="1" si="176"/>
        <v>0</v>
      </c>
      <c r="AS319" s="29">
        <f t="shared" ca="1" si="176"/>
        <v>0</v>
      </c>
      <c r="AT319" s="29">
        <f t="shared" ca="1" si="176"/>
        <v>1</v>
      </c>
      <c r="AU319" s="29">
        <f t="shared" ca="1" si="176"/>
        <v>0</v>
      </c>
      <c r="AV319" s="29">
        <f t="shared" ca="1" si="179"/>
        <v>1</v>
      </c>
      <c r="AW319" s="29">
        <f t="shared" ca="1" si="179"/>
        <v>0</v>
      </c>
      <c r="AX319" s="29">
        <f t="shared" ca="1" si="179"/>
        <v>2</v>
      </c>
      <c r="AY319" s="29">
        <f t="shared" ca="1" si="179"/>
        <v>1</v>
      </c>
      <c r="AZ319" s="29">
        <f t="shared" ca="1" si="179"/>
        <v>2</v>
      </c>
      <c r="BA319" s="29">
        <f t="shared" ca="1" si="179"/>
        <v>0</v>
      </c>
      <c r="BB319" s="29">
        <f t="shared" ca="1" si="179"/>
        <v>0</v>
      </c>
      <c r="BC319" s="29">
        <f t="shared" ca="1" si="179"/>
        <v>1</v>
      </c>
      <c r="BD319" s="29">
        <f t="shared" ca="1" si="179"/>
        <v>1</v>
      </c>
      <c r="BE319" s="29">
        <f t="shared" ca="1" si="179"/>
        <v>1</v>
      </c>
      <c r="BF319" s="29">
        <f t="shared" ca="1" si="179"/>
        <v>1</v>
      </c>
      <c r="BG319" s="29">
        <f t="shared" ca="1" si="179"/>
        <v>1</v>
      </c>
      <c r="BH319" s="29">
        <f t="shared" ca="1" si="179"/>
        <v>0</v>
      </c>
      <c r="BI319" s="29">
        <f t="shared" ca="1" si="179"/>
        <v>1</v>
      </c>
      <c r="BJ319" s="29">
        <f t="shared" ca="1" si="179"/>
        <v>1</v>
      </c>
      <c r="BK319" s="29">
        <f t="shared" ca="1" si="179"/>
        <v>1</v>
      </c>
      <c r="BL319" s="29">
        <f t="shared" ca="1" si="178"/>
        <v>0</v>
      </c>
      <c r="BM319" s="29">
        <f t="shared" ca="1" si="178"/>
        <v>0</v>
      </c>
      <c r="BN319" s="29">
        <f t="shared" ca="1" si="178"/>
        <v>0</v>
      </c>
      <c r="BO319" s="29">
        <f t="shared" ca="1" si="178"/>
        <v>1</v>
      </c>
      <c r="BP319" s="29">
        <f t="shared" ca="1" si="178"/>
        <v>1</v>
      </c>
      <c r="BQ319" s="29">
        <f t="shared" ca="1" si="178"/>
        <v>2</v>
      </c>
      <c r="BR319" s="29">
        <f t="shared" ca="1" si="178"/>
        <v>1</v>
      </c>
      <c r="BS319" s="29">
        <f t="shared" ca="1" si="178"/>
        <v>0</v>
      </c>
      <c r="BT319" s="29">
        <f t="shared" ca="1" si="178"/>
        <v>1</v>
      </c>
      <c r="BU319" s="29">
        <f t="shared" ca="1" si="178"/>
        <v>2</v>
      </c>
      <c r="BV319" s="29">
        <f t="shared" ca="1" si="178"/>
        <v>1</v>
      </c>
      <c r="BW319" s="29">
        <f t="shared" ca="1" si="178"/>
        <v>0</v>
      </c>
      <c r="BX319" s="29">
        <f t="shared" ca="1" si="178"/>
        <v>1</v>
      </c>
      <c r="BY319" s="29">
        <f t="shared" ca="1" si="178"/>
        <v>0</v>
      </c>
      <c r="BZ319" s="29">
        <f t="shared" ca="1" si="178"/>
        <v>2</v>
      </c>
      <c r="CA319" s="29">
        <f t="shared" ca="1" si="175"/>
        <v>1</v>
      </c>
      <c r="CB319" s="29">
        <f t="shared" ca="1" si="175"/>
        <v>0</v>
      </c>
      <c r="CC319" s="29">
        <f t="shared" ca="1" si="175"/>
        <v>0</v>
      </c>
      <c r="CD319" s="29">
        <f t="shared" ca="1" si="175"/>
        <v>0</v>
      </c>
      <c r="CE319" s="29">
        <f t="shared" ca="1" si="175"/>
        <v>0</v>
      </c>
      <c r="CF319" s="29">
        <f t="shared" ca="1" si="175"/>
        <v>0</v>
      </c>
      <c r="CG319" s="29">
        <f t="shared" ca="1" si="175"/>
        <v>0</v>
      </c>
      <c r="CH319" s="29">
        <f t="shared" ca="1" si="175"/>
        <v>0</v>
      </c>
      <c r="CI319" s="29">
        <f t="shared" ca="1" si="175"/>
        <v>1</v>
      </c>
      <c r="CJ319" s="29">
        <f t="shared" ca="1" si="175"/>
        <v>1</v>
      </c>
      <c r="CK319" s="29">
        <f t="shared" ca="1" si="175"/>
        <v>3</v>
      </c>
      <c r="CL319" s="29">
        <f t="shared" ca="1" si="175"/>
        <v>0</v>
      </c>
      <c r="CM319" s="29">
        <f t="shared" ca="1" si="175"/>
        <v>0</v>
      </c>
      <c r="CN319" s="29">
        <f t="shared" ca="1" si="175"/>
        <v>1</v>
      </c>
      <c r="CO319" s="29">
        <f t="shared" ca="1" si="175"/>
        <v>3</v>
      </c>
      <c r="CP319" s="29">
        <f t="shared" ca="1" si="175"/>
        <v>1</v>
      </c>
      <c r="CQ319" s="29">
        <f t="shared" ca="1" si="174"/>
        <v>2</v>
      </c>
      <c r="CR319" s="29">
        <f t="shared" ca="1" si="174"/>
        <v>1</v>
      </c>
      <c r="CS319" s="29">
        <f t="shared" ca="1" si="174"/>
        <v>0</v>
      </c>
      <c r="CT319" s="29">
        <f t="shared" ca="1" si="174"/>
        <v>0</v>
      </c>
      <c r="CU319" s="29">
        <f t="shared" ca="1" si="174"/>
        <v>1</v>
      </c>
      <c r="CV319" s="29">
        <f t="shared" ca="1" si="174"/>
        <v>2</v>
      </c>
      <c r="CW319" s="29">
        <f t="shared" ca="1" si="174"/>
        <v>1</v>
      </c>
      <c r="CX319" s="29">
        <f t="shared" ca="1" si="174"/>
        <v>0</v>
      </c>
      <c r="CY319" s="29">
        <f t="shared" ca="1" si="174"/>
        <v>0</v>
      </c>
      <c r="CZ319" s="29">
        <f t="shared" ca="1" si="174"/>
        <v>0</v>
      </c>
      <c r="DA319" s="29">
        <f t="shared" ca="1" si="174"/>
        <v>1</v>
      </c>
      <c r="DB319" s="29">
        <f t="shared" ca="1" si="174"/>
        <v>0</v>
      </c>
      <c r="DC319" s="29">
        <f t="shared" ca="1" si="174"/>
        <v>1</v>
      </c>
      <c r="DD319" s="29">
        <f t="shared" ca="1" si="174"/>
        <v>2</v>
      </c>
      <c r="DE319" s="29">
        <f t="shared" ca="1" si="174"/>
        <v>2</v>
      </c>
      <c r="DF319" s="29">
        <f t="shared" ca="1" si="173"/>
        <v>0</v>
      </c>
      <c r="DG319" s="29">
        <f t="shared" ca="1" si="173"/>
        <v>1</v>
      </c>
      <c r="DH319" s="29">
        <f t="shared" ca="1" si="173"/>
        <v>0</v>
      </c>
      <c r="DI319" s="29">
        <f t="shared" ca="1" si="173"/>
        <v>0</v>
      </c>
      <c r="DJ319" s="29">
        <f t="shared" ca="1" si="173"/>
        <v>1</v>
      </c>
      <c r="DK319" s="29">
        <f t="shared" ca="1" si="173"/>
        <v>0</v>
      </c>
      <c r="DL319" s="29">
        <f t="shared" ca="1" si="173"/>
        <v>2</v>
      </c>
    </row>
    <row r="320" spans="1:116" ht="14.4" x14ac:dyDescent="0.3">
      <c r="A320" s="31">
        <v>176</v>
      </c>
      <c r="B320" s="28">
        <v>9.7200000000000006</v>
      </c>
      <c r="C320" s="30">
        <v>89.47</v>
      </c>
      <c r="D320" s="28">
        <v>3.13</v>
      </c>
      <c r="E320" s="34">
        <f t="shared" si="145"/>
        <v>6.2600000000000003E-2</v>
      </c>
      <c r="F320" s="35">
        <f t="shared" si="146"/>
        <v>22.3675</v>
      </c>
      <c r="G320" s="34">
        <f t="shared" si="147"/>
        <v>78.25</v>
      </c>
      <c r="H320" s="33">
        <f t="shared" si="148"/>
        <v>5.7492283950617278</v>
      </c>
      <c r="I320" s="28">
        <f t="shared" si="151"/>
        <v>1273.5500000000004</v>
      </c>
      <c r="J320" s="32">
        <v>0</v>
      </c>
      <c r="K320" s="30">
        <f t="shared" si="149"/>
        <v>78.25</v>
      </c>
      <c r="L320" s="30"/>
      <c r="M320" s="30"/>
      <c r="N320" s="30"/>
      <c r="O320" s="30"/>
      <c r="Q320" s="29">
        <f t="shared" ca="1" si="150"/>
        <v>3</v>
      </c>
      <c r="R320" s="29">
        <f t="shared" ca="1" si="177"/>
        <v>2</v>
      </c>
      <c r="S320" s="29">
        <f t="shared" ca="1" si="177"/>
        <v>4</v>
      </c>
      <c r="T320" s="29">
        <f t="shared" ca="1" si="177"/>
        <v>1</v>
      </c>
      <c r="U320" s="29">
        <f t="shared" ca="1" si="177"/>
        <v>2</v>
      </c>
      <c r="V320" s="29">
        <f t="shared" ca="1" si="177"/>
        <v>3</v>
      </c>
      <c r="W320" s="29">
        <f t="shared" ca="1" si="177"/>
        <v>2</v>
      </c>
      <c r="X320" s="29">
        <f t="shared" ca="1" si="177"/>
        <v>3</v>
      </c>
      <c r="Y320" s="29">
        <f t="shared" ca="1" si="177"/>
        <v>5</v>
      </c>
      <c r="Z320" s="29">
        <f t="shared" ca="1" si="177"/>
        <v>0</v>
      </c>
      <c r="AA320" s="29">
        <f t="shared" ca="1" si="177"/>
        <v>0</v>
      </c>
      <c r="AB320" s="29">
        <f t="shared" ca="1" si="177"/>
        <v>3</v>
      </c>
      <c r="AC320" s="29">
        <f t="shared" ca="1" si="177"/>
        <v>3</v>
      </c>
      <c r="AD320" s="29">
        <f t="shared" ca="1" si="177"/>
        <v>4</v>
      </c>
      <c r="AE320" s="29">
        <f t="shared" ca="1" si="177"/>
        <v>4</v>
      </c>
      <c r="AF320" s="29">
        <f t="shared" ca="1" si="177"/>
        <v>3</v>
      </c>
      <c r="AG320" s="29">
        <f t="shared" ca="1" si="176"/>
        <v>2</v>
      </c>
      <c r="AH320" s="29">
        <f t="shared" ca="1" si="176"/>
        <v>1</v>
      </c>
      <c r="AI320" s="29">
        <f t="shared" ca="1" si="176"/>
        <v>4</v>
      </c>
      <c r="AJ320" s="29">
        <f t="shared" ca="1" si="176"/>
        <v>4</v>
      </c>
      <c r="AK320" s="29">
        <f t="shared" ca="1" si="176"/>
        <v>2</v>
      </c>
      <c r="AL320" s="29">
        <f t="shared" ca="1" si="176"/>
        <v>3</v>
      </c>
      <c r="AM320" s="29">
        <f t="shared" ca="1" si="176"/>
        <v>3</v>
      </c>
      <c r="AN320" s="29">
        <f t="shared" ca="1" si="176"/>
        <v>3</v>
      </c>
      <c r="AO320" s="29">
        <f t="shared" ca="1" si="176"/>
        <v>7</v>
      </c>
      <c r="AP320" s="29">
        <f t="shared" ca="1" si="176"/>
        <v>1</v>
      </c>
      <c r="AQ320" s="29">
        <f t="shared" ca="1" si="176"/>
        <v>5</v>
      </c>
      <c r="AR320" s="29">
        <f t="shared" ca="1" si="176"/>
        <v>6</v>
      </c>
      <c r="AS320" s="29">
        <f t="shared" ca="1" si="176"/>
        <v>5</v>
      </c>
      <c r="AT320" s="29">
        <f t="shared" ca="1" si="176"/>
        <v>2</v>
      </c>
      <c r="AU320" s="29">
        <f t="shared" ca="1" si="176"/>
        <v>5</v>
      </c>
      <c r="AV320" s="29">
        <f t="shared" ca="1" si="179"/>
        <v>4</v>
      </c>
      <c r="AW320" s="29">
        <f t="shared" ca="1" si="179"/>
        <v>2</v>
      </c>
      <c r="AX320" s="29">
        <f t="shared" ca="1" si="179"/>
        <v>1</v>
      </c>
      <c r="AY320" s="29">
        <f t="shared" ca="1" si="179"/>
        <v>4</v>
      </c>
      <c r="AZ320" s="29">
        <f t="shared" ca="1" si="179"/>
        <v>5</v>
      </c>
      <c r="BA320" s="29">
        <f t="shared" ca="1" si="179"/>
        <v>5</v>
      </c>
      <c r="BB320" s="29">
        <f t="shared" ca="1" si="179"/>
        <v>1</v>
      </c>
      <c r="BC320" s="29">
        <f t="shared" ca="1" si="179"/>
        <v>3</v>
      </c>
      <c r="BD320" s="29">
        <f t="shared" ca="1" si="179"/>
        <v>5</v>
      </c>
      <c r="BE320" s="29">
        <f t="shared" ca="1" si="179"/>
        <v>4</v>
      </c>
      <c r="BF320" s="29">
        <f t="shared" ca="1" si="179"/>
        <v>3</v>
      </c>
      <c r="BG320" s="29">
        <f t="shared" ca="1" si="179"/>
        <v>4</v>
      </c>
      <c r="BH320" s="29">
        <f t="shared" ca="1" si="179"/>
        <v>1</v>
      </c>
      <c r="BI320" s="29">
        <f t="shared" ca="1" si="179"/>
        <v>4</v>
      </c>
      <c r="BJ320" s="29">
        <f t="shared" ca="1" si="179"/>
        <v>3</v>
      </c>
      <c r="BK320" s="29">
        <f t="shared" ca="1" si="179"/>
        <v>4</v>
      </c>
      <c r="BL320" s="29">
        <f t="shared" ca="1" si="178"/>
        <v>6</v>
      </c>
      <c r="BM320" s="29">
        <f t="shared" ca="1" si="178"/>
        <v>3</v>
      </c>
      <c r="BN320" s="29">
        <f t="shared" ca="1" si="178"/>
        <v>0</v>
      </c>
      <c r="BO320" s="29">
        <f t="shared" ca="1" si="178"/>
        <v>5</v>
      </c>
      <c r="BP320" s="29">
        <f t="shared" ca="1" si="178"/>
        <v>1</v>
      </c>
      <c r="BQ320" s="29">
        <f t="shared" ca="1" si="178"/>
        <v>6</v>
      </c>
      <c r="BR320" s="29">
        <f t="shared" ca="1" si="178"/>
        <v>0</v>
      </c>
      <c r="BS320" s="29">
        <f t="shared" ca="1" si="178"/>
        <v>4</v>
      </c>
      <c r="BT320" s="29">
        <f t="shared" ca="1" si="178"/>
        <v>5</v>
      </c>
      <c r="BU320" s="29">
        <f t="shared" ca="1" si="178"/>
        <v>2</v>
      </c>
      <c r="BV320" s="29">
        <f t="shared" ca="1" si="178"/>
        <v>3</v>
      </c>
      <c r="BW320" s="29">
        <f t="shared" ca="1" si="178"/>
        <v>2</v>
      </c>
      <c r="BX320" s="29">
        <f t="shared" ca="1" si="178"/>
        <v>3</v>
      </c>
      <c r="BY320" s="29">
        <f t="shared" ca="1" si="178"/>
        <v>2</v>
      </c>
      <c r="BZ320" s="29">
        <f t="shared" ca="1" si="178"/>
        <v>2</v>
      </c>
      <c r="CA320" s="29">
        <f t="shared" ca="1" si="175"/>
        <v>1</v>
      </c>
      <c r="CB320" s="29">
        <f t="shared" ca="1" si="175"/>
        <v>3</v>
      </c>
      <c r="CC320" s="29">
        <f t="shared" ca="1" si="175"/>
        <v>4</v>
      </c>
      <c r="CD320" s="29">
        <f t="shared" ca="1" si="175"/>
        <v>2</v>
      </c>
      <c r="CE320" s="29">
        <f t="shared" ca="1" si="175"/>
        <v>4</v>
      </c>
      <c r="CF320" s="29">
        <f t="shared" ca="1" si="175"/>
        <v>2</v>
      </c>
      <c r="CG320" s="29">
        <f t="shared" ca="1" si="175"/>
        <v>4</v>
      </c>
      <c r="CH320" s="29">
        <f t="shared" ca="1" si="175"/>
        <v>2</v>
      </c>
      <c r="CI320" s="29">
        <f t="shared" ca="1" si="175"/>
        <v>5</v>
      </c>
      <c r="CJ320" s="29">
        <f t="shared" ca="1" si="175"/>
        <v>3</v>
      </c>
      <c r="CK320" s="29">
        <f t="shared" ca="1" si="175"/>
        <v>4</v>
      </c>
      <c r="CL320" s="29">
        <f t="shared" ca="1" si="175"/>
        <v>6</v>
      </c>
      <c r="CM320" s="29">
        <f t="shared" ca="1" si="175"/>
        <v>7</v>
      </c>
      <c r="CN320" s="29">
        <f t="shared" ca="1" si="175"/>
        <v>4</v>
      </c>
      <c r="CO320" s="29">
        <f t="shared" ca="1" si="175"/>
        <v>1</v>
      </c>
      <c r="CP320" s="29">
        <f t="shared" ca="1" si="175"/>
        <v>7</v>
      </c>
      <c r="CQ320" s="29">
        <f t="shared" ca="1" si="174"/>
        <v>5</v>
      </c>
      <c r="CR320" s="29">
        <f t="shared" ca="1" si="174"/>
        <v>2</v>
      </c>
      <c r="CS320" s="29">
        <f t="shared" ca="1" si="174"/>
        <v>4</v>
      </c>
      <c r="CT320" s="29">
        <f t="shared" ca="1" si="174"/>
        <v>0</v>
      </c>
      <c r="CU320" s="29">
        <f t="shared" ca="1" si="174"/>
        <v>0</v>
      </c>
      <c r="CV320" s="29">
        <f t="shared" ca="1" si="174"/>
        <v>2</v>
      </c>
      <c r="CW320" s="29">
        <f t="shared" ca="1" si="174"/>
        <v>3</v>
      </c>
      <c r="CX320" s="29">
        <f t="shared" ca="1" si="174"/>
        <v>1</v>
      </c>
      <c r="CY320" s="29">
        <f t="shared" ca="1" si="174"/>
        <v>2</v>
      </c>
      <c r="CZ320" s="29">
        <f t="shared" ca="1" si="174"/>
        <v>2</v>
      </c>
      <c r="DA320" s="29">
        <f t="shared" ca="1" si="174"/>
        <v>4</v>
      </c>
      <c r="DB320" s="29">
        <f t="shared" ca="1" si="174"/>
        <v>7</v>
      </c>
      <c r="DC320" s="29">
        <f t="shared" ca="1" si="174"/>
        <v>3</v>
      </c>
      <c r="DD320" s="29">
        <f t="shared" ca="1" si="174"/>
        <v>6</v>
      </c>
      <c r="DE320" s="29">
        <f t="shared" ca="1" si="174"/>
        <v>4</v>
      </c>
      <c r="DF320" s="29">
        <f t="shared" ca="1" si="173"/>
        <v>0</v>
      </c>
      <c r="DG320" s="29">
        <f t="shared" ca="1" si="173"/>
        <v>5</v>
      </c>
      <c r="DH320" s="29">
        <f t="shared" ca="1" si="173"/>
        <v>3</v>
      </c>
      <c r="DI320" s="29">
        <f t="shared" ca="1" si="173"/>
        <v>3</v>
      </c>
      <c r="DJ320" s="29">
        <f t="shared" ca="1" si="173"/>
        <v>4</v>
      </c>
      <c r="DK320" s="29">
        <f t="shared" ca="1" si="173"/>
        <v>3</v>
      </c>
      <c r="DL320" s="29">
        <f t="shared" ca="1" si="173"/>
        <v>5</v>
      </c>
    </row>
    <row r="321" spans="1:116" ht="14.4" x14ac:dyDescent="0.3">
      <c r="A321" s="31">
        <v>945</v>
      </c>
      <c r="B321" s="28">
        <v>8.17</v>
      </c>
      <c r="C321" s="30">
        <v>6.16</v>
      </c>
      <c r="D321" s="28">
        <v>1.91</v>
      </c>
      <c r="E321" s="34">
        <f t="shared" si="145"/>
        <v>3.8199999999999998E-2</v>
      </c>
      <c r="F321" s="35">
        <f t="shared" si="146"/>
        <v>1.54</v>
      </c>
      <c r="G321" s="34">
        <f t="shared" si="147"/>
        <v>47.75</v>
      </c>
      <c r="H321" s="33">
        <f t="shared" si="148"/>
        <v>5.6560587515299883</v>
      </c>
      <c r="I321" s="28">
        <f t="shared" si="151"/>
        <v>1281.7200000000005</v>
      </c>
      <c r="J321" s="32">
        <v>0</v>
      </c>
      <c r="K321" s="30">
        <f t="shared" si="149"/>
        <v>47.75</v>
      </c>
      <c r="L321" s="30"/>
      <c r="M321" s="30"/>
      <c r="N321" s="30"/>
      <c r="O321" s="30"/>
      <c r="Q321" s="29">
        <f t="shared" ca="1" si="150"/>
        <v>1</v>
      </c>
      <c r="R321" s="29">
        <f t="shared" ca="1" si="177"/>
        <v>4</v>
      </c>
      <c r="S321" s="29">
        <f t="shared" ca="1" si="177"/>
        <v>4</v>
      </c>
      <c r="T321" s="29">
        <f t="shared" ca="1" si="177"/>
        <v>3</v>
      </c>
      <c r="U321" s="29">
        <f t="shared" ca="1" si="177"/>
        <v>1</v>
      </c>
      <c r="V321" s="29">
        <f t="shared" ca="1" si="177"/>
        <v>1</v>
      </c>
      <c r="W321" s="29">
        <f t="shared" ca="1" si="177"/>
        <v>2</v>
      </c>
      <c r="X321" s="29">
        <f t="shared" ca="1" si="177"/>
        <v>3</v>
      </c>
      <c r="Y321" s="29">
        <f t="shared" ca="1" si="177"/>
        <v>3</v>
      </c>
      <c r="Z321" s="29">
        <f t="shared" ca="1" si="177"/>
        <v>1</v>
      </c>
      <c r="AA321" s="29">
        <f t="shared" ca="1" si="177"/>
        <v>2</v>
      </c>
      <c r="AB321" s="29">
        <f t="shared" ca="1" si="177"/>
        <v>3</v>
      </c>
      <c r="AC321" s="29">
        <f t="shared" ca="1" si="177"/>
        <v>1</v>
      </c>
      <c r="AD321" s="29">
        <f t="shared" ca="1" si="177"/>
        <v>1</v>
      </c>
      <c r="AE321" s="29">
        <f t="shared" ca="1" si="177"/>
        <v>1</v>
      </c>
      <c r="AF321" s="29">
        <f t="shared" ca="1" si="177"/>
        <v>3</v>
      </c>
      <c r="AG321" s="29">
        <f t="shared" ca="1" si="176"/>
        <v>3</v>
      </c>
      <c r="AH321" s="29">
        <f t="shared" ca="1" si="176"/>
        <v>5</v>
      </c>
      <c r="AI321" s="29">
        <f t="shared" ca="1" si="176"/>
        <v>5</v>
      </c>
      <c r="AJ321" s="29">
        <f t="shared" ca="1" si="176"/>
        <v>2</v>
      </c>
      <c r="AK321" s="29">
        <f t="shared" ca="1" si="176"/>
        <v>1</v>
      </c>
      <c r="AL321" s="29">
        <f t="shared" ca="1" si="176"/>
        <v>5</v>
      </c>
      <c r="AM321" s="29">
        <f t="shared" ca="1" si="176"/>
        <v>1</v>
      </c>
      <c r="AN321" s="29">
        <f t="shared" ca="1" si="176"/>
        <v>1</v>
      </c>
      <c r="AO321" s="29">
        <f t="shared" ca="1" si="176"/>
        <v>1</v>
      </c>
      <c r="AP321" s="29">
        <f t="shared" ca="1" si="176"/>
        <v>1</v>
      </c>
      <c r="AQ321" s="29">
        <f t="shared" ca="1" si="176"/>
        <v>1</v>
      </c>
      <c r="AR321" s="29">
        <f t="shared" ca="1" si="176"/>
        <v>5</v>
      </c>
      <c r="AS321" s="29">
        <f t="shared" ca="1" si="176"/>
        <v>4</v>
      </c>
      <c r="AT321" s="29">
        <f t="shared" ca="1" si="176"/>
        <v>2</v>
      </c>
      <c r="AU321" s="29">
        <f t="shared" ca="1" si="176"/>
        <v>1</v>
      </c>
      <c r="AV321" s="29">
        <f t="shared" ca="1" si="179"/>
        <v>1</v>
      </c>
      <c r="AW321" s="29">
        <f t="shared" ca="1" si="179"/>
        <v>5</v>
      </c>
      <c r="AX321" s="29">
        <f t="shared" ca="1" si="179"/>
        <v>0</v>
      </c>
      <c r="AY321" s="29">
        <f t="shared" ca="1" si="179"/>
        <v>2</v>
      </c>
      <c r="AZ321" s="29">
        <f t="shared" ca="1" si="179"/>
        <v>1</v>
      </c>
      <c r="BA321" s="29">
        <f t="shared" ca="1" si="179"/>
        <v>3</v>
      </c>
      <c r="BB321" s="29">
        <f t="shared" ca="1" si="179"/>
        <v>2</v>
      </c>
      <c r="BC321" s="29">
        <f t="shared" ca="1" si="179"/>
        <v>1</v>
      </c>
      <c r="BD321" s="29">
        <f t="shared" ca="1" si="179"/>
        <v>1</v>
      </c>
      <c r="BE321" s="29">
        <f t="shared" ca="1" si="179"/>
        <v>3</v>
      </c>
      <c r="BF321" s="29">
        <f t="shared" ca="1" si="179"/>
        <v>4</v>
      </c>
      <c r="BG321" s="29">
        <f t="shared" ca="1" si="179"/>
        <v>3</v>
      </c>
      <c r="BH321" s="29">
        <f t="shared" ca="1" si="179"/>
        <v>2</v>
      </c>
      <c r="BI321" s="29">
        <f t="shared" ca="1" si="179"/>
        <v>2</v>
      </c>
      <c r="BJ321" s="29">
        <f t="shared" ca="1" si="179"/>
        <v>1</v>
      </c>
      <c r="BK321" s="29">
        <f t="shared" ca="1" si="179"/>
        <v>1</v>
      </c>
      <c r="BL321" s="29">
        <f t="shared" ca="1" si="178"/>
        <v>0</v>
      </c>
      <c r="BM321" s="29">
        <f t="shared" ca="1" si="178"/>
        <v>0</v>
      </c>
      <c r="BN321" s="29">
        <f t="shared" ca="1" si="178"/>
        <v>3</v>
      </c>
      <c r="BO321" s="29">
        <f t="shared" ca="1" si="178"/>
        <v>3</v>
      </c>
      <c r="BP321" s="29">
        <f t="shared" ca="1" si="178"/>
        <v>2</v>
      </c>
      <c r="BQ321" s="29">
        <f t="shared" ca="1" si="178"/>
        <v>0</v>
      </c>
      <c r="BR321" s="29">
        <f t="shared" ca="1" si="178"/>
        <v>1</v>
      </c>
      <c r="BS321" s="29">
        <f t="shared" ca="1" si="178"/>
        <v>0</v>
      </c>
      <c r="BT321" s="29">
        <f t="shared" ca="1" si="178"/>
        <v>4</v>
      </c>
      <c r="BU321" s="29">
        <f t="shared" ca="1" si="178"/>
        <v>1</v>
      </c>
      <c r="BV321" s="29">
        <f t="shared" ca="1" si="178"/>
        <v>5</v>
      </c>
      <c r="BW321" s="29">
        <f t="shared" ca="1" si="178"/>
        <v>3</v>
      </c>
      <c r="BX321" s="29">
        <f t="shared" ca="1" si="178"/>
        <v>2</v>
      </c>
      <c r="BY321" s="29">
        <f t="shared" ca="1" si="178"/>
        <v>2</v>
      </c>
      <c r="BZ321" s="29">
        <f t="shared" ca="1" si="178"/>
        <v>3</v>
      </c>
      <c r="CA321" s="29">
        <f t="shared" ca="1" si="175"/>
        <v>3</v>
      </c>
      <c r="CB321" s="29">
        <f t="shared" ca="1" si="175"/>
        <v>3</v>
      </c>
      <c r="CC321" s="29">
        <f t="shared" ca="1" si="175"/>
        <v>0</v>
      </c>
      <c r="CD321" s="29">
        <f t="shared" ca="1" si="175"/>
        <v>3</v>
      </c>
      <c r="CE321" s="29">
        <f t="shared" ca="1" si="175"/>
        <v>2</v>
      </c>
      <c r="CF321" s="29">
        <f t="shared" ca="1" si="175"/>
        <v>0</v>
      </c>
      <c r="CG321" s="29">
        <f t="shared" ca="1" si="175"/>
        <v>1</v>
      </c>
      <c r="CH321" s="29">
        <f t="shared" ca="1" si="175"/>
        <v>0</v>
      </c>
      <c r="CI321" s="29">
        <f t="shared" ca="1" si="175"/>
        <v>5</v>
      </c>
      <c r="CJ321" s="29">
        <f t="shared" ca="1" si="175"/>
        <v>2</v>
      </c>
      <c r="CK321" s="29">
        <f t="shared" ca="1" si="175"/>
        <v>1</v>
      </c>
      <c r="CL321" s="29">
        <f t="shared" ca="1" si="175"/>
        <v>2</v>
      </c>
      <c r="CM321" s="29">
        <f t="shared" ca="1" si="175"/>
        <v>1</v>
      </c>
      <c r="CN321" s="29">
        <f t="shared" ca="1" si="175"/>
        <v>2</v>
      </c>
      <c r="CO321" s="29">
        <f t="shared" ca="1" si="175"/>
        <v>0</v>
      </c>
      <c r="CP321" s="29">
        <f t="shared" ca="1" si="175"/>
        <v>0</v>
      </c>
      <c r="CQ321" s="29">
        <f t="shared" ca="1" si="174"/>
        <v>0</v>
      </c>
      <c r="CR321" s="29">
        <f t="shared" ca="1" si="174"/>
        <v>2</v>
      </c>
      <c r="CS321" s="29">
        <f t="shared" ca="1" si="174"/>
        <v>2</v>
      </c>
      <c r="CT321" s="29">
        <f t="shared" ca="1" si="174"/>
        <v>1</v>
      </c>
      <c r="CU321" s="29">
        <f t="shared" ca="1" si="174"/>
        <v>1</v>
      </c>
      <c r="CV321" s="29">
        <f t="shared" ca="1" si="174"/>
        <v>4</v>
      </c>
      <c r="CW321" s="29">
        <f t="shared" ca="1" si="174"/>
        <v>0</v>
      </c>
      <c r="CX321" s="29">
        <f t="shared" ca="1" si="174"/>
        <v>0</v>
      </c>
      <c r="CY321" s="29">
        <f t="shared" ca="1" si="174"/>
        <v>0</v>
      </c>
      <c r="CZ321" s="29">
        <f t="shared" ca="1" si="174"/>
        <v>6</v>
      </c>
      <c r="DA321" s="29">
        <f t="shared" ca="1" si="174"/>
        <v>4</v>
      </c>
      <c r="DB321" s="29">
        <f t="shared" ca="1" si="174"/>
        <v>2</v>
      </c>
      <c r="DC321" s="29">
        <f t="shared" ca="1" si="174"/>
        <v>1</v>
      </c>
      <c r="DD321" s="29">
        <f t="shared" ca="1" si="174"/>
        <v>3</v>
      </c>
      <c r="DE321" s="29">
        <f t="shared" ca="1" si="174"/>
        <v>4</v>
      </c>
      <c r="DF321" s="29">
        <f t="shared" ca="1" si="173"/>
        <v>2</v>
      </c>
      <c r="DG321" s="29">
        <f t="shared" ca="1" si="173"/>
        <v>2</v>
      </c>
      <c r="DH321" s="29">
        <f t="shared" ca="1" si="173"/>
        <v>2</v>
      </c>
      <c r="DI321" s="29">
        <f t="shared" ca="1" si="173"/>
        <v>3</v>
      </c>
      <c r="DJ321" s="29">
        <f t="shared" ca="1" si="173"/>
        <v>3</v>
      </c>
      <c r="DK321" s="29">
        <f t="shared" ca="1" si="173"/>
        <v>2</v>
      </c>
      <c r="DL321" s="29">
        <f t="shared" ca="1" si="173"/>
        <v>4</v>
      </c>
    </row>
    <row r="322" spans="1:116" ht="14.4" x14ac:dyDescent="0.3">
      <c r="A322" s="31">
        <v>974</v>
      </c>
      <c r="B322" s="28">
        <v>0.67</v>
      </c>
      <c r="C322" s="30">
        <v>91.1</v>
      </c>
      <c r="D322" s="28">
        <v>1.06</v>
      </c>
      <c r="E322" s="34">
        <f t="shared" ref="E322:E385" si="180">D322/50</f>
        <v>2.12E-2</v>
      </c>
      <c r="F322" s="35">
        <f t="shared" ref="F322:F385" si="181">0.25*C322</f>
        <v>22.774999999999999</v>
      </c>
      <c r="G322" s="34">
        <f t="shared" ref="G322:G385" si="182">25*D322</f>
        <v>26.5</v>
      </c>
      <c r="H322" s="33">
        <f t="shared" ref="H322:H385" si="183">(G322-F322)/B322</f>
        <v>5.5597014925373154</v>
      </c>
      <c r="I322" s="28">
        <f t="shared" si="151"/>
        <v>1282.3900000000006</v>
      </c>
      <c r="J322" s="32">
        <v>0</v>
      </c>
      <c r="K322" s="30">
        <f t="shared" ref="K322:K385" si="184">J322*F322+(1-J322)*G322</f>
        <v>26.5</v>
      </c>
      <c r="L322" s="30"/>
      <c r="M322" s="30"/>
      <c r="N322" s="30"/>
      <c r="O322" s="30"/>
      <c r="Q322" s="29">
        <f t="shared" ref="Q322:Q385" ca="1" si="185">_xlfn.BINOM.INV(50,$E322,RAND())</f>
        <v>1</v>
      </c>
      <c r="R322" s="29">
        <f t="shared" ca="1" si="177"/>
        <v>0</v>
      </c>
      <c r="S322" s="29">
        <f t="shared" ca="1" si="177"/>
        <v>2</v>
      </c>
      <c r="T322" s="29">
        <f t="shared" ca="1" si="177"/>
        <v>2</v>
      </c>
      <c r="U322" s="29">
        <f t="shared" ca="1" si="177"/>
        <v>4</v>
      </c>
      <c r="V322" s="29">
        <f t="shared" ca="1" si="177"/>
        <v>2</v>
      </c>
      <c r="W322" s="29">
        <f t="shared" ca="1" si="177"/>
        <v>2</v>
      </c>
      <c r="X322" s="29">
        <f t="shared" ca="1" si="177"/>
        <v>0</v>
      </c>
      <c r="Y322" s="29">
        <f t="shared" ca="1" si="177"/>
        <v>0</v>
      </c>
      <c r="Z322" s="29">
        <f t="shared" ca="1" si="177"/>
        <v>0</v>
      </c>
      <c r="AA322" s="29">
        <f t="shared" ca="1" si="177"/>
        <v>0</v>
      </c>
      <c r="AB322" s="29">
        <f t="shared" ca="1" si="177"/>
        <v>1</v>
      </c>
      <c r="AC322" s="29">
        <f t="shared" ca="1" si="177"/>
        <v>1</v>
      </c>
      <c r="AD322" s="29">
        <f t="shared" ca="1" si="177"/>
        <v>1</v>
      </c>
      <c r="AE322" s="29">
        <f t="shared" ca="1" si="177"/>
        <v>1</v>
      </c>
      <c r="AF322" s="29">
        <f t="shared" ca="1" si="177"/>
        <v>2</v>
      </c>
      <c r="AG322" s="29">
        <f t="shared" ca="1" si="176"/>
        <v>2</v>
      </c>
      <c r="AH322" s="29">
        <f t="shared" ca="1" si="176"/>
        <v>0</v>
      </c>
      <c r="AI322" s="29">
        <f t="shared" ca="1" si="176"/>
        <v>1</v>
      </c>
      <c r="AJ322" s="29">
        <f t="shared" ca="1" si="176"/>
        <v>0</v>
      </c>
      <c r="AK322" s="29">
        <f t="shared" ca="1" si="176"/>
        <v>1</v>
      </c>
      <c r="AL322" s="29">
        <f t="shared" ca="1" si="176"/>
        <v>1</v>
      </c>
      <c r="AM322" s="29">
        <f t="shared" ca="1" si="176"/>
        <v>2</v>
      </c>
      <c r="AN322" s="29">
        <f t="shared" ca="1" si="176"/>
        <v>0</v>
      </c>
      <c r="AO322" s="29">
        <f t="shared" ca="1" si="176"/>
        <v>0</v>
      </c>
      <c r="AP322" s="29">
        <f t="shared" ca="1" si="176"/>
        <v>0</v>
      </c>
      <c r="AQ322" s="29">
        <f t="shared" ca="1" si="176"/>
        <v>0</v>
      </c>
      <c r="AR322" s="29">
        <f t="shared" ca="1" si="176"/>
        <v>0</v>
      </c>
      <c r="AS322" s="29">
        <f t="shared" ca="1" si="176"/>
        <v>1</v>
      </c>
      <c r="AT322" s="29">
        <f t="shared" ca="1" si="176"/>
        <v>0</v>
      </c>
      <c r="AU322" s="29">
        <f t="shared" ca="1" si="176"/>
        <v>0</v>
      </c>
      <c r="AV322" s="29">
        <f t="shared" ca="1" si="179"/>
        <v>1</v>
      </c>
      <c r="AW322" s="29">
        <f t="shared" ca="1" si="179"/>
        <v>1</v>
      </c>
      <c r="AX322" s="29">
        <f t="shared" ca="1" si="179"/>
        <v>2</v>
      </c>
      <c r="AY322" s="29">
        <f t="shared" ca="1" si="179"/>
        <v>0</v>
      </c>
      <c r="AZ322" s="29">
        <f t="shared" ca="1" si="179"/>
        <v>4</v>
      </c>
      <c r="BA322" s="29">
        <f t="shared" ca="1" si="179"/>
        <v>2</v>
      </c>
      <c r="BB322" s="29">
        <f t="shared" ca="1" si="179"/>
        <v>0</v>
      </c>
      <c r="BC322" s="29">
        <f t="shared" ca="1" si="179"/>
        <v>1</v>
      </c>
      <c r="BD322" s="29">
        <f t="shared" ca="1" si="179"/>
        <v>0</v>
      </c>
      <c r="BE322" s="29">
        <f t="shared" ca="1" si="179"/>
        <v>5</v>
      </c>
      <c r="BF322" s="29">
        <f t="shared" ca="1" si="179"/>
        <v>1</v>
      </c>
      <c r="BG322" s="29">
        <f t="shared" ca="1" si="179"/>
        <v>0</v>
      </c>
      <c r="BH322" s="29">
        <f t="shared" ca="1" si="179"/>
        <v>2</v>
      </c>
      <c r="BI322" s="29">
        <f t="shared" ca="1" si="179"/>
        <v>1</v>
      </c>
      <c r="BJ322" s="29">
        <f t="shared" ca="1" si="179"/>
        <v>2</v>
      </c>
      <c r="BK322" s="29">
        <f t="shared" ca="1" si="179"/>
        <v>4</v>
      </c>
      <c r="BL322" s="29">
        <f t="shared" ca="1" si="178"/>
        <v>1</v>
      </c>
      <c r="BM322" s="29">
        <f t="shared" ca="1" si="178"/>
        <v>1</v>
      </c>
      <c r="BN322" s="29">
        <f t="shared" ca="1" si="178"/>
        <v>0</v>
      </c>
      <c r="BO322" s="29">
        <f t="shared" ca="1" si="178"/>
        <v>1</v>
      </c>
      <c r="BP322" s="29">
        <f t="shared" ca="1" si="178"/>
        <v>0</v>
      </c>
      <c r="BQ322" s="29">
        <f t="shared" ca="1" si="178"/>
        <v>0</v>
      </c>
      <c r="BR322" s="29">
        <f t="shared" ca="1" si="178"/>
        <v>1</v>
      </c>
      <c r="BS322" s="29">
        <f t="shared" ca="1" si="178"/>
        <v>1</v>
      </c>
      <c r="BT322" s="29">
        <f t="shared" ca="1" si="178"/>
        <v>3</v>
      </c>
      <c r="BU322" s="29">
        <f t="shared" ca="1" si="178"/>
        <v>0</v>
      </c>
      <c r="BV322" s="29">
        <f t="shared" ca="1" si="178"/>
        <v>1</v>
      </c>
      <c r="BW322" s="29">
        <f t="shared" ca="1" si="178"/>
        <v>0</v>
      </c>
      <c r="BX322" s="29">
        <f t="shared" ca="1" si="178"/>
        <v>1</v>
      </c>
      <c r="BY322" s="29">
        <f t="shared" ca="1" si="178"/>
        <v>1</v>
      </c>
      <c r="BZ322" s="29">
        <f t="shared" ca="1" si="178"/>
        <v>0</v>
      </c>
      <c r="CA322" s="29">
        <f t="shared" ca="1" si="175"/>
        <v>1</v>
      </c>
      <c r="CB322" s="29">
        <f t="shared" ca="1" si="175"/>
        <v>2</v>
      </c>
      <c r="CC322" s="29">
        <f t="shared" ca="1" si="175"/>
        <v>1</v>
      </c>
      <c r="CD322" s="29">
        <f t="shared" ca="1" si="175"/>
        <v>1</v>
      </c>
      <c r="CE322" s="29">
        <f t="shared" ca="1" si="175"/>
        <v>1</v>
      </c>
      <c r="CF322" s="29">
        <f t="shared" ca="1" si="175"/>
        <v>1</v>
      </c>
      <c r="CG322" s="29">
        <f t="shared" ca="1" si="175"/>
        <v>0</v>
      </c>
      <c r="CH322" s="29">
        <f t="shared" ca="1" si="175"/>
        <v>1</v>
      </c>
      <c r="CI322" s="29">
        <f t="shared" ca="1" si="175"/>
        <v>0</v>
      </c>
      <c r="CJ322" s="29">
        <f t="shared" ca="1" si="175"/>
        <v>0</v>
      </c>
      <c r="CK322" s="29">
        <f t="shared" ca="1" si="175"/>
        <v>2</v>
      </c>
      <c r="CL322" s="29">
        <f t="shared" ca="1" si="175"/>
        <v>0</v>
      </c>
      <c r="CM322" s="29">
        <f t="shared" ca="1" si="175"/>
        <v>1</v>
      </c>
      <c r="CN322" s="29">
        <f t="shared" ca="1" si="175"/>
        <v>3</v>
      </c>
      <c r="CO322" s="29">
        <f t="shared" ca="1" si="175"/>
        <v>0</v>
      </c>
      <c r="CP322" s="29">
        <f t="shared" ca="1" si="175"/>
        <v>1</v>
      </c>
      <c r="CQ322" s="29">
        <f t="shared" ca="1" si="174"/>
        <v>0</v>
      </c>
      <c r="CR322" s="29">
        <f t="shared" ca="1" si="174"/>
        <v>1</v>
      </c>
      <c r="CS322" s="29">
        <f t="shared" ca="1" si="174"/>
        <v>2</v>
      </c>
      <c r="CT322" s="29">
        <f t="shared" ca="1" si="174"/>
        <v>2</v>
      </c>
      <c r="CU322" s="29">
        <f t="shared" ca="1" si="174"/>
        <v>1</v>
      </c>
      <c r="CV322" s="29">
        <f t="shared" ca="1" si="174"/>
        <v>0</v>
      </c>
      <c r="CW322" s="29">
        <f t="shared" ca="1" si="174"/>
        <v>3</v>
      </c>
      <c r="CX322" s="29">
        <f t="shared" ca="1" si="174"/>
        <v>2</v>
      </c>
      <c r="CY322" s="29">
        <f t="shared" ca="1" si="174"/>
        <v>2</v>
      </c>
      <c r="CZ322" s="29">
        <f t="shared" ca="1" si="174"/>
        <v>4</v>
      </c>
      <c r="DA322" s="29">
        <f t="shared" ca="1" si="174"/>
        <v>1</v>
      </c>
      <c r="DB322" s="29">
        <f t="shared" ca="1" si="174"/>
        <v>2</v>
      </c>
      <c r="DC322" s="29">
        <f t="shared" ca="1" si="174"/>
        <v>1</v>
      </c>
      <c r="DD322" s="29">
        <f t="shared" ca="1" si="174"/>
        <v>0</v>
      </c>
      <c r="DE322" s="29">
        <f t="shared" ca="1" si="174"/>
        <v>2</v>
      </c>
      <c r="DF322" s="29">
        <f t="shared" ca="1" si="173"/>
        <v>1</v>
      </c>
      <c r="DG322" s="29">
        <f t="shared" ca="1" si="173"/>
        <v>3</v>
      </c>
      <c r="DH322" s="29">
        <f t="shared" ca="1" si="173"/>
        <v>0</v>
      </c>
      <c r="DI322" s="29">
        <f t="shared" ca="1" si="173"/>
        <v>2</v>
      </c>
      <c r="DJ322" s="29">
        <f t="shared" ca="1" si="173"/>
        <v>1</v>
      </c>
      <c r="DK322" s="29">
        <f t="shared" ca="1" si="173"/>
        <v>0</v>
      </c>
      <c r="DL322" s="29">
        <f t="shared" ca="1" si="173"/>
        <v>0</v>
      </c>
    </row>
    <row r="323" spans="1:116" ht="14.4" x14ac:dyDescent="0.3">
      <c r="A323" s="31">
        <v>1063</v>
      </c>
      <c r="B323" s="28">
        <v>3.29</v>
      </c>
      <c r="C323" s="30">
        <v>70.209999999999994</v>
      </c>
      <c r="D323" s="28">
        <v>1.41</v>
      </c>
      <c r="E323" s="34">
        <f t="shared" si="180"/>
        <v>2.8199999999999999E-2</v>
      </c>
      <c r="F323" s="35">
        <f t="shared" si="181"/>
        <v>17.552499999999998</v>
      </c>
      <c r="G323" s="34">
        <f t="shared" si="182"/>
        <v>35.25</v>
      </c>
      <c r="H323" s="33">
        <f t="shared" si="183"/>
        <v>5.3791793313069913</v>
      </c>
      <c r="I323" s="28">
        <f t="shared" si="151"/>
        <v>1285.6800000000005</v>
      </c>
      <c r="J323" s="32">
        <v>0</v>
      </c>
      <c r="K323" s="30">
        <f t="shared" si="184"/>
        <v>35.25</v>
      </c>
      <c r="L323" s="30"/>
      <c r="M323" s="30"/>
      <c r="N323" s="30"/>
      <c r="O323" s="30"/>
      <c r="Q323" s="29">
        <f t="shared" ca="1" si="185"/>
        <v>2</v>
      </c>
      <c r="R323" s="29">
        <f t="shared" ca="1" si="177"/>
        <v>1</v>
      </c>
      <c r="S323" s="29">
        <f t="shared" ca="1" si="177"/>
        <v>1</v>
      </c>
      <c r="T323" s="29">
        <f t="shared" ca="1" si="177"/>
        <v>1</v>
      </c>
      <c r="U323" s="29">
        <f t="shared" ca="1" si="177"/>
        <v>2</v>
      </c>
      <c r="V323" s="29">
        <f t="shared" ca="1" si="177"/>
        <v>2</v>
      </c>
      <c r="W323" s="29">
        <f t="shared" ca="1" si="177"/>
        <v>3</v>
      </c>
      <c r="X323" s="29">
        <f t="shared" ca="1" si="177"/>
        <v>1</v>
      </c>
      <c r="Y323" s="29">
        <f t="shared" ca="1" si="177"/>
        <v>1</v>
      </c>
      <c r="Z323" s="29">
        <f t="shared" ca="1" si="177"/>
        <v>2</v>
      </c>
      <c r="AA323" s="29">
        <f t="shared" ca="1" si="177"/>
        <v>3</v>
      </c>
      <c r="AB323" s="29">
        <f t="shared" ca="1" si="177"/>
        <v>2</v>
      </c>
      <c r="AC323" s="29">
        <f t="shared" ca="1" si="177"/>
        <v>2</v>
      </c>
      <c r="AD323" s="29">
        <f t="shared" ca="1" si="177"/>
        <v>3</v>
      </c>
      <c r="AE323" s="29">
        <f t="shared" ca="1" si="177"/>
        <v>4</v>
      </c>
      <c r="AF323" s="29">
        <f t="shared" ca="1" si="177"/>
        <v>0</v>
      </c>
      <c r="AG323" s="29">
        <f t="shared" ca="1" si="176"/>
        <v>1</v>
      </c>
      <c r="AH323" s="29">
        <f t="shared" ca="1" si="176"/>
        <v>2</v>
      </c>
      <c r="AI323" s="29">
        <f t="shared" ca="1" si="176"/>
        <v>1</v>
      </c>
      <c r="AJ323" s="29">
        <f t="shared" ca="1" si="176"/>
        <v>6</v>
      </c>
      <c r="AK323" s="29">
        <f t="shared" ca="1" si="176"/>
        <v>4</v>
      </c>
      <c r="AL323" s="29">
        <f t="shared" ca="1" si="176"/>
        <v>2</v>
      </c>
      <c r="AM323" s="29">
        <f t="shared" ca="1" si="176"/>
        <v>1</v>
      </c>
      <c r="AN323" s="29">
        <f t="shared" ca="1" si="176"/>
        <v>5</v>
      </c>
      <c r="AO323" s="29">
        <f t="shared" ca="1" si="176"/>
        <v>1</v>
      </c>
      <c r="AP323" s="29">
        <f t="shared" ca="1" si="176"/>
        <v>2</v>
      </c>
      <c r="AQ323" s="29">
        <f t="shared" ca="1" si="176"/>
        <v>1</v>
      </c>
      <c r="AR323" s="29">
        <f t="shared" ca="1" si="176"/>
        <v>2</v>
      </c>
      <c r="AS323" s="29">
        <f t="shared" ca="1" si="176"/>
        <v>0</v>
      </c>
      <c r="AT323" s="29">
        <f t="shared" ca="1" si="176"/>
        <v>0</v>
      </c>
      <c r="AU323" s="29">
        <f t="shared" ca="1" si="176"/>
        <v>4</v>
      </c>
      <c r="AV323" s="29">
        <f t="shared" ca="1" si="179"/>
        <v>0</v>
      </c>
      <c r="AW323" s="29">
        <f t="shared" ca="1" si="179"/>
        <v>0</v>
      </c>
      <c r="AX323" s="29">
        <f t="shared" ca="1" si="179"/>
        <v>0</v>
      </c>
      <c r="AY323" s="29">
        <f t="shared" ca="1" si="179"/>
        <v>0</v>
      </c>
      <c r="AZ323" s="29">
        <f t="shared" ca="1" si="179"/>
        <v>2</v>
      </c>
      <c r="BA323" s="29">
        <f t="shared" ca="1" si="179"/>
        <v>3</v>
      </c>
      <c r="BB323" s="29">
        <f t="shared" ca="1" si="179"/>
        <v>2</v>
      </c>
      <c r="BC323" s="29">
        <f t="shared" ca="1" si="179"/>
        <v>1</v>
      </c>
      <c r="BD323" s="29">
        <f t="shared" ca="1" si="179"/>
        <v>2</v>
      </c>
      <c r="BE323" s="29">
        <f t="shared" ca="1" si="179"/>
        <v>2</v>
      </c>
      <c r="BF323" s="29">
        <f t="shared" ca="1" si="179"/>
        <v>0</v>
      </c>
      <c r="BG323" s="29">
        <f t="shared" ca="1" si="179"/>
        <v>2</v>
      </c>
      <c r="BH323" s="29">
        <f t="shared" ca="1" si="179"/>
        <v>1</v>
      </c>
      <c r="BI323" s="29">
        <f t="shared" ca="1" si="179"/>
        <v>2</v>
      </c>
      <c r="BJ323" s="29">
        <f t="shared" ca="1" si="179"/>
        <v>0</v>
      </c>
      <c r="BK323" s="29">
        <f t="shared" ca="1" si="179"/>
        <v>0</v>
      </c>
      <c r="BL323" s="29">
        <f t="shared" ca="1" si="178"/>
        <v>2</v>
      </c>
      <c r="BM323" s="29">
        <f t="shared" ca="1" si="178"/>
        <v>1</v>
      </c>
      <c r="BN323" s="29">
        <f t="shared" ca="1" si="178"/>
        <v>2</v>
      </c>
      <c r="BO323" s="29">
        <f t="shared" ca="1" si="178"/>
        <v>1</v>
      </c>
      <c r="BP323" s="29">
        <f t="shared" ca="1" si="178"/>
        <v>1</v>
      </c>
      <c r="BQ323" s="29">
        <f t="shared" ca="1" si="178"/>
        <v>1</v>
      </c>
      <c r="BR323" s="29">
        <f t="shared" ca="1" si="178"/>
        <v>0</v>
      </c>
      <c r="BS323" s="29">
        <f t="shared" ca="1" si="178"/>
        <v>1</v>
      </c>
      <c r="BT323" s="29">
        <f t="shared" ca="1" si="178"/>
        <v>1</v>
      </c>
      <c r="BU323" s="29">
        <f t="shared" ca="1" si="178"/>
        <v>0</v>
      </c>
      <c r="BV323" s="29">
        <f t="shared" ca="1" si="178"/>
        <v>0</v>
      </c>
      <c r="BW323" s="29">
        <f t="shared" ca="1" si="178"/>
        <v>2</v>
      </c>
      <c r="BX323" s="29">
        <f t="shared" ca="1" si="178"/>
        <v>3</v>
      </c>
      <c r="BY323" s="29">
        <f t="shared" ca="1" si="178"/>
        <v>0</v>
      </c>
      <c r="BZ323" s="29">
        <f t="shared" ca="1" si="178"/>
        <v>1</v>
      </c>
      <c r="CA323" s="29">
        <f t="shared" ca="1" si="175"/>
        <v>2</v>
      </c>
      <c r="CB323" s="29">
        <f t="shared" ca="1" si="175"/>
        <v>1</v>
      </c>
      <c r="CC323" s="29">
        <f t="shared" ca="1" si="175"/>
        <v>0</v>
      </c>
      <c r="CD323" s="29">
        <f t="shared" ca="1" si="175"/>
        <v>1</v>
      </c>
      <c r="CE323" s="29">
        <f t="shared" ca="1" si="175"/>
        <v>2</v>
      </c>
      <c r="CF323" s="29">
        <f t="shared" ca="1" si="175"/>
        <v>2</v>
      </c>
      <c r="CG323" s="29">
        <f t="shared" ca="1" si="175"/>
        <v>1</v>
      </c>
      <c r="CH323" s="29">
        <f t="shared" ca="1" si="175"/>
        <v>2</v>
      </c>
      <c r="CI323" s="29">
        <f t="shared" ca="1" si="175"/>
        <v>0</v>
      </c>
      <c r="CJ323" s="29">
        <f t="shared" ca="1" si="175"/>
        <v>1</v>
      </c>
      <c r="CK323" s="29">
        <f t="shared" ca="1" si="175"/>
        <v>0</v>
      </c>
      <c r="CL323" s="29">
        <f t="shared" ca="1" si="175"/>
        <v>0</v>
      </c>
      <c r="CM323" s="29">
        <f t="shared" ca="1" si="175"/>
        <v>0</v>
      </c>
      <c r="CN323" s="29">
        <f t="shared" ca="1" si="175"/>
        <v>1</v>
      </c>
      <c r="CO323" s="29">
        <f t="shared" ca="1" si="175"/>
        <v>1</v>
      </c>
      <c r="CP323" s="29">
        <f t="shared" ca="1" si="175"/>
        <v>1</v>
      </c>
      <c r="CQ323" s="29">
        <f t="shared" ca="1" si="174"/>
        <v>2</v>
      </c>
      <c r="CR323" s="29">
        <f t="shared" ca="1" si="174"/>
        <v>0</v>
      </c>
      <c r="CS323" s="29">
        <f t="shared" ca="1" si="174"/>
        <v>3</v>
      </c>
      <c r="CT323" s="29">
        <f t="shared" ca="1" si="174"/>
        <v>0</v>
      </c>
      <c r="CU323" s="29">
        <f t="shared" ca="1" si="174"/>
        <v>0</v>
      </c>
      <c r="CV323" s="29">
        <f t="shared" ca="1" si="174"/>
        <v>1</v>
      </c>
      <c r="CW323" s="29">
        <f t="shared" ca="1" si="174"/>
        <v>5</v>
      </c>
      <c r="CX323" s="29">
        <f t="shared" ca="1" si="174"/>
        <v>1</v>
      </c>
      <c r="CY323" s="29">
        <f t="shared" ca="1" si="174"/>
        <v>0</v>
      </c>
      <c r="CZ323" s="29">
        <f t="shared" ca="1" si="174"/>
        <v>0</v>
      </c>
      <c r="DA323" s="29">
        <f t="shared" ca="1" si="174"/>
        <v>3</v>
      </c>
      <c r="DB323" s="29">
        <f t="shared" ca="1" si="174"/>
        <v>0</v>
      </c>
      <c r="DC323" s="29">
        <f t="shared" ca="1" si="174"/>
        <v>2</v>
      </c>
      <c r="DD323" s="29">
        <f t="shared" ca="1" si="174"/>
        <v>1</v>
      </c>
      <c r="DE323" s="29">
        <f t="shared" ca="1" si="174"/>
        <v>3</v>
      </c>
      <c r="DF323" s="29">
        <f t="shared" ca="1" si="173"/>
        <v>1</v>
      </c>
      <c r="DG323" s="29">
        <f t="shared" ca="1" si="173"/>
        <v>1</v>
      </c>
      <c r="DH323" s="29">
        <f t="shared" ca="1" si="173"/>
        <v>4</v>
      </c>
      <c r="DI323" s="29">
        <f t="shared" ca="1" si="173"/>
        <v>1</v>
      </c>
      <c r="DJ323" s="29">
        <f t="shared" ca="1" si="173"/>
        <v>0</v>
      </c>
      <c r="DK323" s="29">
        <f t="shared" ca="1" si="173"/>
        <v>2</v>
      </c>
      <c r="DL323" s="29">
        <f t="shared" ca="1" si="173"/>
        <v>1</v>
      </c>
    </row>
    <row r="324" spans="1:116" ht="14.4" x14ac:dyDescent="0.3">
      <c r="A324" s="31">
        <v>427</v>
      </c>
      <c r="B324" s="28">
        <v>9.42</v>
      </c>
      <c r="C324" s="30">
        <v>0.4</v>
      </c>
      <c r="D324" s="28">
        <v>2.0299999999999998</v>
      </c>
      <c r="E324" s="34">
        <f t="shared" si="180"/>
        <v>4.0599999999999997E-2</v>
      </c>
      <c r="F324" s="35">
        <f t="shared" si="181"/>
        <v>0.1</v>
      </c>
      <c r="G324" s="34">
        <f t="shared" si="182"/>
        <v>50.749999999999993</v>
      </c>
      <c r="H324" s="33">
        <f t="shared" si="183"/>
        <v>5.3768577494692131</v>
      </c>
      <c r="I324" s="28">
        <f t="shared" ref="I324:I387" si="186">B324+I323</f>
        <v>1295.1000000000006</v>
      </c>
      <c r="J324" s="32">
        <v>0</v>
      </c>
      <c r="K324" s="30">
        <f t="shared" si="184"/>
        <v>50.749999999999993</v>
      </c>
      <c r="L324" s="30"/>
      <c r="M324" s="30"/>
      <c r="N324" s="30"/>
      <c r="O324" s="30"/>
      <c r="Q324" s="29">
        <f t="shared" ca="1" si="185"/>
        <v>3</v>
      </c>
      <c r="R324" s="29">
        <f t="shared" ca="1" si="177"/>
        <v>0</v>
      </c>
      <c r="S324" s="29">
        <f t="shared" ca="1" si="177"/>
        <v>3</v>
      </c>
      <c r="T324" s="29">
        <f t="shared" ca="1" si="177"/>
        <v>2</v>
      </c>
      <c r="U324" s="29">
        <f t="shared" ca="1" si="177"/>
        <v>2</v>
      </c>
      <c r="V324" s="29">
        <f t="shared" ca="1" si="177"/>
        <v>6</v>
      </c>
      <c r="W324" s="29">
        <f t="shared" ca="1" si="177"/>
        <v>1</v>
      </c>
      <c r="X324" s="29">
        <f t="shared" ca="1" si="177"/>
        <v>2</v>
      </c>
      <c r="Y324" s="29">
        <f t="shared" ca="1" si="177"/>
        <v>1</v>
      </c>
      <c r="Z324" s="29">
        <f t="shared" ca="1" si="177"/>
        <v>3</v>
      </c>
      <c r="AA324" s="29">
        <f t="shared" ca="1" si="177"/>
        <v>2</v>
      </c>
      <c r="AB324" s="29">
        <f t="shared" ca="1" si="177"/>
        <v>3</v>
      </c>
      <c r="AC324" s="29">
        <f t="shared" ca="1" si="177"/>
        <v>1</v>
      </c>
      <c r="AD324" s="29">
        <f t="shared" ca="1" si="177"/>
        <v>1</v>
      </c>
      <c r="AE324" s="29">
        <f t="shared" ca="1" si="177"/>
        <v>1</v>
      </c>
      <c r="AF324" s="29">
        <f t="shared" ca="1" si="177"/>
        <v>2</v>
      </c>
      <c r="AG324" s="29">
        <f t="shared" ca="1" si="176"/>
        <v>2</v>
      </c>
      <c r="AH324" s="29">
        <f t="shared" ca="1" si="176"/>
        <v>1</v>
      </c>
      <c r="AI324" s="29">
        <f t="shared" ca="1" si="176"/>
        <v>3</v>
      </c>
      <c r="AJ324" s="29">
        <f t="shared" ca="1" si="176"/>
        <v>0</v>
      </c>
      <c r="AK324" s="29">
        <f t="shared" ca="1" si="176"/>
        <v>2</v>
      </c>
      <c r="AL324" s="29">
        <f t="shared" ca="1" si="176"/>
        <v>4</v>
      </c>
      <c r="AM324" s="29">
        <f t="shared" ca="1" si="176"/>
        <v>2</v>
      </c>
      <c r="AN324" s="29">
        <f t="shared" ca="1" si="176"/>
        <v>1</v>
      </c>
      <c r="AO324" s="29">
        <f t="shared" ca="1" si="176"/>
        <v>2</v>
      </c>
      <c r="AP324" s="29">
        <f t="shared" ca="1" si="176"/>
        <v>3</v>
      </c>
      <c r="AQ324" s="29">
        <f t="shared" ca="1" si="176"/>
        <v>1</v>
      </c>
      <c r="AR324" s="29">
        <f t="shared" ca="1" si="176"/>
        <v>2</v>
      </c>
      <c r="AS324" s="29">
        <f t="shared" ca="1" si="176"/>
        <v>0</v>
      </c>
      <c r="AT324" s="29">
        <f t="shared" ca="1" si="176"/>
        <v>7</v>
      </c>
      <c r="AU324" s="29">
        <f t="shared" ca="1" si="176"/>
        <v>0</v>
      </c>
      <c r="AV324" s="29">
        <f t="shared" ca="1" si="179"/>
        <v>0</v>
      </c>
      <c r="AW324" s="29">
        <f t="shared" ca="1" si="179"/>
        <v>1</v>
      </c>
      <c r="AX324" s="29">
        <f t="shared" ca="1" si="179"/>
        <v>2</v>
      </c>
      <c r="AY324" s="29">
        <f t="shared" ca="1" si="179"/>
        <v>4</v>
      </c>
      <c r="AZ324" s="29">
        <f t="shared" ca="1" si="179"/>
        <v>1</v>
      </c>
      <c r="BA324" s="29">
        <f t="shared" ca="1" si="179"/>
        <v>6</v>
      </c>
      <c r="BB324" s="29">
        <f t="shared" ca="1" si="179"/>
        <v>3</v>
      </c>
      <c r="BC324" s="29">
        <f t="shared" ca="1" si="179"/>
        <v>3</v>
      </c>
      <c r="BD324" s="29">
        <f t="shared" ca="1" si="179"/>
        <v>1</v>
      </c>
      <c r="BE324" s="29">
        <f t="shared" ca="1" si="179"/>
        <v>3</v>
      </c>
      <c r="BF324" s="29">
        <f t="shared" ca="1" si="179"/>
        <v>3</v>
      </c>
      <c r="BG324" s="29">
        <f t="shared" ca="1" si="179"/>
        <v>1</v>
      </c>
      <c r="BH324" s="29">
        <f t="shared" ca="1" si="179"/>
        <v>2</v>
      </c>
      <c r="BI324" s="29">
        <f t="shared" ca="1" si="179"/>
        <v>1</v>
      </c>
      <c r="BJ324" s="29">
        <f t="shared" ca="1" si="179"/>
        <v>3</v>
      </c>
      <c r="BK324" s="29">
        <f t="shared" ca="1" si="179"/>
        <v>2</v>
      </c>
      <c r="BL324" s="29">
        <f t="shared" ca="1" si="178"/>
        <v>3</v>
      </c>
      <c r="BM324" s="29">
        <f t="shared" ca="1" si="178"/>
        <v>2</v>
      </c>
      <c r="BN324" s="29">
        <f t="shared" ca="1" si="178"/>
        <v>2</v>
      </c>
      <c r="BO324" s="29">
        <f t="shared" ca="1" si="178"/>
        <v>1</v>
      </c>
      <c r="BP324" s="29">
        <f t="shared" ca="1" si="178"/>
        <v>5</v>
      </c>
      <c r="BQ324" s="29">
        <f t="shared" ca="1" si="178"/>
        <v>2</v>
      </c>
      <c r="BR324" s="29">
        <f t="shared" ca="1" si="178"/>
        <v>2</v>
      </c>
      <c r="BS324" s="29">
        <f t="shared" ca="1" si="178"/>
        <v>4</v>
      </c>
      <c r="BT324" s="29">
        <f t="shared" ca="1" si="178"/>
        <v>2</v>
      </c>
      <c r="BU324" s="29">
        <f t="shared" ca="1" si="178"/>
        <v>1</v>
      </c>
      <c r="BV324" s="29">
        <f t="shared" ca="1" si="178"/>
        <v>7</v>
      </c>
      <c r="BW324" s="29">
        <f t="shared" ca="1" si="178"/>
        <v>2</v>
      </c>
      <c r="BX324" s="29">
        <f t="shared" ca="1" si="178"/>
        <v>4</v>
      </c>
      <c r="BY324" s="29">
        <f t="shared" ca="1" si="178"/>
        <v>1</v>
      </c>
      <c r="BZ324" s="29">
        <f t="shared" ca="1" si="178"/>
        <v>2</v>
      </c>
      <c r="CA324" s="29">
        <f t="shared" ca="1" si="175"/>
        <v>2</v>
      </c>
      <c r="CB324" s="29">
        <f t="shared" ca="1" si="175"/>
        <v>1</v>
      </c>
      <c r="CC324" s="29">
        <f t="shared" ca="1" si="175"/>
        <v>0</v>
      </c>
      <c r="CD324" s="29">
        <f t="shared" ca="1" si="175"/>
        <v>3</v>
      </c>
      <c r="CE324" s="29">
        <f t="shared" ca="1" si="175"/>
        <v>2</v>
      </c>
      <c r="CF324" s="29">
        <f t="shared" ca="1" si="175"/>
        <v>5</v>
      </c>
      <c r="CG324" s="29">
        <f t="shared" ca="1" si="175"/>
        <v>4</v>
      </c>
      <c r="CH324" s="29">
        <f t="shared" ca="1" si="175"/>
        <v>3</v>
      </c>
      <c r="CI324" s="29">
        <f t="shared" ca="1" si="175"/>
        <v>4</v>
      </c>
      <c r="CJ324" s="29">
        <f t="shared" ca="1" si="175"/>
        <v>1</v>
      </c>
      <c r="CK324" s="29">
        <f t="shared" ca="1" si="175"/>
        <v>3</v>
      </c>
      <c r="CL324" s="29">
        <f t="shared" ca="1" si="175"/>
        <v>1</v>
      </c>
      <c r="CM324" s="29">
        <f t="shared" ca="1" si="175"/>
        <v>2</v>
      </c>
      <c r="CN324" s="29">
        <f t="shared" ca="1" si="175"/>
        <v>6</v>
      </c>
      <c r="CO324" s="29">
        <f t="shared" ca="1" si="175"/>
        <v>4</v>
      </c>
      <c r="CP324" s="29">
        <f t="shared" ref="CP324:DE339" ca="1" si="187">_xlfn.BINOM.INV(50,$E324,RAND())</f>
        <v>1</v>
      </c>
      <c r="CQ324" s="29">
        <f t="shared" ca="1" si="187"/>
        <v>2</v>
      </c>
      <c r="CR324" s="29">
        <f t="shared" ca="1" si="187"/>
        <v>1</v>
      </c>
      <c r="CS324" s="29">
        <f t="shared" ca="1" si="187"/>
        <v>4</v>
      </c>
      <c r="CT324" s="29">
        <f t="shared" ca="1" si="187"/>
        <v>1</v>
      </c>
      <c r="CU324" s="29">
        <f t="shared" ca="1" si="187"/>
        <v>1</v>
      </c>
      <c r="CV324" s="29">
        <f t="shared" ca="1" si="187"/>
        <v>3</v>
      </c>
      <c r="CW324" s="29">
        <f t="shared" ca="1" si="187"/>
        <v>0</v>
      </c>
      <c r="CX324" s="29">
        <f t="shared" ca="1" si="187"/>
        <v>2</v>
      </c>
      <c r="CY324" s="29">
        <f t="shared" ca="1" si="187"/>
        <v>2</v>
      </c>
      <c r="CZ324" s="29">
        <f t="shared" ca="1" si="187"/>
        <v>2</v>
      </c>
      <c r="DA324" s="29">
        <f t="shared" ca="1" si="187"/>
        <v>2</v>
      </c>
      <c r="DB324" s="29">
        <f t="shared" ca="1" si="187"/>
        <v>4</v>
      </c>
      <c r="DC324" s="29">
        <f t="shared" ca="1" si="187"/>
        <v>1</v>
      </c>
      <c r="DD324" s="29">
        <f t="shared" ca="1" si="187"/>
        <v>4</v>
      </c>
      <c r="DE324" s="29">
        <f t="shared" ca="1" si="187"/>
        <v>4</v>
      </c>
      <c r="DF324" s="29">
        <f t="shared" ca="1" si="173"/>
        <v>1</v>
      </c>
      <c r="DG324" s="29">
        <f t="shared" ca="1" si="173"/>
        <v>2</v>
      </c>
      <c r="DH324" s="29">
        <f t="shared" ca="1" si="173"/>
        <v>0</v>
      </c>
      <c r="DI324" s="29">
        <f t="shared" ca="1" si="173"/>
        <v>2</v>
      </c>
      <c r="DJ324" s="29">
        <f t="shared" ca="1" si="173"/>
        <v>1</v>
      </c>
      <c r="DK324" s="29">
        <f t="shared" ca="1" si="173"/>
        <v>2</v>
      </c>
      <c r="DL324" s="29">
        <f t="shared" ca="1" si="173"/>
        <v>2</v>
      </c>
    </row>
    <row r="325" spans="1:116" ht="14.4" x14ac:dyDescent="0.3">
      <c r="A325" s="31">
        <v>680</v>
      </c>
      <c r="B325" s="28">
        <v>8.2200000000000006</v>
      </c>
      <c r="C325" s="30">
        <v>0.18</v>
      </c>
      <c r="D325" s="28">
        <v>1.76</v>
      </c>
      <c r="E325" s="34">
        <f t="shared" si="180"/>
        <v>3.5200000000000002E-2</v>
      </c>
      <c r="F325" s="35">
        <f t="shared" si="181"/>
        <v>4.4999999999999998E-2</v>
      </c>
      <c r="G325" s="34">
        <f t="shared" si="182"/>
        <v>44</v>
      </c>
      <c r="H325" s="33">
        <f t="shared" si="183"/>
        <v>5.347323600973235</v>
      </c>
      <c r="I325" s="28">
        <f t="shared" si="186"/>
        <v>1303.3200000000006</v>
      </c>
      <c r="J325" s="32">
        <v>0</v>
      </c>
      <c r="K325" s="30">
        <f t="shared" si="184"/>
        <v>44</v>
      </c>
      <c r="L325" s="30"/>
      <c r="M325" s="30"/>
      <c r="N325" s="30"/>
      <c r="O325" s="30"/>
      <c r="Q325" s="29">
        <f t="shared" ca="1" si="185"/>
        <v>0</v>
      </c>
      <c r="R325" s="29">
        <f t="shared" ca="1" si="177"/>
        <v>2</v>
      </c>
      <c r="S325" s="29">
        <f t="shared" ca="1" si="177"/>
        <v>1</v>
      </c>
      <c r="T325" s="29">
        <f t="shared" ca="1" si="177"/>
        <v>4</v>
      </c>
      <c r="U325" s="29">
        <f t="shared" ca="1" si="177"/>
        <v>3</v>
      </c>
      <c r="V325" s="29">
        <f t="shared" ca="1" si="177"/>
        <v>2</v>
      </c>
      <c r="W325" s="29">
        <f t="shared" ca="1" si="177"/>
        <v>2</v>
      </c>
      <c r="X325" s="29">
        <f t="shared" ca="1" si="177"/>
        <v>2</v>
      </c>
      <c r="Y325" s="29">
        <f t="shared" ca="1" si="177"/>
        <v>1</v>
      </c>
      <c r="Z325" s="29">
        <f t="shared" ca="1" si="177"/>
        <v>0</v>
      </c>
      <c r="AA325" s="29">
        <f t="shared" ca="1" si="177"/>
        <v>1</v>
      </c>
      <c r="AB325" s="29">
        <f t="shared" ca="1" si="177"/>
        <v>2</v>
      </c>
      <c r="AC325" s="29">
        <f t="shared" ca="1" si="177"/>
        <v>2</v>
      </c>
      <c r="AD325" s="29">
        <f t="shared" ca="1" si="177"/>
        <v>0</v>
      </c>
      <c r="AE325" s="29">
        <f t="shared" ca="1" si="177"/>
        <v>1</v>
      </c>
      <c r="AF325" s="29">
        <f t="shared" ca="1" si="177"/>
        <v>1</v>
      </c>
      <c r="AG325" s="29">
        <f t="shared" ca="1" si="176"/>
        <v>1</v>
      </c>
      <c r="AH325" s="29">
        <f t="shared" ca="1" si="176"/>
        <v>1</v>
      </c>
      <c r="AI325" s="29">
        <f t="shared" ca="1" si="176"/>
        <v>0</v>
      </c>
      <c r="AJ325" s="29">
        <f t="shared" ca="1" si="176"/>
        <v>1</v>
      </c>
      <c r="AK325" s="29">
        <f t="shared" ca="1" si="176"/>
        <v>2</v>
      </c>
      <c r="AL325" s="29">
        <f t="shared" ca="1" si="176"/>
        <v>2</v>
      </c>
      <c r="AM325" s="29">
        <f t="shared" ca="1" si="176"/>
        <v>3</v>
      </c>
      <c r="AN325" s="29">
        <f t="shared" ca="1" si="176"/>
        <v>3</v>
      </c>
      <c r="AO325" s="29">
        <f t="shared" ca="1" si="176"/>
        <v>4</v>
      </c>
      <c r="AP325" s="29">
        <f t="shared" ca="1" si="176"/>
        <v>1</v>
      </c>
      <c r="AQ325" s="29">
        <f t="shared" ca="1" si="176"/>
        <v>2</v>
      </c>
      <c r="AR325" s="29">
        <f t="shared" ca="1" si="176"/>
        <v>2</v>
      </c>
      <c r="AS325" s="29">
        <f t="shared" ca="1" si="176"/>
        <v>1</v>
      </c>
      <c r="AT325" s="29">
        <f t="shared" ca="1" si="176"/>
        <v>3</v>
      </c>
      <c r="AU325" s="29">
        <f t="shared" ca="1" si="176"/>
        <v>3</v>
      </c>
      <c r="AV325" s="29">
        <f t="shared" ca="1" si="179"/>
        <v>0</v>
      </c>
      <c r="AW325" s="29">
        <f t="shared" ca="1" si="179"/>
        <v>1</v>
      </c>
      <c r="AX325" s="29">
        <f t="shared" ca="1" si="179"/>
        <v>3</v>
      </c>
      <c r="AY325" s="29">
        <f t="shared" ca="1" si="179"/>
        <v>3</v>
      </c>
      <c r="AZ325" s="29">
        <f t="shared" ca="1" si="179"/>
        <v>1</v>
      </c>
      <c r="BA325" s="29">
        <f t="shared" ca="1" si="179"/>
        <v>4</v>
      </c>
      <c r="BB325" s="29">
        <f t="shared" ca="1" si="179"/>
        <v>2</v>
      </c>
      <c r="BC325" s="29">
        <f t="shared" ca="1" si="179"/>
        <v>1</v>
      </c>
      <c r="BD325" s="29">
        <f t="shared" ca="1" si="179"/>
        <v>1</v>
      </c>
      <c r="BE325" s="29">
        <f t="shared" ca="1" si="179"/>
        <v>1</v>
      </c>
      <c r="BF325" s="29">
        <f t="shared" ca="1" si="179"/>
        <v>2</v>
      </c>
      <c r="BG325" s="29">
        <f t="shared" ca="1" si="179"/>
        <v>0</v>
      </c>
      <c r="BH325" s="29">
        <f t="shared" ca="1" si="179"/>
        <v>3</v>
      </c>
      <c r="BI325" s="29">
        <f t="shared" ca="1" si="179"/>
        <v>4</v>
      </c>
      <c r="BJ325" s="29">
        <f t="shared" ca="1" si="179"/>
        <v>6</v>
      </c>
      <c r="BK325" s="29">
        <f t="shared" ca="1" si="179"/>
        <v>1</v>
      </c>
      <c r="BL325" s="29">
        <f t="shared" ca="1" si="178"/>
        <v>2</v>
      </c>
      <c r="BM325" s="29">
        <f t="shared" ca="1" si="178"/>
        <v>2</v>
      </c>
      <c r="BN325" s="29">
        <f t="shared" ca="1" si="178"/>
        <v>4</v>
      </c>
      <c r="BO325" s="29">
        <f t="shared" ca="1" si="178"/>
        <v>3</v>
      </c>
      <c r="BP325" s="29">
        <f t="shared" ca="1" si="178"/>
        <v>3</v>
      </c>
      <c r="BQ325" s="29">
        <f t="shared" ca="1" si="178"/>
        <v>1</v>
      </c>
      <c r="BR325" s="29">
        <f t="shared" ca="1" si="178"/>
        <v>1</v>
      </c>
      <c r="BS325" s="29">
        <f t="shared" ca="1" si="178"/>
        <v>1</v>
      </c>
      <c r="BT325" s="29">
        <f t="shared" ca="1" si="178"/>
        <v>2</v>
      </c>
      <c r="BU325" s="29">
        <f t="shared" ca="1" si="178"/>
        <v>1</v>
      </c>
      <c r="BV325" s="29">
        <f t="shared" ca="1" si="178"/>
        <v>2</v>
      </c>
      <c r="BW325" s="29">
        <f t="shared" ca="1" si="178"/>
        <v>0</v>
      </c>
      <c r="BX325" s="29">
        <f t="shared" ca="1" si="178"/>
        <v>2</v>
      </c>
      <c r="BY325" s="29">
        <f t="shared" ca="1" si="178"/>
        <v>2</v>
      </c>
      <c r="BZ325" s="29">
        <f t="shared" ca="1" si="178"/>
        <v>1</v>
      </c>
      <c r="CA325" s="29">
        <f t="shared" ref="CA325:CP340" ca="1" si="188">_xlfn.BINOM.INV(50,$E325,RAND())</f>
        <v>0</v>
      </c>
      <c r="CB325" s="29">
        <f t="shared" ca="1" si="188"/>
        <v>1</v>
      </c>
      <c r="CC325" s="29">
        <f t="shared" ca="1" si="188"/>
        <v>2</v>
      </c>
      <c r="CD325" s="29">
        <f t="shared" ca="1" si="188"/>
        <v>1</v>
      </c>
      <c r="CE325" s="29">
        <f t="shared" ca="1" si="188"/>
        <v>1</v>
      </c>
      <c r="CF325" s="29">
        <f t="shared" ca="1" si="188"/>
        <v>2</v>
      </c>
      <c r="CG325" s="29">
        <f t="shared" ca="1" si="188"/>
        <v>2</v>
      </c>
      <c r="CH325" s="29">
        <f t="shared" ca="1" si="188"/>
        <v>2</v>
      </c>
      <c r="CI325" s="29">
        <f t="shared" ca="1" si="188"/>
        <v>3</v>
      </c>
      <c r="CJ325" s="29">
        <f t="shared" ca="1" si="188"/>
        <v>2</v>
      </c>
      <c r="CK325" s="29">
        <f t="shared" ca="1" si="188"/>
        <v>0</v>
      </c>
      <c r="CL325" s="29">
        <f t="shared" ca="1" si="188"/>
        <v>2</v>
      </c>
      <c r="CM325" s="29">
        <f t="shared" ca="1" si="188"/>
        <v>2</v>
      </c>
      <c r="CN325" s="29">
        <f t="shared" ca="1" si="188"/>
        <v>4</v>
      </c>
      <c r="CO325" s="29">
        <f t="shared" ca="1" si="188"/>
        <v>4</v>
      </c>
      <c r="CP325" s="29">
        <f t="shared" ca="1" si="188"/>
        <v>2</v>
      </c>
      <c r="CQ325" s="29">
        <f t="shared" ca="1" si="187"/>
        <v>0</v>
      </c>
      <c r="CR325" s="29">
        <f t="shared" ca="1" si="187"/>
        <v>2</v>
      </c>
      <c r="CS325" s="29">
        <f t="shared" ca="1" si="187"/>
        <v>0</v>
      </c>
      <c r="CT325" s="29">
        <f t="shared" ca="1" si="187"/>
        <v>2</v>
      </c>
      <c r="CU325" s="29">
        <f t="shared" ca="1" si="187"/>
        <v>1</v>
      </c>
      <c r="CV325" s="29">
        <f t="shared" ca="1" si="187"/>
        <v>4</v>
      </c>
      <c r="CW325" s="29">
        <f t="shared" ca="1" si="187"/>
        <v>3</v>
      </c>
      <c r="CX325" s="29">
        <f t="shared" ca="1" si="187"/>
        <v>0</v>
      </c>
      <c r="CY325" s="29">
        <f t="shared" ca="1" si="187"/>
        <v>2</v>
      </c>
      <c r="CZ325" s="29">
        <f t="shared" ca="1" si="187"/>
        <v>1</v>
      </c>
      <c r="DA325" s="29">
        <f t="shared" ca="1" si="187"/>
        <v>1</v>
      </c>
      <c r="DB325" s="29">
        <f t="shared" ca="1" si="187"/>
        <v>3</v>
      </c>
      <c r="DC325" s="29">
        <f t="shared" ca="1" si="187"/>
        <v>1</v>
      </c>
      <c r="DD325" s="29">
        <f t="shared" ca="1" si="187"/>
        <v>1</v>
      </c>
      <c r="DE325" s="29">
        <f t="shared" ca="1" si="187"/>
        <v>2</v>
      </c>
      <c r="DF325" s="29">
        <f t="shared" ca="1" si="173"/>
        <v>1</v>
      </c>
      <c r="DG325" s="29">
        <f t="shared" ca="1" si="173"/>
        <v>1</v>
      </c>
      <c r="DH325" s="29">
        <f t="shared" ca="1" si="173"/>
        <v>4</v>
      </c>
      <c r="DI325" s="29">
        <f t="shared" ca="1" si="173"/>
        <v>1</v>
      </c>
      <c r="DJ325" s="29">
        <f t="shared" ca="1" si="173"/>
        <v>1</v>
      </c>
      <c r="DK325" s="29">
        <f t="shared" ca="1" si="173"/>
        <v>1</v>
      </c>
      <c r="DL325" s="29">
        <f t="shared" ca="1" si="173"/>
        <v>2</v>
      </c>
    </row>
    <row r="326" spans="1:116" ht="14.4" x14ac:dyDescent="0.3">
      <c r="A326" s="31">
        <v>284</v>
      </c>
      <c r="B326" s="28">
        <v>9.52</v>
      </c>
      <c r="C326" s="30">
        <v>97.28</v>
      </c>
      <c r="D326" s="28">
        <v>2.99</v>
      </c>
      <c r="E326" s="34">
        <f t="shared" si="180"/>
        <v>5.9800000000000006E-2</v>
      </c>
      <c r="F326" s="35">
        <f t="shared" si="181"/>
        <v>24.32</v>
      </c>
      <c r="G326" s="34">
        <f t="shared" si="182"/>
        <v>74.75</v>
      </c>
      <c r="H326" s="33">
        <f t="shared" si="183"/>
        <v>5.2972689075630255</v>
      </c>
      <c r="I326" s="28">
        <f t="shared" si="186"/>
        <v>1312.8400000000006</v>
      </c>
      <c r="J326" s="32">
        <v>0</v>
      </c>
      <c r="K326" s="30">
        <f t="shared" si="184"/>
        <v>74.75</v>
      </c>
      <c r="L326" s="30"/>
      <c r="M326" s="30"/>
      <c r="N326" s="30"/>
      <c r="O326" s="30"/>
      <c r="Q326" s="29">
        <f t="shared" ca="1" si="185"/>
        <v>2</v>
      </c>
      <c r="R326" s="29">
        <f t="shared" ca="1" si="177"/>
        <v>3</v>
      </c>
      <c r="S326" s="29">
        <f t="shared" ca="1" si="177"/>
        <v>5</v>
      </c>
      <c r="T326" s="29">
        <f t="shared" ca="1" si="177"/>
        <v>2</v>
      </c>
      <c r="U326" s="29">
        <f t="shared" ca="1" si="177"/>
        <v>4</v>
      </c>
      <c r="V326" s="29">
        <f t="shared" ca="1" si="177"/>
        <v>1</v>
      </c>
      <c r="W326" s="29">
        <f t="shared" ca="1" si="177"/>
        <v>3</v>
      </c>
      <c r="X326" s="29">
        <f t="shared" ca="1" si="177"/>
        <v>6</v>
      </c>
      <c r="Y326" s="29">
        <f t="shared" ca="1" si="177"/>
        <v>4</v>
      </c>
      <c r="Z326" s="29">
        <f t="shared" ca="1" si="177"/>
        <v>2</v>
      </c>
      <c r="AA326" s="29">
        <f t="shared" ca="1" si="177"/>
        <v>6</v>
      </c>
      <c r="AB326" s="29">
        <f t="shared" ca="1" si="177"/>
        <v>1</v>
      </c>
      <c r="AC326" s="29">
        <f t="shared" ca="1" si="177"/>
        <v>3</v>
      </c>
      <c r="AD326" s="29">
        <f t="shared" ca="1" si="177"/>
        <v>2</v>
      </c>
      <c r="AE326" s="29">
        <f t="shared" ca="1" si="177"/>
        <v>2</v>
      </c>
      <c r="AF326" s="29">
        <f t="shared" ca="1" si="177"/>
        <v>1</v>
      </c>
      <c r="AG326" s="29">
        <f t="shared" ca="1" si="176"/>
        <v>4</v>
      </c>
      <c r="AH326" s="29">
        <f t="shared" ca="1" si="176"/>
        <v>4</v>
      </c>
      <c r="AI326" s="29">
        <f t="shared" ca="1" si="176"/>
        <v>4</v>
      </c>
      <c r="AJ326" s="29">
        <f t="shared" ca="1" si="176"/>
        <v>3</v>
      </c>
      <c r="AK326" s="29">
        <f t="shared" ca="1" si="176"/>
        <v>1</v>
      </c>
      <c r="AL326" s="29">
        <f t="shared" ca="1" si="176"/>
        <v>2</v>
      </c>
      <c r="AM326" s="29">
        <f t="shared" ca="1" si="176"/>
        <v>5</v>
      </c>
      <c r="AN326" s="29">
        <f t="shared" ca="1" si="176"/>
        <v>3</v>
      </c>
      <c r="AO326" s="29">
        <f t="shared" ca="1" si="176"/>
        <v>3</v>
      </c>
      <c r="AP326" s="29">
        <f t="shared" ca="1" si="176"/>
        <v>2</v>
      </c>
      <c r="AQ326" s="29">
        <f t="shared" ca="1" si="176"/>
        <v>2</v>
      </c>
      <c r="AR326" s="29">
        <f t="shared" ca="1" si="176"/>
        <v>1</v>
      </c>
      <c r="AS326" s="29">
        <f t="shared" ca="1" si="176"/>
        <v>3</v>
      </c>
      <c r="AT326" s="29">
        <f t="shared" ca="1" si="176"/>
        <v>1</v>
      </c>
      <c r="AU326" s="29">
        <f t="shared" ca="1" si="176"/>
        <v>4</v>
      </c>
      <c r="AV326" s="29">
        <f t="shared" ca="1" si="179"/>
        <v>3</v>
      </c>
      <c r="AW326" s="29">
        <f t="shared" ca="1" si="179"/>
        <v>2</v>
      </c>
      <c r="AX326" s="29">
        <f t="shared" ca="1" si="179"/>
        <v>2</v>
      </c>
      <c r="AY326" s="29">
        <f t="shared" ca="1" si="179"/>
        <v>3</v>
      </c>
      <c r="AZ326" s="29">
        <f t="shared" ca="1" si="179"/>
        <v>5</v>
      </c>
      <c r="BA326" s="29">
        <f t="shared" ca="1" si="179"/>
        <v>4</v>
      </c>
      <c r="BB326" s="29">
        <f t="shared" ca="1" si="179"/>
        <v>4</v>
      </c>
      <c r="BC326" s="29">
        <f t="shared" ca="1" si="179"/>
        <v>0</v>
      </c>
      <c r="BD326" s="29">
        <f t="shared" ca="1" si="179"/>
        <v>3</v>
      </c>
      <c r="BE326" s="29">
        <f t="shared" ca="1" si="179"/>
        <v>3</v>
      </c>
      <c r="BF326" s="29">
        <f t="shared" ca="1" si="179"/>
        <v>3</v>
      </c>
      <c r="BG326" s="29">
        <f t="shared" ca="1" si="179"/>
        <v>3</v>
      </c>
      <c r="BH326" s="29">
        <f t="shared" ca="1" si="179"/>
        <v>2</v>
      </c>
      <c r="BI326" s="29">
        <f t="shared" ca="1" si="179"/>
        <v>3</v>
      </c>
      <c r="BJ326" s="29">
        <f t="shared" ca="1" si="179"/>
        <v>0</v>
      </c>
      <c r="BK326" s="29">
        <f t="shared" ca="1" si="179"/>
        <v>5</v>
      </c>
      <c r="BL326" s="29">
        <f t="shared" ca="1" si="178"/>
        <v>4</v>
      </c>
      <c r="BM326" s="29">
        <f t="shared" ca="1" si="178"/>
        <v>0</v>
      </c>
      <c r="BN326" s="29">
        <f t="shared" ca="1" si="178"/>
        <v>3</v>
      </c>
      <c r="BO326" s="29">
        <f t="shared" ca="1" si="178"/>
        <v>3</v>
      </c>
      <c r="BP326" s="29">
        <f t="shared" ca="1" si="178"/>
        <v>3</v>
      </c>
      <c r="BQ326" s="29">
        <f t="shared" ca="1" si="178"/>
        <v>1</v>
      </c>
      <c r="BR326" s="29">
        <f t="shared" ca="1" si="178"/>
        <v>0</v>
      </c>
      <c r="BS326" s="29">
        <f t="shared" ca="1" si="178"/>
        <v>3</v>
      </c>
      <c r="BT326" s="29">
        <f t="shared" ca="1" si="178"/>
        <v>2</v>
      </c>
      <c r="BU326" s="29">
        <f t="shared" ca="1" si="178"/>
        <v>1</v>
      </c>
      <c r="BV326" s="29">
        <f t="shared" ca="1" si="178"/>
        <v>7</v>
      </c>
      <c r="BW326" s="29">
        <f t="shared" ca="1" si="178"/>
        <v>3</v>
      </c>
      <c r="BX326" s="29">
        <f t="shared" ca="1" si="178"/>
        <v>1</v>
      </c>
      <c r="BY326" s="29">
        <f t="shared" ca="1" si="178"/>
        <v>4</v>
      </c>
      <c r="BZ326" s="29">
        <f t="shared" ca="1" si="178"/>
        <v>2</v>
      </c>
      <c r="CA326" s="29">
        <f t="shared" ca="1" si="188"/>
        <v>4</v>
      </c>
      <c r="CB326" s="29">
        <f t="shared" ca="1" si="188"/>
        <v>2</v>
      </c>
      <c r="CC326" s="29">
        <f t="shared" ca="1" si="188"/>
        <v>6</v>
      </c>
      <c r="CD326" s="29">
        <f t="shared" ca="1" si="188"/>
        <v>2</v>
      </c>
      <c r="CE326" s="29">
        <f t="shared" ca="1" si="188"/>
        <v>4</v>
      </c>
      <c r="CF326" s="29">
        <f t="shared" ca="1" si="188"/>
        <v>3</v>
      </c>
      <c r="CG326" s="29">
        <f t="shared" ca="1" si="188"/>
        <v>3</v>
      </c>
      <c r="CH326" s="29">
        <f t="shared" ca="1" si="188"/>
        <v>4</v>
      </c>
      <c r="CI326" s="29">
        <f t="shared" ca="1" si="188"/>
        <v>6</v>
      </c>
      <c r="CJ326" s="29">
        <f t="shared" ca="1" si="188"/>
        <v>2</v>
      </c>
      <c r="CK326" s="29">
        <f t="shared" ca="1" si="188"/>
        <v>4</v>
      </c>
      <c r="CL326" s="29">
        <f t="shared" ca="1" si="188"/>
        <v>3</v>
      </c>
      <c r="CM326" s="29">
        <f t="shared" ca="1" si="188"/>
        <v>3</v>
      </c>
      <c r="CN326" s="29">
        <f t="shared" ca="1" si="188"/>
        <v>4</v>
      </c>
      <c r="CO326" s="29">
        <f t="shared" ca="1" si="188"/>
        <v>3</v>
      </c>
      <c r="CP326" s="29">
        <f t="shared" ca="1" si="188"/>
        <v>4</v>
      </c>
      <c r="CQ326" s="29">
        <f t="shared" ca="1" si="187"/>
        <v>2</v>
      </c>
      <c r="CR326" s="29">
        <f t="shared" ca="1" si="187"/>
        <v>2</v>
      </c>
      <c r="CS326" s="29">
        <f t="shared" ca="1" si="187"/>
        <v>3</v>
      </c>
      <c r="CT326" s="29">
        <f t="shared" ca="1" si="187"/>
        <v>4</v>
      </c>
      <c r="CU326" s="29">
        <f t="shared" ca="1" si="187"/>
        <v>2</v>
      </c>
      <c r="CV326" s="29">
        <f t="shared" ca="1" si="187"/>
        <v>2</v>
      </c>
      <c r="CW326" s="29">
        <f t="shared" ca="1" si="187"/>
        <v>2</v>
      </c>
      <c r="CX326" s="29">
        <f t="shared" ca="1" si="187"/>
        <v>5</v>
      </c>
      <c r="CY326" s="29">
        <f t="shared" ca="1" si="187"/>
        <v>5</v>
      </c>
      <c r="CZ326" s="29">
        <f t="shared" ca="1" si="187"/>
        <v>1</v>
      </c>
      <c r="DA326" s="29">
        <f t="shared" ca="1" si="187"/>
        <v>1</v>
      </c>
      <c r="DB326" s="29">
        <f t="shared" ca="1" si="187"/>
        <v>5</v>
      </c>
      <c r="DC326" s="29">
        <f t="shared" ca="1" si="187"/>
        <v>3</v>
      </c>
      <c r="DD326" s="29">
        <f t="shared" ca="1" si="187"/>
        <v>1</v>
      </c>
      <c r="DE326" s="29">
        <f t="shared" ca="1" si="187"/>
        <v>5</v>
      </c>
      <c r="DF326" s="29">
        <f t="shared" ca="1" si="173"/>
        <v>5</v>
      </c>
      <c r="DG326" s="29">
        <f t="shared" ca="1" si="173"/>
        <v>5</v>
      </c>
      <c r="DH326" s="29">
        <f t="shared" ca="1" si="173"/>
        <v>6</v>
      </c>
      <c r="DI326" s="29">
        <f t="shared" ca="1" si="173"/>
        <v>3</v>
      </c>
      <c r="DJ326" s="29">
        <f t="shared" ca="1" si="173"/>
        <v>2</v>
      </c>
      <c r="DK326" s="29">
        <f t="shared" ca="1" si="173"/>
        <v>4</v>
      </c>
      <c r="DL326" s="29">
        <f t="shared" ca="1" si="173"/>
        <v>3</v>
      </c>
    </row>
    <row r="327" spans="1:116" ht="14.4" x14ac:dyDescent="0.3">
      <c r="A327" s="31">
        <v>777</v>
      </c>
      <c r="B327" s="28">
        <v>6.53</v>
      </c>
      <c r="C327" s="30">
        <v>0.02</v>
      </c>
      <c r="D327" s="28">
        <v>1.38</v>
      </c>
      <c r="E327" s="34">
        <f t="shared" si="180"/>
        <v>2.76E-2</v>
      </c>
      <c r="F327" s="35">
        <f t="shared" si="181"/>
        <v>5.0000000000000001E-3</v>
      </c>
      <c r="G327" s="34">
        <f t="shared" si="182"/>
        <v>34.5</v>
      </c>
      <c r="H327" s="33">
        <f t="shared" si="183"/>
        <v>5.2825421133231236</v>
      </c>
      <c r="I327" s="28">
        <f t="shared" si="186"/>
        <v>1319.3700000000006</v>
      </c>
      <c r="J327" s="32">
        <v>0</v>
      </c>
      <c r="K327" s="30">
        <f t="shared" si="184"/>
        <v>34.5</v>
      </c>
      <c r="L327" s="30"/>
      <c r="M327" s="30"/>
      <c r="N327" s="30"/>
      <c r="O327" s="30"/>
      <c r="Q327" s="29">
        <f t="shared" ca="1" si="185"/>
        <v>0</v>
      </c>
      <c r="R327" s="29">
        <f t="shared" ca="1" si="177"/>
        <v>0</v>
      </c>
      <c r="S327" s="29">
        <f t="shared" ca="1" si="177"/>
        <v>3</v>
      </c>
      <c r="T327" s="29">
        <f t="shared" ca="1" si="177"/>
        <v>2</v>
      </c>
      <c r="U327" s="29">
        <f t="shared" ca="1" si="177"/>
        <v>1</v>
      </c>
      <c r="V327" s="29">
        <f t="shared" ca="1" si="177"/>
        <v>1</v>
      </c>
      <c r="W327" s="29">
        <f t="shared" ca="1" si="177"/>
        <v>1</v>
      </c>
      <c r="X327" s="29">
        <f t="shared" ca="1" si="177"/>
        <v>0</v>
      </c>
      <c r="Y327" s="29">
        <f t="shared" ca="1" si="177"/>
        <v>1</v>
      </c>
      <c r="Z327" s="29">
        <f t="shared" ca="1" si="177"/>
        <v>1</v>
      </c>
      <c r="AA327" s="29">
        <f t="shared" ca="1" si="177"/>
        <v>1</v>
      </c>
      <c r="AB327" s="29">
        <f t="shared" ca="1" si="177"/>
        <v>2</v>
      </c>
      <c r="AC327" s="29">
        <f t="shared" ca="1" si="177"/>
        <v>0</v>
      </c>
      <c r="AD327" s="29">
        <f t="shared" ca="1" si="177"/>
        <v>2</v>
      </c>
      <c r="AE327" s="29">
        <f t="shared" ca="1" si="177"/>
        <v>0</v>
      </c>
      <c r="AF327" s="29">
        <f t="shared" ca="1" si="177"/>
        <v>1</v>
      </c>
      <c r="AG327" s="29">
        <f t="shared" ca="1" si="176"/>
        <v>1</v>
      </c>
      <c r="AH327" s="29">
        <f t="shared" ca="1" si="176"/>
        <v>1</v>
      </c>
      <c r="AI327" s="29">
        <f t="shared" ca="1" si="176"/>
        <v>0</v>
      </c>
      <c r="AJ327" s="29">
        <f t="shared" ca="1" si="176"/>
        <v>3</v>
      </c>
      <c r="AK327" s="29">
        <f t="shared" ca="1" si="176"/>
        <v>1</v>
      </c>
      <c r="AL327" s="29">
        <f t="shared" ca="1" si="176"/>
        <v>1</v>
      </c>
      <c r="AM327" s="29">
        <f t="shared" ca="1" si="176"/>
        <v>0</v>
      </c>
      <c r="AN327" s="29">
        <f t="shared" ca="1" si="176"/>
        <v>1</v>
      </c>
      <c r="AO327" s="29">
        <f t="shared" ca="1" si="176"/>
        <v>1</v>
      </c>
      <c r="AP327" s="29">
        <f t="shared" ca="1" si="176"/>
        <v>1</v>
      </c>
      <c r="AQ327" s="29">
        <f t="shared" ca="1" si="176"/>
        <v>0</v>
      </c>
      <c r="AR327" s="29">
        <f t="shared" ca="1" si="176"/>
        <v>0</v>
      </c>
      <c r="AS327" s="29">
        <f t="shared" ca="1" si="176"/>
        <v>0</v>
      </c>
      <c r="AT327" s="29">
        <f t="shared" ca="1" si="176"/>
        <v>1</v>
      </c>
      <c r="AU327" s="29">
        <f t="shared" ca="1" si="176"/>
        <v>2</v>
      </c>
      <c r="AV327" s="29">
        <f t="shared" ca="1" si="179"/>
        <v>1</v>
      </c>
      <c r="AW327" s="29">
        <f t="shared" ca="1" si="179"/>
        <v>1</v>
      </c>
      <c r="AX327" s="29">
        <f t="shared" ca="1" si="179"/>
        <v>0</v>
      </c>
      <c r="AY327" s="29">
        <f t="shared" ca="1" si="179"/>
        <v>1</v>
      </c>
      <c r="AZ327" s="29">
        <f t="shared" ca="1" si="179"/>
        <v>1</v>
      </c>
      <c r="BA327" s="29">
        <f t="shared" ca="1" si="179"/>
        <v>0</v>
      </c>
      <c r="BB327" s="29">
        <f t="shared" ca="1" si="179"/>
        <v>0</v>
      </c>
      <c r="BC327" s="29">
        <f t="shared" ca="1" si="179"/>
        <v>2</v>
      </c>
      <c r="BD327" s="29">
        <f t="shared" ca="1" si="179"/>
        <v>1</v>
      </c>
      <c r="BE327" s="29">
        <f t="shared" ca="1" si="179"/>
        <v>0</v>
      </c>
      <c r="BF327" s="29">
        <f t="shared" ca="1" si="179"/>
        <v>1</v>
      </c>
      <c r="BG327" s="29">
        <f t="shared" ca="1" si="179"/>
        <v>0</v>
      </c>
      <c r="BH327" s="29">
        <f t="shared" ca="1" si="179"/>
        <v>0</v>
      </c>
      <c r="BI327" s="29">
        <f t="shared" ca="1" si="179"/>
        <v>1</v>
      </c>
      <c r="BJ327" s="29">
        <f t="shared" ca="1" si="179"/>
        <v>3</v>
      </c>
      <c r="BK327" s="29">
        <f t="shared" ca="1" si="179"/>
        <v>0</v>
      </c>
      <c r="BL327" s="29">
        <f t="shared" ca="1" si="178"/>
        <v>0</v>
      </c>
      <c r="BM327" s="29">
        <f t="shared" ca="1" si="178"/>
        <v>1</v>
      </c>
      <c r="BN327" s="29">
        <f t="shared" ca="1" si="178"/>
        <v>2</v>
      </c>
      <c r="BO327" s="29">
        <f t="shared" ca="1" si="178"/>
        <v>1</v>
      </c>
      <c r="BP327" s="29">
        <f t="shared" ca="1" si="178"/>
        <v>1</v>
      </c>
      <c r="BQ327" s="29">
        <f t="shared" ca="1" si="178"/>
        <v>2</v>
      </c>
      <c r="BR327" s="29">
        <f t="shared" ca="1" si="178"/>
        <v>2</v>
      </c>
      <c r="BS327" s="29">
        <f t="shared" ca="1" si="178"/>
        <v>1</v>
      </c>
      <c r="BT327" s="29">
        <f t="shared" ca="1" si="178"/>
        <v>0</v>
      </c>
      <c r="BU327" s="29">
        <f t="shared" ca="1" si="178"/>
        <v>1</v>
      </c>
      <c r="BV327" s="29">
        <f t="shared" ca="1" si="178"/>
        <v>5</v>
      </c>
      <c r="BW327" s="29">
        <f t="shared" ca="1" si="178"/>
        <v>2</v>
      </c>
      <c r="BX327" s="29">
        <f t="shared" ca="1" si="178"/>
        <v>0</v>
      </c>
      <c r="BY327" s="29">
        <f t="shared" ca="1" si="178"/>
        <v>0</v>
      </c>
      <c r="BZ327" s="29">
        <f t="shared" ca="1" si="178"/>
        <v>1</v>
      </c>
      <c r="CA327" s="29">
        <f t="shared" ca="1" si="188"/>
        <v>0</v>
      </c>
      <c r="CB327" s="29">
        <f t="shared" ca="1" si="188"/>
        <v>1</v>
      </c>
      <c r="CC327" s="29">
        <f t="shared" ca="1" si="188"/>
        <v>2</v>
      </c>
      <c r="CD327" s="29">
        <f t="shared" ca="1" si="188"/>
        <v>1</v>
      </c>
      <c r="CE327" s="29">
        <f t="shared" ca="1" si="188"/>
        <v>0</v>
      </c>
      <c r="CF327" s="29">
        <f t="shared" ca="1" si="188"/>
        <v>1</v>
      </c>
      <c r="CG327" s="29">
        <f t="shared" ca="1" si="188"/>
        <v>3</v>
      </c>
      <c r="CH327" s="29">
        <f t="shared" ca="1" si="188"/>
        <v>1</v>
      </c>
      <c r="CI327" s="29">
        <f t="shared" ca="1" si="188"/>
        <v>0</v>
      </c>
      <c r="CJ327" s="29">
        <f t="shared" ca="1" si="188"/>
        <v>1</v>
      </c>
      <c r="CK327" s="29">
        <f t="shared" ca="1" si="188"/>
        <v>1</v>
      </c>
      <c r="CL327" s="29">
        <f t="shared" ca="1" si="188"/>
        <v>2</v>
      </c>
      <c r="CM327" s="29">
        <f t="shared" ca="1" si="188"/>
        <v>0</v>
      </c>
      <c r="CN327" s="29">
        <f t="shared" ca="1" si="188"/>
        <v>0</v>
      </c>
      <c r="CO327" s="29">
        <f t="shared" ca="1" si="188"/>
        <v>1</v>
      </c>
      <c r="CP327" s="29">
        <f t="shared" ca="1" si="188"/>
        <v>0</v>
      </c>
      <c r="CQ327" s="29">
        <f t="shared" ca="1" si="187"/>
        <v>2</v>
      </c>
      <c r="CR327" s="29">
        <f t="shared" ca="1" si="187"/>
        <v>2</v>
      </c>
      <c r="CS327" s="29">
        <f t="shared" ca="1" si="187"/>
        <v>1</v>
      </c>
      <c r="CT327" s="29">
        <f t="shared" ca="1" si="187"/>
        <v>0</v>
      </c>
      <c r="CU327" s="29">
        <f t="shared" ca="1" si="187"/>
        <v>1</v>
      </c>
      <c r="CV327" s="29">
        <f t="shared" ca="1" si="187"/>
        <v>1</v>
      </c>
      <c r="CW327" s="29">
        <f t="shared" ca="1" si="187"/>
        <v>3</v>
      </c>
      <c r="CX327" s="29">
        <f t="shared" ca="1" si="187"/>
        <v>0</v>
      </c>
      <c r="CY327" s="29">
        <f t="shared" ca="1" si="187"/>
        <v>2</v>
      </c>
      <c r="CZ327" s="29">
        <f t="shared" ca="1" si="187"/>
        <v>0</v>
      </c>
      <c r="DA327" s="29">
        <f t="shared" ca="1" si="187"/>
        <v>2</v>
      </c>
      <c r="DB327" s="29">
        <f t="shared" ca="1" si="187"/>
        <v>1</v>
      </c>
      <c r="DC327" s="29">
        <f t="shared" ca="1" si="187"/>
        <v>2</v>
      </c>
      <c r="DD327" s="29">
        <f t="shared" ca="1" si="187"/>
        <v>0</v>
      </c>
      <c r="DE327" s="29">
        <f t="shared" ca="1" si="187"/>
        <v>1</v>
      </c>
      <c r="DF327" s="29">
        <f t="shared" ca="1" si="173"/>
        <v>0</v>
      </c>
      <c r="DG327" s="29">
        <f t="shared" ca="1" si="173"/>
        <v>2</v>
      </c>
      <c r="DH327" s="29">
        <f t="shared" ca="1" si="173"/>
        <v>1</v>
      </c>
      <c r="DI327" s="29">
        <f t="shared" ca="1" si="173"/>
        <v>0</v>
      </c>
      <c r="DJ327" s="29">
        <f t="shared" ca="1" si="173"/>
        <v>1</v>
      </c>
      <c r="DK327" s="29">
        <f t="shared" ca="1" si="173"/>
        <v>0</v>
      </c>
      <c r="DL327" s="29">
        <f t="shared" ca="1" si="173"/>
        <v>0</v>
      </c>
    </row>
    <row r="328" spans="1:116" ht="14.4" x14ac:dyDescent="0.3">
      <c r="A328" s="31">
        <v>832</v>
      </c>
      <c r="B328" s="28">
        <v>2.5499999999999998</v>
      </c>
      <c r="C328" s="30">
        <v>82.21</v>
      </c>
      <c r="D328" s="28">
        <v>1.36</v>
      </c>
      <c r="E328" s="34">
        <f t="shared" si="180"/>
        <v>2.7200000000000002E-2</v>
      </c>
      <c r="F328" s="35">
        <f t="shared" si="181"/>
        <v>20.552499999999998</v>
      </c>
      <c r="G328" s="34">
        <f t="shared" si="182"/>
        <v>34</v>
      </c>
      <c r="H328" s="33">
        <f t="shared" si="183"/>
        <v>5.2735294117647067</v>
      </c>
      <c r="I328" s="28">
        <f t="shared" si="186"/>
        <v>1321.9200000000005</v>
      </c>
      <c r="J328" s="32">
        <v>0</v>
      </c>
      <c r="K328" s="30">
        <f t="shared" si="184"/>
        <v>34</v>
      </c>
      <c r="L328" s="30"/>
      <c r="M328" s="30"/>
      <c r="N328" s="30"/>
      <c r="O328" s="30"/>
      <c r="Q328" s="29">
        <f t="shared" ca="1" si="185"/>
        <v>0</v>
      </c>
      <c r="R328" s="29">
        <f t="shared" ca="1" si="177"/>
        <v>0</v>
      </c>
      <c r="S328" s="29">
        <f t="shared" ca="1" si="177"/>
        <v>1</v>
      </c>
      <c r="T328" s="29">
        <f t="shared" ca="1" si="177"/>
        <v>3</v>
      </c>
      <c r="U328" s="29">
        <f t="shared" ca="1" si="177"/>
        <v>0</v>
      </c>
      <c r="V328" s="29">
        <f t="shared" ca="1" si="177"/>
        <v>0</v>
      </c>
      <c r="W328" s="29">
        <f t="shared" ca="1" si="177"/>
        <v>1</v>
      </c>
      <c r="X328" s="29">
        <f t="shared" ca="1" si="177"/>
        <v>3</v>
      </c>
      <c r="Y328" s="29">
        <f t="shared" ca="1" si="177"/>
        <v>2</v>
      </c>
      <c r="Z328" s="29">
        <f t="shared" ca="1" si="177"/>
        <v>1</v>
      </c>
      <c r="AA328" s="29">
        <f t="shared" ca="1" si="177"/>
        <v>2</v>
      </c>
      <c r="AB328" s="29">
        <f t="shared" ca="1" si="177"/>
        <v>2</v>
      </c>
      <c r="AC328" s="29">
        <f t="shared" ca="1" si="177"/>
        <v>1</v>
      </c>
      <c r="AD328" s="29">
        <f t="shared" ca="1" si="177"/>
        <v>2</v>
      </c>
      <c r="AE328" s="29">
        <f t="shared" ca="1" si="177"/>
        <v>0</v>
      </c>
      <c r="AF328" s="29">
        <f t="shared" ca="1" si="177"/>
        <v>1</v>
      </c>
      <c r="AG328" s="29">
        <f t="shared" ca="1" si="176"/>
        <v>0</v>
      </c>
      <c r="AH328" s="29">
        <f t="shared" ca="1" si="176"/>
        <v>1</v>
      </c>
      <c r="AI328" s="29">
        <f t="shared" ca="1" si="176"/>
        <v>1</v>
      </c>
      <c r="AJ328" s="29">
        <f t="shared" ca="1" si="176"/>
        <v>2</v>
      </c>
      <c r="AK328" s="29">
        <f t="shared" ca="1" si="176"/>
        <v>1</v>
      </c>
      <c r="AL328" s="29">
        <f t="shared" ca="1" si="176"/>
        <v>1</v>
      </c>
      <c r="AM328" s="29">
        <f t="shared" ca="1" si="176"/>
        <v>3</v>
      </c>
      <c r="AN328" s="29">
        <f t="shared" ca="1" si="176"/>
        <v>2</v>
      </c>
      <c r="AO328" s="29">
        <f t="shared" ca="1" si="176"/>
        <v>3</v>
      </c>
      <c r="AP328" s="29">
        <f t="shared" ca="1" si="176"/>
        <v>1</v>
      </c>
      <c r="AQ328" s="29">
        <f t="shared" ca="1" si="176"/>
        <v>2</v>
      </c>
      <c r="AR328" s="29">
        <f t="shared" ca="1" si="176"/>
        <v>1</v>
      </c>
      <c r="AS328" s="29">
        <f t="shared" ca="1" si="176"/>
        <v>2</v>
      </c>
      <c r="AT328" s="29">
        <f t="shared" ca="1" si="176"/>
        <v>3</v>
      </c>
      <c r="AU328" s="29">
        <f t="shared" ca="1" si="176"/>
        <v>1</v>
      </c>
      <c r="AV328" s="29">
        <f t="shared" ca="1" si="179"/>
        <v>0</v>
      </c>
      <c r="AW328" s="29">
        <f t="shared" ca="1" si="179"/>
        <v>2</v>
      </c>
      <c r="AX328" s="29">
        <f t="shared" ca="1" si="179"/>
        <v>3</v>
      </c>
      <c r="AY328" s="29">
        <f t="shared" ca="1" si="179"/>
        <v>3</v>
      </c>
      <c r="AZ328" s="29">
        <f t="shared" ca="1" si="179"/>
        <v>1</v>
      </c>
      <c r="BA328" s="29">
        <f t="shared" ca="1" si="179"/>
        <v>1</v>
      </c>
      <c r="BB328" s="29">
        <f t="shared" ca="1" si="179"/>
        <v>2</v>
      </c>
      <c r="BC328" s="29">
        <f t="shared" ca="1" si="179"/>
        <v>3</v>
      </c>
      <c r="BD328" s="29">
        <f t="shared" ca="1" si="179"/>
        <v>2</v>
      </c>
      <c r="BE328" s="29">
        <f t="shared" ca="1" si="179"/>
        <v>0</v>
      </c>
      <c r="BF328" s="29">
        <f t="shared" ca="1" si="179"/>
        <v>1</v>
      </c>
      <c r="BG328" s="29">
        <f t="shared" ca="1" si="179"/>
        <v>3</v>
      </c>
      <c r="BH328" s="29">
        <f t="shared" ca="1" si="179"/>
        <v>0</v>
      </c>
      <c r="BI328" s="29">
        <f t="shared" ca="1" si="179"/>
        <v>1</v>
      </c>
      <c r="BJ328" s="29">
        <f t="shared" ca="1" si="179"/>
        <v>5</v>
      </c>
      <c r="BK328" s="29">
        <f t="shared" ca="1" si="179"/>
        <v>1</v>
      </c>
      <c r="BL328" s="29">
        <f t="shared" ca="1" si="178"/>
        <v>1</v>
      </c>
      <c r="BM328" s="29">
        <f t="shared" ca="1" si="178"/>
        <v>1</v>
      </c>
      <c r="BN328" s="29">
        <f t="shared" ca="1" si="178"/>
        <v>0</v>
      </c>
      <c r="BO328" s="29">
        <f t="shared" ca="1" si="178"/>
        <v>1</v>
      </c>
      <c r="BP328" s="29">
        <f t="shared" ca="1" si="178"/>
        <v>2</v>
      </c>
      <c r="BQ328" s="29">
        <f t="shared" ca="1" si="178"/>
        <v>4</v>
      </c>
      <c r="BR328" s="29">
        <f t="shared" ca="1" si="178"/>
        <v>1</v>
      </c>
      <c r="BS328" s="29">
        <f t="shared" ca="1" si="178"/>
        <v>3</v>
      </c>
      <c r="BT328" s="29">
        <f t="shared" ca="1" si="178"/>
        <v>0</v>
      </c>
      <c r="BU328" s="29">
        <f t="shared" ca="1" si="178"/>
        <v>2</v>
      </c>
      <c r="BV328" s="29">
        <f t="shared" ca="1" si="178"/>
        <v>4</v>
      </c>
      <c r="BW328" s="29">
        <f t="shared" ca="1" si="178"/>
        <v>2</v>
      </c>
      <c r="BX328" s="29">
        <f t="shared" ca="1" si="178"/>
        <v>2</v>
      </c>
      <c r="BY328" s="29">
        <f t="shared" ca="1" si="178"/>
        <v>0</v>
      </c>
      <c r="BZ328" s="29">
        <f t="shared" ca="1" si="178"/>
        <v>1</v>
      </c>
      <c r="CA328" s="29">
        <f t="shared" ca="1" si="188"/>
        <v>2</v>
      </c>
      <c r="CB328" s="29">
        <f t="shared" ca="1" si="188"/>
        <v>3</v>
      </c>
      <c r="CC328" s="29">
        <f t="shared" ca="1" si="188"/>
        <v>0</v>
      </c>
      <c r="CD328" s="29">
        <f t="shared" ca="1" si="188"/>
        <v>2</v>
      </c>
      <c r="CE328" s="29">
        <f t="shared" ca="1" si="188"/>
        <v>2</v>
      </c>
      <c r="CF328" s="29">
        <f t="shared" ca="1" si="188"/>
        <v>2</v>
      </c>
      <c r="CG328" s="29">
        <f t="shared" ca="1" si="188"/>
        <v>0</v>
      </c>
      <c r="CH328" s="29">
        <f t="shared" ca="1" si="188"/>
        <v>3</v>
      </c>
      <c r="CI328" s="29">
        <f t="shared" ca="1" si="188"/>
        <v>2</v>
      </c>
      <c r="CJ328" s="29">
        <f t="shared" ca="1" si="188"/>
        <v>1</v>
      </c>
      <c r="CK328" s="29">
        <f t="shared" ca="1" si="188"/>
        <v>1</v>
      </c>
      <c r="CL328" s="29">
        <f t="shared" ca="1" si="188"/>
        <v>0</v>
      </c>
      <c r="CM328" s="29">
        <f t="shared" ca="1" si="188"/>
        <v>1</v>
      </c>
      <c r="CN328" s="29">
        <f t="shared" ca="1" si="188"/>
        <v>0</v>
      </c>
      <c r="CO328" s="29">
        <f t="shared" ca="1" si="188"/>
        <v>2</v>
      </c>
      <c r="CP328" s="29">
        <f t="shared" ca="1" si="188"/>
        <v>0</v>
      </c>
      <c r="CQ328" s="29">
        <f t="shared" ca="1" si="187"/>
        <v>1</v>
      </c>
      <c r="CR328" s="29">
        <f t="shared" ca="1" si="187"/>
        <v>3</v>
      </c>
      <c r="CS328" s="29">
        <f t="shared" ca="1" si="187"/>
        <v>0</v>
      </c>
      <c r="CT328" s="29">
        <f t="shared" ca="1" si="187"/>
        <v>0</v>
      </c>
      <c r="CU328" s="29">
        <f t="shared" ca="1" si="187"/>
        <v>0</v>
      </c>
      <c r="CV328" s="29">
        <f t="shared" ca="1" si="187"/>
        <v>0</v>
      </c>
      <c r="CW328" s="29">
        <f t="shared" ca="1" si="187"/>
        <v>2</v>
      </c>
      <c r="CX328" s="29">
        <f t="shared" ca="1" si="187"/>
        <v>1</v>
      </c>
      <c r="CY328" s="29">
        <f t="shared" ca="1" si="187"/>
        <v>1</v>
      </c>
      <c r="CZ328" s="29">
        <f t="shared" ca="1" si="187"/>
        <v>1</v>
      </c>
      <c r="DA328" s="29">
        <f t="shared" ca="1" si="187"/>
        <v>2</v>
      </c>
      <c r="DB328" s="29">
        <f t="shared" ca="1" si="187"/>
        <v>0</v>
      </c>
      <c r="DC328" s="29">
        <f t="shared" ca="1" si="187"/>
        <v>1</v>
      </c>
      <c r="DD328" s="29">
        <f t="shared" ca="1" si="187"/>
        <v>3</v>
      </c>
      <c r="DE328" s="29">
        <f t="shared" ca="1" si="187"/>
        <v>2</v>
      </c>
      <c r="DF328" s="29">
        <f t="shared" ca="1" si="173"/>
        <v>4</v>
      </c>
      <c r="DG328" s="29">
        <f t="shared" ca="1" si="173"/>
        <v>0</v>
      </c>
      <c r="DH328" s="29">
        <f t="shared" ca="1" si="173"/>
        <v>2</v>
      </c>
      <c r="DI328" s="29">
        <f t="shared" ca="1" si="173"/>
        <v>3</v>
      </c>
      <c r="DJ328" s="29">
        <f t="shared" ca="1" si="173"/>
        <v>3</v>
      </c>
      <c r="DK328" s="29">
        <f t="shared" ca="1" si="173"/>
        <v>1</v>
      </c>
      <c r="DL328" s="29">
        <f t="shared" ca="1" si="173"/>
        <v>3</v>
      </c>
    </row>
    <row r="329" spans="1:116" ht="14.4" x14ac:dyDescent="0.3">
      <c r="A329" s="31">
        <v>478</v>
      </c>
      <c r="B329" s="28">
        <v>0.93</v>
      </c>
      <c r="C329" s="30">
        <v>75.39</v>
      </c>
      <c r="D329" s="28">
        <v>0.95</v>
      </c>
      <c r="E329" s="34">
        <f t="shared" si="180"/>
        <v>1.9E-2</v>
      </c>
      <c r="F329" s="35">
        <f t="shared" si="181"/>
        <v>18.8475</v>
      </c>
      <c r="G329" s="34">
        <f t="shared" si="182"/>
        <v>23.75</v>
      </c>
      <c r="H329" s="33">
        <f t="shared" si="183"/>
        <v>5.271505376344086</v>
      </c>
      <c r="I329" s="28">
        <f t="shared" si="186"/>
        <v>1322.8500000000006</v>
      </c>
      <c r="J329" s="32">
        <v>0</v>
      </c>
      <c r="K329" s="30">
        <f t="shared" si="184"/>
        <v>23.75</v>
      </c>
      <c r="L329" s="30"/>
      <c r="M329" s="30"/>
      <c r="N329" s="30"/>
      <c r="O329" s="30"/>
      <c r="Q329" s="29">
        <f t="shared" ca="1" si="185"/>
        <v>2</v>
      </c>
      <c r="R329" s="29">
        <f t="shared" ca="1" si="177"/>
        <v>0</v>
      </c>
      <c r="S329" s="29">
        <f t="shared" ca="1" si="177"/>
        <v>0</v>
      </c>
      <c r="T329" s="29">
        <f t="shared" ca="1" si="177"/>
        <v>1</v>
      </c>
      <c r="U329" s="29">
        <f t="shared" ca="1" si="177"/>
        <v>2</v>
      </c>
      <c r="V329" s="29">
        <f t="shared" ca="1" si="177"/>
        <v>2</v>
      </c>
      <c r="W329" s="29">
        <f t="shared" ca="1" si="177"/>
        <v>0</v>
      </c>
      <c r="X329" s="29">
        <f t="shared" ca="1" si="177"/>
        <v>1</v>
      </c>
      <c r="Y329" s="29">
        <f t="shared" ca="1" si="177"/>
        <v>0</v>
      </c>
      <c r="Z329" s="29">
        <f t="shared" ca="1" si="177"/>
        <v>1</v>
      </c>
      <c r="AA329" s="29">
        <f t="shared" ca="1" si="177"/>
        <v>0</v>
      </c>
      <c r="AB329" s="29">
        <f t="shared" ca="1" si="177"/>
        <v>0</v>
      </c>
      <c r="AC329" s="29">
        <f t="shared" ca="1" si="177"/>
        <v>2</v>
      </c>
      <c r="AD329" s="29">
        <f t="shared" ca="1" si="177"/>
        <v>2</v>
      </c>
      <c r="AE329" s="29">
        <f t="shared" ca="1" si="177"/>
        <v>1</v>
      </c>
      <c r="AF329" s="29">
        <f t="shared" ref="AF329:AU344" ca="1" si="189">_xlfn.BINOM.INV(50,$E329,RAND())</f>
        <v>0</v>
      </c>
      <c r="AG329" s="29">
        <f t="shared" ca="1" si="189"/>
        <v>0</v>
      </c>
      <c r="AH329" s="29">
        <f t="shared" ca="1" si="189"/>
        <v>1</v>
      </c>
      <c r="AI329" s="29">
        <f t="shared" ca="1" si="189"/>
        <v>1</v>
      </c>
      <c r="AJ329" s="29">
        <f t="shared" ca="1" si="189"/>
        <v>0</v>
      </c>
      <c r="AK329" s="29">
        <f t="shared" ca="1" si="189"/>
        <v>2</v>
      </c>
      <c r="AL329" s="29">
        <f t="shared" ca="1" si="189"/>
        <v>1</v>
      </c>
      <c r="AM329" s="29">
        <f t="shared" ca="1" si="189"/>
        <v>3</v>
      </c>
      <c r="AN329" s="29">
        <f t="shared" ca="1" si="189"/>
        <v>0</v>
      </c>
      <c r="AO329" s="29">
        <f t="shared" ca="1" si="189"/>
        <v>0</v>
      </c>
      <c r="AP329" s="29">
        <f t="shared" ca="1" si="189"/>
        <v>0</v>
      </c>
      <c r="AQ329" s="29">
        <f t="shared" ca="1" si="189"/>
        <v>1</v>
      </c>
      <c r="AR329" s="29">
        <f t="shared" ca="1" si="189"/>
        <v>0</v>
      </c>
      <c r="AS329" s="29">
        <f t="shared" ca="1" si="189"/>
        <v>1</v>
      </c>
      <c r="AT329" s="29">
        <f t="shared" ca="1" si="189"/>
        <v>0</v>
      </c>
      <c r="AU329" s="29">
        <f t="shared" ca="1" si="189"/>
        <v>3</v>
      </c>
      <c r="AV329" s="29">
        <f t="shared" ca="1" si="179"/>
        <v>0</v>
      </c>
      <c r="AW329" s="29">
        <f t="shared" ca="1" si="179"/>
        <v>1</v>
      </c>
      <c r="AX329" s="29">
        <f t="shared" ca="1" si="179"/>
        <v>1</v>
      </c>
      <c r="AY329" s="29">
        <f t="shared" ca="1" si="179"/>
        <v>1</v>
      </c>
      <c r="AZ329" s="29">
        <f t="shared" ca="1" si="179"/>
        <v>0</v>
      </c>
      <c r="BA329" s="29">
        <f t="shared" ca="1" si="179"/>
        <v>1</v>
      </c>
      <c r="BB329" s="29">
        <f t="shared" ca="1" si="179"/>
        <v>0</v>
      </c>
      <c r="BC329" s="29">
        <f t="shared" ca="1" si="179"/>
        <v>1</v>
      </c>
      <c r="BD329" s="29">
        <f t="shared" ca="1" si="179"/>
        <v>0</v>
      </c>
      <c r="BE329" s="29">
        <f t="shared" ca="1" si="179"/>
        <v>1</v>
      </c>
      <c r="BF329" s="29">
        <f t="shared" ca="1" si="179"/>
        <v>3</v>
      </c>
      <c r="BG329" s="29">
        <f t="shared" ca="1" si="179"/>
        <v>0</v>
      </c>
      <c r="BH329" s="29">
        <f t="shared" ca="1" si="179"/>
        <v>0</v>
      </c>
      <c r="BI329" s="29">
        <f t="shared" ca="1" si="179"/>
        <v>1</v>
      </c>
      <c r="BJ329" s="29">
        <f t="shared" ca="1" si="179"/>
        <v>0</v>
      </c>
      <c r="BK329" s="29">
        <f t="shared" ca="1" si="179"/>
        <v>0</v>
      </c>
      <c r="BL329" s="29">
        <f t="shared" ca="1" si="178"/>
        <v>1</v>
      </c>
      <c r="BM329" s="29">
        <f t="shared" ca="1" si="178"/>
        <v>3</v>
      </c>
      <c r="BN329" s="29">
        <f t="shared" ca="1" si="178"/>
        <v>1</v>
      </c>
      <c r="BO329" s="29">
        <f t="shared" ca="1" si="178"/>
        <v>2</v>
      </c>
      <c r="BP329" s="29">
        <f t="shared" ca="1" si="178"/>
        <v>0</v>
      </c>
      <c r="BQ329" s="29">
        <f t="shared" ca="1" si="178"/>
        <v>0</v>
      </c>
      <c r="BR329" s="29">
        <f t="shared" ca="1" si="178"/>
        <v>0</v>
      </c>
      <c r="BS329" s="29">
        <f t="shared" ca="1" si="178"/>
        <v>0</v>
      </c>
      <c r="BT329" s="29">
        <f t="shared" ca="1" si="178"/>
        <v>0</v>
      </c>
      <c r="BU329" s="29">
        <f t="shared" ca="1" si="178"/>
        <v>0</v>
      </c>
      <c r="BV329" s="29">
        <f t="shared" ca="1" si="178"/>
        <v>1</v>
      </c>
      <c r="BW329" s="29">
        <f t="shared" ca="1" si="178"/>
        <v>3</v>
      </c>
      <c r="BX329" s="29">
        <f t="shared" ca="1" si="178"/>
        <v>1</v>
      </c>
      <c r="BY329" s="29">
        <f t="shared" ca="1" si="178"/>
        <v>2</v>
      </c>
      <c r="BZ329" s="29">
        <f t="shared" ca="1" si="178"/>
        <v>2</v>
      </c>
      <c r="CA329" s="29">
        <f t="shared" ca="1" si="188"/>
        <v>2</v>
      </c>
      <c r="CB329" s="29">
        <f t="shared" ca="1" si="188"/>
        <v>0</v>
      </c>
      <c r="CC329" s="29">
        <f t="shared" ca="1" si="188"/>
        <v>0</v>
      </c>
      <c r="CD329" s="29">
        <f t="shared" ca="1" si="188"/>
        <v>0</v>
      </c>
      <c r="CE329" s="29">
        <f t="shared" ca="1" si="188"/>
        <v>4</v>
      </c>
      <c r="CF329" s="29">
        <f t="shared" ca="1" si="188"/>
        <v>0</v>
      </c>
      <c r="CG329" s="29">
        <f t="shared" ca="1" si="188"/>
        <v>0</v>
      </c>
      <c r="CH329" s="29">
        <f t="shared" ca="1" si="188"/>
        <v>1</v>
      </c>
      <c r="CI329" s="29">
        <f t="shared" ca="1" si="188"/>
        <v>1</v>
      </c>
      <c r="CJ329" s="29">
        <f t="shared" ca="1" si="188"/>
        <v>0</v>
      </c>
      <c r="CK329" s="29">
        <f t="shared" ca="1" si="188"/>
        <v>1</v>
      </c>
      <c r="CL329" s="29">
        <f t="shared" ca="1" si="188"/>
        <v>0</v>
      </c>
      <c r="CM329" s="29">
        <f t="shared" ca="1" si="188"/>
        <v>2</v>
      </c>
      <c r="CN329" s="29">
        <f t="shared" ca="1" si="188"/>
        <v>1</v>
      </c>
      <c r="CO329" s="29">
        <f t="shared" ca="1" si="188"/>
        <v>0</v>
      </c>
      <c r="CP329" s="29">
        <f t="shared" ca="1" si="188"/>
        <v>0</v>
      </c>
      <c r="CQ329" s="29">
        <f t="shared" ca="1" si="187"/>
        <v>1</v>
      </c>
      <c r="CR329" s="29">
        <f t="shared" ca="1" si="187"/>
        <v>0</v>
      </c>
      <c r="CS329" s="29">
        <f t="shared" ca="1" si="187"/>
        <v>1</v>
      </c>
      <c r="CT329" s="29">
        <f t="shared" ca="1" si="187"/>
        <v>1</v>
      </c>
      <c r="CU329" s="29">
        <f t="shared" ca="1" si="187"/>
        <v>2</v>
      </c>
      <c r="CV329" s="29">
        <f t="shared" ca="1" si="187"/>
        <v>1</v>
      </c>
      <c r="CW329" s="29">
        <f t="shared" ca="1" si="187"/>
        <v>0</v>
      </c>
      <c r="CX329" s="29">
        <f t="shared" ca="1" si="187"/>
        <v>1</v>
      </c>
      <c r="CY329" s="29">
        <f t="shared" ca="1" si="187"/>
        <v>2</v>
      </c>
      <c r="CZ329" s="29">
        <f t="shared" ca="1" si="187"/>
        <v>1</v>
      </c>
      <c r="DA329" s="29">
        <f t="shared" ca="1" si="187"/>
        <v>1</v>
      </c>
      <c r="DB329" s="29">
        <f t="shared" ca="1" si="187"/>
        <v>1</v>
      </c>
      <c r="DC329" s="29">
        <f t="shared" ca="1" si="187"/>
        <v>0</v>
      </c>
      <c r="DD329" s="29">
        <f t="shared" ca="1" si="187"/>
        <v>1</v>
      </c>
      <c r="DE329" s="29">
        <f t="shared" ca="1" si="187"/>
        <v>0</v>
      </c>
      <c r="DF329" s="29">
        <f t="shared" ca="1" si="173"/>
        <v>0</v>
      </c>
      <c r="DG329" s="29">
        <f t="shared" ca="1" si="173"/>
        <v>2</v>
      </c>
      <c r="DH329" s="29">
        <f t="shared" ca="1" si="173"/>
        <v>1</v>
      </c>
      <c r="DI329" s="29">
        <f t="shared" ca="1" si="173"/>
        <v>1</v>
      </c>
      <c r="DJ329" s="29">
        <f t="shared" ca="1" si="173"/>
        <v>1</v>
      </c>
      <c r="DK329" s="29">
        <f t="shared" ca="1" si="173"/>
        <v>1</v>
      </c>
      <c r="DL329" s="29">
        <f t="shared" ca="1" si="173"/>
        <v>1</v>
      </c>
    </row>
    <row r="330" spans="1:116" ht="14.4" x14ac:dyDescent="0.3">
      <c r="A330" s="31">
        <v>128</v>
      </c>
      <c r="B330" s="28">
        <v>2.84</v>
      </c>
      <c r="C330" s="30">
        <v>41.02</v>
      </c>
      <c r="D330" s="28">
        <v>0.98</v>
      </c>
      <c r="E330" s="34">
        <f t="shared" si="180"/>
        <v>1.9599999999999999E-2</v>
      </c>
      <c r="F330" s="35">
        <f t="shared" si="181"/>
        <v>10.255000000000001</v>
      </c>
      <c r="G330" s="34">
        <f t="shared" si="182"/>
        <v>24.5</v>
      </c>
      <c r="H330" s="33">
        <f t="shared" si="183"/>
        <v>5.015845070422535</v>
      </c>
      <c r="I330" s="28">
        <f t="shared" si="186"/>
        <v>1325.6900000000005</v>
      </c>
      <c r="J330" s="32">
        <v>0</v>
      </c>
      <c r="K330" s="30">
        <f t="shared" si="184"/>
        <v>24.5</v>
      </c>
      <c r="L330" s="30"/>
      <c r="M330" s="30"/>
      <c r="N330" s="30"/>
      <c r="O330" s="30"/>
      <c r="Q330" s="29">
        <f t="shared" ca="1" si="185"/>
        <v>0</v>
      </c>
      <c r="R330" s="29">
        <f t="shared" ref="R330:AF345" ca="1" si="190">_xlfn.BINOM.INV(50,$E330,RAND())</f>
        <v>2</v>
      </c>
      <c r="S330" s="29">
        <f t="shared" ca="1" si="190"/>
        <v>1</v>
      </c>
      <c r="T330" s="29">
        <f t="shared" ca="1" si="190"/>
        <v>0</v>
      </c>
      <c r="U330" s="29">
        <f t="shared" ca="1" si="190"/>
        <v>1</v>
      </c>
      <c r="V330" s="29">
        <f t="shared" ca="1" si="190"/>
        <v>2</v>
      </c>
      <c r="W330" s="29">
        <f t="shared" ca="1" si="190"/>
        <v>2</v>
      </c>
      <c r="X330" s="29">
        <f t="shared" ca="1" si="190"/>
        <v>1</v>
      </c>
      <c r="Y330" s="29">
        <f t="shared" ca="1" si="190"/>
        <v>3</v>
      </c>
      <c r="Z330" s="29">
        <f t="shared" ca="1" si="190"/>
        <v>1</v>
      </c>
      <c r="AA330" s="29">
        <f t="shared" ca="1" si="190"/>
        <v>0</v>
      </c>
      <c r="AB330" s="29">
        <f t="shared" ca="1" si="190"/>
        <v>2</v>
      </c>
      <c r="AC330" s="29">
        <f t="shared" ca="1" si="190"/>
        <v>0</v>
      </c>
      <c r="AD330" s="29">
        <f t="shared" ca="1" si="190"/>
        <v>1</v>
      </c>
      <c r="AE330" s="29">
        <f t="shared" ca="1" si="190"/>
        <v>0</v>
      </c>
      <c r="AF330" s="29">
        <f t="shared" ca="1" si="190"/>
        <v>1</v>
      </c>
      <c r="AG330" s="29">
        <f t="shared" ca="1" si="189"/>
        <v>0</v>
      </c>
      <c r="AH330" s="29">
        <f t="shared" ca="1" si="189"/>
        <v>2</v>
      </c>
      <c r="AI330" s="29">
        <f t="shared" ca="1" si="189"/>
        <v>0</v>
      </c>
      <c r="AJ330" s="29">
        <f t="shared" ca="1" si="189"/>
        <v>2</v>
      </c>
      <c r="AK330" s="29">
        <f t="shared" ca="1" si="189"/>
        <v>0</v>
      </c>
      <c r="AL330" s="29">
        <f t="shared" ca="1" si="189"/>
        <v>1</v>
      </c>
      <c r="AM330" s="29">
        <f t="shared" ca="1" si="189"/>
        <v>3</v>
      </c>
      <c r="AN330" s="29">
        <f t="shared" ca="1" si="189"/>
        <v>1</v>
      </c>
      <c r="AO330" s="29">
        <f t="shared" ca="1" si="189"/>
        <v>0</v>
      </c>
      <c r="AP330" s="29">
        <f t="shared" ca="1" si="189"/>
        <v>0</v>
      </c>
      <c r="AQ330" s="29">
        <f t="shared" ca="1" si="189"/>
        <v>0</v>
      </c>
      <c r="AR330" s="29">
        <f t="shared" ca="1" si="189"/>
        <v>0</v>
      </c>
      <c r="AS330" s="29">
        <f t="shared" ca="1" si="189"/>
        <v>1</v>
      </c>
      <c r="AT330" s="29">
        <f t="shared" ca="1" si="189"/>
        <v>0</v>
      </c>
      <c r="AU330" s="29">
        <f t="shared" ca="1" si="189"/>
        <v>2</v>
      </c>
      <c r="AV330" s="29">
        <f t="shared" ca="1" si="179"/>
        <v>0</v>
      </c>
      <c r="AW330" s="29">
        <f t="shared" ca="1" si="179"/>
        <v>1</v>
      </c>
      <c r="AX330" s="29">
        <f t="shared" ca="1" si="179"/>
        <v>1</v>
      </c>
      <c r="AY330" s="29">
        <f t="shared" ca="1" si="179"/>
        <v>2</v>
      </c>
      <c r="AZ330" s="29">
        <f t="shared" ca="1" si="179"/>
        <v>2</v>
      </c>
      <c r="BA330" s="29">
        <f t="shared" ca="1" si="179"/>
        <v>0</v>
      </c>
      <c r="BB330" s="29">
        <f t="shared" ca="1" si="179"/>
        <v>1</v>
      </c>
      <c r="BC330" s="29">
        <f t="shared" ca="1" si="179"/>
        <v>0</v>
      </c>
      <c r="BD330" s="29">
        <f t="shared" ca="1" si="179"/>
        <v>0</v>
      </c>
      <c r="BE330" s="29">
        <f t="shared" ca="1" si="179"/>
        <v>2</v>
      </c>
      <c r="BF330" s="29">
        <f t="shared" ca="1" si="179"/>
        <v>2</v>
      </c>
      <c r="BG330" s="29">
        <f t="shared" ca="1" si="179"/>
        <v>0</v>
      </c>
      <c r="BH330" s="29">
        <f t="shared" ca="1" si="179"/>
        <v>0</v>
      </c>
      <c r="BI330" s="29">
        <f t="shared" ca="1" si="179"/>
        <v>0</v>
      </c>
      <c r="BJ330" s="29">
        <f t="shared" ca="1" si="179"/>
        <v>1</v>
      </c>
      <c r="BK330" s="29">
        <f t="shared" ca="1" si="179"/>
        <v>3</v>
      </c>
      <c r="BL330" s="29">
        <f t="shared" ca="1" si="178"/>
        <v>2</v>
      </c>
      <c r="BM330" s="29">
        <f t="shared" ca="1" si="178"/>
        <v>2</v>
      </c>
      <c r="BN330" s="29">
        <f t="shared" ca="1" si="178"/>
        <v>2</v>
      </c>
      <c r="BO330" s="29">
        <f t="shared" ca="1" si="178"/>
        <v>1</v>
      </c>
      <c r="BP330" s="29">
        <f t="shared" ca="1" si="178"/>
        <v>1</v>
      </c>
      <c r="BQ330" s="29">
        <f t="shared" ca="1" si="178"/>
        <v>1</v>
      </c>
      <c r="BR330" s="29">
        <f t="shared" ca="1" si="178"/>
        <v>0</v>
      </c>
      <c r="BS330" s="29">
        <f t="shared" ca="1" si="178"/>
        <v>0</v>
      </c>
      <c r="BT330" s="29">
        <f t="shared" ca="1" si="178"/>
        <v>1</v>
      </c>
      <c r="BU330" s="29">
        <f t="shared" ca="1" si="178"/>
        <v>1</v>
      </c>
      <c r="BV330" s="29">
        <f t="shared" ca="1" si="178"/>
        <v>0</v>
      </c>
      <c r="BW330" s="29">
        <f t="shared" ca="1" si="178"/>
        <v>3</v>
      </c>
      <c r="BX330" s="29">
        <f t="shared" ca="1" si="178"/>
        <v>1</v>
      </c>
      <c r="BY330" s="29">
        <f t="shared" ca="1" si="178"/>
        <v>2</v>
      </c>
      <c r="BZ330" s="29">
        <f t="shared" ca="1" si="178"/>
        <v>1</v>
      </c>
      <c r="CA330" s="29">
        <f t="shared" ca="1" si="188"/>
        <v>1</v>
      </c>
      <c r="CB330" s="29">
        <f t="shared" ca="1" si="188"/>
        <v>0</v>
      </c>
      <c r="CC330" s="29">
        <f t="shared" ca="1" si="188"/>
        <v>1</v>
      </c>
      <c r="CD330" s="29">
        <f t="shared" ca="1" si="188"/>
        <v>0</v>
      </c>
      <c r="CE330" s="29">
        <f t="shared" ca="1" si="188"/>
        <v>1</v>
      </c>
      <c r="CF330" s="29">
        <f t="shared" ca="1" si="188"/>
        <v>0</v>
      </c>
      <c r="CG330" s="29">
        <f t="shared" ca="1" si="188"/>
        <v>0</v>
      </c>
      <c r="CH330" s="29">
        <f t="shared" ca="1" si="188"/>
        <v>3</v>
      </c>
      <c r="CI330" s="29">
        <f t="shared" ca="1" si="188"/>
        <v>1</v>
      </c>
      <c r="CJ330" s="29">
        <f t="shared" ca="1" si="188"/>
        <v>2</v>
      </c>
      <c r="CK330" s="29">
        <f t="shared" ca="1" si="188"/>
        <v>1</v>
      </c>
      <c r="CL330" s="29">
        <f t="shared" ca="1" si="188"/>
        <v>0</v>
      </c>
      <c r="CM330" s="29">
        <f t="shared" ca="1" si="188"/>
        <v>0</v>
      </c>
      <c r="CN330" s="29">
        <f t="shared" ca="1" si="188"/>
        <v>3</v>
      </c>
      <c r="CO330" s="29">
        <f t="shared" ca="1" si="188"/>
        <v>1</v>
      </c>
      <c r="CP330" s="29">
        <f t="shared" ca="1" si="188"/>
        <v>0</v>
      </c>
      <c r="CQ330" s="29">
        <f t="shared" ca="1" si="187"/>
        <v>1</v>
      </c>
      <c r="CR330" s="29">
        <f t="shared" ca="1" si="187"/>
        <v>2</v>
      </c>
      <c r="CS330" s="29">
        <f t="shared" ca="1" si="187"/>
        <v>1</v>
      </c>
      <c r="CT330" s="29">
        <f t="shared" ca="1" si="187"/>
        <v>1</v>
      </c>
      <c r="CU330" s="29">
        <f t="shared" ca="1" si="187"/>
        <v>1</v>
      </c>
      <c r="CV330" s="29">
        <f t="shared" ca="1" si="187"/>
        <v>1</v>
      </c>
      <c r="CW330" s="29">
        <f t="shared" ca="1" si="187"/>
        <v>1</v>
      </c>
      <c r="CX330" s="29">
        <f t="shared" ca="1" si="187"/>
        <v>0</v>
      </c>
      <c r="CY330" s="29">
        <f t="shared" ca="1" si="187"/>
        <v>1</v>
      </c>
      <c r="CZ330" s="29">
        <f t="shared" ca="1" si="187"/>
        <v>0</v>
      </c>
      <c r="DA330" s="29">
        <f t="shared" ca="1" si="187"/>
        <v>0</v>
      </c>
      <c r="DB330" s="29">
        <f t="shared" ca="1" si="187"/>
        <v>1</v>
      </c>
      <c r="DC330" s="29">
        <f t="shared" ca="1" si="187"/>
        <v>1</v>
      </c>
      <c r="DD330" s="29">
        <f t="shared" ca="1" si="187"/>
        <v>0</v>
      </c>
      <c r="DE330" s="29">
        <f t="shared" ca="1" si="187"/>
        <v>0</v>
      </c>
      <c r="DF330" s="29">
        <f t="shared" ca="1" si="173"/>
        <v>2</v>
      </c>
      <c r="DG330" s="29">
        <f t="shared" ca="1" si="173"/>
        <v>1</v>
      </c>
      <c r="DH330" s="29">
        <f t="shared" ca="1" si="173"/>
        <v>2</v>
      </c>
      <c r="DI330" s="29">
        <f t="shared" ca="1" si="173"/>
        <v>0</v>
      </c>
      <c r="DJ330" s="29">
        <f t="shared" ca="1" si="173"/>
        <v>0</v>
      </c>
      <c r="DK330" s="29">
        <f t="shared" ca="1" si="173"/>
        <v>0</v>
      </c>
      <c r="DL330" s="29">
        <f t="shared" ca="1" si="173"/>
        <v>0</v>
      </c>
    </row>
    <row r="331" spans="1:116" ht="14.4" x14ac:dyDescent="0.3">
      <c r="A331" s="31">
        <v>23</v>
      </c>
      <c r="B331" s="28">
        <v>6.09</v>
      </c>
      <c r="C331" s="30">
        <v>5.1100000000000003</v>
      </c>
      <c r="D331" s="28">
        <v>1.27</v>
      </c>
      <c r="E331" s="34">
        <f t="shared" si="180"/>
        <v>2.5399999999999999E-2</v>
      </c>
      <c r="F331" s="35">
        <f t="shared" si="181"/>
        <v>1.2775000000000001</v>
      </c>
      <c r="G331" s="34">
        <f t="shared" si="182"/>
        <v>31.75</v>
      </c>
      <c r="H331" s="33">
        <f t="shared" si="183"/>
        <v>5.0036945812807883</v>
      </c>
      <c r="I331" s="28">
        <f t="shared" si="186"/>
        <v>1331.7800000000004</v>
      </c>
      <c r="J331" s="32">
        <v>0</v>
      </c>
      <c r="K331" s="30">
        <f t="shared" si="184"/>
        <v>31.75</v>
      </c>
      <c r="L331" s="30"/>
      <c r="M331" s="30"/>
      <c r="N331" s="30"/>
      <c r="O331" s="30"/>
      <c r="Q331" s="29">
        <f t="shared" ca="1" si="185"/>
        <v>2</v>
      </c>
      <c r="R331" s="29">
        <f t="shared" ca="1" si="190"/>
        <v>1</v>
      </c>
      <c r="S331" s="29">
        <f t="shared" ca="1" si="190"/>
        <v>0</v>
      </c>
      <c r="T331" s="29">
        <f t="shared" ca="1" si="190"/>
        <v>1</v>
      </c>
      <c r="U331" s="29">
        <f t="shared" ca="1" si="190"/>
        <v>2</v>
      </c>
      <c r="V331" s="29">
        <f t="shared" ca="1" si="190"/>
        <v>1</v>
      </c>
      <c r="W331" s="29">
        <f t="shared" ca="1" si="190"/>
        <v>1</v>
      </c>
      <c r="X331" s="29">
        <f t="shared" ca="1" si="190"/>
        <v>2</v>
      </c>
      <c r="Y331" s="29">
        <f t="shared" ca="1" si="190"/>
        <v>1</v>
      </c>
      <c r="Z331" s="29">
        <f t="shared" ca="1" si="190"/>
        <v>0</v>
      </c>
      <c r="AA331" s="29">
        <f t="shared" ca="1" si="190"/>
        <v>1</v>
      </c>
      <c r="AB331" s="29">
        <f t="shared" ca="1" si="190"/>
        <v>0</v>
      </c>
      <c r="AC331" s="29">
        <f t="shared" ca="1" si="190"/>
        <v>1</v>
      </c>
      <c r="AD331" s="29">
        <f t="shared" ca="1" si="190"/>
        <v>2</v>
      </c>
      <c r="AE331" s="29">
        <f t="shared" ca="1" si="190"/>
        <v>1</v>
      </c>
      <c r="AF331" s="29">
        <f t="shared" ca="1" si="190"/>
        <v>1</v>
      </c>
      <c r="AG331" s="29">
        <f t="shared" ca="1" si="189"/>
        <v>2</v>
      </c>
      <c r="AH331" s="29">
        <f t="shared" ca="1" si="189"/>
        <v>1</v>
      </c>
      <c r="AI331" s="29">
        <f t="shared" ca="1" si="189"/>
        <v>3</v>
      </c>
      <c r="AJ331" s="29">
        <f t="shared" ca="1" si="189"/>
        <v>1</v>
      </c>
      <c r="AK331" s="29">
        <f t="shared" ca="1" si="189"/>
        <v>1</v>
      </c>
      <c r="AL331" s="29">
        <f t="shared" ca="1" si="189"/>
        <v>0</v>
      </c>
      <c r="AM331" s="29">
        <f t="shared" ca="1" si="189"/>
        <v>0</v>
      </c>
      <c r="AN331" s="29">
        <f t="shared" ca="1" si="189"/>
        <v>1</v>
      </c>
      <c r="AO331" s="29">
        <f t="shared" ca="1" si="189"/>
        <v>1</v>
      </c>
      <c r="AP331" s="29">
        <f t="shared" ca="1" si="189"/>
        <v>1</v>
      </c>
      <c r="AQ331" s="29">
        <f t="shared" ca="1" si="189"/>
        <v>0</v>
      </c>
      <c r="AR331" s="29">
        <f t="shared" ca="1" si="189"/>
        <v>2</v>
      </c>
      <c r="AS331" s="29">
        <f t="shared" ca="1" si="189"/>
        <v>4</v>
      </c>
      <c r="AT331" s="29">
        <f t="shared" ca="1" si="189"/>
        <v>3</v>
      </c>
      <c r="AU331" s="29">
        <f t="shared" ca="1" si="189"/>
        <v>2</v>
      </c>
      <c r="AV331" s="29">
        <f t="shared" ca="1" si="179"/>
        <v>1</v>
      </c>
      <c r="AW331" s="29">
        <f t="shared" ca="1" si="179"/>
        <v>0</v>
      </c>
      <c r="AX331" s="29">
        <f t="shared" ca="1" si="179"/>
        <v>3</v>
      </c>
      <c r="AY331" s="29">
        <f t="shared" ca="1" si="179"/>
        <v>2</v>
      </c>
      <c r="AZ331" s="29">
        <f t="shared" ca="1" si="179"/>
        <v>1</v>
      </c>
      <c r="BA331" s="29">
        <f t="shared" ca="1" si="179"/>
        <v>1</v>
      </c>
      <c r="BB331" s="29">
        <f t="shared" ca="1" si="179"/>
        <v>2</v>
      </c>
      <c r="BC331" s="29">
        <f t="shared" ca="1" si="179"/>
        <v>2</v>
      </c>
      <c r="BD331" s="29">
        <f t="shared" ca="1" si="179"/>
        <v>1</v>
      </c>
      <c r="BE331" s="29">
        <f t="shared" ca="1" si="179"/>
        <v>0</v>
      </c>
      <c r="BF331" s="29">
        <f t="shared" ca="1" si="179"/>
        <v>2</v>
      </c>
      <c r="BG331" s="29">
        <f t="shared" ca="1" si="179"/>
        <v>2</v>
      </c>
      <c r="BH331" s="29">
        <f t="shared" ca="1" si="179"/>
        <v>2</v>
      </c>
      <c r="BI331" s="29">
        <f t="shared" ca="1" si="179"/>
        <v>3</v>
      </c>
      <c r="BJ331" s="29">
        <f t="shared" ca="1" si="179"/>
        <v>1</v>
      </c>
      <c r="BK331" s="29">
        <f t="shared" ca="1" si="179"/>
        <v>2</v>
      </c>
      <c r="BL331" s="29">
        <f t="shared" ca="1" si="178"/>
        <v>0</v>
      </c>
      <c r="BM331" s="29">
        <f t="shared" ca="1" si="178"/>
        <v>2</v>
      </c>
      <c r="BN331" s="29">
        <f t="shared" ca="1" si="178"/>
        <v>0</v>
      </c>
      <c r="BO331" s="29">
        <f t="shared" ca="1" si="178"/>
        <v>2</v>
      </c>
      <c r="BP331" s="29">
        <f t="shared" ca="1" si="178"/>
        <v>1</v>
      </c>
      <c r="BQ331" s="29">
        <f t="shared" ca="1" si="178"/>
        <v>1</v>
      </c>
      <c r="BR331" s="29">
        <f t="shared" ca="1" si="178"/>
        <v>1</v>
      </c>
      <c r="BS331" s="29">
        <f t="shared" ca="1" si="178"/>
        <v>2</v>
      </c>
      <c r="BT331" s="29">
        <f t="shared" ca="1" si="178"/>
        <v>0</v>
      </c>
      <c r="BU331" s="29">
        <f t="shared" ca="1" si="178"/>
        <v>4</v>
      </c>
      <c r="BV331" s="29">
        <f t="shared" ca="1" si="178"/>
        <v>0</v>
      </c>
      <c r="BW331" s="29">
        <f t="shared" ca="1" si="178"/>
        <v>1</v>
      </c>
      <c r="BX331" s="29">
        <f t="shared" ca="1" si="178"/>
        <v>0</v>
      </c>
      <c r="BY331" s="29">
        <f t="shared" ca="1" si="178"/>
        <v>0</v>
      </c>
      <c r="BZ331" s="29">
        <f t="shared" ca="1" si="178"/>
        <v>2</v>
      </c>
      <c r="CA331" s="29">
        <f t="shared" ca="1" si="188"/>
        <v>0</v>
      </c>
      <c r="CB331" s="29">
        <f t="shared" ca="1" si="188"/>
        <v>1</v>
      </c>
      <c r="CC331" s="29">
        <f t="shared" ca="1" si="188"/>
        <v>0</v>
      </c>
      <c r="CD331" s="29">
        <f t="shared" ca="1" si="188"/>
        <v>0</v>
      </c>
      <c r="CE331" s="29">
        <f t="shared" ca="1" si="188"/>
        <v>3</v>
      </c>
      <c r="CF331" s="29">
        <f t="shared" ca="1" si="188"/>
        <v>1</v>
      </c>
      <c r="CG331" s="29">
        <f t="shared" ca="1" si="188"/>
        <v>0</v>
      </c>
      <c r="CH331" s="29">
        <f t="shared" ca="1" si="188"/>
        <v>0</v>
      </c>
      <c r="CI331" s="29">
        <f t="shared" ca="1" si="188"/>
        <v>0</v>
      </c>
      <c r="CJ331" s="29">
        <f t="shared" ca="1" si="188"/>
        <v>3</v>
      </c>
      <c r="CK331" s="29">
        <f t="shared" ca="1" si="188"/>
        <v>2</v>
      </c>
      <c r="CL331" s="29">
        <f t="shared" ca="1" si="188"/>
        <v>0</v>
      </c>
      <c r="CM331" s="29">
        <f t="shared" ca="1" si="188"/>
        <v>2</v>
      </c>
      <c r="CN331" s="29">
        <f t="shared" ca="1" si="188"/>
        <v>0</v>
      </c>
      <c r="CO331" s="29">
        <f t="shared" ca="1" si="188"/>
        <v>1</v>
      </c>
      <c r="CP331" s="29">
        <f t="shared" ca="1" si="188"/>
        <v>0</v>
      </c>
      <c r="CQ331" s="29">
        <f t="shared" ca="1" si="187"/>
        <v>1</v>
      </c>
      <c r="CR331" s="29">
        <f t="shared" ca="1" si="187"/>
        <v>3</v>
      </c>
      <c r="CS331" s="29">
        <f t="shared" ca="1" si="187"/>
        <v>1</v>
      </c>
      <c r="CT331" s="29">
        <f t="shared" ca="1" si="187"/>
        <v>1</v>
      </c>
      <c r="CU331" s="29">
        <f t="shared" ca="1" si="187"/>
        <v>3</v>
      </c>
      <c r="CV331" s="29">
        <f t="shared" ca="1" si="187"/>
        <v>4</v>
      </c>
      <c r="CW331" s="29">
        <f t="shared" ca="1" si="187"/>
        <v>1</v>
      </c>
      <c r="CX331" s="29">
        <f t="shared" ca="1" si="187"/>
        <v>0</v>
      </c>
      <c r="CY331" s="29">
        <f t="shared" ca="1" si="187"/>
        <v>0</v>
      </c>
      <c r="CZ331" s="29">
        <f t="shared" ca="1" si="187"/>
        <v>0</v>
      </c>
      <c r="DA331" s="29">
        <f t="shared" ca="1" si="187"/>
        <v>3</v>
      </c>
      <c r="DB331" s="29">
        <f t="shared" ca="1" si="187"/>
        <v>1</v>
      </c>
      <c r="DC331" s="29">
        <f t="shared" ca="1" si="187"/>
        <v>1</v>
      </c>
      <c r="DD331" s="29">
        <f t="shared" ca="1" si="187"/>
        <v>2</v>
      </c>
      <c r="DE331" s="29">
        <f t="shared" ca="1" si="187"/>
        <v>3</v>
      </c>
      <c r="DF331" s="29">
        <f t="shared" ca="1" si="173"/>
        <v>2</v>
      </c>
      <c r="DG331" s="29">
        <f t="shared" ca="1" si="173"/>
        <v>3</v>
      </c>
      <c r="DH331" s="29">
        <f t="shared" ca="1" si="173"/>
        <v>1</v>
      </c>
      <c r="DI331" s="29">
        <f t="shared" ca="1" si="173"/>
        <v>3</v>
      </c>
      <c r="DJ331" s="29">
        <f t="shared" ca="1" si="173"/>
        <v>3</v>
      </c>
      <c r="DK331" s="29">
        <f t="shared" ca="1" si="173"/>
        <v>0</v>
      </c>
      <c r="DL331" s="29">
        <f t="shared" ca="1" si="173"/>
        <v>2</v>
      </c>
    </row>
    <row r="332" spans="1:116" ht="14.4" x14ac:dyDescent="0.3">
      <c r="A332" s="31">
        <v>294</v>
      </c>
      <c r="B332" s="28">
        <v>8.0399999999999991</v>
      </c>
      <c r="C332" s="30">
        <v>7.63</v>
      </c>
      <c r="D332" s="28">
        <v>1.68</v>
      </c>
      <c r="E332" s="34">
        <f t="shared" si="180"/>
        <v>3.3599999999999998E-2</v>
      </c>
      <c r="F332" s="35">
        <f t="shared" si="181"/>
        <v>1.9075</v>
      </c>
      <c r="G332" s="34">
        <f t="shared" si="182"/>
        <v>42</v>
      </c>
      <c r="H332" s="33">
        <f t="shared" si="183"/>
        <v>4.9866293532338313</v>
      </c>
      <c r="I332" s="28">
        <f t="shared" si="186"/>
        <v>1339.8200000000004</v>
      </c>
      <c r="J332" s="32">
        <v>0</v>
      </c>
      <c r="K332" s="30">
        <f t="shared" si="184"/>
        <v>42</v>
      </c>
      <c r="L332" s="30"/>
      <c r="M332" s="30"/>
      <c r="N332" s="30"/>
      <c r="O332" s="30"/>
      <c r="Q332" s="29">
        <f t="shared" ca="1" si="185"/>
        <v>2</v>
      </c>
      <c r="R332" s="29">
        <f t="shared" ca="1" si="190"/>
        <v>0</v>
      </c>
      <c r="S332" s="29">
        <f t="shared" ca="1" si="190"/>
        <v>0</v>
      </c>
      <c r="T332" s="29">
        <f t="shared" ca="1" si="190"/>
        <v>4</v>
      </c>
      <c r="U332" s="29">
        <f t="shared" ca="1" si="190"/>
        <v>3</v>
      </c>
      <c r="V332" s="29">
        <f t="shared" ca="1" si="190"/>
        <v>1</v>
      </c>
      <c r="W332" s="29">
        <f t="shared" ca="1" si="190"/>
        <v>6</v>
      </c>
      <c r="X332" s="29">
        <f t="shared" ca="1" si="190"/>
        <v>1</v>
      </c>
      <c r="Y332" s="29">
        <f t="shared" ca="1" si="190"/>
        <v>1</v>
      </c>
      <c r="Z332" s="29">
        <f t="shared" ca="1" si="190"/>
        <v>2</v>
      </c>
      <c r="AA332" s="29">
        <f t="shared" ca="1" si="190"/>
        <v>2</v>
      </c>
      <c r="AB332" s="29">
        <f t="shared" ca="1" si="190"/>
        <v>2</v>
      </c>
      <c r="AC332" s="29">
        <f t="shared" ca="1" si="190"/>
        <v>1</v>
      </c>
      <c r="AD332" s="29">
        <f t="shared" ca="1" si="190"/>
        <v>2</v>
      </c>
      <c r="AE332" s="29">
        <f t="shared" ca="1" si="190"/>
        <v>1</v>
      </c>
      <c r="AF332" s="29">
        <f t="shared" ca="1" si="190"/>
        <v>1</v>
      </c>
      <c r="AG332" s="29">
        <f t="shared" ca="1" si="189"/>
        <v>2</v>
      </c>
      <c r="AH332" s="29">
        <f t="shared" ca="1" si="189"/>
        <v>0</v>
      </c>
      <c r="AI332" s="29">
        <f t="shared" ca="1" si="189"/>
        <v>1</v>
      </c>
      <c r="AJ332" s="29">
        <f t="shared" ca="1" si="189"/>
        <v>0</v>
      </c>
      <c r="AK332" s="29">
        <f t="shared" ca="1" si="189"/>
        <v>4</v>
      </c>
      <c r="AL332" s="29">
        <f t="shared" ca="1" si="189"/>
        <v>2</v>
      </c>
      <c r="AM332" s="29">
        <f t="shared" ca="1" si="189"/>
        <v>0</v>
      </c>
      <c r="AN332" s="29">
        <f t="shared" ca="1" si="189"/>
        <v>0</v>
      </c>
      <c r="AO332" s="29">
        <f t="shared" ca="1" si="189"/>
        <v>0</v>
      </c>
      <c r="AP332" s="29">
        <f t="shared" ca="1" si="189"/>
        <v>1</v>
      </c>
      <c r="AQ332" s="29">
        <f t="shared" ca="1" si="189"/>
        <v>1</v>
      </c>
      <c r="AR332" s="29">
        <f t="shared" ca="1" si="189"/>
        <v>1</v>
      </c>
      <c r="AS332" s="29">
        <f t="shared" ca="1" si="189"/>
        <v>2</v>
      </c>
      <c r="AT332" s="29">
        <f t="shared" ca="1" si="189"/>
        <v>1</v>
      </c>
      <c r="AU332" s="29">
        <f t="shared" ca="1" si="189"/>
        <v>3</v>
      </c>
      <c r="AV332" s="29">
        <f t="shared" ca="1" si="179"/>
        <v>3</v>
      </c>
      <c r="AW332" s="29">
        <f t="shared" ca="1" si="179"/>
        <v>3</v>
      </c>
      <c r="AX332" s="29">
        <f t="shared" ca="1" si="179"/>
        <v>2</v>
      </c>
      <c r="AY332" s="29">
        <f t="shared" ca="1" si="179"/>
        <v>1</v>
      </c>
      <c r="AZ332" s="29">
        <f t="shared" ca="1" si="179"/>
        <v>2</v>
      </c>
      <c r="BA332" s="29">
        <f t="shared" ca="1" si="179"/>
        <v>1</v>
      </c>
      <c r="BB332" s="29">
        <f t="shared" ca="1" si="179"/>
        <v>2</v>
      </c>
      <c r="BC332" s="29">
        <f t="shared" ca="1" si="179"/>
        <v>1</v>
      </c>
      <c r="BD332" s="29">
        <f t="shared" ca="1" si="179"/>
        <v>1</v>
      </c>
      <c r="BE332" s="29">
        <f t="shared" ca="1" si="179"/>
        <v>4</v>
      </c>
      <c r="BF332" s="29">
        <f t="shared" ca="1" si="179"/>
        <v>1</v>
      </c>
      <c r="BG332" s="29">
        <f t="shared" ca="1" si="179"/>
        <v>3</v>
      </c>
      <c r="BH332" s="29">
        <f t="shared" ca="1" si="179"/>
        <v>2</v>
      </c>
      <c r="BI332" s="29">
        <f t="shared" ca="1" si="179"/>
        <v>1</v>
      </c>
      <c r="BJ332" s="29">
        <f t="shared" ca="1" si="179"/>
        <v>1</v>
      </c>
      <c r="BK332" s="29">
        <f t="shared" ref="BK332:BZ347" ca="1" si="191">_xlfn.BINOM.INV(50,$E332,RAND())</f>
        <v>0</v>
      </c>
      <c r="BL332" s="29">
        <f t="shared" ca="1" si="191"/>
        <v>0</v>
      </c>
      <c r="BM332" s="29">
        <f t="shared" ca="1" si="191"/>
        <v>0</v>
      </c>
      <c r="BN332" s="29">
        <f t="shared" ca="1" si="191"/>
        <v>1</v>
      </c>
      <c r="BO332" s="29">
        <f t="shared" ca="1" si="191"/>
        <v>1</v>
      </c>
      <c r="BP332" s="29">
        <f t="shared" ca="1" si="191"/>
        <v>2</v>
      </c>
      <c r="BQ332" s="29">
        <f t="shared" ca="1" si="191"/>
        <v>5</v>
      </c>
      <c r="BR332" s="29">
        <f t="shared" ca="1" si="191"/>
        <v>1</v>
      </c>
      <c r="BS332" s="29">
        <f t="shared" ca="1" si="191"/>
        <v>2</v>
      </c>
      <c r="BT332" s="29">
        <f t="shared" ca="1" si="191"/>
        <v>1</v>
      </c>
      <c r="BU332" s="29">
        <f t="shared" ca="1" si="191"/>
        <v>0</v>
      </c>
      <c r="BV332" s="29">
        <f t="shared" ca="1" si="191"/>
        <v>3</v>
      </c>
      <c r="BW332" s="29">
        <f t="shared" ca="1" si="191"/>
        <v>0</v>
      </c>
      <c r="BX332" s="29">
        <f t="shared" ca="1" si="191"/>
        <v>3</v>
      </c>
      <c r="BY332" s="29">
        <f t="shared" ca="1" si="191"/>
        <v>5</v>
      </c>
      <c r="BZ332" s="29">
        <f t="shared" ca="1" si="191"/>
        <v>0</v>
      </c>
      <c r="CA332" s="29">
        <f t="shared" ca="1" si="188"/>
        <v>1</v>
      </c>
      <c r="CB332" s="29">
        <f t="shared" ca="1" si="188"/>
        <v>1</v>
      </c>
      <c r="CC332" s="29">
        <f t="shared" ca="1" si="188"/>
        <v>2</v>
      </c>
      <c r="CD332" s="29">
        <f t="shared" ca="1" si="188"/>
        <v>0</v>
      </c>
      <c r="CE332" s="29">
        <f t="shared" ca="1" si="188"/>
        <v>2</v>
      </c>
      <c r="CF332" s="29">
        <f t="shared" ca="1" si="188"/>
        <v>0</v>
      </c>
      <c r="CG332" s="29">
        <f t="shared" ca="1" si="188"/>
        <v>1</v>
      </c>
      <c r="CH332" s="29">
        <f t="shared" ca="1" si="188"/>
        <v>1</v>
      </c>
      <c r="CI332" s="29">
        <f t="shared" ca="1" si="188"/>
        <v>2</v>
      </c>
      <c r="CJ332" s="29">
        <f t="shared" ca="1" si="188"/>
        <v>3</v>
      </c>
      <c r="CK332" s="29">
        <f t="shared" ca="1" si="188"/>
        <v>1</v>
      </c>
      <c r="CL332" s="29">
        <f t="shared" ca="1" si="188"/>
        <v>1</v>
      </c>
      <c r="CM332" s="29">
        <f t="shared" ca="1" si="188"/>
        <v>1</v>
      </c>
      <c r="CN332" s="29">
        <f t="shared" ca="1" si="188"/>
        <v>3</v>
      </c>
      <c r="CO332" s="29">
        <f t="shared" ca="1" si="188"/>
        <v>0</v>
      </c>
      <c r="CP332" s="29">
        <f t="shared" ca="1" si="188"/>
        <v>2</v>
      </c>
      <c r="CQ332" s="29">
        <f t="shared" ca="1" si="187"/>
        <v>2</v>
      </c>
      <c r="CR332" s="29">
        <f t="shared" ca="1" si="187"/>
        <v>2</v>
      </c>
      <c r="CS332" s="29">
        <f t="shared" ca="1" si="187"/>
        <v>3</v>
      </c>
      <c r="CT332" s="29">
        <f t="shared" ca="1" si="187"/>
        <v>1</v>
      </c>
      <c r="CU332" s="29">
        <f t="shared" ca="1" si="187"/>
        <v>2</v>
      </c>
      <c r="CV332" s="29">
        <f t="shared" ca="1" si="187"/>
        <v>0</v>
      </c>
      <c r="CW332" s="29">
        <f t="shared" ca="1" si="187"/>
        <v>2</v>
      </c>
      <c r="CX332" s="29">
        <f t="shared" ca="1" si="187"/>
        <v>1</v>
      </c>
      <c r="CY332" s="29">
        <f t="shared" ca="1" si="187"/>
        <v>2</v>
      </c>
      <c r="CZ332" s="29">
        <f t="shared" ca="1" si="187"/>
        <v>1</v>
      </c>
      <c r="DA332" s="29">
        <f t="shared" ca="1" si="187"/>
        <v>0</v>
      </c>
      <c r="DB332" s="29">
        <f t="shared" ca="1" si="187"/>
        <v>1</v>
      </c>
      <c r="DC332" s="29">
        <f t="shared" ca="1" si="187"/>
        <v>3</v>
      </c>
      <c r="DD332" s="29">
        <f t="shared" ca="1" si="187"/>
        <v>0</v>
      </c>
      <c r="DE332" s="29">
        <f t="shared" ca="1" si="187"/>
        <v>1</v>
      </c>
      <c r="DF332" s="29">
        <f t="shared" ca="1" si="173"/>
        <v>1</v>
      </c>
      <c r="DG332" s="29">
        <f t="shared" ca="1" si="173"/>
        <v>3</v>
      </c>
      <c r="DH332" s="29">
        <f t="shared" ca="1" si="173"/>
        <v>3</v>
      </c>
      <c r="DI332" s="29">
        <f t="shared" ca="1" si="173"/>
        <v>0</v>
      </c>
      <c r="DJ332" s="29">
        <f t="shared" ca="1" si="173"/>
        <v>4</v>
      </c>
      <c r="DK332" s="29">
        <f t="shared" ca="1" si="173"/>
        <v>1</v>
      </c>
      <c r="DL332" s="29">
        <f t="shared" ca="1" si="173"/>
        <v>2</v>
      </c>
    </row>
    <row r="333" spans="1:116" ht="14.4" x14ac:dyDescent="0.3">
      <c r="A333" s="31">
        <v>1074</v>
      </c>
      <c r="B333" s="28">
        <v>5.72</v>
      </c>
      <c r="C333" s="30">
        <v>6.1</v>
      </c>
      <c r="D333" s="28">
        <v>1.2</v>
      </c>
      <c r="E333" s="34">
        <f t="shared" si="180"/>
        <v>2.4E-2</v>
      </c>
      <c r="F333" s="35">
        <f t="shared" si="181"/>
        <v>1.5249999999999999</v>
      </c>
      <c r="G333" s="34">
        <f t="shared" si="182"/>
        <v>30</v>
      </c>
      <c r="H333" s="33">
        <f t="shared" si="183"/>
        <v>4.9781468531468533</v>
      </c>
      <c r="I333" s="28">
        <f t="shared" si="186"/>
        <v>1345.5400000000004</v>
      </c>
      <c r="J333" s="32">
        <v>0</v>
      </c>
      <c r="K333" s="30">
        <f t="shared" si="184"/>
        <v>30</v>
      </c>
      <c r="L333" s="30"/>
      <c r="M333" s="30"/>
      <c r="N333" s="30"/>
      <c r="O333" s="30"/>
      <c r="Q333" s="29">
        <f t="shared" ca="1" si="185"/>
        <v>2</v>
      </c>
      <c r="R333" s="29">
        <f t="shared" ca="1" si="190"/>
        <v>1</v>
      </c>
      <c r="S333" s="29">
        <f t="shared" ca="1" si="190"/>
        <v>2</v>
      </c>
      <c r="T333" s="29">
        <f t="shared" ca="1" si="190"/>
        <v>0</v>
      </c>
      <c r="U333" s="29">
        <f t="shared" ca="1" si="190"/>
        <v>0</v>
      </c>
      <c r="V333" s="29">
        <f t="shared" ca="1" si="190"/>
        <v>4</v>
      </c>
      <c r="W333" s="29">
        <f t="shared" ca="1" si="190"/>
        <v>2</v>
      </c>
      <c r="X333" s="29">
        <f t="shared" ca="1" si="190"/>
        <v>0</v>
      </c>
      <c r="Y333" s="29">
        <f t="shared" ca="1" si="190"/>
        <v>1</v>
      </c>
      <c r="Z333" s="29">
        <f t="shared" ca="1" si="190"/>
        <v>0</v>
      </c>
      <c r="AA333" s="29">
        <f t="shared" ca="1" si="190"/>
        <v>1</v>
      </c>
      <c r="AB333" s="29">
        <f t="shared" ca="1" si="190"/>
        <v>1</v>
      </c>
      <c r="AC333" s="29">
        <f t="shared" ca="1" si="190"/>
        <v>3</v>
      </c>
      <c r="AD333" s="29">
        <f t="shared" ca="1" si="190"/>
        <v>0</v>
      </c>
      <c r="AE333" s="29">
        <f t="shared" ca="1" si="190"/>
        <v>0</v>
      </c>
      <c r="AF333" s="29">
        <f t="shared" ca="1" si="190"/>
        <v>1</v>
      </c>
      <c r="AG333" s="29">
        <f t="shared" ca="1" si="189"/>
        <v>2</v>
      </c>
      <c r="AH333" s="29">
        <f t="shared" ca="1" si="189"/>
        <v>0</v>
      </c>
      <c r="AI333" s="29">
        <f t="shared" ca="1" si="189"/>
        <v>2</v>
      </c>
      <c r="AJ333" s="29">
        <f t="shared" ca="1" si="189"/>
        <v>1</v>
      </c>
      <c r="AK333" s="29">
        <f t="shared" ca="1" si="189"/>
        <v>0</v>
      </c>
      <c r="AL333" s="29">
        <f t="shared" ca="1" si="189"/>
        <v>1</v>
      </c>
      <c r="AM333" s="29">
        <f t="shared" ca="1" si="189"/>
        <v>0</v>
      </c>
      <c r="AN333" s="29">
        <f t="shared" ca="1" si="189"/>
        <v>1</v>
      </c>
      <c r="AO333" s="29">
        <f t="shared" ca="1" si="189"/>
        <v>3</v>
      </c>
      <c r="AP333" s="29">
        <f t="shared" ca="1" si="189"/>
        <v>0</v>
      </c>
      <c r="AQ333" s="29">
        <f t="shared" ca="1" si="189"/>
        <v>3</v>
      </c>
      <c r="AR333" s="29">
        <f t="shared" ca="1" si="189"/>
        <v>0</v>
      </c>
      <c r="AS333" s="29">
        <f t="shared" ca="1" si="189"/>
        <v>0</v>
      </c>
      <c r="AT333" s="29">
        <f t="shared" ca="1" si="189"/>
        <v>3</v>
      </c>
      <c r="AU333" s="29">
        <f t="shared" ca="1" si="189"/>
        <v>0</v>
      </c>
      <c r="AV333" s="29">
        <f t="shared" ref="AV333:BK348" ca="1" si="192">_xlfn.BINOM.INV(50,$E333,RAND())</f>
        <v>0</v>
      </c>
      <c r="AW333" s="29">
        <f t="shared" ca="1" si="192"/>
        <v>2</v>
      </c>
      <c r="AX333" s="29">
        <f t="shared" ca="1" si="192"/>
        <v>1</v>
      </c>
      <c r="AY333" s="29">
        <f t="shared" ca="1" si="192"/>
        <v>2</v>
      </c>
      <c r="AZ333" s="29">
        <f t="shared" ca="1" si="192"/>
        <v>1</v>
      </c>
      <c r="BA333" s="29">
        <f t="shared" ca="1" si="192"/>
        <v>1</v>
      </c>
      <c r="BB333" s="29">
        <f t="shared" ca="1" si="192"/>
        <v>0</v>
      </c>
      <c r="BC333" s="29">
        <f t="shared" ca="1" si="192"/>
        <v>2</v>
      </c>
      <c r="BD333" s="29">
        <f t="shared" ca="1" si="192"/>
        <v>3</v>
      </c>
      <c r="BE333" s="29">
        <f t="shared" ca="1" si="192"/>
        <v>3</v>
      </c>
      <c r="BF333" s="29">
        <f t="shared" ca="1" si="192"/>
        <v>0</v>
      </c>
      <c r="BG333" s="29">
        <f t="shared" ca="1" si="192"/>
        <v>2</v>
      </c>
      <c r="BH333" s="29">
        <f t="shared" ca="1" si="192"/>
        <v>2</v>
      </c>
      <c r="BI333" s="29">
        <f t="shared" ca="1" si="192"/>
        <v>0</v>
      </c>
      <c r="BJ333" s="29">
        <f t="shared" ca="1" si="192"/>
        <v>1</v>
      </c>
      <c r="BK333" s="29">
        <f t="shared" ca="1" si="192"/>
        <v>0</v>
      </c>
      <c r="BL333" s="29">
        <f t="shared" ca="1" si="191"/>
        <v>0</v>
      </c>
      <c r="BM333" s="29">
        <f t="shared" ca="1" si="191"/>
        <v>0</v>
      </c>
      <c r="BN333" s="29">
        <f t="shared" ca="1" si="191"/>
        <v>0</v>
      </c>
      <c r="BO333" s="29">
        <f t="shared" ca="1" si="191"/>
        <v>2</v>
      </c>
      <c r="BP333" s="29">
        <f t="shared" ca="1" si="191"/>
        <v>3</v>
      </c>
      <c r="BQ333" s="29">
        <f t="shared" ca="1" si="191"/>
        <v>1</v>
      </c>
      <c r="BR333" s="29">
        <f t="shared" ca="1" si="191"/>
        <v>1</v>
      </c>
      <c r="BS333" s="29">
        <f t="shared" ca="1" si="191"/>
        <v>0</v>
      </c>
      <c r="BT333" s="29">
        <f t="shared" ca="1" si="191"/>
        <v>2</v>
      </c>
      <c r="BU333" s="29">
        <f t="shared" ca="1" si="191"/>
        <v>1</v>
      </c>
      <c r="BV333" s="29">
        <f t="shared" ca="1" si="191"/>
        <v>0</v>
      </c>
      <c r="BW333" s="29">
        <f t="shared" ca="1" si="191"/>
        <v>1</v>
      </c>
      <c r="BX333" s="29">
        <f t="shared" ca="1" si="191"/>
        <v>0</v>
      </c>
      <c r="BY333" s="29">
        <f t="shared" ca="1" si="191"/>
        <v>0</v>
      </c>
      <c r="BZ333" s="29">
        <f t="shared" ca="1" si="191"/>
        <v>1</v>
      </c>
      <c r="CA333" s="29">
        <f t="shared" ca="1" si="188"/>
        <v>1</v>
      </c>
      <c r="CB333" s="29">
        <f t="shared" ca="1" si="188"/>
        <v>2</v>
      </c>
      <c r="CC333" s="29">
        <f t="shared" ca="1" si="188"/>
        <v>3</v>
      </c>
      <c r="CD333" s="29">
        <f t="shared" ca="1" si="188"/>
        <v>0</v>
      </c>
      <c r="CE333" s="29">
        <f t="shared" ca="1" si="188"/>
        <v>1</v>
      </c>
      <c r="CF333" s="29">
        <f t="shared" ca="1" si="188"/>
        <v>1</v>
      </c>
      <c r="CG333" s="29">
        <f t="shared" ca="1" si="188"/>
        <v>1</v>
      </c>
      <c r="CH333" s="29">
        <f t="shared" ca="1" si="188"/>
        <v>1</v>
      </c>
      <c r="CI333" s="29">
        <f t="shared" ca="1" si="188"/>
        <v>2</v>
      </c>
      <c r="CJ333" s="29">
        <f t="shared" ca="1" si="188"/>
        <v>2</v>
      </c>
      <c r="CK333" s="29">
        <f t="shared" ca="1" si="188"/>
        <v>0</v>
      </c>
      <c r="CL333" s="29">
        <f t="shared" ca="1" si="188"/>
        <v>2</v>
      </c>
      <c r="CM333" s="29">
        <f t="shared" ca="1" si="188"/>
        <v>2</v>
      </c>
      <c r="CN333" s="29">
        <f t="shared" ca="1" si="188"/>
        <v>1</v>
      </c>
      <c r="CO333" s="29">
        <f t="shared" ca="1" si="188"/>
        <v>1</v>
      </c>
      <c r="CP333" s="29">
        <f t="shared" ca="1" si="188"/>
        <v>3</v>
      </c>
      <c r="CQ333" s="29">
        <f t="shared" ca="1" si="187"/>
        <v>2</v>
      </c>
      <c r="CR333" s="29">
        <f t="shared" ca="1" si="187"/>
        <v>1</v>
      </c>
      <c r="CS333" s="29">
        <f t="shared" ca="1" si="187"/>
        <v>1</v>
      </c>
      <c r="CT333" s="29">
        <f t="shared" ca="1" si="187"/>
        <v>2</v>
      </c>
      <c r="CU333" s="29">
        <f t="shared" ca="1" si="187"/>
        <v>1</v>
      </c>
      <c r="CV333" s="29">
        <f t="shared" ca="1" si="187"/>
        <v>2</v>
      </c>
      <c r="CW333" s="29">
        <f t="shared" ca="1" si="187"/>
        <v>2</v>
      </c>
      <c r="CX333" s="29">
        <f t="shared" ca="1" si="187"/>
        <v>3</v>
      </c>
      <c r="CY333" s="29">
        <f t="shared" ca="1" si="187"/>
        <v>2</v>
      </c>
      <c r="CZ333" s="29">
        <f t="shared" ca="1" si="187"/>
        <v>0</v>
      </c>
      <c r="DA333" s="29">
        <f t="shared" ca="1" si="187"/>
        <v>1</v>
      </c>
      <c r="DB333" s="29">
        <f t="shared" ca="1" si="187"/>
        <v>1</v>
      </c>
      <c r="DC333" s="29">
        <f t="shared" ca="1" si="187"/>
        <v>2</v>
      </c>
      <c r="DD333" s="29">
        <f t="shared" ca="1" si="187"/>
        <v>2</v>
      </c>
      <c r="DE333" s="29">
        <f t="shared" ca="1" si="187"/>
        <v>3</v>
      </c>
      <c r="DF333" s="29">
        <f t="shared" ca="1" si="173"/>
        <v>1</v>
      </c>
      <c r="DG333" s="29">
        <f t="shared" ca="1" si="173"/>
        <v>1</v>
      </c>
      <c r="DH333" s="29">
        <f t="shared" ca="1" si="173"/>
        <v>1</v>
      </c>
      <c r="DI333" s="29">
        <f t="shared" ca="1" si="173"/>
        <v>3</v>
      </c>
      <c r="DJ333" s="29">
        <f t="shared" ca="1" si="173"/>
        <v>0</v>
      </c>
      <c r="DK333" s="29">
        <f t="shared" ca="1" si="173"/>
        <v>0</v>
      </c>
      <c r="DL333" s="29">
        <f t="shared" ca="1" si="173"/>
        <v>1</v>
      </c>
    </row>
    <row r="334" spans="1:116" ht="14.4" x14ac:dyDescent="0.3">
      <c r="A334" s="31">
        <v>951</v>
      </c>
      <c r="B334" s="28">
        <v>2.6</v>
      </c>
      <c r="C334" s="30">
        <v>77.930000000000007</v>
      </c>
      <c r="D334" s="28">
        <v>1.29</v>
      </c>
      <c r="E334" s="34">
        <f t="shared" si="180"/>
        <v>2.58E-2</v>
      </c>
      <c r="F334" s="35">
        <f t="shared" si="181"/>
        <v>19.482500000000002</v>
      </c>
      <c r="G334" s="34">
        <f t="shared" si="182"/>
        <v>32.25</v>
      </c>
      <c r="H334" s="33">
        <f t="shared" si="183"/>
        <v>4.9105769230769223</v>
      </c>
      <c r="I334" s="28">
        <f t="shared" si="186"/>
        <v>1348.1400000000003</v>
      </c>
      <c r="J334" s="32">
        <v>0</v>
      </c>
      <c r="K334" s="30">
        <f t="shared" si="184"/>
        <v>32.25</v>
      </c>
      <c r="L334" s="30"/>
      <c r="M334" s="30"/>
      <c r="N334" s="30"/>
      <c r="O334" s="30"/>
      <c r="Q334" s="29">
        <f t="shared" ca="1" si="185"/>
        <v>1</v>
      </c>
      <c r="R334" s="29">
        <f t="shared" ca="1" si="190"/>
        <v>0</v>
      </c>
      <c r="S334" s="29">
        <f t="shared" ca="1" si="190"/>
        <v>4</v>
      </c>
      <c r="T334" s="29">
        <f t="shared" ca="1" si="190"/>
        <v>1</v>
      </c>
      <c r="U334" s="29">
        <f t="shared" ca="1" si="190"/>
        <v>0</v>
      </c>
      <c r="V334" s="29">
        <f t="shared" ca="1" si="190"/>
        <v>2</v>
      </c>
      <c r="W334" s="29">
        <f t="shared" ca="1" si="190"/>
        <v>0</v>
      </c>
      <c r="X334" s="29">
        <f t="shared" ca="1" si="190"/>
        <v>2</v>
      </c>
      <c r="Y334" s="29">
        <f t="shared" ca="1" si="190"/>
        <v>0</v>
      </c>
      <c r="Z334" s="29">
        <f t="shared" ca="1" si="190"/>
        <v>2</v>
      </c>
      <c r="AA334" s="29">
        <f t="shared" ca="1" si="190"/>
        <v>0</v>
      </c>
      <c r="AB334" s="29">
        <f t="shared" ca="1" si="190"/>
        <v>0</v>
      </c>
      <c r="AC334" s="29">
        <f t="shared" ca="1" si="190"/>
        <v>1</v>
      </c>
      <c r="AD334" s="29">
        <f t="shared" ca="1" si="190"/>
        <v>1</v>
      </c>
      <c r="AE334" s="29">
        <f t="shared" ca="1" si="190"/>
        <v>3</v>
      </c>
      <c r="AF334" s="29">
        <f t="shared" ca="1" si="190"/>
        <v>0</v>
      </c>
      <c r="AG334" s="29">
        <f t="shared" ca="1" si="189"/>
        <v>0</v>
      </c>
      <c r="AH334" s="29">
        <f t="shared" ca="1" si="189"/>
        <v>3</v>
      </c>
      <c r="AI334" s="29">
        <f t="shared" ca="1" si="189"/>
        <v>4</v>
      </c>
      <c r="AJ334" s="29">
        <f t="shared" ca="1" si="189"/>
        <v>2</v>
      </c>
      <c r="AK334" s="29">
        <f t="shared" ca="1" si="189"/>
        <v>1</v>
      </c>
      <c r="AL334" s="29">
        <f t="shared" ca="1" si="189"/>
        <v>2</v>
      </c>
      <c r="AM334" s="29">
        <f t="shared" ca="1" si="189"/>
        <v>1</v>
      </c>
      <c r="AN334" s="29">
        <f t="shared" ca="1" si="189"/>
        <v>2</v>
      </c>
      <c r="AO334" s="29">
        <f t="shared" ca="1" si="189"/>
        <v>1</v>
      </c>
      <c r="AP334" s="29">
        <f t="shared" ca="1" si="189"/>
        <v>3</v>
      </c>
      <c r="AQ334" s="29">
        <f t="shared" ca="1" si="189"/>
        <v>2</v>
      </c>
      <c r="AR334" s="29">
        <f t="shared" ca="1" si="189"/>
        <v>3</v>
      </c>
      <c r="AS334" s="29">
        <f t="shared" ca="1" si="189"/>
        <v>0</v>
      </c>
      <c r="AT334" s="29">
        <f t="shared" ca="1" si="189"/>
        <v>2</v>
      </c>
      <c r="AU334" s="29">
        <f t="shared" ca="1" si="189"/>
        <v>1</v>
      </c>
      <c r="AV334" s="29">
        <f t="shared" ca="1" si="192"/>
        <v>1</v>
      </c>
      <c r="AW334" s="29">
        <f t="shared" ca="1" si="192"/>
        <v>2</v>
      </c>
      <c r="AX334" s="29">
        <f t="shared" ca="1" si="192"/>
        <v>1</v>
      </c>
      <c r="AY334" s="29">
        <f t="shared" ca="1" si="192"/>
        <v>3</v>
      </c>
      <c r="AZ334" s="29">
        <f t="shared" ca="1" si="192"/>
        <v>5</v>
      </c>
      <c r="BA334" s="29">
        <f t="shared" ca="1" si="192"/>
        <v>3</v>
      </c>
      <c r="BB334" s="29">
        <f t="shared" ca="1" si="192"/>
        <v>1</v>
      </c>
      <c r="BC334" s="29">
        <f t="shared" ca="1" si="192"/>
        <v>0</v>
      </c>
      <c r="BD334" s="29">
        <f t="shared" ca="1" si="192"/>
        <v>1</v>
      </c>
      <c r="BE334" s="29">
        <f t="shared" ca="1" si="192"/>
        <v>1</v>
      </c>
      <c r="BF334" s="29">
        <f t="shared" ca="1" si="192"/>
        <v>2</v>
      </c>
      <c r="BG334" s="29">
        <f t="shared" ca="1" si="192"/>
        <v>2</v>
      </c>
      <c r="BH334" s="29">
        <f t="shared" ca="1" si="192"/>
        <v>1</v>
      </c>
      <c r="BI334" s="29">
        <f t="shared" ca="1" si="192"/>
        <v>3</v>
      </c>
      <c r="BJ334" s="29">
        <f t="shared" ca="1" si="192"/>
        <v>1</v>
      </c>
      <c r="BK334" s="29">
        <f t="shared" ca="1" si="192"/>
        <v>0</v>
      </c>
      <c r="BL334" s="29">
        <f t="shared" ca="1" si="191"/>
        <v>0</v>
      </c>
      <c r="BM334" s="29">
        <f t="shared" ca="1" si="191"/>
        <v>1</v>
      </c>
      <c r="BN334" s="29">
        <f t="shared" ca="1" si="191"/>
        <v>0</v>
      </c>
      <c r="BO334" s="29">
        <f t="shared" ca="1" si="191"/>
        <v>1</v>
      </c>
      <c r="BP334" s="29">
        <f t="shared" ca="1" si="191"/>
        <v>1</v>
      </c>
      <c r="BQ334" s="29">
        <f t="shared" ca="1" si="191"/>
        <v>2</v>
      </c>
      <c r="BR334" s="29">
        <f t="shared" ca="1" si="191"/>
        <v>1</v>
      </c>
      <c r="BS334" s="29">
        <f t="shared" ca="1" si="191"/>
        <v>1</v>
      </c>
      <c r="BT334" s="29">
        <f t="shared" ca="1" si="191"/>
        <v>3</v>
      </c>
      <c r="BU334" s="29">
        <f t="shared" ca="1" si="191"/>
        <v>1</v>
      </c>
      <c r="BV334" s="29">
        <f t="shared" ca="1" si="191"/>
        <v>1</v>
      </c>
      <c r="BW334" s="29">
        <f t="shared" ca="1" si="191"/>
        <v>1</v>
      </c>
      <c r="BX334" s="29">
        <f t="shared" ca="1" si="191"/>
        <v>2</v>
      </c>
      <c r="BY334" s="29">
        <f t="shared" ca="1" si="191"/>
        <v>1</v>
      </c>
      <c r="BZ334" s="29">
        <f t="shared" ca="1" si="191"/>
        <v>1</v>
      </c>
      <c r="CA334" s="29">
        <f t="shared" ca="1" si="188"/>
        <v>1</v>
      </c>
      <c r="CB334" s="29">
        <f t="shared" ca="1" si="188"/>
        <v>2</v>
      </c>
      <c r="CC334" s="29">
        <f t="shared" ca="1" si="188"/>
        <v>0</v>
      </c>
      <c r="CD334" s="29">
        <f t="shared" ca="1" si="188"/>
        <v>2</v>
      </c>
      <c r="CE334" s="29">
        <f t="shared" ca="1" si="188"/>
        <v>1</v>
      </c>
      <c r="CF334" s="29">
        <f t="shared" ca="1" si="188"/>
        <v>4</v>
      </c>
      <c r="CG334" s="29">
        <f t="shared" ca="1" si="188"/>
        <v>1</v>
      </c>
      <c r="CH334" s="29">
        <f t="shared" ca="1" si="188"/>
        <v>0</v>
      </c>
      <c r="CI334" s="29">
        <f t="shared" ca="1" si="188"/>
        <v>0</v>
      </c>
      <c r="CJ334" s="29">
        <f t="shared" ca="1" si="188"/>
        <v>0</v>
      </c>
      <c r="CK334" s="29">
        <f t="shared" ca="1" si="188"/>
        <v>1</v>
      </c>
      <c r="CL334" s="29">
        <f t="shared" ca="1" si="188"/>
        <v>2</v>
      </c>
      <c r="CM334" s="29">
        <f t="shared" ca="1" si="188"/>
        <v>1</v>
      </c>
      <c r="CN334" s="29">
        <f t="shared" ca="1" si="188"/>
        <v>1</v>
      </c>
      <c r="CO334" s="29">
        <f t="shared" ca="1" si="188"/>
        <v>2</v>
      </c>
      <c r="CP334" s="29">
        <f t="shared" ca="1" si="188"/>
        <v>6</v>
      </c>
      <c r="CQ334" s="29">
        <f t="shared" ca="1" si="187"/>
        <v>1</v>
      </c>
      <c r="CR334" s="29">
        <f t="shared" ca="1" si="187"/>
        <v>0</v>
      </c>
      <c r="CS334" s="29">
        <f t="shared" ca="1" si="187"/>
        <v>1</v>
      </c>
      <c r="CT334" s="29">
        <f t="shared" ca="1" si="187"/>
        <v>2</v>
      </c>
      <c r="CU334" s="29">
        <f t="shared" ca="1" si="187"/>
        <v>2</v>
      </c>
      <c r="CV334" s="29">
        <f t="shared" ca="1" si="187"/>
        <v>1</v>
      </c>
      <c r="CW334" s="29">
        <f t="shared" ca="1" si="187"/>
        <v>1</v>
      </c>
      <c r="CX334" s="29">
        <f t="shared" ca="1" si="187"/>
        <v>2</v>
      </c>
      <c r="CY334" s="29">
        <f t="shared" ca="1" si="187"/>
        <v>3</v>
      </c>
      <c r="CZ334" s="29">
        <f t="shared" ca="1" si="187"/>
        <v>0</v>
      </c>
      <c r="DA334" s="29">
        <f t="shared" ca="1" si="187"/>
        <v>1</v>
      </c>
      <c r="DB334" s="29">
        <f t="shared" ca="1" si="187"/>
        <v>3</v>
      </c>
      <c r="DC334" s="29">
        <f t="shared" ca="1" si="187"/>
        <v>0</v>
      </c>
      <c r="DD334" s="29">
        <f t="shared" ca="1" si="187"/>
        <v>1</v>
      </c>
      <c r="DE334" s="29">
        <f t="shared" ca="1" si="187"/>
        <v>0</v>
      </c>
      <c r="DF334" s="29">
        <f t="shared" ca="1" si="173"/>
        <v>0</v>
      </c>
      <c r="DG334" s="29">
        <f t="shared" ca="1" si="173"/>
        <v>1</v>
      </c>
      <c r="DH334" s="29">
        <f t="shared" ca="1" si="173"/>
        <v>1</v>
      </c>
      <c r="DI334" s="29">
        <f t="shared" ca="1" si="173"/>
        <v>0</v>
      </c>
      <c r="DJ334" s="29">
        <f t="shared" ca="1" si="173"/>
        <v>1</v>
      </c>
      <c r="DK334" s="29">
        <f t="shared" ca="1" si="173"/>
        <v>3</v>
      </c>
      <c r="DL334" s="29">
        <f t="shared" ca="1" si="173"/>
        <v>2</v>
      </c>
    </row>
    <row r="335" spans="1:116" ht="14.4" x14ac:dyDescent="0.3">
      <c r="A335" s="31">
        <v>417</v>
      </c>
      <c r="B335" s="28">
        <v>0.76</v>
      </c>
      <c r="C335" s="30">
        <v>38.340000000000003</v>
      </c>
      <c r="D335" s="28">
        <v>0.53</v>
      </c>
      <c r="E335" s="34">
        <f t="shared" si="180"/>
        <v>1.06E-2</v>
      </c>
      <c r="F335" s="35">
        <f t="shared" si="181"/>
        <v>9.5850000000000009</v>
      </c>
      <c r="G335" s="34">
        <f t="shared" si="182"/>
        <v>13.25</v>
      </c>
      <c r="H335" s="33">
        <f t="shared" si="183"/>
        <v>4.8223684210526301</v>
      </c>
      <c r="I335" s="28">
        <f t="shared" si="186"/>
        <v>1348.9000000000003</v>
      </c>
      <c r="J335" s="32">
        <v>0</v>
      </c>
      <c r="K335" s="30">
        <f t="shared" si="184"/>
        <v>13.25</v>
      </c>
      <c r="L335" s="30"/>
      <c r="M335" s="30"/>
      <c r="N335" s="30"/>
      <c r="O335" s="30"/>
      <c r="Q335" s="29">
        <f t="shared" ca="1" si="185"/>
        <v>0</v>
      </c>
      <c r="R335" s="29">
        <f t="shared" ca="1" si="190"/>
        <v>1</v>
      </c>
      <c r="S335" s="29">
        <f t="shared" ca="1" si="190"/>
        <v>1</v>
      </c>
      <c r="T335" s="29">
        <f t="shared" ca="1" si="190"/>
        <v>0</v>
      </c>
      <c r="U335" s="29">
        <f t="shared" ca="1" si="190"/>
        <v>0</v>
      </c>
      <c r="V335" s="29">
        <f t="shared" ca="1" si="190"/>
        <v>1</v>
      </c>
      <c r="W335" s="29">
        <f t="shared" ca="1" si="190"/>
        <v>1</v>
      </c>
      <c r="X335" s="29">
        <f t="shared" ca="1" si="190"/>
        <v>1</v>
      </c>
      <c r="Y335" s="29">
        <f t="shared" ca="1" si="190"/>
        <v>1</v>
      </c>
      <c r="Z335" s="29">
        <f t="shared" ca="1" si="190"/>
        <v>2</v>
      </c>
      <c r="AA335" s="29">
        <f t="shared" ca="1" si="190"/>
        <v>0</v>
      </c>
      <c r="AB335" s="29">
        <f t="shared" ca="1" si="190"/>
        <v>0</v>
      </c>
      <c r="AC335" s="29">
        <f t="shared" ca="1" si="190"/>
        <v>0</v>
      </c>
      <c r="AD335" s="29">
        <f t="shared" ca="1" si="190"/>
        <v>2</v>
      </c>
      <c r="AE335" s="29">
        <f t="shared" ca="1" si="190"/>
        <v>0</v>
      </c>
      <c r="AF335" s="29">
        <f t="shared" ca="1" si="190"/>
        <v>0</v>
      </c>
      <c r="AG335" s="29">
        <f t="shared" ca="1" si="189"/>
        <v>3</v>
      </c>
      <c r="AH335" s="29">
        <f t="shared" ca="1" si="189"/>
        <v>0</v>
      </c>
      <c r="AI335" s="29">
        <f t="shared" ca="1" si="189"/>
        <v>0</v>
      </c>
      <c r="AJ335" s="29">
        <f t="shared" ca="1" si="189"/>
        <v>0</v>
      </c>
      <c r="AK335" s="29">
        <f t="shared" ca="1" si="189"/>
        <v>1</v>
      </c>
      <c r="AL335" s="29">
        <f t="shared" ca="1" si="189"/>
        <v>1</v>
      </c>
      <c r="AM335" s="29">
        <f t="shared" ca="1" si="189"/>
        <v>1</v>
      </c>
      <c r="AN335" s="29">
        <f t="shared" ca="1" si="189"/>
        <v>2</v>
      </c>
      <c r="AO335" s="29">
        <f t="shared" ca="1" si="189"/>
        <v>0</v>
      </c>
      <c r="AP335" s="29">
        <f t="shared" ca="1" si="189"/>
        <v>0</v>
      </c>
      <c r="AQ335" s="29">
        <f t="shared" ca="1" si="189"/>
        <v>0</v>
      </c>
      <c r="AR335" s="29">
        <f t="shared" ca="1" si="189"/>
        <v>0</v>
      </c>
      <c r="AS335" s="29">
        <f t="shared" ca="1" si="189"/>
        <v>0</v>
      </c>
      <c r="AT335" s="29">
        <f t="shared" ca="1" si="189"/>
        <v>1</v>
      </c>
      <c r="AU335" s="29">
        <f t="shared" ca="1" si="189"/>
        <v>0</v>
      </c>
      <c r="AV335" s="29">
        <f t="shared" ca="1" si="192"/>
        <v>1</v>
      </c>
      <c r="AW335" s="29">
        <f t="shared" ca="1" si="192"/>
        <v>1</v>
      </c>
      <c r="AX335" s="29">
        <f t="shared" ca="1" si="192"/>
        <v>0</v>
      </c>
      <c r="AY335" s="29">
        <f t="shared" ca="1" si="192"/>
        <v>2</v>
      </c>
      <c r="AZ335" s="29">
        <f t="shared" ca="1" si="192"/>
        <v>0</v>
      </c>
      <c r="BA335" s="29">
        <f t="shared" ca="1" si="192"/>
        <v>0</v>
      </c>
      <c r="BB335" s="29">
        <f t="shared" ca="1" si="192"/>
        <v>0</v>
      </c>
      <c r="BC335" s="29">
        <f t="shared" ca="1" si="192"/>
        <v>0</v>
      </c>
      <c r="BD335" s="29">
        <f t="shared" ca="1" si="192"/>
        <v>1</v>
      </c>
      <c r="BE335" s="29">
        <f t="shared" ca="1" si="192"/>
        <v>0</v>
      </c>
      <c r="BF335" s="29">
        <f t="shared" ca="1" si="192"/>
        <v>1</v>
      </c>
      <c r="BG335" s="29">
        <f t="shared" ca="1" si="192"/>
        <v>0</v>
      </c>
      <c r="BH335" s="29">
        <f t="shared" ca="1" si="192"/>
        <v>0</v>
      </c>
      <c r="BI335" s="29">
        <f t="shared" ca="1" si="192"/>
        <v>1</v>
      </c>
      <c r="BJ335" s="29">
        <f t="shared" ca="1" si="192"/>
        <v>0</v>
      </c>
      <c r="BK335" s="29">
        <f t="shared" ca="1" si="192"/>
        <v>1</v>
      </c>
      <c r="BL335" s="29">
        <f t="shared" ca="1" si="191"/>
        <v>0</v>
      </c>
      <c r="BM335" s="29">
        <f t="shared" ca="1" si="191"/>
        <v>1</v>
      </c>
      <c r="BN335" s="29">
        <f t="shared" ca="1" si="191"/>
        <v>2</v>
      </c>
      <c r="BO335" s="29">
        <f t="shared" ca="1" si="191"/>
        <v>0</v>
      </c>
      <c r="BP335" s="29">
        <f t="shared" ca="1" si="191"/>
        <v>1</v>
      </c>
      <c r="BQ335" s="29">
        <f t="shared" ca="1" si="191"/>
        <v>0</v>
      </c>
      <c r="BR335" s="29">
        <f t="shared" ca="1" si="191"/>
        <v>0</v>
      </c>
      <c r="BS335" s="29">
        <f t="shared" ca="1" si="191"/>
        <v>0</v>
      </c>
      <c r="BT335" s="29">
        <f t="shared" ca="1" si="191"/>
        <v>0</v>
      </c>
      <c r="BU335" s="29">
        <f t="shared" ca="1" si="191"/>
        <v>0</v>
      </c>
      <c r="BV335" s="29">
        <f t="shared" ca="1" si="191"/>
        <v>0</v>
      </c>
      <c r="BW335" s="29">
        <f t="shared" ca="1" si="191"/>
        <v>0</v>
      </c>
      <c r="BX335" s="29">
        <f t="shared" ca="1" si="191"/>
        <v>0</v>
      </c>
      <c r="BY335" s="29">
        <f t="shared" ca="1" si="191"/>
        <v>1</v>
      </c>
      <c r="BZ335" s="29">
        <f t="shared" ca="1" si="191"/>
        <v>0</v>
      </c>
      <c r="CA335" s="29">
        <f t="shared" ca="1" si="188"/>
        <v>0</v>
      </c>
      <c r="CB335" s="29">
        <f t="shared" ca="1" si="188"/>
        <v>0</v>
      </c>
      <c r="CC335" s="29">
        <f t="shared" ca="1" si="188"/>
        <v>1</v>
      </c>
      <c r="CD335" s="29">
        <f t="shared" ca="1" si="188"/>
        <v>1</v>
      </c>
      <c r="CE335" s="29">
        <f t="shared" ca="1" si="188"/>
        <v>0</v>
      </c>
      <c r="CF335" s="29">
        <f t="shared" ca="1" si="188"/>
        <v>0</v>
      </c>
      <c r="CG335" s="29">
        <f t="shared" ca="1" si="188"/>
        <v>0</v>
      </c>
      <c r="CH335" s="29">
        <f t="shared" ca="1" si="188"/>
        <v>1</v>
      </c>
      <c r="CI335" s="29">
        <f t="shared" ca="1" si="188"/>
        <v>0</v>
      </c>
      <c r="CJ335" s="29">
        <f t="shared" ca="1" si="188"/>
        <v>0</v>
      </c>
      <c r="CK335" s="29">
        <f t="shared" ca="1" si="188"/>
        <v>1</v>
      </c>
      <c r="CL335" s="29">
        <f t="shared" ca="1" si="188"/>
        <v>0</v>
      </c>
      <c r="CM335" s="29">
        <f t="shared" ca="1" si="188"/>
        <v>0</v>
      </c>
      <c r="CN335" s="29">
        <f t="shared" ca="1" si="188"/>
        <v>0</v>
      </c>
      <c r="CO335" s="29">
        <f t="shared" ca="1" si="188"/>
        <v>0</v>
      </c>
      <c r="CP335" s="29">
        <f t="shared" ca="1" si="188"/>
        <v>1</v>
      </c>
      <c r="CQ335" s="29">
        <f t="shared" ca="1" si="187"/>
        <v>0</v>
      </c>
      <c r="CR335" s="29">
        <f t="shared" ca="1" si="187"/>
        <v>1</v>
      </c>
      <c r="CS335" s="29">
        <f t="shared" ca="1" si="187"/>
        <v>0</v>
      </c>
      <c r="CT335" s="29">
        <f t="shared" ca="1" si="187"/>
        <v>1</v>
      </c>
      <c r="CU335" s="29">
        <f t="shared" ca="1" si="187"/>
        <v>2</v>
      </c>
      <c r="CV335" s="29">
        <f t="shared" ca="1" si="187"/>
        <v>3</v>
      </c>
      <c r="CW335" s="29">
        <f t="shared" ca="1" si="187"/>
        <v>1</v>
      </c>
      <c r="CX335" s="29">
        <f t="shared" ca="1" si="187"/>
        <v>1</v>
      </c>
      <c r="CY335" s="29">
        <f t="shared" ca="1" si="187"/>
        <v>0</v>
      </c>
      <c r="CZ335" s="29">
        <f t="shared" ca="1" si="187"/>
        <v>1</v>
      </c>
      <c r="DA335" s="29">
        <f t="shared" ca="1" si="187"/>
        <v>0</v>
      </c>
      <c r="DB335" s="29">
        <f t="shared" ca="1" si="187"/>
        <v>1</v>
      </c>
      <c r="DC335" s="29">
        <f t="shared" ca="1" si="187"/>
        <v>0</v>
      </c>
      <c r="DD335" s="29">
        <f t="shared" ca="1" si="187"/>
        <v>0</v>
      </c>
      <c r="DE335" s="29">
        <f t="shared" ca="1" si="187"/>
        <v>2</v>
      </c>
      <c r="DF335" s="29">
        <f t="shared" ca="1" si="173"/>
        <v>0</v>
      </c>
      <c r="DG335" s="29">
        <f t="shared" ca="1" si="173"/>
        <v>1</v>
      </c>
      <c r="DH335" s="29">
        <f t="shared" ca="1" si="173"/>
        <v>0</v>
      </c>
      <c r="DI335" s="29">
        <f t="shared" ca="1" si="173"/>
        <v>0</v>
      </c>
      <c r="DJ335" s="29">
        <f t="shared" ca="1" si="173"/>
        <v>0</v>
      </c>
      <c r="DK335" s="29">
        <f t="shared" ca="1" si="173"/>
        <v>0</v>
      </c>
      <c r="DL335" s="29">
        <f t="shared" ca="1" si="173"/>
        <v>0</v>
      </c>
    </row>
    <row r="336" spans="1:116" ht="14.4" x14ac:dyDescent="0.3">
      <c r="A336" s="31">
        <v>1049</v>
      </c>
      <c r="B336" s="28">
        <v>7.1</v>
      </c>
      <c r="C336" s="30">
        <v>0.4</v>
      </c>
      <c r="D336" s="28">
        <v>1.35</v>
      </c>
      <c r="E336" s="34">
        <f t="shared" si="180"/>
        <v>2.7000000000000003E-2</v>
      </c>
      <c r="F336" s="35">
        <f t="shared" si="181"/>
        <v>0.1</v>
      </c>
      <c r="G336" s="34">
        <f t="shared" si="182"/>
        <v>33.75</v>
      </c>
      <c r="H336" s="33">
        <f t="shared" si="183"/>
        <v>4.73943661971831</v>
      </c>
      <c r="I336" s="28">
        <f t="shared" si="186"/>
        <v>1356.0000000000002</v>
      </c>
      <c r="J336" s="32">
        <v>0</v>
      </c>
      <c r="K336" s="30">
        <f t="shared" si="184"/>
        <v>33.75</v>
      </c>
      <c r="L336" s="30"/>
      <c r="M336" s="30"/>
      <c r="N336" s="30"/>
      <c r="O336" s="30"/>
      <c r="Q336" s="29">
        <f t="shared" ca="1" si="185"/>
        <v>2</v>
      </c>
      <c r="R336" s="29">
        <f t="shared" ca="1" si="190"/>
        <v>1</v>
      </c>
      <c r="S336" s="29">
        <f t="shared" ca="1" si="190"/>
        <v>1</v>
      </c>
      <c r="T336" s="29">
        <f t="shared" ca="1" si="190"/>
        <v>2</v>
      </c>
      <c r="U336" s="29">
        <f t="shared" ca="1" si="190"/>
        <v>1</v>
      </c>
      <c r="V336" s="29">
        <f t="shared" ca="1" si="190"/>
        <v>2</v>
      </c>
      <c r="W336" s="29">
        <f t="shared" ca="1" si="190"/>
        <v>1</v>
      </c>
      <c r="X336" s="29">
        <f t="shared" ca="1" si="190"/>
        <v>1</v>
      </c>
      <c r="Y336" s="29">
        <f t="shared" ca="1" si="190"/>
        <v>0</v>
      </c>
      <c r="Z336" s="29">
        <f t="shared" ca="1" si="190"/>
        <v>0</v>
      </c>
      <c r="AA336" s="29">
        <f t="shared" ca="1" si="190"/>
        <v>0</v>
      </c>
      <c r="AB336" s="29">
        <f t="shared" ca="1" si="190"/>
        <v>2</v>
      </c>
      <c r="AC336" s="29">
        <f t="shared" ca="1" si="190"/>
        <v>2</v>
      </c>
      <c r="AD336" s="29">
        <f t="shared" ca="1" si="190"/>
        <v>4</v>
      </c>
      <c r="AE336" s="29">
        <f t="shared" ca="1" si="190"/>
        <v>2</v>
      </c>
      <c r="AF336" s="29">
        <f t="shared" ca="1" si="190"/>
        <v>5</v>
      </c>
      <c r="AG336" s="29">
        <f t="shared" ca="1" si="189"/>
        <v>1</v>
      </c>
      <c r="AH336" s="29">
        <f t="shared" ca="1" si="189"/>
        <v>0</v>
      </c>
      <c r="AI336" s="29">
        <f t="shared" ca="1" si="189"/>
        <v>1</v>
      </c>
      <c r="AJ336" s="29">
        <f t="shared" ca="1" si="189"/>
        <v>0</v>
      </c>
      <c r="AK336" s="29">
        <f t="shared" ca="1" si="189"/>
        <v>1</v>
      </c>
      <c r="AL336" s="29">
        <f t="shared" ca="1" si="189"/>
        <v>2</v>
      </c>
      <c r="AM336" s="29">
        <f t="shared" ca="1" si="189"/>
        <v>0</v>
      </c>
      <c r="AN336" s="29">
        <f t="shared" ca="1" si="189"/>
        <v>5</v>
      </c>
      <c r="AO336" s="29">
        <f t="shared" ca="1" si="189"/>
        <v>2</v>
      </c>
      <c r="AP336" s="29">
        <f t="shared" ca="1" si="189"/>
        <v>3</v>
      </c>
      <c r="AQ336" s="29">
        <f t="shared" ca="1" si="189"/>
        <v>1</v>
      </c>
      <c r="AR336" s="29">
        <f t="shared" ca="1" si="189"/>
        <v>1</v>
      </c>
      <c r="AS336" s="29">
        <f t="shared" ca="1" si="189"/>
        <v>1</v>
      </c>
      <c r="AT336" s="29">
        <f t="shared" ca="1" si="189"/>
        <v>2</v>
      </c>
      <c r="AU336" s="29">
        <f t="shared" ca="1" si="189"/>
        <v>0</v>
      </c>
      <c r="AV336" s="29">
        <f t="shared" ca="1" si="192"/>
        <v>4</v>
      </c>
      <c r="AW336" s="29">
        <f t="shared" ca="1" si="192"/>
        <v>1</v>
      </c>
      <c r="AX336" s="29">
        <f t="shared" ca="1" si="192"/>
        <v>2</v>
      </c>
      <c r="AY336" s="29">
        <f t="shared" ca="1" si="192"/>
        <v>1</v>
      </c>
      <c r="AZ336" s="29">
        <f t="shared" ca="1" si="192"/>
        <v>0</v>
      </c>
      <c r="BA336" s="29">
        <f t="shared" ca="1" si="192"/>
        <v>1</v>
      </c>
      <c r="BB336" s="29">
        <f t="shared" ca="1" si="192"/>
        <v>0</v>
      </c>
      <c r="BC336" s="29">
        <f t="shared" ca="1" si="192"/>
        <v>2</v>
      </c>
      <c r="BD336" s="29">
        <f t="shared" ca="1" si="192"/>
        <v>0</v>
      </c>
      <c r="BE336" s="29">
        <f t="shared" ca="1" si="192"/>
        <v>1</v>
      </c>
      <c r="BF336" s="29">
        <f t="shared" ca="1" si="192"/>
        <v>1</v>
      </c>
      <c r="BG336" s="29">
        <f t="shared" ca="1" si="192"/>
        <v>0</v>
      </c>
      <c r="BH336" s="29">
        <f t="shared" ca="1" si="192"/>
        <v>1</v>
      </c>
      <c r="BI336" s="29">
        <f t="shared" ca="1" si="192"/>
        <v>1</v>
      </c>
      <c r="BJ336" s="29">
        <f t="shared" ca="1" si="192"/>
        <v>0</v>
      </c>
      <c r="BK336" s="29">
        <f t="shared" ca="1" si="192"/>
        <v>1</v>
      </c>
      <c r="BL336" s="29">
        <f t="shared" ca="1" si="191"/>
        <v>2</v>
      </c>
      <c r="BM336" s="29">
        <f t="shared" ca="1" si="191"/>
        <v>2</v>
      </c>
      <c r="BN336" s="29">
        <f t="shared" ca="1" si="191"/>
        <v>0</v>
      </c>
      <c r="BO336" s="29">
        <f t="shared" ca="1" si="191"/>
        <v>0</v>
      </c>
      <c r="BP336" s="29">
        <f t="shared" ca="1" si="191"/>
        <v>2</v>
      </c>
      <c r="BQ336" s="29">
        <f t="shared" ca="1" si="191"/>
        <v>2</v>
      </c>
      <c r="BR336" s="29">
        <f t="shared" ca="1" si="191"/>
        <v>2</v>
      </c>
      <c r="BS336" s="29">
        <f t="shared" ca="1" si="191"/>
        <v>1</v>
      </c>
      <c r="BT336" s="29">
        <f t="shared" ca="1" si="191"/>
        <v>1</v>
      </c>
      <c r="BU336" s="29">
        <f t="shared" ca="1" si="191"/>
        <v>4</v>
      </c>
      <c r="BV336" s="29">
        <f t="shared" ca="1" si="191"/>
        <v>0</v>
      </c>
      <c r="BW336" s="29">
        <f t="shared" ca="1" si="191"/>
        <v>1</v>
      </c>
      <c r="BX336" s="29">
        <f t="shared" ca="1" si="191"/>
        <v>0</v>
      </c>
      <c r="BY336" s="29">
        <f t="shared" ca="1" si="191"/>
        <v>1</v>
      </c>
      <c r="BZ336" s="29">
        <f t="shared" ca="1" si="191"/>
        <v>2</v>
      </c>
      <c r="CA336" s="29">
        <f t="shared" ca="1" si="188"/>
        <v>1</v>
      </c>
      <c r="CB336" s="29">
        <f t="shared" ca="1" si="188"/>
        <v>1</v>
      </c>
      <c r="CC336" s="29">
        <f t="shared" ca="1" si="188"/>
        <v>1</v>
      </c>
      <c r="CD336" s="29">
        <f t="shared" ca="1" si="188"/>
        <v>4</v>
      </c>
      <c r="CE336" s="29">
        <f t="shared" ca="1" si="188"/>
        <v>2</v>
      </c>
      <c r="CF336" s="29">
        <f t="shared" ca="1" si="188"/>
        <v>1</v>
      </c>
      <c r="CG336" s="29">
        <f t="shared" ca="1" si="188"/>
        <v>2</v>
      </c>
      <c r="CH336" s="29">
        <f t="shared" ca="1" si="188"/>
        <v>1</v>
      </c>
      <c r="CI336" s="29">
        <f t="shared" ca="1" si="188"/>
        <v>0</v>
      </c>
      <c r="CJ336" s="29">
        <f t="shared" ca="1" si="188"/>
        <v>2</v>
      </c>
      <c r="CK336" s="29">
        <f t="shared" ca="1" si="188"/>
        <v>1</v>
      </c>
      <c r="CL336" s="29">
        <f t="shared" ca="1" si="188"/>
        <v>2</v>
      </c>
      <c r="CM336" s="29">
        <f t="shared" ca="1" si="188"/>
        <v>1</v>
      </c>
      <c r="CN336" s="29">
        <f t="shared" ca="1" si="188"/>
        <v>2</v>
      </c>
      <c r="CO336" s="29">
        <f t="shared" ca="1" si="188"/>
        <v>1</v>
      </c>
      <c r="CP336" s="29">
        <f t="shared" ca="1" si="188"/>
        <v>0</v>
      </c>
      <c r="CQ336" s="29">
        <f t="shared" ca="1" si="187"/>
        <v>1</v>
      </c>
      <c r="CR336" s="29">
        <f t="shared" ca="1" si="187"/>
        <v>0</v>
      </c>
      <c r="CS336" s="29">
        <f t="shared" ca="1" si="187"/>
        <v>1</v>
      </c>
      <c r="CT336" s="29">
        <f t="shared" ca="1" si="187"/>
        <v>2</v>
      </c>
      <c r="CU336" s="29">
        <f t="shared" ca="1" si="187"/>
        <v>1</v>
      </c>
      <c r="CV336" s="29">
        <f t="shared" ca="1" si="187"/>
        <v>1</v>
      </c>
      <c r="CW336" s="29">
        <f t="shared" ca="1" si="187"/>
        <v>0</v>
      </c>
      <c r="CX336" s="29">
        <f t="shared" ca="1" si="187"/>
        <v>2</v>
      </c>
      <c r="CY336" s="29">
        <f t="shared" ca="1" si="187"/>
        <v>0</v>
      </c>
      <c r="CZ336" s="29">
        <f t="shared" ca="1" si="187"/>
        <v>1</v>
      </c>
      <c r="DA336" s="29">
        <f t="shared" ca="1" si="187"/>
        <v>1</v>
      </c>
      <c r="DB336" s="29">
        <f t="shared" ca="1" si="187"/>
        <v>2</v>
      </c>
      <c r="DC336" s="29">
        <f t="shared" ca="1" si="187"/>
        <v>1</v>
      </c>
      <c r="DD336" s="29">
        <f t="shared" ca="1" si="187"/>
        <v>2</v>
      </c>
      <c r="DE336" s="29">
        <f t="shared" ca="1" si="187"/>
        <v>3</v>
      </c>
      <c r="DF336" s="29">
        <f t="shared" ca="1" si="173"/>
        <v>0</v>
      </c>
      <c r="DG336" s="29">
        <f t="shared" ca="1" si="173"/>
        <v>1</v>
      </c>
      <c r="DH336" s="29">
        <f t="shared" ca="1" si="173"/>
        <v>2</v>
      </c>
      <c r="DI336" s="29">
        <f t="shared" ca="1" si="173"/>
        <v>0</v>
      </c>
      <c r="DJ336" s="29">
        <f t="shared" ca="1" si="173"/>
        <v>1</v>
      </c>
      <c r="DK336" s="29">
        <f t="shared" ca="1" si="173"/>
        <v>0</v>
      </c>
      <c r="DL336" s="29">
        <f t="shared" ca="1" si="173"/>
        <v>1</v>
      </c>
    </row>
    <row r="337" spans="1:116" ht="14.4" x14ac:dyDescent="0.3">
      <c r="A337" s="31">
        <v>866</v>
      </c>
      <c r="B337" s="28">
        <v>2.64</v>
      </c>
      <c r="C337" s="30">
        <v>85.07</v>
      </c>
      <c r="D337" s="28">
        <v>1.34</v>
      </c>
      <c r="E337" s="34">
        <f t="shared" si="180"/>
        <v>2.6800000000000001E-2</v>
      </c>
      <c r="F337" s="35">
        <f t="shared" si="181"/>
        <v>21.267499999999998</v>
      </c>
      <c r="G337" s="34">
        <f t="shared" si="182"/>
        <v>33.5</v>
      </c>
      <c r="H337" s="33">
        <f t="shared" si="183"/>
        <v>4.6335227272727275</v>
      </c>
      <c r="I337" s="28">
        <f t="shared" si="186"/>
        <v>1358.6400000000003</v>
      </c>
      <c r="J337" s="32">
        <v>0</v>
      </c>
      <c r="K337" s="30">
        <f t="shared" si="184"/>
        <v>33.5</v>
      </c>
      <c r="L337" s="30"/>
      <c r="M337" s="30"/>
      <c r="N337" s="30"/>
      <c r="O337" s="30"/>
      <c r="Q337" s="29">
        <f t="shared" ca="1" si="185"/>
        <v>3</v>
      </c>
      <c r="R337" s="29">
        <f t="shared" ca="1" si="190"/>
        <v>1</v>
      </c>
      <c r="S337" s="29">
        <f t="shared" ca="1" si="190"/>
        <v>0</v>
      </c>
      <c r="T337" s="29">
        <f t="shared" ca="1" si="190"/>
        <v>2</v>
      </c>
      <c r="U337" s="29">
        <f t="shared" ca="1" si="190"/>
        <v>2</v>
      </c>
      <c r="V337" s="29">
        <f t="shared" ca="1" si="190"/>
        <v>2</v>
      </c>
      <c r="W337" s="29">
        <f t="shared" ca="1" si="190"/>
        <v>3</v>
      </c>
      <c r="X337" s="29">
        <f t="shared" ca="1" si="190"/>
        <v>3</v>
      </c>
      <c r="Y337" s="29">
        <f t="shared" ca="1" si="190"/>
        <v>2</v>
      </c>
      <c r="Z337" s="29">
        <f t="shared" ca="1" si="190"/>
        <v>2</v>
      </c>
      <c r="AA337" s="29">
        <f t="shared" ca="1" si="190"/>
        <v>2</v>
      </c>
      <c r="AB337" s="29">
        <f t="shared" ca="1" si="190"/>
        <v>1</v>
      </c>
      <c r="AC337" s="29">
        <f t="shared" ca="1" si="190"/>
        <v>1</v>
      </c>
      <c r="AD337" s="29">
        <f t="shared" ca="1" si="190"/>
        <v>2</v>
      </c>
      <c r="AE337" s="29">
        <f t="shared" ca="1" si="190"/>
        <v>2</v>
      </c>
      <c r="AF337" s="29">
        <f t="shared" ca="1" si="190"/>
        <v>0</v>
      </c>
      <c r="AG337" s="29">
        <f t="shared" ca="1" si="189"/>
        <v>1</v>
      </c>
      <c r="AH337" s="29">
        <f t="shared" ca="1" si="189"/>
        <v>2</v>
      </c>
      <c r="AI337" s="29">
        <f t="shared" ca="1" si="189"/>
        <v>0</v>
      </c>
      <c r="AJ337" s="29">
        <f t="shared" ca="1" si="189"/>
        <v>1</v>
      </c>
      <c r="AK337" s="29">
        <f t="shared" ca="1" si="189"/>
        <v>2</v>
      </c>
      <c r="AL337" s="29">
        <f t="shared" ca="1" si="189"/>
        <v>0</v>
      </c>
      <c r="AM337" s="29">
        <f t="shared" ca="1" si="189"/>
        <v>0</v>
      </c>
      <c r="AN337" s="29">
        <f t="shared" ca="1" si="189"/>
        <v>2</v>
      </c>
      <c r="AO337" s="29">
        <f t="shared" ca="1" si="189"/>
        <v>1</v>
      </c>
      <c r="AP337" s="29">
        <f t="shared" ca="1" si="189"/>
        <v>1</v>
      </c>
      <c r="AQ337" s="29">
        <f t="shared" ca="1" si="189"/>
        <v>2</v>
      </c>
      <c r="AR337" s="29">
        <f t="shared" ca="1" si="189"/>
        <v>0</v>
      </c>
      <c r="AS337" s="29">
        <f t="shared" ca="1" si="189"/>
        <v>0</v>
      </c>
      <c r="AT337" s="29">
        <f t="shared" ca="1" si="189"/>
        <v>3</v>
      </c>
      <c r="AU337" s="29">
        <f t="shared" ca="1" si="189"/>
        <v>1</v>
      </c>
      <c r="AV337" s="29">
        <f t="shared" ca="1" si="192"/>
        <v>2</v>
      </c>
      <c r="AW337" s="29">
        <f t="shared" ca="1" si="192"/>
        <v>1</v>
      </c>
      <c r="AX337" s="29">
        <f t="shared" ca="1" si="192"/>
        <v>2</v>
      </c>
      <c r="AY337" s="29">
        <f t="shared" ca="1" si="192"/>
        <v>0</v>
      </c>
      <c r="AZ337" s="29">
        <f t="shared" ca="1" si="192"/>
        <v>2</v>
      </c>
      <c r="BA337" s="29">
        <f t="shared" ca="1" si="192"/>
        <v>2</v>
      </c>
      <c r="BB337" s="29">
        <f t="shared" ca="1" si="192"/>
        <v>1</v>
      </c>
      <c r="BC337" s="29">
        <f t="shared" ca="1" si="192"/>
        <v>0</v>
      </c>
      <c r="BD337" s="29">
        <f t="shared" ca="1" si="192"/>
        <v>1</v>
      </c>
      <c r="BE337" s="29">
        <f t="shared" ca="1" si="192"/>
        <v>0</v>
      </c>
      <c r="BF337" s="29">
        <f t="shared" ca="1" si="192"/>
        <v>1</v>
      </c>
      <c r="BG337" s="29">
        <f t="shared" ca="1" si="192"/>
        <v>1</v>
      </c>
      <c r="BH337" s="29">
        <f t="shared" ca="1" si="192"/>
        <v>0</v>
      </c>
      <c r="BI337" s="29">
        <f t="shared" ca="1" si="192"/>
        <v>4</v>
      </c>
      <c r="BJ337" s="29">
        <f t="shared" ca="1" si="192"/>
        <v>4</v>
      </c>
      <c r="BK337" s="29">
        <f t="shared" ca="1" si="192"/>
        <v>2</v>
      </c>
      <c r="BL337" s="29">
        <f t="shared" ca="1" si="191"/>
        <v>1</v>
      </c>
      <c r="BM337" s="29">
        <f t="shared" ca="1" si="191"/>
        <v>0</v>
      </c>
      <c r="BN337" s="29">
        <f t="shared" ca="1" si="191"/>
        <v>0</v>
      </c>
      <c r="BO337" s="29">
        <f t="shared" ca="1" si="191"/>
        <v>3</v>
      </c>
      <c r="BP337" s="29">
        <f t="shared" ca="1" si="191"/>
        <v>0</v>
      </c>
      <c r="BQ337" s="29">
        <f t="shared" ca="1" si="191"/>
        <v>2</v>
      </c>
      <c r="BR337" s="29">
        <f t="shared" ca="1" si="191"/>
        <v>3</v>
      </c>
      <c r="BS337" s="29">
        <f t="shared" ca="1" si="191"/>
        <v>2</v>
      </c>
      <c r="BT337" s="29">
        <f t="shared" ca="1" si="191"/>
        <v>1</v>
      </c>
      <c r="BU337" s="29">
        <f t="shared" ca="1" si="191"/>
        <v>0</v>
      </c>
      <c r="BV337" s="29">
        <f t="shared" ca="1" si="191"/>
        <v>1</v>
      </c>
      <c r="BW337" s="29">
        <f t="shared" ca="1" si="191"/>
        <v>3</v>
      </c>
      <c r="BX337" s="29">
        <f t="shared" ca="1" si="191"/>
        <v>1</v>
      </c>
      <c r="BY337" s="29">
        <f t="shared" ca="1" si="191"/>
        <v>0</v>
      </c>
      <c r="BZ337" s="29">
        <f t="shared" ca="1" si="191"/>
        <v>1</v>
      </c>
      <c r="CA337" s="29">
        <f t="shared" ca="1" si="188"/>
        <v>2</v>
      </c>
      <c r="CB337" s="29">
        <f t="shared" ca="1" si="188"/>
        <v>3</v>
      </c>
      <c r="CC337" s="29">
        <f t="shared" ca="1" si="188"/>
        <v>2</v>
      </c>
      <c r="CD337" s="29">
        <f t="shared" ca="1" si="188"/>
        <v>1</v>
      </c>
      <c r="CE337" s="29">
        <f t="shared" ca="1" si="188"/>
        <v>1</v>
      </c>
      <c r="CF337" s="29">
        <f t="shared" ca="1" si="188"/>
        <v>1</v>
      </c>
      <c r="CG337" s="29">
        <f t="shared" ca="1" si="188"/>
        <v>2</v>
      </c>
      <c r="CH337" s="29">
        <f t="shared" ca="1" si="188"/>
        <v>1</v>
      </c>
      <c r="CI337" s="29">
        <f t="shared" ca="1" si="188"/>
        <v>0</v>
      </c>
      <c r="CJ337" s="29">
        <f t="shared" ca="1" si="188"/>
        <v>3</v>
      </c>
      <c r="CK337" s="29">
        <f t="shared" ca="1" si="188"/>
        <v>2</v>
      </c>
      <c r="CL337" s="29">
        <f t="shared" ca="1" si="188"/>
        <v>0</v>
      </c>
      <c r="CM337" s="29">
        <f t="shared" ca="1" si="188"/>
        <v>0</v>
      </c>
      <c r="CN337" s="29">
        <f t="shared" ca="1" si="188"/>
        <v>0</v>
      </c>
      <c r="CO337" s="29">
        <f t="shared" ca="1" si="188"/>
        <v>1</v>
      </c>
      <c r="CP337" s="29">
        <f t="shared" ca="1" si="188"/>
        <v>1</v>
      </c>
      <c r="CQ337" s="29">
        <f t="shared" ca="1" si="187"/>
        <v>2</v>
      </c>
      <c r="CR337" s="29">
        <f t="shared" ca="1" si="187"/>
        <v>0</v>
      </c>
      <c r="CS337" s="29">
        <f t="shared" ca="1" si="187"/>
        <v>3</v>
      </c>
      <c r="CT337" s="29">
        <f t="shared" ca="1" si="187"/>
        <v>2</v>
      </c>
      <c r="CU337" s="29">
        <f t="shared" ca="1" si="187"/>
        <v>1</v>
      </c>
      <c r="CV337" s="29">
        <f t="shared" ca="1" si="187"/>
        <v>3</v>
      </c>
      <c r="CW337" s="29">
        <f t="shared" ca="1" si="187"/>
        <v>1</v>
      </c>
      <c r="CX337" s="29">
        <f t="shared" ca="1" si="187"/>
        <v>0</v>
      </c>
      <c r="CY337" s="29">
        <f t="shared" ca="1" si="187"/>
        <v>0</v>
      </c>
      <c r="CZ337" s="29">
        <f t="shared" ca="1" si="187"/>
        <v>0</v>
      </c>
      <c r="DA337" s="29">
        <f t="shared" ca="1" si="187"/>
        <v>1</v>
      </c>
      <c r="DB337" s="29">
        <f t="shared" ca="1" si="187"/>
        <v>2</v>
      </c>
      <c r="DC337" s="29">
        <f t="shared" ca="1" si="187"/>
        <v>0</v>
      </c>
      <c r="DD337" s="29">
        <f t="shared" ca="1" si="187"/>
        <v>0</v>
      </c>
      <c r="DE337" s="29">
        <f t="shared" ca="1" si="187"/>
        <v>0</v>
      </c>
      <c r="DF337" s="29">
        <f t="shared" ca="1" si="173"/>
        <v>2</v>
      </c>
      <c r="DG337" s="29">
        <f t="shared" ca="1" si="173"/>
        <v>3</v>
      </c>
      <c r="DH337" s="29">
        <f t="shared" ca="1" si="173"/>
        <v>1</v>
      </c>
      <c r="DI337" s="29">
        <f t="shared" ca="1" si="173"/>
        <v>3</v>
      </c>
      <c r="DJ337" s="29">
        <f t="shared" ca="1" si="173"/>
        <v>5</v>
      </c>
      <c r="DK337" s="29">
        <f t="shared" ca="1" si="173"/>
        <v>0</v>
      </c>
      <c r="DL337" s="29">
        <f t="shared" ca="1" si="173"/>
        <v>1</v>
      </c>
    </row>
    <row r="338" spans="1:116" ht="14.4" x14ac:dyDescent="0.3">
      <c r="A338" s="31">
        <v>320</v>
      </c>
      <c r="B338" s="28">
        <v>2.08</v>
      </c>
      <c r="C338" s="30">
        <v>50.85</v>
      </c>
      <c r="D338" s="28">
        <v>0.89</v>
      </c>
      <c r="E338" s="34">
        <f t="shared" si="180"/>
        <v>1.78E-2</v>
      </c>
      <c r="F338" s="35">
        <f t="shared" si="181"/>
        <v>12.7125</v>
      </c>
      <c r="G338" s="34">
        <f t="shared" si="182"/>
        <v>22.25</v>
      </c>
      <c r="H338" s="33">
        <f t="shared" si="183"/>
        <v>4.5853365384615383</v>
      </c>
      <c r="I338" s="28">
        <f t="shared" si="186"/>
        <v>1360.7200000000003</v>
      </c>
      <c r="J338" s="32">
        <v>0</v>
      </c>
      <c r="K338" s="30">
        <f t="shared" si="184"/>
        <v>22.25</v>
      </c>
      <c r="L338" s="30"/>
      <c r="M338" s="30"/>
      <c r="N338" s="30"/>
      <c r="O338" s="30"/>
      <c r="Q338" s="29">
        <f t="shared" ca="1" si="185"/>
        <v>1</v>
      </c>
      <c r="R338" s="29">
        <f t="shared" ca="1" si="190"/>
        <v>2</v>
      </c>
      <c r="S338" s="29">
        <f t="shared" ca="1" si="190"/>
        <v>1</v>
      </c>
      <c r="T338" s="29">
        <f t="shared" ca="1" si="190"/>
        <v>0</v>
      </c>
      <c r="U338" s="29">
        <f t="shared" ca="1" si="190"/>
        <v>1</v>
      </c>
      <c r="V338" s="29">
        <f t="shared" ca="1" si="190"/>
        <v>0</v>
      </c>
      <c r="W338" s="29">
        <f t="shared" ca="1" si="190"/>
        <v>0</v>
      </c>
      <c r="X338" s="29">
        <f t="shared" ca="1" si="190"/>
        <v>2</v>
      </c>
      <c r="Y338" s="29">
        <f t="shared" ca="1" si="190"/>
        <v>2</v>
      </c>
      <c r="Z338" s="29">
        <f t="shared" ca="1" si="190"/>
        <v>1</v>
      </c>
      <c r="AA338" s="29">
        <f t="shared" ca="1" si="190"/>
        <v>2</v>
      </c>
      <c r="AB338" s="29">
        <f t="shared" ca="1" si="190"/>
        <v>1</v>
      </c>
      <c r="AC338" s="29">
        <f t="shared" ca="1" si="190"/>
        <v>1</v>
      </c>
      <c r="AD338" s="29">
        <f t="shared" ca="1" si="190"/>
        <v>0</v>
      </c>
      <c r="AE338" s="29">
        <f t="shared" ca="1" si="190"/>
        <v>0</v>
      </c>
      <c r="AF338" s="29">
        <f t="shared" ca="1" si="190"/>
        <v>1</v>
      </c>
      <c r="AG338" s="29">
        <f t="shared" ca="1" si="189"/>
        <v>2</v>
      </c>
      <c r="AH338" s="29">
        <f t="shared" ca="1" si="189"/>
        <v>1</v>
      </c>
      <c r="AI338" s="29">
        <f t="shared" ca="1" si="189"/>
        <v>2</v>
      </c>
      <c r="AJ338" s="29">
        <f t="shared" ca="1" si="189"/>
        <v>0</v>
      </c>
      <c r="AK338" s="29">
        <f t="shared" ca="1" si="189"/>
        <v>0</v>
      </c>
      <c r="AL338" s="29">
        <f t="shared" ca="1" si="189"/>
        <v>0</v>
      </c>
      <c r="AM338" s="29">
        <f t="shared" ca="1" si="189"/>
        <v>0</v>
      </c>
      <c r="AN338" s="29">
        <f t="shared" ca="1" si="189"/>
        <v>1</v>
      </c>
      <c r="AO338" s="29">
        <f t="shared" ca="1" si="189"/>
        <v>2</v>
      </c>
      <c r="AP338" s="29">
        <f t="shared" ca="1" si="189"/>
        <v>5</v>
      </c>
      <c r="AQ338" s="29">
        <f t="shared" ca="1" si="189"/>
        <v>1</v>
      </c>
      <c r="AR338" s="29">
        <f t="shared" ca="1" si="189"/>
        <v>1</v>
      </c>
      <c r="AS338" s="29">
        <f t="shared" ca="1" si="189"/>
        <v>1</v>
      </c>
      <c r="AT338" s="29">
        <f t="shared" ca="1" si="189"/>
        <v>0</v>
      </c>
      <c r="AU338" s="29">
        <f t="shared" ca="1" si="189"/>
        <v>0</v>
      </c>
      <c r="AV338" s="29">
        <f t="shared" ca="1" si="192"/>
        <v>1</v>
      </c>
      <c r="AW338" s="29">
        <f t="shared" ca="1" si="192"/>
        <v>1</v>
      </c>
      <c r="AX338" s="29">
        <f t="shared" ca="1" si="192"/>
        <v>0</v>
      </c>
      <c r="AY338" s="29">
        <f t="shared" ca="1" si="192"/>
        <v>1</v>
      </c>
      <c r="AZ338" s="29">
        <f t="shared" ca="1" si="192"/>
        <v>0</v>
      </c>
      <c r="BA338" s="29">
        <f t="shared" ca="1" si="192"/>
        <v>0</v>
      </c>
      <c r="BB338" s="29">
        <f t="shared" ca="1" si="192"/>
        <v>0</v>
      </c>
      <c r="BC338" s="29">
        <f t="shared" ca="1" si="192"/>
        <v>0</v>
      </c>
      <c r="BD338" s="29">
        <f t="shared" ca="1" si="192"/>
        <v>0</v>
      </c>
      <c r="BE338" s="29">
        <f t="shared" ca="1" si="192"/>
        <v>4</v>
      </c>
      <c r="BF338" s="29">
        <f t="shared" ca="1" si="192"/>
        <v>1</v>
      </c>
      <c r="BG338" s="29">
        <f t="shared" ca="1" si="192"/>
        <v>0</v>
      </c>
      <c r="BH338" s="29">
        <f t="shared" ca="1" si="192"/>
        <v>0</v>
      </c>
      <c r="BI338" s="29">
        <f t="shared" ca="1" si="192"/>
        <v>0</v>
      </c>
      <c r="BJ338" s="29">
        <f t="shared" ca="1" si="192"/>
        <v>1</v>
      </c>
      <c r="BK338" s="29">
        <f t="shared" ca="1" si="192"/>
        <v>3</v>
      </c>
      <c r="BL338" s="29">
        <f t="shared" ca="1" si="191"/>
        <v>0</v>
      </c>
      <c r="BM338" s="29">
        <f t="shared" ca="1" si="191"/>
        <v>0</v>
      </c>
      <c r="BN338" s="29">
        <f t="shared" ca="1" si="191"/>
        <v>0</v>
      </c>
      <c r="BO338" s="29">
        <f t="shared" ca="1" si="191"/>
        <v>0</v>
      </c>
      <c r="BP338" s="29">
        <f t="shared" ca="1" si="191"/>
        <v>1</v>
      </c>
      <c r="BQ338" s="29">
        <f t="shared" ca="1" si="191"/>
        <v>1</v>
      </c>
      <c r="BR338" s="29">
        <f t="shared" ca="1" si="191"/>
        <v>1</v>
      </c>
      <c r="BS338" s="29">
        <f t="shared" ca="1" si="191"/>
        <v>1</v>
      </c>
      <c r="BT338" s="29">
        <f t="shared" ca="1" si="191"/>
        <v>0</v>
      </c>
      <c r="BU338" s="29">
        <f t="shared" ca="1" si="191"/>
        <v>1</v>
      </c>
      <c r="BV338" s="29">
        <f t="shared" ca="1" si="191"/>
        <v>1</v>
      </c>
      <c r="BW338" s="29">
        <f t="shared" ca="1" si="191"/>
        <v>0</v>
      </c>
      <c r="BX338" s="29">
        <f t="shared" ca="1" si="191"/>
        <v>0</v>
      </c>
      <c r="BY338" s="29">
        <f t="shared" ca="1" si="191"/>
        <v>3</v>
      </c>
      <c r="BZ338" s="29">
        <f t="shared" ca="1" si="191"/>
        <v>2</v>
      </c>
      <c r="CA338" s="29">
        <f t="shared" ca="1" si="188"/>
        <v>1</v>
      </c>
      <c r="CB338" s="29">
        <f t="shared" ca="1" si="188"/>
        <v>2</v>
      </c>
      <c r="CC338" s="29">
        <f t="shared" ca="1" si="188"/>
        <v>0</v>
      </c>
      <c r="CD338" s="29">
        <f t="shared" ca="1" si="188"/>
        <v>1</v>
      </c>
      <c r="CE338" s="29">
        <f t="shared" ca="1" si="188"/>
        <v>2</v>
      </c>
      <c r="CF338" s="29">
        <f t="shared" ca="1" si="188"/>
        <v>2</v>
      </c>
      <c r="CG338" s="29">
        <f t="shared" ca="1" si="188"/>
        <v>3</v>
      </c>
      <c r="CH338" s="29">
        <f t="shared" ca="1" si="188"/>
        <v>1</v>
      </c>
      <c r="CI338" s="29">
        <f t="shared" ca="1" si="188"/>
        <v>0</v>
      </c>
      <c r="CJ338" s="29">
        <f t="shared" ca="1" si="188"/>
        <v>0</v>
      </c>
      <c r="CK338" s="29">
        <f t="shared" ca="1" si="188"/>
        <v>2</v>
      </c>
      <c r="CL338" s="29">
        <f t="shared" ca="1" si="188"/>
        <v>1</v>
      </c>
      <c r="CM338" s="29">
        <f t="shared" ca="1" si="188"/>
        <v>0</v>
      </c>
      <c r="CN338" s="29">
        <f t="shared" ca="1" si="188"/>
        <v>1</v>
      </c>
      <c r="CO338" s="29">
        <f t="shared" ca="1" si="188"/>
        <v>0</v>
      </c>
      <c r="CP338" s="29">
        <f t="shared" ca="1" si="188"/>
        <v>1</v>
      </c>
      <c r="CQ338" s="29">
        <f t="shared" ca="1" si="187"/>
        <v>2</v>
      </c>
      <c r="CR338" s="29">
        <f t="shared" ca="1" si="187"/>
        <v>1</v>
      </c>
      <c r="CS338" s="29">
        <f t="shared" ca="1" si="187"/>
        <v>1</v>
      </c>
      <c r="CT338" s="29">
        <f t="shared" ca="1" si="187"/>
        <v>1</v>
      </c>
      <c r="CU338" s="29">
        <f t="shared" ca="1" si="187"/>
        <v>0</v>
      </c>
      <c r="CV338" s="29">
        <f t="shared" ca="1" si="187"/>
        <v>1</v>
      </c>
      <c r="CW338" s="29">
        <f t="shared" ca="1" si="187"/>
        <v>0</v>
      </c>
      <c r="CX338" s="29">
        <f t="shared" ca="1" si="187"/>
        <v>0</v>
      </c>
      <c r="CY338" s="29">
        <f t="shared" ca="1" si="187"/>
        <v>1</v>
      </c>
      <c r="CZ338" s="29">
        <f t="shared" ca="1" si="187"/>
        <v>0</v>
      </c>
      <c r="DA338" s="29">
        <f t="shared" ca="1" si="187"/>
        <v>1</v>
      </c>
      <c r="DB338" s="29">
        <f t="shared" ca="1" si="187"/>
        <v>0</v>
      </c>
      <c r="DC338" s="29">
        <f t="shared" ca="1" si="187"/>
        <v>3</v>
      </c>
      <c r="DD338" s="29">
        <f t="shared" ca="1" si="187"/>
        <v>3</v>
      </c>
      <c r="DE338" s="29">
        <f t="shared" ca="1" si="187"/>
        <v>0</v>
      </c>
      <c r="DF338" s="29">
        <f t="shared" ca="1" si="173"/>
        <v>0</v>
      </c>
      <c r="DG338" s="29">
        <f t="shared" ca="1" si="173"/>
        <v>0</v>
      </c>
      <c r="DH338" s="29">
        <f t="shared" ca="1" si="173"/>
        <v>0</v>
      </c>
      <c r="DI338" s="29">
        <f t="shared" ca="1" si="173"/>
        <v>2</v>
      </c>
      <c r="DJ338" s="29">
        <f t="shared" ca="1" si="173"/>
        <v>0</v>
      </c>
      <c r="DK338" s="29">
        <f t="shared" ca="1" si="173"/>
        <v>2</v>
      </c>
      <c r="DL338" s="29">
        <f t="shared" ca="1" si="173"/>
        <v>1</v>
      </c>
    </row>
    <row r="339" spans="1:116" ht="14.4" x14ac:dyDescent="0.3">
      <c r="A339" s="31">
        <v>774</v>
      </c>
      <c r="B339" s="28">
        <v>0.95</v>
      </c>
      <c r="C339" s="30">
        <v>53.75</v>
      </c>
      <c r="D339" s="28">
        <v>0.71</v>
      </c>
      <c r="E339" s="34">
        <f t="shared" si="180"/>
        <v>1.4199999999999999E-2</v>
      </c>
      <c r="F339" s="35">
        <f t="shared" si="181"/>
        <v>13.4375</v>
      </c>
      <c r="G339" s="34">
        <f t="shared" si="182"/>
        <v>17.75</v>
      </c>
      <c r="H339" s="33">
        <f t="shared" si="183"/>
        <v>4.5394736842105265</v>
      </c>
      <c r="I339" s="28">
        <f t="shared" si="186"/>
        <v>1361.6700000000003</v>
      </c>
      <c r="J339" s="32">
        <v>0</v>
      </c>
      <c r="K339" s="30">
        <f t="shared" si="184"/>
        <v>17.75</v>
      </c>
      <c r="L339" s="30"/>
      <c r="M339" s="30"/>
      <c r="N339" s="30"/>
      <c r="O339" s="30"/>
      <c r="Q339" s="29">
        <f t="shared" ca="1" si="185"/>
        <v>1</v>
      </c>
      <c r="R339" s="29">
        <f t="shared" ca="1" si="190"/>
        <v>3</v>
      </c>
      <c r="S339" s="29">
        <f t="shared" ca="1" si="190"/>
        <v>2</v>
      </c>
      <c r="T339" s="29">
        <f t="shared" ca="1" si="190"/>
        <v>3</v>
      </c>
      <c r="U339" s="29">
        <f t="shared" ca="1" si="190"/>
        <v>2</v>
      </c>
      <c r="V339" s="29">
        <f t="shared" ca="1" si="190"/>
        <v>0</v>
      </c>
      <c r="W339" s="29">
        <f t="shared" ca="1" si="190"/>
        <v>1</v>
      </c>
      <c r="X339" s="29">
        <f t="shared" ca="1" si="190"/>
        <v>2</v>
      </c>
      <c r="Y339" s="29">
        <f t="shared" ca="1" si="190"/>
        <v>1</v>
      </c>
      <c r="Z339" s="29">
        <f t="shared" ca="1" si="190"/>
        <v>2</v>
      </c>
      <c r="AA339" s="29">
        <f t="shared" ca="1" si="190"/>
        <v>1</v>
      </c>
      <c r="AB339" s="29">
        <f t="shared" ca="1" si="190"/>
        <v>2</v>
      </c>
      <c r="AC339" s="29">
        <f t="shared" ca="1" si="190"/>
        <v>0</v>
      </c>
      <c r="AD339" s="29">
        <f t="shared" ca="1" si="190"/>
        <v>0</v>
      </c>
      <c r="AE339" s="29">
        <f t="shared" ca="1" si="190"/>
        <v>0</v>
      </c>
      <c r="AF339" s="29">
        <f t="shared" ca="1" si="190"/>
        <v>0</v>
      </c>
      <c r="AG339" s="29">
        <f t="shared" ca="1" si="189"/>
        <v>1</v>
      </c>
      <c r="AH339" s="29">
        <f t="shared" ca="1" si="189"/>
        <v>3</v>
      </c>
      <c r="AI339" s="29">
        <f t="shared" ca="1" si="189"/>
        <v>1</v>
      </c>
      <c r="AJ339" s="29">
        <f t="shared" ca="1" si="189"/>
        <v>3</v>
      </c>
      <c r="AK339" s="29">
        <f t="shared" ca="1" si="189"/>
        <v>2</v>
      </c>
      <c r="AL339" s="29">
        <f t="shared" ca="1" si="189"/>
        <v>0</v>
      </c>
      <c r="AM339" s="29">
        <f t="shared" ca="1" si="189"/>
        <v>1</v>
      </c>
      <c r="AN339" s="29">
        <f t="shared" ca="1" si="189"/>
        <v>0</v>
      </c>
      <c r="AO339" s="29">
        <f t="shared" ca="1" si="189"/>
        <v>0</v>
      </c>
      <c r="AP339" s="29">
        <f t="shared" ca="1" si="189"/>
        <v>1</v>
      </c>
      <c r="AQ339" s="29">
        <f t="shared" ca="1" si="189"/>
        <v>2</v>
      </c>
      <c r="AR339" s="29">
        <f t="shared" ca="1" si="189"/>
        <v>0</v>
      </c>
      <c r="AS339" s="29">
        <f t="shared" ca="1" si="189"/>
        <v>2</v>
      </c>
      <c r="AT339" s="29">
        <f t="shared" ca="1" si="189"/>
        <v>0</v>
      </c>
      <c r="AU339" s="29">
        <f t="shared" ca="1" si="189"/>
        <v>0</v>
      </c>
      <c r="AV339" s="29">
        <f t="shared" ca="1" si="192"/>
        <v>4</v>
      </c>
      <c r="AW339" s="29">
        <f t="shared" ca="1" si="192"/>
        <v>0</v>
      </c>
      <c r="AX339" s="29">
        <f t="shared" ca="1" si="192"/>
        <v>2</v>
      </c>
      <c r="AY339" s="29">
        <f t="shared" ca="1" si="192"/>
        <v>0</v>
      </c>
      <c r="AZ339" s="29">
        <f t="shared" ca="1" si="192"/>
        <v>0</v>
      </c>
      <c r="BA339" s="29">
        <f t="shared" ca="1" si="192"/>
        <v>1</v>
      </c>
      <c r="BB339" s="29">
        <f t="shared" ca="1" si="192"/>
        <v>0</v>
      </c>
      <c r="BC339" s="29">
        <f t="shared" ca="1" si="192"/>
        <v>1</v>
      </c>
      <c r="BD339" s="29">
        <f t="shared" ca="1" si="192"/>
        <v>0</v>
      </c>
      <c r="BE339" s="29">
        <f t="shared" ca="1" si="192"/>
        <v>2</v>
      </c>
      <c r="BF339" s="29">
        <f t="shared" ca="1" si="192"/>
        <v>1</v>
      </c>
      <c r="BG339" s="29">
        <f t="shared" ca="1" si="192"/>
        <v>0</v>
      </c>
      <c r="BH339" s="29">
        <f t="shared" ca="1" si="192"/>
        <v>2</v>
      </c>
      <c r="BI339" s="29">
        <f t="shared" ca="1" si="192"/>
        <v>0</v>
      </c>
      <c r="BJ339" s="29">
        <f t="shared" ca="1" si="192"/>
        <v>0</v>
      </c>
      <c r="BK339" s="29">
        <f t="shared" ca="1" si="192"/>
        <v>0</v>
      </c>
      <c r="BL339" s="29">
        <f t="shared" ca="1" si="191"/>
        <v>2</v>
      </c>
      <c r="BM339" s="29">
        <f t="shared" ca="1" si="191"/>
        <v>0</v>
      </c>
      <c r="BN339" s="29">
        <f t="shared" ca="1" si="191"/>
        <v>2</v>
      </c>
      <c r="BO339" s="29">
        <f t="shared" ca="1" si="191"/>
        <v>0</v>
      </c>
      <c r="BP339" s="29">
        <f t="shared" ca="1" si="191"/>
        <v>0</v>
      </c>
      <c r="BQ339" s="29">
        <f t="shared" ca="1" si="191"/>
        <v>1</v>
      </c>
      <c r="BR339" s="29">
        <f t="shared" ca="1" si="191"/>
        <v>1</v>
      </c>
      <c r="BS339" s="29">
        <f t="shared" ca="1" si="191"/>
        <v>1</v>
      </c>
      <c r="BT339" s="29">
        <f t="shared" ca="1" si="191"/>
        <v>1</v>
      </c>
      <c r="BU339" s="29">
        <f t="shared" ca="1" si="191"/>
        <v>0</v>
      </c>
      <c r="BV339" s="29">
        <f t="shared" ca="1" si="191"/>
        <v>1</v>
      </c>
      <c r="BW339" s="29">
        <f t="shared" ca="1" si="191"/>
        <v>1</v>
      </c>
      <c r="BX339" s="29">
        <f t="shared" ca="1" si="191"/>
        <v>1</v>
      </c>
      <c r="BY339" s="29">
        <f t="shared" ca="1" si="191"/>
        <v>1</v>
      </c>
      <c r="BZ339" s="29">
        <f t="shared" ca="1" si="191"/>
        <v>2</v>
      </c>
      <c r="CA339" s="29">
        <f t="shared" ca="1" si="188"/>
        <v>1</v>
      </c>
      <c r="CB339" s="29">
        <f t="shared" ca="1" si="188"/>
        <v>0</v>
      </c>
      <c r="CC339" s="29">
        <f t="shared" ca="1" si="188"/>
        <v>1</v>
      </c>
      <c r="CD339" s="29">
        <f t="shared" ca="1" si="188"/>
        <v>0</v>
      </c>
      <c r="CE339" s="29">
        <f t="shared" ca="1" si="188"/>
        <v>0</v>
      </c>
      <c r="CF339" s="29">
        <f t="shared" ca="1" si="188"/>
        <v>1</v>
      </c>
      <c r="CG339" s="29">
        <f t="shared" ca="1" si="188"/>
        <v>2</v>
      </c>
      <c r="CH339" s="29">
        <f t="shared" ca="1" si="188"/>
        <v>1</v>
      </c>
      <c r="CI339" s="29">
        <f t="shared" ca="1" si="188"/>
        <v>0</v>
      </c>
      <c r="CJ339" s="29">
        <f t="shared" ca="1" si="188"/>
        <v>1</v>
      </c>
      <c r="CK339" s="29">
        <f t="shared" ca="1" si="188"/>
        <v>0</v>
      </c>
      <c r="CL339" s="29">
        <f t="shared" ca="1" si="188"/>
        <v>0</v>
      </c>
      <c r="CM339" s="29">
        <f t="shared" ca="1" si="188"/>
        <v>1</v>
      </c>
      <c r="CN339" s="29">
        <f t="shared" ca="1" si="188"/>
        <v>0</v>
      </c>
      <c r="CO339" s="29">
        <f t="shared" ca="1" si="188"/>
        <v>0</v>
      </c>
      <c r="CP339" s="29">
        <f t="shared" ca="1" si="188"/>
        <v>1</v>
      </c>
      <c r="CQ339" s="29">
        <f t="shared" ca="1" si="187"/>
        <v>1</v>
      </c>
      <c r="CR339" s="29">
        <f t="shared" ca="1" si="187"/>
        <v>2</v>
      </c>
      <c r="CS339" s="29">
        <f t="shared" ca="1" si="187"/>
        <v>1</v>
      </c>
      <c r="CT339" s="29">
        <f t="shared" ca="1" si="187"/>
        <v>0</v>
      </c>
      <c r="CU339" s="29">
        <f t="shared" ca="1" si="187"/>
        <v>0</v>
      </c>
      <c r="CV339" s="29">
        <f t="shared" ca="1" si="187"/>
        <v>2</v>
      </c>
      <c r="CW339" s="29">
        <f t="shared" ca="1" si="187"/>
        <v>0</v>
      </c>
      <c r="CX339" s="29">
        <f t="shared" ca="1" si="187"/>
        <v>0</v>
      </c>
      <c r="CY339" s="29">
        <f t="shared" ca="1" si="187"/>
        <v>0</v>
      </c>
      <c r="CZ339" s="29">
        <f t="shared" ca="1" si="187"/>
        <v>1</v>
      </c>
      <c r="DA339" s="29">
        <f t="shared" ca="1" si="187"/>
        <v>0</v>
      </c>
      <c r="DB339" s="29">
        <f t="shared" ca="1" si="187"/>
        <v>3</v>
      </c>
      <c r="DC339" s="29">
        <f t="shared" ca="1" si="187"/>
        <v>0</v>
      </c>
      <c r="DD339" s="29">
        <f t="shared" ca="1" si="187"/>
        <v>0</v>
      </c>
      <c r="DE339" s="29">
        <f t="shared" ca="1" si="187"/>
        <v>1</v>
      </c>
      <c r="DF339" s="29">
        <f t="shared" ca="1" si="173"/>
        <v>2</v>
      </c>
      <c r="DG339" s="29">
        <f t="shared" ca="1" si="173"/>
        <v>0</v>
      </c>
      <c r="DH339" s="29">
        <f t="shared" ca="1" si="173"/>
        <v>0</v>
      </c>
      <c r="DI339" s="29">
        <f t="shared" ca="1" si="173"/>
        <v>3</v>
      </c>
      <c r="DJ339" s="29">
        <f t="shared" ca="1" si="173"/>
        <v>0</v>
      </c>
      <c r="DK339" s="29">
        <f t="shared" ca="1" si="173"/>
        <v>0</v>
      </c>
      <c r="DL339" s="29">
        <f t="shared" ca="1" si="173"/>
        <v>2</v>
      </c>
    </row>
    <row r="340" spans="1:116" ht="14.4" x14ac:dyDescent="0.3">
      <c r="A340" s="31">
        <v>270</v>
      </c>
      <c r="B340" s="28">
        <v>2.73</v>
      </c>
      <c r="C340" s="30">
        <v>6.51</v>
      </c>
      <c r="D340" s="28">
        <v>0.56000000000000005</v>
      </c>
      <c r="E340" s="34">
        <f t="shared" si="180"/>
        <v>1.1200000000000002E-2</v>
      </c>
      <c r="F340" s="35">
        <f t="shared" si="181"/>
        <v>1.6274999999999999</v>
      </c>
      <c r="G340" s="34">
        <f t="shared" si="182"/>
        <v>14.000000000000002</v>
      </c>
      <c r="H340" s="33">
        <f t="shared" si="183"/>
        <v>4.5320512820512828</v>
      </c>
      <c r="I340" s="28">
        <f t="shared" si="186"/>
        <v>1364.4000000000003</v>
      </c>
      <c r="J340" s="32">
        <v>0</v>
      </c>
      <c r="K340" s="30">
        <f t="shared" si="184"/>
        <v>14.000000000000002</v>
      </c>
      <c r="L340" s="30"/>
      <c r="M340" s="30"/>
      <c r="N340" s="30"/>
      <c r="O340" s="30"/>
      <c r="Q340" s="29">
        <f t="shared" ca="1" si="185"/>
        <v>0</v>
      </c>
      <c r="R340" s="29">
        <f t="shared" ca="1" si="190"/>
        <v>1</v>
      </c>
      <c r="S340" s="29">
        <f t="shared" ca="1" si="190"/>
        <v>0</v>
      </c>
      <c r="T340" s="29">
        <f t="shared" ca="1" si="190"/>
        <v>0</v>
      </c>
      <c r="U340" s="29">
        <f t="shared" ca="1" si="190"/>
        <v>0</v>
      </c>
      <c r="V340" s="29">
        <f t="shared" ca="1" si="190"/>
        <v>0</v>
      </c>
      <c r="W340" s="29">
        <f t="shared" ca="1" si="190"/>
        <v>0</v>
      </c>
      <c r="X340" s="29">
        <f t="shared" ca="1" si="190"/>
        <v>0</v>
      </c>
      <c r="Y340" s="29">
        <f t="shared" ca="1" si="190"/>
        <v>0</v>
      </c>
      <c r="Z340" s="29">
        <f t="shared" ca="1" si="190"/>
        <v>1</v>
      </c>
      <c r="AA340" s="29">
        <f t="shared" ca="1" si="190"/>
        <v>0</v>
      </c>
      <c r="AB340" s="29">
        <f t="shared" ca="1" si="190"/>
        <v>1</v>
      </c>
      <c r="AC340" s="29">
        <f t="shared" ca="1" si="190"/>
        <v>2</v>
      </c>
      <c r="AD340" s="29">
        <f t="shared" ca="1" si="190"/>
        <v>2</v>
      </c>
      <c r="AE340" s="29">
        <f t="shared" ca="1" si="190"/>
        <v>0</v>
      </c>
      <c r="AF340" s="29">
        <f t="shared" ca="1" si="190"/>
        <v>1</v>
      </c>
      <c r="AG340" s="29">
        <f t="shared" ca="1" si="189"/>
        <v>0</v>
      </c>
      <c r="AH340" s="29">
        <f t="shared" ca="1" si="189"/>
        <v>1</v>
      </c>
      <c r="AI340" s="29">
        <f t="shared" ca="1" si="189"/>
        <v>0</v>
      </c>
      <c r="AJ340" s="29">
        <f t="shared" ca="1" si="189"/>
        <v>0</v>
      </c>
      <c r="AK340" s="29">
        <f t="shared" ca="1" si="189"/>
        <v>2</v>
      </c>
      <c r="AL340" s="29">
        <f t="shared" ca="1" si="189"/>
        <v>0</v>
      </c>
      <c r="AM340" s="29">
        <f t="shared" ca="1" si="189"/>
        <v>0</v>
      </c>
      <c r="AN340" s="29">
        <f t="shared" ca="1" si="189"/>
        <v>0</v>
      </c>
      <c r="AO340" s="29">
        <f t="shared" ca="1" si="189"/>
        <v>0</v>
      </c>
      <c r="AP340" s="29">
        <f t="shared" ca="1" si="189"/>
        <v>2</v>
      </c>
      <c r="AQ340" s="29">
        <f t="shared" ca="1" si="189"/>
        <v>1</v>
      </c>
      <c r="AR340" s="29">
        <f t="shared" ca="1" si="189"/>
        <v>1</v>
      </c>
      <c r="AS340" s="29">
        <f t="shared" ca="1" si="189"/>
        <v>0</v>
      </c>
      <c r="AT340" s="29">
        <f t="shared" ca="1" si="189"/>
        <v>0</v>
      </c>
      <c r="AU340" s="29">
        <f t="shared" ca="1" si="189"/>
        <v>1</v>
      </c>
      <c r="AV340" s="29">
        <f t="shared" ca="1" si="192"/>
        <v>1</v>
      </c>
      <c r="AW340" s="29">
        <f t="shared" ca="1" si="192"/>
        <v>0</v>
      </c>
      <c r="AX340" s="29">
        <f t="shared" ca="1" si="192"/>
        <v>2</v>
      </c>
      <c r="AY340" s="29">
        <f t="shared" ca="1" si="192"/>
        <v>0</v>
      </c>
      <c r="AZ340" s="29">
        <f t="shared" ca="1" si="192"/>
        <v>1</v>
      </c>
      <c r="BA340" s="29">
        <f t="shared" ca="1" si="192"/>
        <v>2</v>
      </c>
      <c r="BB340" s="29">
        <f t="shared" ca="1" si="192"/>
        <v>1</v>
      </c>
      <c r="BC340" s="29">
        <f t="shared" ca="1" si="192"/>
        <v>0</v>
      </c>
      <c r="BD340" s="29">
        <f t="shared" ca="1" si="192"/>
        <v>1</v>
      </c>
      <c r="BE340" s="29">
        <f t="shared" ca="1" si="192"/>
        <v>1</v>
      </c>
      <c r="BF340" s="29">
        <f t="shared" ca="1" si="192"/>
        <v>2</v>
      </c>
      <c r="BG340" s="29">
        <f t="shared" ca="1" si="192"/>
        <v>1</v>
      </c>
      <c r="BH340" s="29">
        <f t="shared" ca="1" si="192"/>
        <v>0</v>
      </c>
      <c r="BI340" s="29">
        <f t="shared" ca="1" si="192"/>
        <v>1</v>
      </c>
      <c r="BJ340" s="29">
        <f t="shared" ca="1" si="192"/>
        <v>0</v>
      </c>
      <c r="BK340" s="29">
        <f t="shared" ca="1" si="192"/>
        <v>1</v>
      </c>
      <c r="BL340" s="29">
        <f t="shared" ca="1" si="191"/>
        <v>0</v>
      </c>
      <c r="BM340" s="29">
        <f t="shared" ca="1" si="191"/>
        <v>1</v>
      </c>
      <c r="BN340" s="29">
        <f t="shared" ca="1" si="191"/>
        <v>1</v>
      </c>
      <c r="BO340" s="29">
        <f t="shared" ca="1" si="191"/>
        <v>0</v>
      </c>
      <c r="BP340" s="29">
        <f t="shared" ca="1" si="191"/>
        <v>1</v>
      </c>
      <c r="BQ340" s="29">
        <f t="shared" ca="1" si="191"/>
        <v>0</v>
      </c>
      <c r="BR340" s="29">
        <f t="shared" ca="1" si="191"/>
        <v>1</v>
      </c>
      <c r="BS340" s="29">
        <f t="shared" ca="1" si="191"/>
        <v>3</v>
      </c>
      <c r="BT340" s="29">
        <f t="shared" ca="1" si="191"/>
        <v>0</v>
      </c>
      <c r="BU340" s="29">
        <f t="shared" ca="1" si="191"/>
        <v>3</v>
      </c>
      <c r="BV340" s="29">
        <f t="shared" ca="1" si="191"/>
        <v>0</v>
      </c>
      <c r="BW340" s="29">
        <f t="shared" ca="1" si="191"/>
        <v>2</v>
      </c>
      <c r="BX340" s="29">
        <f t="shared" ca="1" si="191"/>
        <v>0</v>
      </c>
      <c r="BY340" s="29">
        <f t="shared" ca="1" si="191"/>
        <v>0</v>
      </c>
      <c r="BZ340" s="29">
        <f t="shared" ca="1" si="191"/>
        <v>2</v>
      </c>
      <c r="CA340" s="29">
        <f t="shared" ca="1" si="188"/>
        <v>2</v>
      </c>
      <c r="CB340" s="29">
        <f t="shared" ca="1" si="188"/>
        <v>0</v>
      </c>
      <c r="CC340" s="29">
        <f t="shared" ca="1" si="188"/>
        <v>0</v>
      </c>
      <c r="CD340" s="29">
        <f t="shared" ca="1" si="188"/>
        <v>1</v>
      </c>
      <c r="CE340" s="29">
        <f t="shared" ca="1" si="188"/>
        <v>2</v>
      </c>
      <c r="CF340" s="29">
        <f t="shared" ca="1" si="188"/>
        <v>0</v>
      </c>
      <c r="CG340" s="29">
        <f t="shared" ca="1" si="188"/>
        <v>0</v>
      </c>
      <c r="CH340" s="29">
        <f t="shared" ca="1" si="188"/>
        <v>0</v>
      </c>
      <c r="CI340" s="29">
        <f t="shared" ca="1" si="188"/>
        <v>1</v>
      </c>
      <c r="CJ340" s="29">
        <f t="shared" ca="1" si="188"/>
        <v>0</v>
      </c>
      <c r="CK340" s="29">
        <f t="shared" ca="1" si="188"/>
        <v>0</v>
      </c>
      <c r="CL340" s="29">
        <f t="shared" ca="1" si="188"/>
        <v>1</v>
      </c>
      <c r="CM340" s="29">
        <f t="shared" ca="1" si="188"/>
        <v>1</v>
      </c>
      <c r="CN340" s="29">
        <f t="shared" ca="1" si="188"/>
        <v>1</v>
      </c>
      <c r="CO340" s="29">
        <f t="shared" ca="1" si="188"/>
        <v>0</v>
      </c>
      <c r="CP340" s="29">
        <f t="shared" ref="CP340:DE355" ca="1" si="193">_xlfn.BINOM.INV(50,$E340,RAND())</f>
        <v>1</v>
      </c>
      <c r="CQ340" s="29">
        <f t="shared" ca="1" si="193"/>
        <v>1</v>
      </c>
      <c r="CR340" s="29">
        <f t="shared" ca="1" si="193"/>
        <v>0</v>
      </c>
      <c r="CS340" s="29">
        <f t="shared" ca="1" si="193"/>
        <v>0</v>
      </c>
      <c r="CT340" s="29">
        <f t="shared" ca="1" si="193"/>
        <v>1</v>
      </c>
      <c r="CU340" s="29">
        <f t="shared" ca="1" si="193"/>
        <v>0</v>
      </c>
      <c r="CV340" s="29">
        <f t="shared" ca="1" si="193"/>
        <v>0</v>
      </c>
      <c r="CW340" s="29">
        <f t="shared" ca="1" si="193"/>
        <v>0</v>
      </c>
      <c r="CX340" s="29">
        <f t="shared" ca="1" si="193"/>
        <v>2</v>
      </c>
      <c r="CY340" s="29">
        <f t="shared" ca="1" si="193"/>
        <v>0</v>
      </c>
      <c r="CZ340" s="29">
        <f t="shared" ca="1" si="193"/>
        <v>1</v>
      </c>
      <c r="DA340" s="29">
        <f t="shared" ca="1" si="193"/>
        <v>0</v>
      </c>
      <c r="DB340" s="29">
        <f t="shared" ca="1" si="193"/>
        <v>2</v>
      </c>
      <c r="DC340" s="29">
        <f t="shared" ca="1" si="193"/>
        <v>2</v>
      </c>
      <c r="DD340" s="29">
        <f t="shared" ca="1" si="193"/>
        <v>0</v>
      </c>
      <c r="DE340" s="29">
        <f t="shared" ca="1" si="193"/>
        <v>0</v>
      </c>
      <c r="DF340" s="29">
        <f t="shared" ca="1" si="173"/>
        <v>2</v>
      </c>
      <c r="DG340" s="29">
        <f t="shared" ca="1" si="173"/>
        <v>2</v>
      </c>
      <c r="DH340" s="29">
        <f t="shared" ca="1" si="173"/>
        <v>0</v>
      </c>
      <c r="DI340" s="29">
        <f t="shared" ca="1" si="173"/>
        <v>1</v>
      </c>
      <c r="DJ340" s="29">
        <f t="shared" ca="1" si="173"/>
        <v>1</v>
      </c>
      <c r="DK340" s="29">
        <f t="shared" ca="1" si="173"/>
        <v>0</v>
      </c>
      <c r="DL340" s="29">
        <f t="shared" ca="1" si="173"/>
        <v>0</v>
      </c>
    </row>
    <row r="341" spans="1:116" ht="14.4" x14ac:dyDescent="0.3">
      <c r="A341" s="31">
        <v>468</v>
      </c>
      <c r="B341" s="28">
        <v>8.76</v>
      </c>
      <c r="C341" s="30">
        <v>6.39</v>
      </c>
      <c r="D341" s="28">
        <v>1.64</v>
      </c>
      <c r="E341" s="34">
        <f t="shared" si="180"/>
        <v>3.2799999999999996E-2</v>
      </c>
      <c r="F341" s="35">
        <f t="shared" si="181"/>
        <v>1.5974999999999999</v>
      </c>
      <c r="G341" s="34">
        <f t="shared" si="182"/>
        <v>41</v>
      </c>
      <c r="H341" s="33">
        <f t="shared" si="183"/>
        <v>4.4980022831050235</v>
      </c>
      <c r="I341" s="28">
        <f t="shared" si="186"/>
        <v>1373.1600000000003</v>
      </c>
      <c r="J341" s="32">
        <v>0</v>
      </c>
      <c r="K341" s="30">
        <f t="shared" si="184"/>
        <v>41</v>
      </c>
      <c r="L341" s="30"/>
      <c r="M341" s="30"/>
      <c r="N341" s="30"/>
      <c r="O341" s="30"/>
      <c r="Q341" s="29">
        <f t="shared" ca="1" si="185"/>
        <v>4</v>
      </c>
      <c r="R341" s="29">
        <f t="shared" ca="1" si="190"/>
        <v>3</v>
      </c>
      <c r="S341" s="29">
        <f t="shared" ca="1" si="190"/>
        <v>2</v>
      </c>
      <c r="T341" s="29">
        <f t="shared" ca="1" si="190"/>
        <v>1</v>
      </c>
      <c r="U341" s="29">
        <f t="shared" ca="1" si="190"/>
        <v>1</v>
      </c>
      <c r="V341" s="29">
        <f t="shared" ca="1" si="190"/>
        <v>0</v>
      </c>
      <c r="W341" s="29">
        <f t="shared" ca="1" si="190"/>
        <v>3</v>
      </c>
      <c r="X341" s="29">
        <f t="shared" ca="1" si="190"/>
        <v>0</v>
      </c>
      <c r="Y341" s="29">
        <f t="shared" ca="1" si="190"/>
        <v>3</v>
      </c>
      <c r="Z341" s="29">
        <f t="shared" ca="1" si="190"/>
        <v>1</v>
      </c>
      <c r="AA341" s="29">
        <f t="shared" ca="1" si="190"/>
        <v>2</v>
      </c>
      <c r="AB341" s="29">
        <f t="shared" ca="1" si="190"/>
        <v>5</v>
      </c>
      <c r="AC341" s="29">
        <f t="shared" ca="1" si="190"/>
        <v>1</v>
      </c>
      <c r="AD341" s="29">
        <f t="shared" ca="1" si="190"/>
        <v>2</v>
      </c>
      <c r="AE341" s="29">
        <f t="shared" ca="1" si="190"/>
        <v>2</v>
      </c>
      <c r="AF341" s="29">
        <f t="shared" ca="1" si="190"/>
        <v>3</v>
      </c>
      <c r="AG341" s="29">
        <f t="shared" ca="1" si="189"/>
        <v>1</v>
      </c>
      <c r="AH341" s="29">
        <f t="shared" ca="1" si="189"/>
        <v>2</v>
      </c>
      <c r="AI341" s="29">
        <f t="shared" ca="1" si="189"/>
        <v>3</v>
      </c>
      <c r="AJ341" s="29">
        <f t="shared" ca="1" si="189"/>
        <v>3</v>
      </c>
      <c r="AK341" s="29">
        <f t="shared" ca="1" si="189"/>
        <v>1</v>
      </c>
      <c r="AL341" s="29">
        <f t="shared" ca="1" si="189"/>
        <v>0</v>
      </c>
      <c r="AM341" s="29">
        <f t="shared" ca="1" si="189"/>
        <v>3</v>
      </c>
      <c r="AN341" s="29">
        <f t="shared" ca="1" si="189"/>
        <v>2</v>
      </c>
      <c r="AO341" s="29">
        <f t="shared" ca="1" si="189"/>
        <v>0</v>
      </c>
      <c r="AP341" s="29">
        <f t="shared" ca="1" si="189"/>
        <v>2</v>
      </c>
      <c r="AQ341" s="29">
        <f t="shared" ca="1" si="189"/>
        <v>5</v>
      </c>
      <c r="AR341" s="29">
        <f t="shared" ca="1" si="189"/>
        <v>3</v>
      </c>
      <c r="AS341" s="29">
        <f t="shared" ca="1" si="189"/>
        <v>3</v>
      </c>
      <c r="AT341" s="29">
        <f t="shared" ca="1" si="189"/>
        <v>1</v>
      </c>
      <c r="AU341" s="29">
        <f t="shared" ca="1" si="189"/>
        <v>1</v>
      </c>
      <c r="AV341" s="29">
        <f t="shared" ca="1" si="192"/>
        <v>2</v>
      </c>
      <c r="AW341" s="29">
        <f t="shared" ca="1" si="192"/>
        <v>2</v>
      </c>
      <c r="AX341" s="29">
        <f t="shared" ca="1" si="192"/>
        <v>0</v>
      </c>
      <c r="AY341" s="29">
        <f t="shared" ca="1" si="192"/>
        <v>2</v>
      </c>
      <c r="AZ341" s="29">
        <f t="shared" ca="1" si="192"/>
        <v>0</v>
      </c>
      <c r="BA341" s="29">
        <f t="shared" ca="1" si="192"/>
        <v>1</v>
      </c>
      <c r="BB341" s="29">
        <f t="shared" ca="1" si="192"/>
        <v>1</v>
      </c>
      <c r="BC341" s="29">
        <f t="shared" ca="1" si="192"/>
        <v>2</v>
      </c>
      <c r="BD341" s="29">
        <f t="shared" ca="1" si="192"/>
        <v>0</v>
      </c>
      <c r="BE341" s="29">
        <f t="shared" ca="1" si="192"/>
        <v>0</v>
      </c>
      <c r="BF341" s="29">
        <f t="shared" ca="1" si="192"/>
        <v>2</v>
      </c>
      <c r="BG341" s="29">
        <f t="shared" ca="1" si="192"/>
        <v>1</v>
      </c>
      <c r="BH341" s="29">
        <f t="shared" ca="1" si="192"/>
        <v>0</v>
      </c>
      <c r="BI341" s="29">
        <f t="shared" ca="1" si="192"/>
        <v>0</v>
      </c>
      <c r="BJ341" s="29">
        <f t="shared" ca="1" si="192"/>
        <v>2</v>
      </c>
      <c r="BK341" s="29">
        <f t="shared" ca="1" si="192"/>
        <v>1</v>
      </c>
      <c r="BL341" s="29">
        <f t="shared" ca="1" si="191"/>
        <v>3</v>
      </c>
      <c r="BM341" s="29">
        <f t="shared" ca="1" si="191"/>
        <v>3</v>
      </c>
      <c r="BN341" s="29">
        <f t="shared" ca="1" si="191"/>
        <v>4</v>
      </c>
      <c r="BO341" s="29">
        <f t="shared" ca="1" si="191"/>
        <v>1</v>
      </c>
      <c r="BP341" s="29">
        <f t="shared" ca="1" si="191"/>
        <v>1</v>
      </c>
      <c r="BQ341" s="29">
        <f t="shared" ca="1" si="191"/>
        <v>4</v>
      </c>
      <c r="BR341" s="29">
        <f t="shared" ca="1" si="191"/>
        <v>2</v>
      </c>
      <c r="BS341" s="29">
        <f t="shared" ca="1" si="191"/>
        <v>4</v>
      </c>
      <c r="BT341" s="29">
        <f t="shared" ca="1" si="191"/>
        <v>2</v>
      </c>
      <c r="BU341" s="29">
        <f t="shared" ca="1" si="191"/>
        <v>2</v>
      </c>
      <c r="BV341" s="29">
        <f t="shared" ca="1" si="191"/>
        <v>1</v>
      </c>
      <c r="BW341" s="29">
        <f t="shared" ca="1" si="191"/>
        <v>3</v>
      </c>
      <c r="BX341" s="29">
        <f t="shared" ca="1" si="191"/>
        <v>1</v>
      </c>
      <c r="BY341" s="29">
        <f t="shared" ca="1" si="191"/>
        <v>2</v>
      </c>
      <c r="BZ341" s="29">
        <f t="shared" ca="1" si="191"/>
        <v>0</v>
      </c>
      <c r="CA341" s="29">
        <f t="shared" ref="CA341:CP356" ca="1" si="194">_xlfn.BINOM.INV(50,$E341,RAND())</f>
        <v>2</v>
      </c>
      <c r="CB341" s="29">
        <f t="shared" ca="1" si="194"/>
        <v>0</v>
      </c>
      <c r="CC341" s="29">
        <f t="shared" ca="1" si="194"/>
        <v>0</v>
      </c>
      <c r="CD341" s="29">
        <f t="shared" ca="1" si="194"/>
        <v>0</v>
      </c>
      <c r="CE341" s="29">
        <f t="shared" ca="1" si="194"/>
        <v>5</v>
      </c>
      <c r="CF341" s="29">
        <f t="shared" ca="1" si="194"/>
        <v>1</v>
      </c>
      <c r="CG341" s="29">
        <f t="shared" ca="1" si="194"/>
        <v>1</v>
      </c>
      <c r="CH341" s="29">
        <f t="shared" ca="1" si="194"/>
        <v>0</v>
      </c>
      <c r="CI341" s="29">
        <f t="shared" ca="1" si="194"/>
        <v>2</v>
      </c>
      <c r="CJ341" s="29">
        <f t="shared" ca="1" si="194"/>
        <v>2</v>
      </c>
      <c r="CK341" s="29">
        <f t="shared" ca="1" si="194"/>
        <v>1</v>
      </c>
      <c r="CL341" s="29">
        <f t="shared" ca="1" si="194"/>
        <v>1</v>
      </c>
      <c r="CM341" s="29">
        <f t="shared" ca="1" si="194"/>
        <v>1</v>
      </c>
      <c r="CN341" s="29">
        <f t="shared" ca="1" si="194"/>
        <v>0</v>
      </c>
      <c r="CO341" s="29">
        <f t="shared" ca="1" si="194"/>
        <v>3</v>
      </c>
      <c r="CP341" s="29">
        <f t="shared" ca="1" si="194"/>
        <v>1</v>
      </c>
      <c r="CQ341" s="29">
        <f t="shared" ca="1" si="193"/>
        <v>3</v>
      </c>
      <c r="CR341" s="29">
        <f t="shared" ca="1" si="193"/>
        <v>1</v>
      </c>
      <c r="CS341" s="29">
        <f t="shared" ca="1" si="193"/>
        <v>0</v>
      </c>
      <c r="CT341" s="29">
        <f t="shared" ca="1" si="193"/>
        <v>1</v>
      </c>
      <c r="CU341" s="29">
        <f t="shared" ca="1" si="193"/>
        <v>0</v>
      </c>
      <c r="CV341" s="29">
        <f t="shared" ca="1" si="193"/>
        <v>2</v>
      </c>
      <c r="CW341" s="29">
        <f t="shared" ca="1" si="193"/>
        <v>0</v>
      </c>
      <c r="CX341" s="29">
        <f t="shared" ca="1" si="193"/>
        <v>8</v>
      </c>
      <c r="CY341" s="29">
        <f t="shared" ca="1" si="193"/>
        <v>2</v>
      </c>
      <c r="CZ341" s="29">
        <f t="shared" ca="1" si="193"/>
        <v>3</v>
      </c>
      <c r="DA341" s="29">
        <f t="shared" ca="1" si="193"/>
        <v>1</v>
      </c>
      <c r="DB341" s="29">
        <f t="shared" ca="1" si="193"/>
        <v>2</v>
      </c>
      <c r="DC341" s="29">
        <f t="shared" ca="1" si="193"/>
        <v>1</v>
      </c>
      <c r="DD341" s="29">
        <f t="shared" ca="1" si="193"/>
        <v>2</v>
      </c>
      <c r="DE341" s="29">
        <f t="shared" ca="1" si="193"/>
        <v>0</v>
      </c>
      <c r="DF341" s="29">
        <f t="shared" ca="1" si="173"/>
        <v>2</v>
      </c>
      <c r="DG341" s="29">
        <f t="shared" ca="1" si="173"/>
        <v>6</v>
      </c>
      <c r="DH341" s="29">
        <f t="shared" ca="1" si="173"/>
        <v>3</v>
      </c>
      <c r="DI341" s="29">
        <f t="shared" ca="1" si="173"/>
        <v>0</v>
      </c>
      <c r="DJ341" s="29">
        <f t="shared" ca="1" si="173"/>
        <v>1</v>
      </c>
      <c r="DK341" s="29">
        <f t="shared" ca="1" si="173"/>
        <v>1</v>
      </c>
      <c r="DL341" s="29">
        <f t="shared" ca="1" si="173"/>
        <v>4</v>
      </c>
    </row>
    <row r="342" spans="1:116" ht="14.4" x14ac:dyDescent="0.3">
      <c r="A342" s="31">
        <v>47</v>
      </c>
      <c r="B342" s="28">
        <v>1.51</v>
      </c>
      <c r="C342" s="30">
        <v>66.63</v>
      </c>
      <c r="D342" s="28">
        <v>0.93</v>
      </c>
      <c r="E342" s="34">
        <f t="shared" si="180"/>
        <v>1.8600000000000002E-2</v>
      </c>
      <c r="F342" s="35">
        <f t="shared" si="181"/>
        <v>16.657499999999999</v>
      </c>
      <c r="G342" s="34">
        <f t="shared" si="182"/>
        <v>23.25</v>
      </c>
      <c r="H342" s="33">
        <f t="shared" si="183"/>
        <v>4.3658940397351005</v>
      </c>
      <c r="I342" s="28">
        <f t="shared" si="186"/>
        <v>1374.6700000000003</v>
      </c>
      <c r="J342" s="32">
        <v>0</v>
      </c>
      <c r="K342" s="30">
        <f t="shared" si="184"/>
        <v>23.25</v>
      </c>
      <c r="L342" s="30"/>
      <c r="M342" s="30"/>
      <c r="N342" s="30"/>
      <c r="O342" s="30"/>
      <c r="Q342" s="29">
        <f t="shared" ca="1" si="185"/>
        <v>1</v>
      </c>
      <c r="R342" s="29">
        <f t="shared" ca="1" si="190"/>
        <v>1</v>
      </c>
      <c r="S342" s="29">
        <f t="shared" ca="1" si="190"/>
        <v>0</v>
      </c>
      <c r="T342" s="29">
        <f t="shared" ca="1" si="190"/>
        <v>2</v>
      </c>
      <c r="U342" s="29">
        <f t="shared" ca="1" si="190"/>
        <v>1</v>
      </c>
      <c r="V342" s="29">
        <f t="shared" ca="1" si="190"/>
        <v>0</v>
      </c>
      <c r="W342" s="29">
        <f t="shared" ca="1" si="190"/>
        <v>0</v>
      </c>
      <c r="X342" s="29">
        <f t="shared" ca="1" si="190"/>
        <v>1</v>
      </c>
      <c r="Y342" s="29">
        <f t="shared" ca="1" si="190"/>
        <v>0</v>
      </c>
      <c r="Z342" s="29">
        <f t="shared" ca="1" si="190"/>
        <v>0</v>
      </c>
      <c r="AA342" s="29">
        <f t="shared" ca="1" si="190"/>
        <v>1</v>
      </c>
      <c r="AB342" s="29">
        <f t="shared" ca="1" si="190"/>
        <v>3</v>
      </c>
      <c r="AC342" s="29">
        <f t="shared" ca="1" si="190"/>
        <v>0</v>
      </c>
      <c r="AD342" s="29">
        <f t="shared" ca="1" si="190"/>
        <v>1</v>
      </c>
      <c r="AE342" s="29">
        <f t="shared" ca="1" si="190"/>
        <v>0</v>
      </c>
      <c r="AF342" s="29">
        <f t="shared" ca="1" si="190"/>
        <v>0</v>
      </c>
      <c r="AG342" s="29">
        <f t="shared" ca="1" si="189"/>
        <v>3</v>
      </c>
      <c r="AH342" s="29">
        <f t="shared" ca="1" si="189"/>
        <v>1</v>
      </c>
      <c r="AI342" s="29">
        <f t="shared" ca="1" si="189"/>
        <v>2</v>
      </c>
      <c r="AJ342" s="29">
        <f t="shared" ca="1" si="189"/>
        <v>2</v>
      </c>
      <c r="AK342" s="29">
        <f t="shared" ca="1" si="189"/>
        <v>0</v>
      </c>
      <c r="AL342" s="29">
        <f t="shared" ca="1" si="189"/>
        <v>0</v>
      </c>
      <c r="AM342" s="29">
        <f t="shared" ca="1" si="189"/>
        <v>1</v>
      </c>
      <c r="AN342" s="29">
        <f t="shared" ca="1" si="189"/>
        <v>2</v>
      </c>
      <c r="AO342" s="29">
        <f t="shared" ca="1" si="189"/>
        <v>0</v>
      </c>
      <c r="AP342" s="29">
        <f t="shared" ca="1" si="189"/>
        <v>0</v>
      </c>
      <c r="AQ342" s="29">
        <f t="shared" ca="1" si="189"/>
        <v>0</v>
      </c>
      <c r="AR342" s="29">
        <f t="shared" ca="1" si="189"/>
        <v>1</v>
      </c>
      <c r="AS342" s="29">
        <f t="shared" ca="1" si="189"/>
        <v>1</v>
      </c>
      <c r="AT342" s="29">
        <f t="shared" ca="1" si="189"/>
        <v>1</v>
      </c>
      <c r="AU342" s="29">
        <f t="shared" ca="1" si="189"/>
        <v>2</v>
      </c>
      <c r="AV342" s="29">
        <f t="shared" ca="1" si="192"/>
        <v>0</v>
      </c>
      <c r="AW342" s="29">
        <f t="shared" ca="1" si="192"/>
        <v>2</v>
      </c>
      <c r="AX342" s="29">
        <f t="shared" ca="1" si="192"/>
        <v>1</v>
      </c>
      <c r="AY342" s="29">
        <f t="shared" ca="1" si="192"/>
        <v>1</v>
      </c>
      <c r="AZ342" s="29">
        <f t="shared" ca="1" si="192"/>
        <v>1</v>
      </c>
      <c r="BA342" s="29">
        <f t="shared" ca="1" si="192"/>
        <v>0</v>
      </c>
      <c r="BB342" s="29">
        <f t="shared" ca="1" si="192"/>
        <v>0</v>
      </c>
      <c r="BC342" s="29">
        <f t="shared" ca="1" si="192"/>
        <v>0</v>
      </c>
      <c r="BD342" s="29">
        <f t="shared" ca="1" si="192"/>
        <v>1</v>
      </c>
      <c r="BE342" s="29">
        <f t="shared" ca="1" si="192"/>
        <v>2</v>
      </c>
      <c r="BF342" s="29">
        <f t="shared" ca="1" si="192"/>
        <v>0</v>
      </c>
      <c r="BG342" s="29">
        <f t="shared" ca="1" si="192"/>
        <v>2</v>
      </c>
      <c r="BH342" s="29">
        <f t="shared" ca="1" si="192"/>
        <v>0</v>
      </c>
      <c r="BI342" s="29">
        <f t="shared" ca="1" si="192"/>
        <v>2</v>
      </c>
      <c r="BJ342" s="29">
        <f t="shared" ca="1" si="192"/>
        <v>0</v>
      </c>
      <c r="BK342" s="29">
        <f t="shared" ca="1" si="192"/>
        <v>0</v>
      </c>
      <c r="BL342" s="29">
        <f t="shared" ca="1" si="191"/>
        <v>0</v>
      </c>
      <c r="BM342" s="29">
        <f t="shared" ca="1" si="191"/>
        <v>3</v>
      </c>
      <c r="BN342" s="29">
        <f t="shared" ca="1" si="191"/>
        <v>1</v>
      </c>
      <c r="BO342" s="29">
        <f t="shared" ca="1" si="191"/>
        <v>0</v>
      </c>
      <c r="BP342" s="29">
        <f t="shared" ca="1" si="191"/>
        <v>1</v>
      </c>
      <c r="BQ342" s="29">
        <f t="shared" ca="1" si="191"/>
        <v>0</v>
      </c>
      <c r="BR342" s="29">
        <f t="shared" ca="1" si="191"/>
        <v>2</v>
      </c>
      <c r="BS342" s="29">
        <f t="shared" ca="1" si="191"/>
        <v>2</v>
      </c>
      <c r="BT342" s="29">
        <f t="shared" ca="1" si="191"/>
        <v>1</v>
      </c>
      <c r="BU342" s="29">
        <f t="shared" ca="1" si="191"/>
        <v>4</v>
      </c>
      <c r="BV342" s="29">
        <f t="shared" ca="1" si="191"/>
        <v>1</v>
      </c>
      <c r="BW342" s="29">
        <f t="shared" ca="1" si="191"/>
        <v>0</v>
      </c>
      <c r="BX342" s="29">
        <f t="shared" ca="1" si="191"/>
        <v>1</v>
      </c>
      <c r="BY342" s="29">
        <f t="shared" ca="1" si="191"/>
        <v>2</v>
      </c>
      <c r="BZ342" s="29">
        <f t="shared" ca="1" si="191"/>
        <v>1</v>
      </c>
      <c r="CA342" s="29">
        <f t="shared" ca="1" si="194"/>
        <v>3</v>
      </c>
      <c r="CB342" s="29">
        <f t="shared" ca="1" si="194"/>
        <v>0</v>
      </c>
      <c r="CC342" s="29">
        <f t="shared" ca="1" si="194"/>
        <v>2</v>
      </c>
      <c r="CD342" s="29">
        <f t="shared" ca="1" si="194"/>
        <v>1</v>
      </c>
      <c r="CE342" s="29">
        <f t="shared" ca="1" si="194"/>
        <v>0</v>
      </c>
      <c r="CF342" s="29">
        <f t="shared" ca="1" si="194"/>
        <v>1</v>
      </c>
      <c r="CG342" s="29">
        <f t="shared" ca="1" si="194"/>
        <v>1</v>
      </c>
      <c r="CH342" s="29">
        <f t="shared" ca="1" si="194"/>
        <v>2</v>
      </c>
      <c r="CI342" s="29">
        <f t="shared" ca="1" si="194"/>
        <v>0</v>
      </c>
      <c r="CJ342" s="29">
        <f t="shared" ca="1" si="194"/>
        <v>0</v>
      </c>
      <c r="CK342" s="29">
        <f t="shared" ca="1" si="194"/>
        <v>1</v>
      </c>
      <c r="CL342" s="29">
        <f t="shared" ca="1" si="194"/>
        <v>1</v>
      </c>
      <c r="CM342" s="29">
        <f t="shared" ca="1" si="194"/>
        <v>1</v>
      </c>
      <c r="CN342" s="29">
        <f t="shared" ca="1" si="194"/>
        <v>3</v>
      </c>
      <c r="CO342" s="29">
        <f t="shared" ca="1" si="194"/>
        <v>2</v>
      </c>
      <c r="CP342" s="29">
        <f t="shared" ca="1" si="194"/>
        <v>0</v>
      </c>
      <c r="CQ342" s="29">
        <f t="shared" ca="1" si="193"/>
        <v>0</v>
      </c>
      <c r="CR342" s="29">
        <f t="shared" ca="1" si="193"/>
        <v>0</v>
      </c>
      <c r="CS342" s="29">
        <f t="shared" ca="1" si="193"/>
        <v>0</v>
      </c>
      <c r="CT342" s="29">
        <f t="shared" ca="1" si="193"/>
        <v>2</v>
      </c>
      <c r="CU342" s="29">
        <f t="shared" ca="1" si="193"/>
        <v>0</v>
      </c>
      <c r="CV342" s="29">
        <f t="shared" ca="1" si="193"/>
        <v>1</v>
      </c>
      <c r="CW342" s="29">
        <f t="shared" ca="1" si="193"/>
        <v>1</v>
      </c>
      <c r="CX342" s="29">
        <f t="shared" ca="1" si="193"/>
        <v>0</v>
      </c>
      <c r="CY342" s="29">
        <f t="shared" ca="1" si="193"/>
        <v>1</v>
      </c>
      <c r="CZ342" s="29">
        <f t="shared" ca="1" si="193"/>
        <v>0</v>
      </c>
      <c r="DA342" s="29">
        <f t="shared" ca="1" si="193"/>
        <v>1</v>
      </c>
      <c r="DB342" s="29">
        <f t="shared" ca="1" si="193"/>
        <v>0</v>
      </c>
      <c r="DC342" s="29">
        <f t="shared" ca="1" si="193"/>
        <v>0</v>
      </c>
      <c r="DD342" s="29">
        <f t="shared" ca="1" si="193"/>
        <v>0</v>
      </c>
      <c r="DE342" s="29">
        <f t="shared" ca="1" si="193"/>
        <v>0</v>
      </c>
      <c r="DF342" s="29">
        <f t="shared" ca="1" si="173"/>
        <v>1</v>
      </c>
      <c r="DG342" s="29">
        <f t="shared" ca="1" si="173"/>
        <v>0</v>
      </c>
      <c r="DH342" s="29">
        <f t="shared" ca="1" si="173"/>
        <v>2</v>
      </c>
      <c r="DI342" s="29">
        <f t="shared" ref="DI342:DL342" ca="1" si="195">_xlfn.BINOM.INV(50,$E342,RAND())</f>
        <v>1</v>
      </c>
      <c r="DJ342" s="29">
        <f t="shared" ca="1" si="195"/>
        <v>0</v>
      </c>
      <c r="DK342" s="29">
        <f t="shared" ca="1" si="195"/>
        <v>0</v>
      </c>
      <c r="DL342" s="29">
        <f t="shared" ca="1" si="195"/>
        <v>1</v>
      </c>
    </row>
    <row r="343" spans="1:116" ht="14.4" x14ac:dyDescent="0.3">
      <c r="A343" s="31">
        <v>820</v>
      </c>
      <c r="B343" s="28">
        <v>3.11</v>
      </c>
      <c r="C343" s="30">
        <v>97.38</v>
      </c>
      <c r="D343" s="28">
        <v>1.49</v>
      </c>
      <c r="E343" s="34">
        <f t="shared" si="180"/>
        <v>2.98E-2</v>
      </c>
      <c r="F343" s="35">
        <f t="shared" si="181"/>
        <v>24.344999999999999</v>
      </c>
      <c r="G343" s="34">
        <f t="shared" si="182"/>
        <v>37.25</v>
      </c>
      <c r="H343" s="33">
        <f t="shared" si="183"/>
        <v>4.14951768488746</v>
      </c>
      <c r="I343" s="28">
        <f t="shared" si="186"/>
        <v>1377.7800000000002</v>
      </c>
      <c r="J343" s="32">
        <v>0</v>
      </c>
      <c r="K343" s="30">
        <f t="shared" si="184"/>
        <v>37.25</v>
      </c>
      <c r="L343" s="30"/>
      <c r="M343" s="30"/>
      <c r="N343" s="30"/>
      <c r="O343" s="30"/>
      <c r="Q343" s="29">
        <f t="shared" ca="1" si="185"/>
        <v>0</v>
      </c>
      <c r="R343" s="29">
        <f t="shared" ca="1" si="190"/>
        <v>1</v>
      </c>
      <c r="S343" s="29">
        <f t="shared" ca="1" si="190"/>
        <v>2</v>
      </c>
      <c r="T343" s="29">
        <f t="shared" ca="1" si="190"/>
        <v>0</v>
      </c>
      <c r="U343" s="29">
        <f t="shared" ca="1" si="190"/>
        <v>1</v>
      </c>
      <c r="V343" s="29">
        <f t="shared" ca="1" si="190"/>
        <v>0</v>
      </c>
      <c r="W343" s="29">
        <f t="shared" ca="1" si="190"/>
        <v>0</v>
      </c>
      <c r="X343" s="29">
        <f t="shared" ca="1" si="190"/>
        <v>1</v>
      </c>
      <c r="Y343" s="29">
        <f t="shared" ca="1" si="190"/>
        <v>2</v>
      </c>
      <c r="Z343" s="29">
        <f t="shared" ca="1" si="190"/>
        <v>3</v>
      </c>
      <c r="AA343" s="29">
        <f t="shared" ca="1" si="190"/>
        <v>1</v>
      </c>
      <c r="AB343" s="29">
        <f t="shared" ca="1" si="190"/>
        <v>0</v>
      </c>
      <c r="AC343" s="29">
        <f t="shared" ca="1" si="190"/>
        <v>0</v>
      </c>
      <c r="AD343" s="29">
        <f t="shared" ca="1" si="190"/>
        <v>1</v>
      </c>
      <c r="AE343" s="29">
        <f t="shared" ca="1" si="190"/>
        <v>1</v>
      </c>
      <c r="AF343" s="29">
        <f t="shared" ca="1" si="190"/>
        <v>2</v>
      </c>
      <c r="AG343" s="29">
        <f t="shared" ca="1" si="189"/>
        <v>1</v>
      </c>
      <c r="AH343" s="29">
        <f t="shared" ca="1" si="189"/>
        <v>2</v>
      </c>
      <c r="AI343" s="29">
        <f t="shared" ca="1" si="189"/>
        <v>1</v>
      </c>
      <c r="AJ343" s="29">
        <f t="shared" ca="1" si="189"/>
        <v>0</v>
      </c>
      <c r="AK343" s="29">
        <f t="shared" ca="1" si="189"/>
        <v>0</v>
      </c>
      <c r="AL343" s="29">
        <f t="shared" ca="1" si="189"/>
        <v>0</v>
      </c>
      <c r="AM343" s="29">
        <f t="shared" ca="1" si="189"/>
        <v>3</v>
      </c>
      <c r="AN343" s="29">
        <f t="shared" ca="1" si="189"/>
        <v>0</v>
      </c>
      <c r="AO343" s="29">
        <f t="shared" ca="1" si="189"/>
        <v>3</v>
      </c>
      <c r="AP343" s="29">
        <f t="shared" ca="1" si="189"/>
        <v>1</v>
      </c>
      <c r="AQ343" s="29">
        <f t="shared" ca="1" si="189"/>
        <v>1</v>
      </c>
      <c r="AR343" s="29">
        <f t="shared" ca="1" si="189"/>
        <v>3</v>
      </c>
      <c r="AS343" s="29">
        <f t="shared" ca="1" si="189"/>
        <v>2</v>
      </c>
      <c r="AT343" s="29">
        <f t="shared" ca="1" si="189"/>
        <v>4</v>
      </c>
      <c r="AU343" s="29">
        <f t="shared" ca="1" si="189"/>
        <v>1</v>
      </c>
      <c r="AV343" s="29">
        <f t="shared" ca="1" si="192"/>
        <v>2</v>
      </c>
      <c r="AW343" s="29">
        <f t="shared" ca="1" si="192"/>
        <v>2</v>
      </c>
      <c r="AX343" s="29">
        <f t="shared" ca="1" si="192"/>
        <v>1</v>
      </c>
      <c r="AY343" s="29">
        <f t="shared" ca="1" si="192"/>
        <v>0</v>
      </c>
      <c r="AZ343" s="29">
        <f t="shared" ca="1" si="192"/>
        <v>0</v>
      </c>
      <c r="BA343" s="29">
        <f t="shared" ca="1" si="192"/>
        <v>1</v>
      </c>
      <c r="BB343" s="29">
        <f t="shared" ca="1" si="192"/>
        <v>2</v>
      </c>
      <c r="BC343" s="29">
        <f t="shared" ca="1" si="192"/>
        <v>2</v>
      </c>
      <c r="BD343" s="29">
        <f t="shared" ca="1" si="192"/>
        <v>0</v>
      </c>
      <c r="BE343" s="29">
        <f t="shared" ca="1" si="192"/>
        <v>2</v>
      </c>
      <c r="BF343" s="29">
        <f t="shared" ca="1" si="192"/>
        <v>0</v>
      </c>
      <c r="BG343" s="29">
        <f t="shared" ca="1" si="192"/>
        <v>1</v>
      </c>
      <c r="BH343" s="29">
        <f t="shared" ca="1" si="192"/>
        <v>3</v>
      </c>
      <c r="BI343" s="29">
        <f t="shared" ca="1" si="192"/>
        <v>2</v>
      </c>
      <c r="BJ343" s="29">
        <f t="shared" ca="1" si="192"/>
        <v>2</v>
      </c>
      <c r="BK343" s="29">
        <f t="shared" ca="1" si="192"/>
        <v>1</v>
      </c>
      <c r="BL343" s="29">
        <f t="shared" ca="1" si="191"/>
        <v>2</v>
      </c>
      <c r="BM343" s="29">
        <f t="shared" ca="1" si="191"/>
        <v>1</v>
      </c>
      <c r="BN343" s="29">
        <f t="shared" ca="1" si="191"/>
        <v>1</v>
      </c>
      <c r="BO343" s="29">
        <f t="shared" ca="1" si="191"/>
        <v>1</v>
      </c>
      <c r="BP343" s="29">
        <f t="shared" ca="1" si="191"/>
        <v>1</v>
      </c>
      <c r="BQ343" s="29">
        <f t="shared" ca="1" si="191"/>
        <v>2</v>
      </c>
      <c r="BR343" s="29">
        <f t="shared" ca="1" si="191"/>
        <v>2</v>
      </c>
      <c r="BS343" s="29">
        <f t="shared" ca="1" si="191"/>
        <v>1</v>
      </c>
      <c r="BT343" s="29">
        <f t="shared" ca="1" si="191"/>
        <v>5</v>
      </c>
      <c r="BU343" s="29">
        <f t="shared" ca="1" si="191"/>
        <v>2</v>
      </c>
      <c r="BV343" s="29">
        <f t="shared" ca="1" si="191"/>
        <v>0</v>
      </c>
      <c r="BW343" s="29">
        <f t="shared" ca="1" si="191"/>
        <v>2</v>
      </c>
      <c r="BX343" s="29">
        <f t="shared" ca="1" si="191"/>
        <v>0</v>
      </c>
      <c r="BY343" s="29">
        <f t="shared" ca="1" si="191"/>
        <v>2</v>
      </c>
      <c r="BZ343" s="29">
        <f t="shared" ca="1" si="191"/>
        <v>2</v>
      </c>
      <c r="CA343" s="29">
        <f t="shared" ca="1" si="194"/>
        <v>2</v>
      </c>
      <c r="CB343" s="29">
        <f t="shared" ca="1" si="194"/>
        <v>4</v>
      </c>
      <c r="CC343" s="29">
        <f t="shared" ca="1" si="194"/>
        <v>2</v>
      </c>
      <c r="CD343" s="29">
        <f t="shared" ca="1" si="194"/>
        <v>4</v>
      </c>
      <c r="CE343" s="29">
        <f t="shared" ca="1" si="194"/>
        <v>2</v>
      </c>
      <c r="CF343" s="29">
        <f t="shared" ca="1" si="194"/>
        <v>2</v>
      </c>
      <c r="CG343" s="29">
        <f t="shared" ca="1" si="194"/>
        <v>1</v>
      </c>
      <c r="CH343" s="29">
        <f t="shared" ca="1" si="194"/>
        <v>3</v>
      </c>
      <c r="CI343" s="29">
        <f t="shared" ca="1" si="194"/>
        <v>1</v>
      </c>
      <c r="CJ343" s="29">
        <f t="shared" ca="1" si="194"/>
        <v>0</v>
      </c>
      <c r="CK343" s="29">
        <f t="shared" ca="1" si="194"/>
        <v>2</v>
      </c>
      <c r="CL343" s="29">
        <f t="shared" ca="1" si="194"/>
        <v>2</v>
      </c>
      <c r="CM343" s="29">
        <f t="shared" ca="1" si="194"/>
        <v>2</v>
      </c>
      <c r="CN343" s="29">
        <f t="shared" ca="1" si="194"/>
        <v>1</v>
      </c>
      <c r="CO343" s="29">
        <f t="shared" ca="1" si="194"/>
        <v>2</v>
      </c>
      <c r="CP343" s="29">
        <f t="shared" ca="1" si="194"/>
        <v>1</v>
      </c>
      <c r="CQ343" s="29">
        <f t="shared" ca="1" si="193"/>
        <v>3</v>
      </c>
      <c r="CR343" s="29">
        <f t="shared" ca="1" si="193"/>
        <v>3</v>
      </c>
      <c r="CS343" s="29">
        <f t="shared" ca="1" si="193"/>
        <v>1</v>
      </c>
      <c r="CT343" s="29">
        <f t="shared" ca="1" si="193"/>
        <v>2</v>
      </c>
      <c r="CU343" s="29">
        <f t="shared" ca="1" si="193"/>
        <v>1</v>
      </c>
      <c r="CV343" s="29">
        <f t="shared" ca="1" si="193"/>
        <v>2</v>
      </c>
      <c r="CW343" s="29">
        <f t="shared" ca="1" si="193"/>
        <v>0</v>
      </c>
      <c r="CX343" s="29">
        <f t="shared" ca="1" si="193"/>
        <v>0</v>
      </c>
      <c r="CY343" s="29">
        <f t="shared" ca="1" si="193"/>
        <v>1</v>
      </c>
      <c r="CZ343" s="29">
        <f t="shared" ca="1" si="193"/>
        <v>1</v>
      </c>
      <c r="DA343" s="29">
        <f t="shared" ca="1" si="193"/>
        <v>1</v>
      </c>
      <c r="DB343" s="29">
        <f t="shared" ca="1" si="193"/>
        <v>1</v>
      </c>
      <c r="DC343" s="29">
        <f t="shared" ca="1" si="193"/>
        <v>0</v>
      </c>
      <c r="DD343" s="29">
        <f t="shared" ca="1" si="193"/>
        <v>2</v>
      </c>
      <c r="DE343" s="29">
        <f t="shared" ca="1" si="193"/>
        <v>1</v>
      </c>
      <c r="DF343" s="29">
        <f t="shared" ref="DF343:DL379" ca="1" si="196">_xlfn.BINOM.INV(50,$E343,RAND())</f>
        <v>4</v>
      </c>
      <c r="DG343" s="29">
        <f t="shared" ca="1" si="196"/>
        <v>1</v>
      </c>
      <c r="DH343" s="29">
        <f t="shared" ca="1" si="196"/>
        <v>3</v>
      </c>
      <c r="DI343" s="29">
        <f t="shared" ca="1" si="196"/>
        <v>4</v>
      </c>
      <c r="DJ343" s="29">
        <f t="shared" ca="1" si="196"/>
        <v>1</v>
      </c>
      <c r="DK343" s="29">
        <f t="shared" ca="1" si="196"/>
        <v>3</v>
      </c>
      <c r="DL343" s="29">
        <f t="shared" ca="1" si="196"/>
        <v>1</v>
      </c>
    </row>
    <row r="344" spans="1:116" ht="14.4" x14ac:dyDescent="0.3">
      <c r="A344" s="31">
        <v>543</v>
      </c>
      <c r="B344" s="28">
        <v>6.63</v>
      </c>
      <c r="C344" s="30">
        <v>7.31</v>
      </c>
      <c r="D344" s="28">
        <v>1.17</v>
      </c>
      <c r="E344" s="34">
        <f t="shared" si="180"/>
        <v>2.3399999999999997E-2</v>
      </c>
      <c r="F344" s="35">
        <f t="shared" si="181"/>
        <v>1.8274999999999999</v>
      </c>
      <c r="G344" s="34">
        <f t="shared" si="182"/>
        <v>29.25</v>
      </c>
      <c r="H344" s="33">
        <f t="shared" si="183"/>
        <v>4.1361236802413277</v>
      </c>
      <c r="I344" s="28">
        <f t="shared" si="186"/>
        <v>1384.4100000000003</v>
      </c>
      <c r="J344" s="32">
        <v>0</v>
      </c>
      <c r="K344" s="30">
        <f t="shared" si="184"/>
        <v>29.25</v>
      </c>
      <c r="L344" s="30"/>
      <c r="M344" s="30"/>
      <c r="N344" s="30"/>
      <c r="O344" s="30"/>
      <c r="Q344" s="29">
        <f t="shared" ca="1" si="185"/>
        <v>1</v>
      </c>
      <c r="R344" s="29">
        <f t="shared" ca="1" si="190"/>
        <v>1</v>
      </c>
      <c r="S344" s="29">
        <f t="shared" ca="1" si="190"/>
        <v>1</v>
      </c>
      <c r="T344" s="29">
        <f t="shared" ca="1" si="190"/>
        <v>2</v>
      </c>
      <c r="U344" s="29">
        <f t="shared" ca="1" si="190"/>
        <v>2</v>
      </c>
      <c r="V344" s="29">
        <f t="shared" ca="1" si="190"/>
        <v>2</v>
      </c>
      <c r="W344" s="29">
        <f t="shared" ca="1" si="190"/>
        <v>2</v>
      </c>
      <c r="X344" s="29">
        <f t="shared" ca="1" si="190"/>
        <v>1</v>
      </c>
      <c r="Y344" s="29">
        <f t="shared" ca="1" si="190"/>
        <v>3</v>
      </c>
      <c r="Z344" s="29">
        <f t="shared" ca="1" si="190"/>
        <v>0</v>
      </c>
      <c r="AA344" s="29">
        <f t="shared" ca="1" si="190"/>
        <v>1</v>
      </c>
      <c r="AB344" s="29">
        <f t="shared" ca="1" si="190"/>
        <v>2</v>
      </c>
      <c r="AC344" s="29">
        <f t="shared" ca="1" si="190"/>
        <v>2</v>
      </c>
      <c r="AD344" s="29">
        <f t="shared" ca="1" si="190"/>
        <v>0</v>
      </c>
      <c r="AE344" s="29">
        <f t="shared" ca="1" si="190"/>
        <v>0</v>
      </c>
      <c r="AF344" s="29">
        <f t="shared" ca="1" si="190"/>
        <v>0</v>
      </c>
      <c r="AG344" s="29">
        <f t="shared" ca="1" si="189"/>
        <v>2</v>
      </c>
      <c r="AH344" s="29">
        <f t="shared" ca="1" si="189"/>
        <v>1</v>
      </c>
      <c r="AI344" s="29">
        <f t="shared" ca="1" si="189"/>
        <v>0</v>
      </c>
      <c r="AJ344" s="29">
        <f t="shared" ca="1" si="189"/>
        <v>1</v>
      </c>
      <c r="AK344" s="29">
        <f t="shared" ca="1" si="189"/>
        <v>1</v>
      </c>
      <c r="AL344" s="29">
        <f t="shared" ca="1" si="189"/>
        <v>1</v>
      </c>
      <c r="AM344" s="29">
        <f t="shared" ca="1" si="189"/>
        <v>0</v>
      </c>
      <c r="AN344" s="29">
        <f t="shared" ca="1" si="189"/>
        <v>0</v>
      </c>
      <c r="AO344" s="29">
        <f t="shared" ca="1" si="189"/>
        <v>0</v>
      </c>
      <c r="AP344" s="29">
        <f t="shared" ca="1" si="189"/>
        <v>2</v>
      </c>
      <c r="AQ344" s="29">
        <f t="shared" ca="1" si="189"/>
        <v>0</v>
      </c>
      <c r="AR344" s="29">
        <f t="shared" ca="1" si="189"/>
        <v>1</v>
      </c>
      <c r="AS344" s="29">
        <f t="shared" ca="1" si="189"/>
        <v>2</v>
      </c>
      <c r="AT344" s="29">
        <f t="shared" ca="1" si="189"/>
        <v>2</v>
      </c>
      <c r="AU344" s="29">
        <f t="shared" ca="1" si="189"/>
        <v>0</v>
      </c>
      <c r="AV344" s="29">
        <f t="shared" ca="1" si="192"/>
        <v>0</v>
      </c>
      <c r="AW344" s="29">
        <f t="shared" ca="1" si="192"/>
        <v>3</v>
      </c>
      <c r="AX344" s="29">
        <f t="shared" ca="1" si="192"/>
        <v>2</v>
      </c>
      <c r="AY344" s="29">
        <f t="shared" ca="1" si="192"/>
        <v>0</v>
      </c>
      <c r="AZ344" s="29">
        <f t="shared" ca="1" si="192"/>
        <v>3</v>
      </c>
      <c r="BA344" s="29">
        <f t="shared" ca="1" si="192"/>
        <v>1</v>
      </c>
      <c r="BB344" s="29">
        <f t="shared" ca="1" si="192"/>
        <v>0</v>
      </c>
      <c r="BC344" s="29">
        <f t="shared" ca="1" si="192"/>
        <v>0</v>
      </c>
      <c r="BD344" s="29">
        <f t="shared" ca="1" si="192"/>
        <v>0</v>
      </c>
      <c r="BE344" s="29">
        <f t="shared" ca="1" si="192"/>
        <v>2</v>
      </c>
      <c r="BF344" s="29">
        <f t="shared" ca="1" si="192"/>
        <v>0</v>
      </c>
      <c r="BG344" s="29">
        <f t="shared" ca="1" si="192"/>
        <v>0</v>
      </c>
      <c r="BH344" s="29">
        <f t="shared" ca="1" si="192"/>
        <v>1</v>
      </c>
      <c r="BI344" s="29">
        <f t="shared" ca="1" si="192"/>
        <v>2</v>
      </c>
      <c r="BJ344" s="29">
        <f t="shared" ca="1" si="192"/>
        <v>1</v>
      </c>
      <c r="BK344" s="29">
        <f t="shared" ca="1" si="192"/>
        <v>0</v>
      </c>
      <c r="BL344" s="29">
        <f t="shared" ca="1" si="191"/>
        <v>0</v>
      </c>
      <c r="BM344" s="29">
        <f t="shared" ca="1" si="191"/>
        <v>3</v>
      </c>
      <c r="BN344" s="29">
        <f t="shared" ca="1" si="191"/>
        <v>1</v>
      </c>
      <c r="BO344" s="29">
        <f t="shared" ca="1" si="191"/>
        <v>0</v>
      </c>
      <c r="BP344" s="29">
        <f t="shared" ca="1" si="191"/>
        <v>1</v>
      </c>
      <c r="BQ344" s="29">
        <f t="shared" ca="1" si="191"/>
        <v>1</v>
      </c>
      <c r="BR344" s="29">
        <f t="shared" ca="1" si="191"/>
        <v>0</v>
      </c>
      <c r="BS344" s="29">
        <f t="shared" ca="1" si="191"/>
        <v>1</v>
      </c>
      <c r="BT344" s="29">
        <f t="shared" ca="1" si="191"/>
        <v>1</v>
      </c>
      <c r="BU344" s="29">
        <f t="shared" ca="1" si="191"/>
        <v>1</v>
      </c>
      <c r="BV344" s="29">
        <f t="shared" ca="1" si="191"/>
        <v>1</v>
      </c>
      <c r="BW344" s="29">
        <f t="shared" ca="1" si="191"/>
        <v>1</v>
      </c>
      <c r="BX344" s="29">
        <f t="shared" ca="1" si="191"/>
        <v>0</v>
      </c>
      <c r="BY344" s="29">
        <f t="shared" ca="1" si="191"/>
        <v>1</v>
      </c>
      <c r="BZ344" s="29">
        <f t="shared" ca="1" si="191"/>
        <v>0</v>
      </c>
      <c r="CA344" s="29">
        <f t="shared" ca="1" si="194"/>
        <v>0</v>
      </c>
      <c r="CB344" s="29">
        <f t="shared" ca="1" si="194"/>
        <v>0</v>
      </c>
      <c r="CC344" s="29">
        <f t="shared" ca="1" si="194"/>
        <v>2</v>
      </c>
      <c r="CD344" s="29">
        <f t="shared" ca="1" si="194"/>
        <v>0</v>
      </c>
      <c r="CE344" s="29">
        <f t="shared" ca="1" si="194"/>
        <v>2</v>
      </c>
      <c r="CF344" s="29">
        <f t="shared" ca="1" si="194"/>
        <v>1</v>
      </c>
      <c r="CG344" s="29">
        <f t="shared" ca="1" si="194"/>
        <v>0</v>
      </c>
      <c r="CH344" s="29">
        <f t="shared" ca="1" si="194"/>
        <v>2</v>
      </c>
      <c r="CI344" s="29">
        <f t="shared" ca="1" si="194"/>
        <v>1</v>
      </c>
      <c r="CJ344" s="29">
        <f t="shared" ca="1" si="194"/>
        <v>1</v>
      </c>
      <c r="CK344" s="29">
        <f t="shared" ca="1" si="194"/>
        <v>1</v>
      </c>
      <c r="CL344" s="29">
        <f t="shared" ca="1" si="194"/>
        <v>0</v>
      </c>
      <c r="CM344" s="29">
        <f t="shared" ca="1" si="194"/>
        <v>1</v>
      </c>
      <c r="CN344" s="29">
        <f t="shared" ca="1" si="194"/>
        <v>0</v>
      </c>
      <c r="CO344" s="29">
        <f t="shared" ca="1" si="194"/>
        <v>1</v>
      </c>
      <c r="CP344" s="29">
        <f t="shared" ca="1" si="194"/>
        <v>1</v>
      </c>
      <c r="CQ344" s="29">
        <f t="shared" ca="1" si="193"/>
        <v>2</v>
      </c>
      <c r="CR344" s="29">
        <f t="shared" ca="1" si="193"/>
        <v>4</v>
      </c>
      <c r="CS344" s="29">
        <f t="shared" ca="1" si="193"/>
        <v>3</v>
      </c>
      <c r="CT344" s="29">
        <f t="shared" ca="1" si="193"/>
        <v>0</v>
      </c>
      <c r="CU344" s="29">
        <f t="shared" ca="1" si="193"/>
        <v>2</v>
      </c>
      <c r="CV344" s="29">
        <f t="shared" ca="1" si="193"/>
        <v>0</v>
      </c>
      <c r="CW344" s="29">
        <f t="shared" ca="1" si="193"/>
        <v>1</v>
      </c>
      <c r="CX344" s="29">
        <f t="shared" ca="1" si="193"/>
        <v>1</v>
      </c>
      <c r="CY344" s="29">
        <f t="shared" ca="1" si="193"/>
        <v>1</v>
      </c>
      <c r="CZ344" s="29">
        <f t="shared" ca="1" si="193"/>
        <v>2</v>
      </c>
      <c r="DA344" s="29">
        <f t="shared" ca="1" si="193"/>
        <v>1</v>
      </c>
      <c r="DB344" s="29">
        <f t="shared" ca="1" si="193"/>
        <v>0</v>
      </c>
      <c r="DC344" s="29">
        <f t="shared" ca="1" si="193"/>
        <v>1</v>
      </c>
      <c r="DD344" s="29">
        <f t="shared" ca="1" si="193"/>
        <v>0</v>
      </c>
      <c r="DE344" s="29">
        <f t="shared" ca="1" si="193"/>
        <v>1</v>
      </c>
      <c r="DF344" s="29">
        <f t="shared" ca="1" si="196"/>
        <v>0</v>
      </c>
      <c r="DG344" s="29">
        <f t="shared" ca="1" si="196"/>
        <v>1</v>
      </c>
      <c r="DH344" s="29">
        <f t="shared" ca="1" si="196"/>
        <v>2</v>
      </c>
      <c r="DI344" s="29">
        <f t="shared" ca="1" si="196"/>
        <v>1</v>
      </c>
      <c r="DJ344" s="29">
        <f t="shared" ca="1" si="196"/>
        <v>2</v>
      </c>
      <c r="DK344" s="29">
        <f t="shared" ca="1" si="196"/>
        <v>2</v>
      </c>
      <c r="DL344" s="29">
        <f t="shared" ca="1" si="196"/>
        <v>2</v>
      </c>
    </row>
    <row r="345" spans="1:116" ht="14.4" x14ac:dyDescent="0.3">
      <c r="A345" s="31">
        <v>275</v>
      </c>
      <c r="B345" s="28">
        <v>6.5</v>
      </c>
      <c r="C345" s="30">
        <v>0.85</v>
      </c>
      <c r="D345" s="28">
        <v>1.08</v>
      </c>
      <c r="E345" s="34">
        <f t="shared" si="180"/>
        <v>2.1600000000000001E-2</v>
      </c>
      <c r="F345" s="35">
        <f t="shared" si="181"/>
        <v>0.21249999999999999</v>
      </c>
      <c r="G345" s="34">
        <f t="shared" si="182"/>
        <v>27</v>
      </c>
      <c r="H345" s="33">
        <f t="shared" si="183"/>
        <v>4.1211538461538462</v>
      </c>
      <c r="I345" s="28">
        <f t="shared" si="186"/>
        <v>1390.9100000000003</v>
      </c>
      <c r="J345" s="32">
        <v>0</v>
      </c>
      <c r="K345" s="30">
        <f t="shared" si="184"/>
        <v>27</v>
      </c>
      <c r="L345" s="30"/>
      <c r="M345" s="30"/>
      <c r="N345" s="30"/>
      <c r="O345" s="30"/>
      <c r="Q345" s="29">
        <f t="shared" ca="1" si="185"/>
        <v>1</v>
      </c>
      <c r="R345" s="29">
        <f t="shared" ca="1" si="190"/>
        <v>1</v>
      </c>
      <c r="S345" s="29">
        <f t="shared" ca="1" si="190"/>
        <v>0</v>
      </c>
      <c r="T345" s="29">
        <f t="shared" ca="1" si="190"/>
        <v>2</v>
      </c>
      <c r="U345" s="29">
        <f t="shared" ca="1" si="190"/>
        <v>2</v>
      </c>
      <c r="V345" s="29">
        <f t="shared" ca="1" si="190"/>
        <v>2</v>
      </c>
      <c r="W345" s="29">
        <f t="shared" ca="1" si="190"/>
        <v>0</v>
      </c>
      <c r="X345" s="29">
        <f t="shared" ca="1" si="190"/>
        <v>3</v>
      </c>
      <c r="Y345" s="29">
        <f t="shared" ca="1" si="190"/>
        <v>0</v>
      </c>
      <c r="Z345" s="29">
        <f t="shared" ca="1" si="190"/>
        <v>1</v>
      </c>
      <c r="AA345" s="29">
        <f t="shared" ca="1" si="190"/>
        <v>0</v>
      </c>
      <c r="AB345" s="29">
        <f t="shared" ca="1" si="190"/>
        <v>0</v>
      </c>
      <c r="AC345" s="29">
        <f t="shared" ca="1" si="190"/>
        <v>0</v>
      </c>
      <c r="AD345" s="29">
        <f t="shared" ca="1" si="190"/>
        <v>1</v>
      </c>
      <c r="AE345" s="29">
        <f t="shared" ca="1" si="190"/>
        <v>0</v>
      </c>
      <c r="AF345" s="29">
        <f t="shared" ref="AF345:AU360" ca="1" si="197">_xlfn.BINOM.INV(50,$E345,RAND())</f>
        <v>0</v>
      </c>
      <c r="AG345" s="29">
        <f t="shared" ca="1" si="197"/>
        <v>0</v>
      </c>
      <c r="AH345" s="29">
        <f t="shared" ca="1" si="197"/>
        <v>2</v>
      </c>
      <c r="AI345" s="29">
        <f t="shared" ca="1" si="197"/>
        <v>0</v>
      </c>
      <c r="AJ345" s="29">
        <f t="shared" ca="1" si="197"/>
        <v>1</v>
      </c>
      <c r="AK345" s="29">
        <f t="shared" ca="1" si="197"/>
        <v>0</v>
      </c>
      <c r="AL345" s="29">
        <f t="shared" ca="1" si="197"/>
        <v>1</v>
      </c>
      <c r="AM345" s="29">
        <f t="shared" ca="1" si="197"/>
        <v>0</v>
      </c>
      <c r="AN345" s="29">
        <f t="shared" ca="1" si="197"/>
        <v>0</v>
      </c>
      <c r="AO345" s="29">
        <f t="shared" ca="1" si="197"/>
        <v>0</v>
      </c>
      <c r="AP345" s="29">
        <f t="shared" ca="1" si="197"/>
        <v>0</v>
      </c>
      <c r="AQ345" s="29">
        <f t="shared" ca="1" si="197"/>
        <v>0</v>
      </c>
      <c r="AR345" s="29">
        <f t="shared" ca="1" si="197"/>
        <v>0</v>
      </c>
      <c r="AS345" s="29">
        <f t="shared" ca="1" si="197"/>
        <v>2</v>
      </c>
      <c r="AT345" s="29">
        <f t="shared" ca="1" si="197"/>
        <v>0</v>
      </c>
      <c r="AU345" s="29">
        <f t="shared" ca="1" si="197"/>
        <v>3</v>
      </c>
      <c r="AV345" s="29">
        <f t="shared" ca="1" si="192"/>
        <v>0</v>
      </c>
      <c r="AW345" s="29">
        <f t="shared" ca="1" si="192"/>
        <v>0</v>
      </c>
      <c r="AX345" s="29">
        <f t="shared" ca="1" si="192"/>
        <v>3</v>
      </c>
      <c r="AY345" s="29">
        <f t="shared" ca="1" si="192"/>
        <v>1</v>
      </c>
      <c r="AZ345" s="29">
        <f t="shared" ca="1" si="192"/>
        <v>2</v>
      </c>
      <c r="BA345" s="29">
        <f t="shared" ca="1" si="192"/>
        <v>2</v>
      </c>
      <c r="BB345" s="29">
        <f t="shared" ca="1" si="192"/>
        <v>2</v>
      </c>
      <c r="BC345" s="29">
        <f t="shared" ca="1" si="192"/>
        <v>1</v>
      </c>
      <c r="BD345" s="29">
        <f t="shared" ca="1" si="192"/>
        <v>1</v>
      </c>
      <c r="BE345" s="29">
        <f t="shared" ca="1" si="192"/>
        <v>3</v>
      </c>
      <c r="BF345" s="29">
        <f t="shared" ca="1" si="192"/>
        <v>1</v>
      </c>
      <c r="BG345" s="29">
        <f t="shared" ca="1" si="192"/>
        <v>1</v>
      </c>
      <c r="BH345" s="29">
        <f t="shared" ca="1" si="192"/>
        <v>3</v>
      </c>
      <c r="BI345" s="29">
        <f t="shared" ca="1" si="192"/>
        <v>3</v>
      </c>
      <c r="BJ345" s="29">
        <f t="shared" ca="1" si="192"/>
        <v>2</v>
      </c>
      <c r="BK345" s="29">
        <f t="shared" ca="1" si="192"/>
        <v>4</v>
      </c>
      <c r="BL345" s="29">
        <f t="shared" ca="1" si="191"/>
        <v>0</v>
      </c>
      <c r="BM345" s="29">
        <f t="shared" ca="1" si="191"/>
        <v>0</v>
      </c>
      <c r="BN345" s="29">
        <f t="shared" ca="1" si="191"/>
        <v>1</v>
      </c>
      <c r="BO345" s="29">
        <f t="shared" ca="1" si="191"/>
        <v>0</v>
      </c>
      <c r="BP345" s="29">
        <f t="shared" ca="1" si="191"/>
        <v>0</v>
      </c>
      <c r="BQ345" s="29">
        <f t="shared" ca="1" si="191"/>
        <v>2</v>
      </c>
      <c r="BR345" s="29">
        <f t="shared" ca="1" si="191"/>
        <v>0</v>
      </c>
      <c r="BS345" s="29">
        <f t="shared" ca="1" si="191"/>
        <v>3</v>
      </c>
      <c r="BT345" s="29">
        <f t="shared" ca="1" si="191"/>
        <v>1</v>
      </c>
      <c r="BU345" s="29">
        <f t="shared" ca="1" si="191"/>
        <v>1</v>
      </c>
      <c r="BV345" s="29">
        <f t="shared" ca="1" si="191"/>
        <v>1</v>
      </c>
      <c r="BW345" s="29">
        <f t="shared" ca="1" si="191"/>
        <v>1</v>
      </c>
      <c r="BX345" s="29">
        <f t="shared" ca="1" si="191"/>
        <v>0</v>
      </c>
      <c r="BY345" s="29">
        <f t="shared" ca="1" si="191"/>
        <v>1</v>
      </c>
      <c r="BZ345" s="29">
        <f t="shared" ca="1" si="191"/>
        <v>2</v>
      </c>
      <c r="CA345" s="29">
        <f t="shared" ca="1" si="194"/>
        <v>2</v>
      </c>
      <c r="CB345" s="29">
        <f t="shared" ca="1" si="194"/>
        <v>0</v>
      </c>
      <c r="CC345" s="29">
        <f t="shared" ca="1" si="194"/>
        <v>4</v>
      </c>
      <c r="CD345" s="29">
        <f t="shared" ca="1" si="194"/>
        <v>2</v>
      </c>
      <c r="CE345" s="29">
        <f t="shared" ca="1" si="194"/>
        <v>0</v>
      </c>
      <c r="CF345" s="29">
        <f t="shared" ca="1" si="194"/>
        <v>1</v>
      </c>
      <c r="CG345" s="29">
        <f t="shared" ca="1" si="194"/>
        <v>0</v>
      </c>
      <c r="CH345" s="29">
        <f t="shared" ca="1" si="194"/>
        <v>0</v>
      </c>
      <c r="CI345" s="29">
        <f t="shared" ca="1" si="194"/>
        <v>0</v>
      </c>
      <c r="CJ345" s="29">
        <f t="shared" ca="1" si="194"/>
        <v>2</v>
      </c>
      <c r="CK345" s="29">
        <f t="shared" ca="1" si="194"/>
        <v>0</v>
      </c>
      <c r="CL345" s="29">
        <f t="shared" ca="1" si="194"/>
        <v>2</v>
      </c>
      <c r="CM345" s="29">
        <f t="shared" ca="1" si="194"/>
        <v>3</v>
      </c>
      <c r="CN345" s="29">
        <f t="shared" ca="1" si="194"/>
        <v>0</v>
      </c>
      <c r="CO345" s="29">
        <f t="shared" ca="1" si="194"/>
        <v>2</v>
      </c>
      <c r="CP345" s="29">
        <f t="shared" ca="1" si="194"/>
        <v>1</v>
      </c>
      <c r="CQ345" s="29">
        <f t="shared" ca="1" si="193"/>
        <v>1</v>
      </c>
      <c r="CR345" s="29">
        <f t="shared" ca="1" si="193"/>
        <v>1</v>
      </c>
      <c r="CS345" s="29">
        <f t="shared" ca="1" si="193"/>
        <v>0</v>
      </c>
      <c r="CT345" s="29">
        <f t="shared" ca="1" si="193"/>
        <v>3</v>
      </c>
      <c r="CU345" s="29">
        <f t="shared" ca="1" si="193"/>
        <v>2</v>
      </c>
      <c r="CV345" s="29">
        <f t="shared" ca="1" si="193"/>
        <v>0</v>
      </c>
      <c r="CW345" s="29">
        <f t="shared" ca="1" si="193"/>
        <v>2</v>
      </c>
      <c r="CX345" s="29">
        <f t="shared" ca="1" si="193"/>
        <v>2</v>
      </c>
      <c r="CY345" s="29">
        <f t="shared" ca="1" si="193"/>
        <v>0</v>
      </c>
      <c r="CZ345" s="29">
        <f t="shared" ca="1" si="193"/>
        <v>1</v>
      </c>
      <c r="DA345" s="29">
        <f t="shared" ca="1" si="193"/>
        <v>2</v>
      </c>
      <c r="DB345" s="29">
        <f t="shared" ca="1" si="193"/>
        <v>2</v>
      </c>
      <c r="DC345" s="29">
        <f t="shared" ca="1" si="193"/>
        <v>1</v>
      </c>
      <c r="DD345" s="29">
        <f t="shared" ca="1" si="193"/>
        <v>0</v>
      </c>
      <c r="DE345" s="29">
        <f t="shared" ca="1" si="193"/>
        <v>1</v>
      </c>
      <c r="DF345" s="29">
        <f t="shared" ca="1" si="196"/>
        <v>0</v>
      </c>
      <c r="DG345" s="29">
        <f t="shared" ca="1" si="196"/>
        <v>0</v>
      </c>
      <c r="DH345" s="29">
        <f t="shared" ca="1" si="196"/>
        <v>1</v>
      </c>
      <c r="DI345" s="29">
        <f t="shared" ca="1" si="196"/>
        <v>1</v>
      </c>
      <c r="DJ345" s="29">
        <f t="shared" ca="1" si="196"/>
        <v>4</v>
      </c>
      <c r="DK345" s="29">
        <f t="shared" ca="1" si="196"/>
        <v>1</v>
      </c>
      <c r="DL345" s="29">
        <f t="shared" ca="1" si="196"/>
        <v>2</v>
      </c>
    </row>
    <row r="346" spans="1:116" ht="14.4" x14ac:dyDescent="0.3">
      <c r="A346" s="31">
        <v>1067</v>
      </c>
      <c r="B346" s="28">
        <v>3.11</v>
      </c>
      <c r="C346" s="30">
        <v>83.77</v>
      </c>
      <c r="D346" s="28">
        <v>1.34</v>
      </c>
      <c r="E346" s="34">
        <f t="shared" si="180"/>
        <v>2.6800000000000001E-2</v>
      </c>
      <c r="F346" s="35">
        <f t="shared" si="181"/>
        <v>20.942499999999999</v>
      </c>
      <c r="G346" s="34">
        <f t="shared" si="182"/>
        <v>33.5</v>
      </c>
      <c r="H346" s="33">
        <f t="shared" si="183"/>
        <v>4.0377813504823159</v>
      </c>
      <c r="I346" s="28">
        <f t="shared" si="186"/>
        <v>1394.0200000000002</v>
      </c>
      <c r="J346" s="32">
        <v>0</v>
      </c>
      <c r="K346" s="30">
        <f t="shared" si="184"/>
        <v>33.5</v>
      </c>
      <c r="L346" s="30"/>
      <c r="M346" s="30"/>
      <c r="N346" s="30"/>
      <c r="O346" s="30"/>
      <c r="Q346" s="29">
        <f t="shared" ca="1" si="185"/>
        <v>1</v>
      </c>
      <c r="R346" s="29">
        <f t="shared" ref="R346:AF361" ca="1" si="198">_xlfn.BINOM.INV(50,$E346,RAND())</f>
        <v>0</v>
      </c>
      <c r="S346" s="29">
        <f t="shared" ca="1" si="198"/>
        <v>0</v>
      </c>
      <c r="T346" s="29">
        <f t="shared" ca="1" si="198"/>
        <v>2</v>
      </c>
      <c r="U346" s="29">
        <f t="shared" ca="1" si="198"/>
        <v>0</v>
      </c>
      <c r="V346" s="29">
        <f t="shared" ca="1" si="198"/>
        <v>0</v>
      </c>
      <c r="W346" s="29">
        <f t="shared" ca="1" si="198"/>
        <v>0</v>
      </c>
      <c r="X346" s="29">
        <f t="shared" ca="1" si="198"/>
        <v>0</v>
      </c>
      <c r="Y346" s="29">
        <f t="shared" ca="1" si="198"/>
        <v>3</v>
      </c>
      <c r="Z346" s="29">
        <f t="shared" ca="1" si="198"/>
        <v>1</v>
      </c>
      <c r="AA346" s="29">
        <f t="shared" ca="1" si="198"/>
        <v>0</v>
      </c>
      <c r="AB346" s="29">
        <f t="shared" ca="1" si="198"/>
        <v>0</v>
      </c>
      <c r="AC346" s="29">
        <f t="shared" ca="1" si="198"/>
        <v>1</v>
      </c>
      <c r="AD346" s="29">
        <f t="shared" ca="1" si="198"/>
        <v>1</v>
      </c>
      <c r="AE346" s="29">
        <f t="shared" ca="1" si="198"/>
        <v>2</v>
      </c>
      <c r="AF346" s="29">
        <f t="shared" ca="1" si="198"/>
        <v>1</v>
      </c>
      <c r="AG346" s="29">
        <f t="shared" ca="1" si="197"/>
        <v>2</v>
      </c>
      <c r="AH346" s="29">
        <f t="shared" ca="1" si="197"/>
        <v>1</v>
      </c>
      <c r="AI346" s="29">
        <f t="shared" ca="1" si="197"/>
        <v>1</v>
      </c>
      <c r="AJ346" s="29">
        <f t="shared" ca="1" si="197"/>
        <v>2</v>
      </c>
      <c r="AK346" s="29">
        <f t="shared" ca="1" si="197"/>
        <v>1</v>
      </c>
      <c r="AL346" s="29">
        <f t="shared" ca="1" si="197"/>
        <v>0</v>
      </c>
      <c r="AM346" s="29">
        <f t="shared" ca="1" si="197"/>
        <v>3</v>
      </c>
      <c r="AN346" s="29">
        <f t="shared" ca="1" si="197"/>
        <v>3</v>
      </c>
      <c r="AO346" s="29">
        <f t="shared" ca="1" si="197"/>
        <v>1</v>
      </c>
      <c r="AP346" s="29">
        <f t="shared" ca="1" si="197"/>
        <v>1</v>
      </c>
      <c r="AQ346" s="29">
        <f t="shared" ca="1" si="197"/>
        <v>2</v>
      </c>
      <c r="AR346" s="29">
        <f t="shared" ca="1" si="197"/>
        <v>0</v>
      </c>
      <c r="AS346" s="29">
        <f t="shared" ca="1" si="197"/>
        <v>5</v>
      </c>
      <c r="AT346" s="29">
        <f t="shared" ca="1" si="197"/>
        <v>2</v>
      </c>
      <c r="AU346" s="29">
        <f t="shared" ca="1" si="197"/>
        <v>1</v>
      </c>
      <c r="AV346" s="29">
        <f t="shared" ca="1" si="192"/>
        <v>2</v>
      </c>
      <c r="AW346" s="29">
        <f t="shared" ca="1" si="192"/>
        <v>1</v>
      </c>
      <c r="AX346" s="29">
        <f t="shared" ca="1" si="192"/>
        <v>1</v>
      </c>
      <c r="AY346" s="29">
        <f t="shared" ca="1" si="192"/>
        <v>1</v>
      </c>
      <c r="AZ346" s="29">
        <f t="shared" ca="1" si="192"/>
        <v>0</v>
      </c>
      <c r="BA346" s="29">
        <f t="shared" ca="1" si="192"/>
        <v>0</v>
      </c>
      <c r="BB346" s="29">
        <f t="shared" ca="1" si="192"/>
        <v>0</v>
      </c>
      <c r="BC346" s="29">
        <f t="shared" ca="1" si="192"/>
        <v>1</v>
      </c>
      <c r="BD346" s="29">
        <f t="shared" ca="1" si="192"/>
        <v>0</v>
      </c>
      <c r="BE346" s="29">
        <f t="shared" ca="1" si="192"/>
        <v>1</v>
      </c>
      <c r="BF346" s="29">
        <f t="shared" ca="1" si="192"/>
        <v>0</v>
      </c>
      <c r="BG346" s="29">
        <f t="shared" ca="1" si="192"/>
        <v>0</v>
      </c>
      <c r="BH346" s="29">
        <f t="shared" ca="1" si="192"/>
        <v>4</v>
      </c>
      <c r="BI346" s="29">
        <f t="shared" ca="1" si="192"/>
        <v>2</v>
      </c>
      <c r="BJ346" s="29">
        <f t="shared" ca="1" si="192"/>
        <v>1</v>
      </c>
      <c r="BK346" s="29">
        <f t="shared" ca="1" si="192"/>
        <v>0</v>
      </c>
      <c r="BL346" s="29">
        <f t="shared" ca="1" si="191"/>
        <v>1</v>
      </c>
      <c r="BM346" s="29">
        <f t="shared" ca="1" si="191"/>
        <v>0</v>
      </c>
      <c r="BN346" s="29">
        <f t="shared" ca="1" si="191"/>
        <v>2</v>
      </c>
      <c r="BO346" s="29">
        <f t="shared" ca="1" si="191"/>
        <v>3</v>
      </c>
      <c r="BP346" s="29">
        <f t="shared" ca="1" si="191"/>
        <v>2</v>
      </c>
      <c r="BQ346" s="29">
        <f t="shared" ca="1" si="191"/>
        <v>3</v>
      </c>
      <c r="BR346" s="29">
        <f t="shared" ca="1" si="191"/>
        <v>2</v>
      </c>
      <c r="BS346" s="29">
        <f t="shared" ca="1" si="191"/>
        <v>0</v>
      </c>
      <c r="BT346" s="29">
        <f t="shared" ca="1" si="191"/>
        <v>4</v>
      </c>
      <c r="BU346" s="29">
        <f t="shared" ca="1" si="191"/>
        <v>2</v>
      </c>
      <c r="BV346" s="29">
        <f t="shared" ca="1" si="191"/>
        <v>1</v>
      </c>
      <c r="BW346" s="29">
        <f t="shared" ca="1" si="191"/>
        <v>1</v>
      </c>
      <c r="BX346" s="29">
        <f t="shared" ca="1" si="191"/>
        <v>2</v>
      </c>
      <c r="BY346" s="29">
        <f t="shared" ca="1" si="191"/>
        <v>2</v>
      </c>
      <c r="BZ346" s="29">
        <f t="shared" ca="1" si="191"/>
        <v>1</v>
      </c>
      <c r="CA346" s="29">
        <f t="shared" ca="1" si="194"/>
        <v>0</v>
      </c>
      <c r="CB346" s="29">
        <f t="shared" ca="1" si="194"/>
        <v>2</v>
      </c>
      <c r="CC346" s="29">
        <f t="shared" ca="1" si="194"/>
        <v>3</v>
      </c>
      <c r="CD346" s="29">
        <f t="shared" ca="1" si="194"/>
        <v>1</v>
      </c>
      <c r="CE346" s="29">
        <f t="shared" ca="1" si="194"/>
        <v>4</v>
      </c>
      <c r="CF346" s="29">
        <f t="shared" ca="1" si="194"/>
        <v>3</v>
      </c>
      <c r="CG346" s="29">
        <f t="shared" ca="1" si="194"/>
        <v>0</v>
      </c>
      <c r="CH346" s="29">
        <f t="shared" ca="1" si="194"/>
        <v>1</v>
      </c>
      <c r="CI346" s="29">
        <f t="shared" ca="1" si="194"/>
        <v>1</v>
      </c>
      <c r="CJ346" s="29">
        <f t="shared" ca="1" si="194"/>
        <v>1</v>
      </c>
      <c r="CK346" s="29">
        <f t="shared" ca="1" si="194"/>
        <v>3</v>
      </c>
      <c r="CL346" s="29">
        <f t="shared" ca="1" si="194"/>
        <v>0</v>
      </c>
      <c r="CM346" s="29">
        <f t="shared" ca="1" si="194"/>
        <v>1</v>
      </c>
      <c r="CN346" s="29">
        <f t="shared" ca="1" si="194"/>
        <v>0</v>
      </c>
      <c r="CO346" s="29">
        <f t="shared" ca="1" si="194"/>
        <v>1</v>
      </c>
      <c r="CP346" s="29">
        <f t="shared" ca="1" si="194"/>
        <v>2</v>
      </c>
      <c r="CQ346" s="29">
        <f t="shared" ca="1" si="193"/>
        <v>1</v>
      </c>
      <c r="CR346" s="29">
        <f t="shared" ca="1" si="193"/>
        <v>1</v>
      </c>
      <c r="CS346" s="29">
        <f t="shared" ca="1" si="193"/>
        <v>0</v>
      </c>
      <c r="CT346" s="29">
        <f t="shared" ca="1" si="193"/>
        <v>2</v>
      </c>
      <c r="CU346" s="29">
        <f t="shared" ca="1" si="193"/>
        <v>3</v>
      </c>
      <c r="CV346" s="29">
        <f t="shared" ca="1" si="193"/>
        <v>3</v>
      </c>
      <c r="CW346" s="29">
        <f t="shared" ca="1" si="193"/>
        <v>2</v>
      </c>
      <c r="CX346" s="29">
        <f t="shared" ca="1" si="193"/>
        <v>4</v>
      </c>
      <c r="CY346" s="29">
        <f t="shared" ca="1" si="193"/>
        <v>2</v>
      </c>
      <c r="CZ346" s="29">
        <f t="shared" ca="1" si="193"/>
        <v>1</v>
      </c>
      <c r="DA346" s="29">
        <f t="shared" ca="1" si="193"/>
        <v>4</v>
      </c>
      <c r="DB346" s="29">
        <f t="shared" ca="1" si="193"/>
        <v>2</v>
      </c>
      <c r="DC346" s="29">
        <f t="shared" ca="1" si="193"/>
        <v>1</v>
      </c>
      <c r="DD346" s="29">
        <f t="shared" ca="1" si="193"/>
        <v>2</v>
      </c>
      <c r="DE346" s="29">
        <f t="shared" ca="1" si="193"/>
        <v>1</v>
      </c>
      <c r="DF346" s="29">
        <f t="shared" ca="1" si="196"/>
        <v>3</v>
      </c>
      <c r="DG346" s="29">
        <f t="shared" ca="1" si="196"/>
        <v>0</v>
      </c>
      <c r="DH346" s="29">
        <f t="shared" ca="1" si="196"/>
        <v>1</v>
      </c>
      <c r="DI346" s="29">
        <f t="shared" ca="1" si="196"/>
        <v>4</v>
      </c>
      <c r="DJ346" s="29">
        <f t="shared" ca="1" si="196"/>
        <v>0</v>
      </c>
      <c r="DK346" s="29">
        <f t="shared" ca="1" si="196"/>
        <v>2</v>
      </c>
      <c r="DL346" s="29">
        <f t="shared" ca="1" si="196"/>
        <v>1</v>
      </c>
    </row>
    <row r="347" spans="1:116" ht="14.4" x14ac:dyDescent="0.3">
      <c r="A347" s="31">
        <v>805</v>
      </c>
      <c r="B347" s="28">
        <v>7.01</v>
      </c>
      <c r="C347" s="30">
        <v>0.99</v>
      </c>
      <c r="D347" s="28">
        <v>1.1399999999999999</v>
      </c>
      <c r="E347" s="34">
        <f t="shared" si="180"/>
        <v>2.2799999999999997E-2</v>
      </c>
      <c r="F347" s="35">
        <f t="shared" si="181"/>
        <v>0.2475</v>
      </c>
      <c r="G347" s="34">
        <f t="shared" si="182"/>
        <v>28.499999999999996</v>
      </c>
      <c r="H347" s="33">
        <f t="shared" si="183"/>
        <v>4.0303138373751777</v>
      </c>
      <c r="I347" s="28">
        <f t="shared" si="186"/>
        <v>1401.0300000000002</v>
      </c>
      <c r="J347" s="32">
        <v>0</v>
      </c>
      <c r="K347" s="30">
        <f t="shared" si="184"/>
        <v>28.499999999999996</v>
      </c>
      <c r="L347" s="30"/>
      <c r="M347" s="30"/>
      <c r="N347" s="30"/>
      <c r="O347" s="30"/>
      <c r="Q347" s="29">
        <f t="shared" ca="1" si="185"/>
        <v>1</v>
      </c>
      <c r="R347" s="29">
        <f t="shared" ca="1" si="198"/>
        <v>2</v>
      </c>
      <c r="S347" s="29">
        <f t="shared" ca="1" si="198"/>
        <v>0</v>
      </c>
      <c r="T347" s="29">
        <f t="shared" ca="1" si="198"/>
        <v>2</v>
      </c>
      <c r="U347" s="29">
        <f t="shared" ca="1" si="198"/>
        <v>0</v>
      </c>
      <c r="V347" s="29">
        <f t="shared" ca="1" si="198"/>
        <v>2</v>
      </c>
      <c r="W347" s="29">
        <f t="shared" ca="1" si="198"/>
        <v>0</v>
      </c>
      <c r="X347" s="29">
        <f t="shared" ca="1" si="198"/>
        <v>0</v>
      </c>
      <c r="Y347" s="29">
        <f t="shared" ca="1" si="198"/>
        <v>0</v>
      </c>
      <c r="Z347" s="29">
        <f t="shared" ca="1" si="198"/>
        <v>0</v>
      </c>
      <c r="AA347" s="29">
        <f t="shared" ca="1" si="198"/>
        <v>1</v>
      </c>
      <c r="AB347" s="29">
        <f t="shared" ca="1" si="198"/>
        <v>0</v>
      </c>
      <c r="AC347" s="29">
        <f t="shared" ca="1" si="198"/>
        <v>0</v>
      </c>
      <c r="AD347" s="29">
        <f t="shared" ca="1" si="198"/>
        <v>1</v>
      </c>
      <c r="AE347" s="29">
        <f t="shared" ca="1" si="198"/>
        <v>2</v>
      </c>
      <c r="AF347" s="29">
        <f t="shared" ca="1" si="198"/>
        <v>3</v>
      </c>
      <c r="AG347" s="29">
        <f t="shared" ca="1" si="197"/>
        <v>1</v>
      </c>
      <c r="AH347" s="29">
        <f t="shared" ca="1" si="197"/>
        <v>0</v>
      </c>
      <c r="AI347" s="29">
        <f t="shared" ca="1" si="197"/>
        <v>1</v>
      </c>
      <c r="AJ347" s="29">
        <f t="shared" ca="1" si="197"/>
        <v>1</v>
      </c>
      <c r="AK347" s="29">
        <f t="shared" ca="1" si="197"/>
        <v>0</v>
      </c>
      <c r="AL347" s="29">
        <f t="shared" ca="1" si="197"/>
        <v>0</v>
      </c>
      <c r="AM347" s="29">
        <f t="shared" ca="1" si="197"/>
        <v>2</v>
      </c>
      <c r="AN347" s="29">
        <f t="shared" ca="1" si="197"/>
        <v>1</v>
      </c>
      <c r="AO347" s="29">
        <f t="shared" ca="1" si="197"/>
        <v>0</v>
      </c>
      <c r="AP347" s="29">
        <f t="shared" ca="1" si="197"/>
        <v>1</v>
      </c>
      <c r="AQ347" s="29">
        <f t="shared" ca="1" si="197"/>
        <v>3</v>
      </c>
      <c r="AR347" s="29">
        <f t="shared" ca="1" si="197"/>
        <v>1</v>
      </c>
      <c r="AS347" s="29">
        <f t="shared" ca="1" si="197"/>
        <v>2</v>
      </c>
      <c r="AT347" s="29">
        <f t="shared" ca="1" si="197"/>
        <v>2</v>
      </c>
      <c r="AU347" s="29">
        <f t="shared" ca="1" si="197"/>
        <v>0</v>
      </c>
      <c r="AV347" s="29">
        <f t="shared" ca="1" si="192"/>
        <v>0</v>
      </c>
      <c r="AW347" s="29">
        <f t="shared" ca="1" si="192"/>
        <v>1</v>
      </c>
      <c r="AX347" s="29">
        <f t="shared" ca="1" si="192"/>
        <v>2</v>
      </c>
      <c r="AY347" s="29">
        <f t="shared" ca="1" si="192"/>
        <v>2</v>
      </c>
      <c r="AZ347" s="29">
        <f t="shared" ca="1" si="192"/>
        <v>2</v>
      </c>
      <c r="BA347" s="29">
        <f t="shared" ca="1" si="192"/>
        <v>1</v>
      </c>
      <c r="BB347" s="29">
        <f t="shared" ca="1" si="192"/>
        <v>0</v>
      </c>
      <c r="BC347" s="29">
        <f t="shared" ca="1" si="192"/>
        <v>2</v>
      </c>
      <c r="BD347" s="29">
        <f t="shared" ca="1" si="192"/>
        <v>0</v>
      </c>
      <c r="BE347" s="29">
        <f t="shared" ca="1" si="192"/>
        <v>0</v>
      </c>
      <c r="BF347" s="29">
        <f t="shared" ca="1" si="192"/>
        <v>0</v>
      </c>
      <c r="BG347" s="29">
        <f t="shared" ca="1" si="192"/>
        <v>0</v>
      </c>
      <c r="BH347" s="29">
        <f t="shared" ca="1" si="192"/>
        <v>2</v>
      </c>
      <c r="BI347" s="29">
        <f t="shared" ca="1" si="192"/>
        <v>1</v>
      </c>
      <c r="BJ347" s="29">
        <f t="shared" ca="1" si="192"/>
        <v>1</v>
      </c>
      <c r="BK347" s="29">
        <f t="shared" ca="1" si="192"/>
        <v>0</v>
      </c>
      <c r="BL347" s="29">
        <f t="shared" ca="1" si="191"/>
        <v>1</v>
      </c>
      <c r="BM347" s="29">
        <f t="shared" ca="1" si="191"/>
        <v>1</v>
      </c>
      <c r="BN347" s="29">
        <f t="shared" ca="1" si="191"/>
        <v>2</v>
      </c>
      <c r="BO347" s="29">
        <f t="shared" ca="1" si="191"/>
        <v>1</v>
      </c>
      <c r="BP347" s="29">
        <f t="shared" ca="1" si="191"/>
        <v>1</v>
      </c>
      <c r="BQ347" s="29">
        <f t="shared" ca="1" si="191"/>
        <v>1</v>
      </c>
      <c r="BR347" s="29">
        <f t="shared" ca="1" si="191"/>
        <v>0</v>
      </c>
      <c r="BS347" s="29">
        <f t="shared" ca="1" si="191"/>
        <v>1</v>
      </c>
      <c r="BT347" s="29">
        <f t="shared" ca="1" si="191"/>
        <v>1</v>
      </c>
      <c r="BU347" s="29">
        <f t="shared" ca="1" si="191"/>
        <v>0</v>
      </c>
      <c r="BV347" s="29">
        <f t="shared" ca="1" si="191"/>
        <v>2</v>
      </c>
      <c r="BW347" s="29">
        <f t="shared" ca="1" si="191"/>
        <v>3</v>
      </c>
      <c r="BX347" s="29">
        <f t="shared" ca="1" si="191"/>
        <v>0</v>
      </c>
      <c r="BY347" s="29">
        <f t="shared" ca="1" si="191"/>
        <v>0</v>
      </c>
      <c r="BZ347" s="29">
        <f t="shared" ca="1" si="191"/>
        <v>1</v>
      </c>
      <c r="CA347" s="29">
        <f t="shared" ca="1" si="194"/>
        <v>0</v>
      </c>
      <c r="CB347" s="29">
        <f t="shared" ca="1" si="194"/>
        <v>1</v>
      </c>
      <c r="CC347" s="29">
        <f t="shared" ca="1" si="194"/>
        <v>0</v>
      </c>
      <c r="CD347" s="29">
        <f t="shared" ca="1" si="194"/>
        <v>3</v>
      </c>
      <c r="CE347" s="29">
        <f t="shared" ca="1" si="194"/>
        <v>0</v>
      </c>
      <c r="CF347" s="29">
        <f t="shared" ca="1" si="194"/>
        <v>2</v>
      </c>
      <c r="CG347" s="29">
        <f t="shared" ca="1" si="194"/>
        <v>1</v>
      </c>
      <c r="CH347" s="29">
        <f t="shared" ca="1" si="194"/>
        <v>1</v>
      </c>
      <c r="CI347" s="29">
        <f t="shared" ca="1" si="194"/>
        <v>0</v>
      </c>
      <c r="CJ347" s="29">
        <f t="shared" ca="1" si="194"/>
        <v>2</v>
      </c>
      <c r="CK347" s="29">
        <f t="shared" ca="1" si="194"/>
        <v>0</v>
      </c>
      <c r="CL347" s="29">
        <f t="shared" ca="1" si="194"/>
        <v>1</v>
      </c>
      <c r="CM347" s="29">
        <f t="shared" ca="1" si="194"/>
        <v>1</v>
      </c>
      <c r="CN347" s="29">
        <f t="shared" ca="1" si="194"/>
        <v>1</v>
      </c>
      <c r="CO347" s="29">
        <f t="shared" ca="1" si="194"/>
        <v>3</v>
      </c>
      <c r="CP347" s="29">
        <f t="shared" ca="1" si="194"/>
        <v>3</v>
      </c>
      <c r="CQ347" s="29">
        <f t="shared" ca="1" si="193"/>
        <v>1</v>
      </c>
      <c r="CR347" s="29">
        <f t="shared" ca="1" si="193"/>
        <v>1</v>
      </c>
      <c r="CS347" s="29">
        <f t="shared" ca="1" si="193"/>
        <v>0</v>
      </c>
      <c r="CT347" s="29">
        <f t="shared" ca="1" si="193"/>
        <v>2</v>
      </c>
      <c r="CU347" s="29">
        <f t="shared" ca="1" si="193"/>
        <v>0</v>
      </c>
      <c r="CV347" s="29">
        <f t="shared" ca="1" si="193"/>
        <v>1</v>
      </c>
      <c r="CW347" s="29">
        <f t="shared" ca="1" si="193"/>
        <v>1</v>
      </c>
      <c r="CX347" s="29">
        <f t="shared" ca="1" si="193"/>
        <v>1</v>
      </c>
      <c r="CY347" s="29">
        <f t="shared" ca="1" si="193"/>
        <v>0</v>
      </c>
      <c r="CZ347" s="29">
        <f t="shared" ca="1" si="193"/>
        <v>1</v>
      </c>
      <c r="DA347" s="29">
        <f t="shared" ca="1" si="193"/>
        <v>1</v>
      </c>
      <c r="DB347" s="29">
        <f t="shared" ca="1" si="193"/>
        <v>1</v>
      </c>
      <c r="DC347" s="29">
        <f t="shared" ca="1" si="193"/>
        <v>2</v>
      </c>
      <c r="DD347" s="29">
        <f t="shared" ca="1" si="193"/>
        <v>0</v>
      </c>
      <c r="DE347" s="29">
        <f t="shared" ca="1" si="193"/>
        <v>1</v>
      </c>
      <c r="DF347" s="29">
        <f t="shared" ca="1" si="196"/>
        <v>1</v>
      </c>
      <c r="DG347" s="29">
        <f t="shared" ca="1" si="196"/>
        <v>0</v>
      </c>
      <c r="DH347" s="29">
        <f t="shared" ca="1" si="196"/>
        <v>0</v>
      </c>
      <c r="DI347" s="29">
        <f t="shared" ca="1" si="196"/>
        <v>1</v>
      </c>
      <c r="DJ347" s="29">
        <f t="shared" ca="1" si="196"/>
        <v>1</v>
      </c>
      <c r="DK347" s="29">
        <f t="shared" ca="1" si="196"/>
        <v>2</v>
      </c>
      <c r="DL347" s="29">
        <f t="shared" ca="1" si="196"/>
        <v>2</v>
      </c>
    </row>
    <row r="348" spans="1:116" ht="14.4" x14ac:dyDescent="0.3">
      <c r="A348" s="31">
        <v>458</v>
      </c>
      <c r="B348" s="28">
        <v>8.44</v>
      </c>
      <c r="C348" s="30">
        <v>3.8</v>
      </c>
      <c r="D348" s="28">
        <v>1.37</v>
      </c>
      <c r="E348" s="34">
        <f t="shared" si="180"/>
        <v>2.7400000000000001E-2</v>
      </c>
      <c r="F348" s="35">
        <f t="shared" si="181"/>
        <v>0.95</v>
      </c>
      <c r="G348" s="34">
        <f t="shared" si="182"/>
        <v>34.25</v>
      </c>
      <c r="H348" s="33">
        <f t="shared" si="183"/>
        <v>3.9454976303317535</v>
      </c>
      <c r="I348" s="28">
        <f t="shared" si="186"/>
        <v>1409.4700000000003</v>
      </c>
      <c r="J348" s="32">
        <v>0</v>
      </c>
      <c r="K348" s="30">
        <f t="shared" si="184"/>
        <v>34.25</v>
      </c>
      <c r="L348" s="30"/>
      <c r="M348" s="30"/>
      <c r="N348" s="30"/>
      <c r="O348" s="30"/>
      <c r="Q348" s="29">
        <f t="shared" ca="1" si="185"/>
        <v>0</v>
      </c>
      <c r="R348" s="29">
        <f t="shared" ca="1" si="198"/>
        <v>2</v>
      </c>
      <c r="S348" s="29">
        <f t="shared" ca="1" si="198"/>
        <v>1</v>
      </c>
      <c r="T348" s="29">
        <f t="shared" ca="1" si="198"/>
        <v>1</v>
      </c>
      <c r="U348" s="29">
        <f t="shared" ca="1" si="198"/>
        <v>2</v>
      </c>
      <c r="V348" s="29">
        <f t="shared" ca="1" si="198"/>
        <v>0</v>
      </c>
      <c r="W348" s="29">
        <f t="shared" ca="1" si="198"/>
        <v>2</v>
      </c>
      <c r="X348" s="29">
        <f t="shared" ca="1" si="198"/>
        <v>2</v>
      </c>
      <c r="Y348" s="29">
        <f t="shared" ca="1" si="198"/>
        <v>1</v>
      </c>
      <c r="Z348" s="29">
        <f t="shared" ca="1" si="198"/>
        <v>5</v>
      </c>
      <c r="AA348" s="29">
        <f t="shared" ca="1" si="198"/>
        <v>0</v>
      </c>
      <c r="AB348" s="29">
        <f t="shared" ca="1" si="198"/>
        <v>1</v>
      </c>
      <c r="AC348" s="29">
        <f t="shared" ca="1" si="198"/>
        <v>1</v>
      </c>
      <c r="AD348" s="29">
        <f t="shared" ca="1" si="198"/>
        <v>2</v>
      </c>
      <c r="AE348" s="29">
        <f t="shared" ca="1" si="198"/>
        <v>1</v>
      </c>
      <c r="AF348" s="29">
        <f t="shared" ca="1" si="198"/>
        <v>1</v>
      </c>
      <c r="AG348" s="29">
        <f t="shared" ca="1" si="197"/>
        <v>3</v>
      </c>
      <c r="AH348" s="29">
        <f t="shared" ca="1" si="197"/>
        <v>0</v>
      </c>
      <c r="AI348" s="29">
        <f t="shared" ca="1" si="197"/>
        <v>1</v>
      </c>
      <c r="AJ348" s="29">
        <f t="shared" ca="1" si="197"/>
        <v>2</v>
      </c>
      <c r="AK348" s="29">
        <f t="shared" ca="1" si="197"/>
        <v>0</v>
      </c>
      <c r="AL348" s="29">
        <f t="shared" ca="1" si="197"/>
        <v>2</v>
      </c>
      <c r="AM348" s="29">
        <f t="shared" ca="1" si="197"/>
        <v>3</v>
      </c>
      <c r="AN348" s="29">
        <f t="shared" ca="1" si="197"/>
        <v>3</v>
      </c>
      <c r="AO348" s="29">
        <f t="shared" ca="1" si="197"/>
        <v>0</v>
      </c>
      <c r="AP348" s="29">
        <f t="shared" ca="1" si="197"/>
        <v>1</v>
      </c>
      <c r="AQ348" s="29">
        <f t="shared" ca="1" si="197"/>
        <v>2</v>
      </c>
      <c r="AR348" s="29">
        <f t="shared" ca="1" si="197"/>
        <v>1</v>
      </c>
      <c r="AS348" s="29">
        <f t="shared" ca="1" si="197"/>
        <v>0</v>
      </c>
      <c r="AT348" s="29">
        <f t="shared" ca="1" si="197"/>
        <v>1</v>
      </c>
      <c r="AU348" s="29">
        <f t="shared" ca="1" si="197"/>
        <v>0</v>
      </c>
      <c r="AV348" s="29">
        <f t="shared" ca="1" si="192"/>
        <v>0</v>
      </c>
      <c r="AW348" s="29">
        <f t="shared" ca="1" si="192"/>
        <v>0</v>
      </c>
      <c r="AX348" s="29">
        <f t="shared" ca="1" si="192"/>
        <v>2</v>
      </c>
      <c r="AY348" s="29">
        <f t="shared" ca="1" si="192"/>
        <v>1</v>
      </c>
      <c r="AZ348" s="29">
        <f t="shared" ca="1" si="192"/>
        <v>0</v>
      </c>
      <c r="BA348" s="29">
        <f t="shared" ca="1" si="192"/>
        <v>0</v>
      </c>
      <c r="BB348" s="29">
        <f t="shared" ca="1" si="192"/>
        <v>3</v>
      </c>
      <c r="BC348" s="29">
        <f t="shared" ca="1" si="192"/>
        <v>2</v>
      </c>
      <c r="BD348" s="29">
        <f t="shared" ca="1" si="192"/>
        <v>1</v>
      </c>
      <c r="BE348" s="29">
        <f t="shared" ca="1" si="192"/>
        <v>2</v>
      </c>
      <c r="BF348" s="29">
        <f t="shared" ca="1" si="192"/>
        <v>4</v>
      </c>
      <c r="BG348" s="29">
        <f t="shared" ca="1" si="192"/>
        <v>2</v>
      </c>
      <c r="BH348" s="29">
        <f t="shared" ca="1" si="192"/>
        <v>0</v>
      </c>
      <c r="BI348" s="29">
        <f t="shared" ca="1" si="192"/>
        <v>4</v>
      </c>
      <c r="BJ348" s="29">
        <f t="shared" ca="1" si="192"/>
        <v>2</v>
      </c>
      <c r="BK348" s="29">
        <f t="shared" ref="BK348:BZ363" ca="1" si="199">_xlfn.BINOM.INV(50,$E348,RAND())</f>
        <v>0</v>
      </c>
      <c r="BL348" s="29">
        <f t="shared" ca="1" si="199"/>
        <v>1</v>
      </c>
      <c r="BM348" s="29">
        <f t="shared" ca="1" si="199"/>
        <v>1</v>
      </c>
      <c r="BN348" s="29">
        <f t="shared" ca="1" si="199"/>
        <v>0</v>
      </c>
      <c r="BO348" s="29">
        <f t="shared" ca="1" si="199"/>
        <v>1</v>
      </c>
      <c r="BP348" s="29">
        <f t="shared" ca="1" si="199"/>
        <v>5</v>
      </c>
      <c r="BQ348" s="29">
        <f t="shared" ca="1" si="199"/>
        <v>2</v>
      </c>
      <c r="BR348" s="29">
        <f t="shared" ca="1" si="199"/>
        <v>0</v>
      </c>
      <c r="BS348" s="29">
        <f t="shared" ca="1" si="199"/>
        <v>1</v>
      </c>
      <c r="BT348" s="29">
        <f t="shared" ca="1" si="199"/>
        <v>0</v>
      </c>
      <c r="BU348" s="29">
        <f t="shared" ca="1" si="199"/>
        <v>1</v>
      </c>
      <c r="BV348" s="29">
        <f t="shared" ca="1" si="199"/>
        <v>2</v>
      </c>
      <c r="BW348" s="29">
        <f t="shared" ca="1" si="199"/>
        <v>2</v>
      </c>
      <c r="BX348" s="29">
        <f t="shared" ca="1" si="199"/>
        <v>1</v>
      </c>
      <c r="BY348" s="29">
        <f t="shared" ca="1" si="199"/>
        <v>2</v>
      </c>
      <c r="BZ348" s="29">
        <f t="shared" ca="1" si="199"/>
        <v>0</v>
      </c>
      <c r="CA348" s="29">
        <f t="shared" ca="1" si="194"/>
        <v>1</v>
      </c>
      <c r="CB348" s="29">
        <f t="shared" ca="1" si="194"/>
        <v>1</v>
      </c>
      <c r="CC348" s="29">
        <f t="shared" ca="1" si="194"/>
        <v>0</v>
      </c>
      <c r="CD348" s="29">
        <f t="shared" ca="1" si="194"/>
        <v>3</v>
      </c>
      <c r="CE348" s="29">
        <f t="shared" ca="1" si="194"/>
        <v>0</v>
      </c>
      <c r="CF348" s="29">
        <f t="shared" ca="1" si="194"/>
        <v>2</v>
      </c>
      <c r="CG348" s="29">
        <f t="shared" ca="1" si="194"/>
        <v>1</v>
      </c>
      <c r="CH348" s="29">
        <f t="shared" ca="1" si="194"/>
        <v>1</v>
      </c>
      <c r="CI348" s="29">
        <f t="shared" ca="1" si="194"/>
        <v>3</v>
      </c>
      <c r="CJ348" s="29">
        <f t="shared" ca="1" si="194"/>
        <v>0</v>
      </c>
      <c r="CK348" s="29">
        <f t="shared" ca="1" si="194"/>
        <v>1</v>
      </c>
      <c r="CL348" s="29">
        <f t="shared" ca="1" si="194"/>
        <v>1</v>
      </c>
      <c r="CM348" s="29">
        <f t="shared" ca="1" si="194"/>
        <v>3</v>
      </c>
      <c r="CN348" s="29">
        <f t="shared" ca="1" si="194"/>
        <v>2</v>
      </c>
      <c r="CO348" s="29">
        <f t="shared" ca="1" si="194"/>
        <v>2</v>
      </c>
      <c r="CP348" s="29">
        <f t="shared" ca="1" si="194"/>
        <v>1</v>
      </c>
      <c r="CQ348" s="29">
        <f t="shared" ca="1" si="193"/>
        <v>1</v>
      </c>
      <c r="CR348" s="29">
        <f t="shared" ca="1" si="193"/>
        <v>4</v>
      </c>
      <c r="CS348" s="29">
        <f t="shared" ca="1" si="193"/>
        <v>1</v>
      </c>
      <c r="CT348" s="29">
        <f t="shared" ca="1" si="193"/>
        <v>3</v>
      </c>
      <c r="CU348" s="29">
        <f t="shared" ca="1" si="193"/>
        <v>1</v>
      </c>
      <c r="CV348" s="29">
        <f t="shared" ca="1" si="193"/>
        <v>0</v>
      </c>
      <c r="CW348" s="29">
        <f t="shared" ca="1" si="193"/>
        <v>0</v>
      </c>
      <c r="CX348" s="29">
        <f t="shared" ca="1" si="193"/>
        <v>1</v>
      </c>
      <c r="CY348" s="29">
        <f t="shared" ca="1" si="193"/>
        <v>2</v>
      </c>
      <c r="CZ348" s="29">
        <f t="shared" ca="1" si="193"/>
        <v>1</v>
      </c>
      <c r="DA348" s="29">
        <f t="shared" ca="1" si="193"/>
        <v>2</v>
      </c>
      <c r="DB348" s="29">
        <f t="shared" ca="1" si="193"/>
        <v>1</v>
      </c>
      <c r="DC348" s="29">
        <f t="shared" ca="1" si="193"/>
        <v>0</v>
      </c>
      <c r="DD348" s="29">
        <f t="shared" ca="1" si="193"/>
        <v>1</v>
      </c>
      <c r="DE348" s="29">
        <f t="shared" ca="1" si="193"/>
        <v>2</v>
      </c>
      <c r="DF348" s="29">
        <f t="shared" ca="1" si="196"/>
        <v>1</v>
      </c>
      <c r="DG348" s="29">
        <f t="shared" ca="1" si="196"/>
        <v>1</v>
      </c>
      <c r="DH348" s="29">
        <f t="shared" ca="1" si="196"/>
        <v>2</v>
      </c>
      <c r="DI348" s="29">
        <f t="shared" ca="1" si="196"/>
        <v>2</v>
      </c>
      <c r="DJ348" s="29">
        <f t="shared" ca="1" si="196"/>
        <v>3</v>
      </c>
      <c r="DK348" s="29">
        <f t="shared" ca="1" si="196"/>
        <v>3</v>
      </c>
      <c r="DL348" s="29">
        <f t="shared" ca="1" si="196"/>
        <v>0</v>
      </c>
    </row>
    <row r="349" spans="1:116" ht="14.4" x14ac:dyDescent="0.3">
      <c r="A349" s="31">
        <v>344</v>
      </c>
      <c r="B349" s="28">
        <v>5.89</v>
      </c>
      <c r="C349" s="30">
        <v>0.33</v>
      </c>
      <c r="D349" s="28">
        <v>0.92</v>
      </c>
      <c r="E349" s="34">
        <f t="shared" si="180"/>
        <v>1.84E-2</v>
      </c>
      <c r="F349" s="35">
        <f t="shared" si="181"/>
        <v>8.2500000000000004E-2</v>
      </c>
      <c r="G349" s="34">
        <f t="shared" si="182"/>
        <v>23</v>
      </c>
      <c r="H349" s="33">
        <f t="shared" si="183"/>
        <v>3.8909168081494059</v>
      </c>
      <c r="I349" s="28">
        <f t="shared" si="186"/>
        <v>1415.3600000000004</v>
      </c>
      <c r="J349" s="32">
        <v>0</v>
      </c>
      <c r="K349" s="30">
        <f t="shared" si="184"/>
        <v>23</v>
      </c>
      <c r="L349" s="30"/>
      <c r="M349" s="30"/>
      <c r="N349" s="30"/>
      <c r="O349" s="30"/>
      <c r="Q349" s="29">
        <f t="shared" ca="1" si="185"/>
        <v>1</v>
      </c>
      <c r="R349" s="29">
        <f t="shared" ca="1" si="198"/>
        <v>1</v>
      </c>
      <c r="S349" s="29">
        <f t="shared" ca="1" si="198"/>
        <v>0</v>
      </c>
      <c r="T349" s="29">
        <f t="shared" ca="1" si="198"/>
        <v>3</v>
      </c>
      <c r="U349" s="29">
        <f t="shared" ca="1" si="198"/>
        <v>2</v>
      </c>
      <c r="V349" s="29">
        <f t="shared" ca="1" si="198"/>
        <v>0</v>
      </c>
      <c r="W349" s="29">
        <f t="shared" ca="1" si="198"/>
        <v>1</v>
      </c>
      <c r="X349" s="29">
        <f t="shared" ca="1" si="198"/>
        <v>3</v>
      </c>
      <c r="Y349" s="29">
        <f t="shared" ca="1" si="198"/>
        <v>1</v>
      </c>
      <c r="Z349" s="29">
        <f t="shared" ca="1" si="198"/>
        <v>1</v>
      </c>
      <c r="AA349" s="29">
        <f t="shared" ca="1" si="198"/>
        <v>0</v>
      </c>
      <c r="AB349" s="29">
        <f t="shared" ca="1" si="198"/>
        <v>0</v>
      </c>
      <c r="AC349" s="29">
        <f t="shared" ca="1" si="198"/>
        <v>1</v>
      </c>
      <c r="AD349" s="29">
        <f t="shared" ca="1" si="198"/>
        <v>2</v>
      </c>
      <c r="AE349" s="29">
        <f t="shared" ca="1" si="198"/>
        <v>1</v>
      </c>
      <c r="AF349" s="29">
        <f t="shared" ca="1" si="198"/>
        <v>3</v>
      </c>
      <c r="AG349" s="29">
        <f t="shared" ca="1" si="197"/>
        <v>1</v>
      </c>
      <c r="AH349" s="29">
        <f t="shared" ca="1" si="197"/>
        <v>2</v>
      </c>
      <c r="AI349" s="29">
        <f t="shared" ca="1" si="197"/>
        <v>1</v>
      </c>
      <c r="AJ349" s="29">
        <f t="shared" ca="1" si="197"/>
        <v>1</v>
      </c>
      <c r="AK349" s="29">
        <f t="shared" ca="1" si="197"/>
        <v>2</v>
      </c>
      <c r="AL349" s="29">
        <f t="shared" ca="1" si="197"/>
        <v>0</v>
      </c>
      <c r="AM349" s="29">
        <f t="shared" ca="1" si="197"/>
        <v>0</v>
      </c>
      <c r="AN349" s="29">
        <f t="shared" ca="1" si="197"/>
        <v>0</v>
      </c>
      <c r="AO349" s="29">
        <f t="shared" ca="1" si="197"/>
        <v>0</v>
      </c>
      <c r="AP349" s="29">
        <f t="shared" ca="1" si="197"/>
        <v>1</v>
      </c>
      <c r="AQ349" s="29">
        <f t="shared" ca="1" si="197"/>
        <v>0</v>
      </c>
      <c r="AR349" s="29">
        <f t="shared" ca="1" si="197"/>
        <v>0</v>
      </c>
      <c r="AS349" s="29">
        <f t="shared" ca="1" si="197"/>
        <v>0</v>
      </c>
      <c r="AT349" s="29">
        <f t="shared" ca="1" si="197"/>
        <v>2</v>
      </c>
      <c r="AU349" s="29">
        <f t="shared" ca="1" si="197"/>
        <v>1</v>
      </c>
      <c r="AV349" s="29">
        <f t="shared" ref="AV349:BK364" ca="1" si="200">_xlfn.BINOM.INV(50,$E349,RAND())</f>
        <v>1</v>
      </c>
      <c r="AW349" s="29">
        <f t="shared" ca="1" si="200"/>
        <v>1</v>
      </c>
      <c r="AX349" s="29">
        <f t="shared" ca="1" si="200"/>
        <v>1</v>
      </c>
      <c r="AY349" s="29">
        <f t="shared" ca="1" si="200"/>
        <v>0</v>
      </c>
      <c r="AZ349" s="29">
        <f t="shared" ca="1" si="200"/>
        <v>2</v>
      </c>
      <c r="BA349" s="29">
        <f t="shared" ca="1" si="200"/>
        <v>0</v>
      </c>
      <c r="BB349" s="29">
        <f t="shared" ca="1" si="200"/>
        <v>2</v>
      </c>
      <c r="BC349" s="29">
        <f t="shared" ca="1" si="200"/>
        <v>3</v>
      </c>
      <c r="BD349" s="29">
        <f t="shared" ca="1" si="200"/>
        <v>1</v>
      </c>
      <c r="BE349" s="29">
        <f t="shared" ca="1" si="200"/>
        <v>1</v>
      </c>
      <c r="BF349" s="29">
        <f t="shared" ca="1" si="200"/>
        <v>0</v>
      </c>
      <c r="BG349" s="29">
        <f t="shared" ca="1" si="200"/>
        <v>1</v>
      </c>
      <c r="BH349" s="29">
        <f t="shared" ca="1" si="200"/>
        <v>2</v>
      </c>
      <c r="BI349" s="29">
        <f t="shared" ca="1" si="200"/>
        <v>2</v>
      </c>
      <c r="BJ349" s="29">
        <f t="shared" ca="1" si="200"/>
        <v>1</v>
      </c>
      <c r="BK349" s="29">
        <f t="shared" ca="1" si="200"/>
        <v>2</v>
      </c>
      <c r="BL349" s="29">
        <f t="shared" ca="1" si="199"/>
        <v>0</v>
      </c>
      <c r="BM349" s="29">
        <f t="shared" ca="1" si="199"/>
        <v>1</v>
      </c>
      <c r="BN349" s="29">
        <f t="shared" ca="1" si="199"/>
        <v>0</v>
      </c>
      <c r="BO349" s="29">
        <f t="shared" ca="1" si="199"/>
        <v>0</v>
      </c>
      <c r="BP349" s="29">
        <f t="shared" ca="1" si="199"/>
        <v>0</v>
      </c>
      <c r="BQ349" s="29">
        <f t="shared" ca="1" si="199"/>
        <v>0</v>
      </c>
      <c r="BR349" s="29">
        <f t="shared" ca="1" si="199"/>
        <v>0</v>
      </c>
      <c r="BS349" s="29">
        <f t="shared" ca="1" si="199"/>
        <v>0</v>
      </c>
      <c r="BT349" s="29">
        <f t="shared" ca="1" si="199"/>
        <v>1</v>
      </c>
      <c r="BU349" s="29">
        <f t="shared" ca="1" si="199"/>
        <v>1</v>
      </c>
      <c r="BV349" s="29">
        <f t="shared" ca="1" si="199"/>
        <v>2</v>
      </c>
      <c r="BW349" s="29">
        <f t="shared" ca="1" si="199"/>
        <v>1</v>
      </c>
      <c r="BX349" s="29">
        <f t="shared" ca="1" si="199"/>
        <v>0</v>
      </c>
      <c r="BY349" s="29">
        <f t="shared" ca="1" si="199"/>
        <v>0</v>
      </c>
      <c r="BZ349" s="29">
        <f t="shared" ca="1" si="199"/>
        <v>1</v>
      </c>
      <c r="CA349" s="29">
        <f t="shared" ca="1" si="194"/>
        <v>0</v>
      </c>
      <c r="CB349" s="29">
        <f t="shared" ca="1" si="194"/>
        <v>0</v>
      </c>
      <c r="CC349" s="29">
        <f t="shared" ca="1" si="194"/>
        <v>2</v>
      </c>
      <c r="CD349" s="29">
        <f t="shared" ca="1" si="194"/>
        <v>2</v>
      </c>
      <c r="CE349" s="29">
        <f t="shared" ca="1" si="194"/>
        <v>0</v>
      </c>
      <c r="CF349" s="29">
        <f t="shared" ca="1" si="194"/>
        <v>0</v>
      </c>
      <c r="CG349" s="29">
        <f t="shared" ca="1" si="194"/>
        <v>0</v>
      </c>
      <c r="CH349" s="29">
        <f t="shared" ca="1" si="194"/>
        <v>0</v>
      </c>
      <c r="CI349" s="29">
        <f t="shared" ca="1" si="194"/>
        <v>0</v>
      </c>
      <c r="CJ349" s="29">
        <f t="shared" ca="1" si="194"/>
        <v>3</v>
      </c>
      <c r="CK349" s="29">
        <f t="shared" ca="1" si="194"/>
        <v>0</v>
      </c>
      <c r="CL349" s="29">
        <f t="shared" ca="1" si="194"/>
        <v>0</v>
      </c>
      <c r="CM349" s="29">
        <f t="shared" ca="1" si="194"/>
        <v>0</v>
      </c>
      <c r="CN349" s="29">
        <f t="shared" ca="1" si="194"/>
        <v>1</v>
      </c>
      <c r="CO349" s="29">
        <f t="shared" ca="1" si="194"/>
        <v>0</v>
      </c>
      <c r="CP349" s="29">
        <f t="shared" ca="1" si="194"/>
        <v>1</v>
      </c>
      <c r="CQ349" s="29">
        <f t="shared" ca="1" si="193"/>
        <v>0</v>
      </c>
      <c r="CR349" s="29">
        <f t="shared" ca="1" si="193"/>
        <v>0</v>
      </c>
      <c r="CS349" s="29">
        <f t="shared" ca="1" si="193"/>
        <v>0</v>
      </c>
      <c r="CT349" s="29">
        <f t="shared" ca="1" si="193"/>
        <v>0</v>
      </c>
      <c r="CU349" s="29">
        <f t="shared" ca="1" si="193"/>
        <v>2</v>
      </c>
      <c r="CV349" s="29">
        <f t="shared" ca="1" si="193"/>
        <v>1</v>
      </c>
      <c r="CW349" s="29">
        <f t="shared" ca="1" si="193"/>
        <v>1</v>
      </c>
      <c r="CX349" s="29">
        <f t="shared" ca="1" si="193"/>
        <v>2</v>
      </c>
      <c r="CY349" s="29">
        <f t="shared" ca="1" si="193"/>
        <v>1</v>
      </c>
      <c r="CZ349" s="29">
        <f t="shared" ca="1" si="193"/>
        <v>1</v>
      </c>
      <c r="DA349" s="29">
        <f t="shared" ca="1" si="193"/>
        <v>2</v>
      </c>
      <c r="DB349" s="29">
        <f t="shared" ca="1" si="193"/>
        <v>3</v>
      </c>
      <c r="DC349" s="29">
        <f t="shared" ca="1" si="193"/>
        <v>0</v>
      </c>
      <c r="DD349" s="29">
        <f t="shared" ca="1" si="193"/>
        <v>1</v>
      </c>
      <c r="DE349" s="29">
        <f t="shared" ca="1" si="193"/>
        <v>2</v>
      </c>
      <c r="DF349" s="29">
        <f t="shared" ca="1" si="196"/>
        <v>1</v>
      </c>
      <c r="DG349" s="29">
        <f t="shared" ca="1" si="196"/>
        <v>1</v>
      </c>
      <c r="DH349" s="29">
        <f t="shared" ca="1" si="196"/>
        <v>2</v>
      </c>
      <c r="DI349" s="29">
        <f t="shared" ca="1" si="196"/>
        <v>0</v>
      </c>
      <c r="DJ349" s="29">
        <f t="shared" ca="1" si="196"/>
        <v>0</v>
      </c>
      <c r="DK349" s="29">
        <f t="shared" ca="1" si="196"/>
        <v>1</v>
      </c>
      <c r="DL349" s="29">
        <f t="shared" ca="1" si="196"/>
        <v>3</v>
      </c>
    </row>
    <row r="350" spans="1:116" ht="14.4" x14ac:dyDescent="0.3">
      <c r="A350" s="31">
        <v>881</v>
      </c>
      <c r="B350" s="28">
        <v>2.86</v>
      </c>
      <c r="C350" s="30">
        <v>7.89</v>
      </c>
      <c r="D350" s="28">
        <v>0.52</v>
      </c>
      <c r="E350" s="34">
        <f t="shared" si="180"/>
        <v>1.04E-2</v>
      </c>
      <c r="F350" s="35">
        <f t="shared" si="181"/>
        <v>1.9724999999999999</v>
      </c>
      <c r="G350" s="34">
        <f t="shared" si="182"/>
        <v>13</v>
      </c>
      <c r="H350" s="33">
        <f t="shared" si="183"/>
        <v>3.8557692307692308</v>
      </c>
      <c r="I350" s="28">
        <f t="shared" si="186"/>
        <v>1418.2200000000003</v>
      </c>
      <c r="J350" s="32">
        <v>0</v>
      </c>
      <c r="K350" s="30">
        <f t="shared" si="184"/>
        <v>13</v>
      </c>
      <c r="L350" s="30"/>
      <c r="M350" s="30"/>
      <c r="N350" s="30"/>
      <c r="O350" s="30"/>
      <c r="Q350" s="29">
        <f t="shared" ca="1" si="185"/>
        <v>0</v>
      </c>
      <c r="R350" s="29">
        <f t="shared" ca="1" si="198"/>
        <v>0</v>
      </c>
      <c r="S350" s="29">
        <f t="shared" ca="1" si="198"/>
        <v>2</v>
      </c>
      <c r="T350" s="29">
        <f t="shared" ca="1" si="198"/>
        <v>0</v>
      </c>
      <c r="U350" s="29">
        <f t="shared" ca="1" si="198"/>
        <v>1</v>
      </c>
      <c r="V350" s="29">
        <f t="shared" ca="1" si="198"/>
        <v>0</v>
      </c>
      <c r="W350" s="29">
        <f t="shared" ca="1" si="198"/>
        <v>0</v>
      </c>
      <c r="X350" s="29">
        <f t="shared" ca="1" si="198"/>
        <v>0</v>
      </c>
      <c r="Y350" s="29">
        <f t="shared" ca="1" si="198"/>
        <v>2</v>
      </c>
      <c r="Z350" s="29">
        <f t="shared" ca="1" si="198"/>
        <v>1</v>
      </c>
      <c r="AA350" s="29">
        <f t="shared" ca="1" si="198"/>
        <v>1</v>
      </c>
      <c r="AB350" s="29">
        <f t="shared" ca="1" si="198"/>
        <v>0</v>
      </c>
      <c r="AC350" s="29">
        <f t="shared" ca="1" si="198"/>
        <v>0</v>
      </c>
      <c r="AD350" s="29">
        <f t="shared" ca="1" si="198"/>
        <v>1</v>
      </c>
      <c r="AE350" s="29">
        <f t="shared" ca="1" si="198"/>
        <v>0</v>
      </c>
      <c r="AF350" s="29">
        <f t="shared" ca="1" si="198"/>
        <v>0</v>
      </c>
      <c r="AG350" s="29">
        <f t="shared" ca="1" si="197"/>
        <v>1</v>
      </c>
      <c r="AH350" s="29">
        <f t="shared" ca="1" si="197"/>
        <v>0</v>
      </c>
      <c r="AI350" s="29">
        <f t="shared" ca="1" si="197"/>
        <v>2</v>
      </c>
      <c r="AJ350" s="29">
        <f t="shared" ca="1" si="197"/>
        <v>0</v>
      </c>
      <c r="AK350" s="29">
        <f t="shared" ca="1" si="197"/>
        <v>0</v>
      </c>
      <c r="AL350" s="29">
        <f t="shared" ca="1" si="197"/>
        <v>1</v>
      </c>
      <c r="AM350" s="29">
        <f t="shared" ca="1" si="197"/>
        <v>2</v>
      </c>
      <c r="AN350" s="29">
        <f t="shared" ca="1" si="197"/>
        <v>0</v>
      </c>
      <c r="AO350" s="29">
        <f t="shared" ca="1" si="197"/>
        <v>1</v>
      </c>
      <c r="AP350" s="29">
        <f t="shared" ca="1" si="197"/>
        <v>0</v>
      </c>
      <c r="AQ350" s="29">
        <f t="shared" ca="1" si="197"/>
        <v>0</v>
      </c>
      <c r="AR350" s="29">
        <f t="shared" ca="1" si="197"/>
        <v>0</v>
      </c>
      <c r="AS350" s="29">
        <f t="shared" ca="1" si="197"/>
        <v>0</v>
      </c>
      <c r="AT350" s="29">
        <f t="shared" ca="1" si="197"/>
        <v>1</v>
      </c>
      <c r="AU350" s="29">
        <f t="shared" ca="1" si="197"/>
        <v>0</v>
      </c>
      <c r="AV350" s="29">
        <f t="shared" ca="1" si="200"/>
        <v>1</v>
      </c>
      <c r="AW350" s="29">
        <f t="shared" ca="1" si="200"/>
        <v>1</v>
      </c>
      <c r="AX350" s="29">
        <f t="shared" ca="1" si="200"/>
        <v>0</v>
      </c>
      <c r="AY350" s="29">
        <f t="shared" ca="1" si="200"/>
        <v>0</v>
      </c>
      <c r="AZ350" s="29">
        <f t="shared" ca="1" si="200"/>
        <v>0</v>
      </c>
      <c r="BA350" s="29">
        <f t="shared" ca="1" si="200"/>
        <v>0</v>
      </c>
      <c r="BB350" s="29">
        <f t="shared" ca="1" si="200"/>
        <v>3</v>
      </c>
      <c r="BC350" s="29">
        <f t="shared" ca="1" si="200"/>
        <v>0</v>
      </c>
      <c r="BD350" s="29">
        <f t="shared" ca="1" si="200"/>
        <v>1</v>
      </c>
      <c r="BE350" s="29">
        <f t="shared" ca="1" si="200"/>
        <v>1</v>
      </c>
      <c r="BF350" s="29">
        <f t="shared" ca="1" si="200"/>
        <v>1</v>
      </c>
      <c r="BG350" s="29">
        <f t="shared" ca="1" si="200"/>
        <v>1</v>
      </c>
      <c r="BH350" s="29">
        <f t="shared" ca="1" si="200"/>
        <v>1</v>
      </c>
      <c r="BI350" s="29">
        <f t="shared" ca="1" si="200"/>
        <v>0</v>
      </c>
      <c r="BJ350" s="29">
        <f t="shared" ca="1" si="200"/>
        <v>1</v>
      </c>
      <c r="BK350" s="29">
        <f t="shared" ca="1" si="200"/>
        <v>0</v>
      </c>
      <c r="BL350" s="29">
        <f t="shared" ca="1" si="199"/>
        <v>1</v>
      </c>
      <c r="BM350" s="29">
        <f t="shared" ca="1" si="199"/>
        <v>3</v>
      </c>
      <c r="BN350" s="29">
        <f t="shared" ca="1" si="199"/>
        <v>0</v>
      </c>
      <c r="BO350" s="29">
        <f t="shared" ca="1" si="199"/>
        <v>0</v>
      </c>
      <c r="BP350" s="29">
        <f t="shared" ca="1" si="199"/>
        <v>1</v>
      </c>
      <c r="BQ350" s="29">
        <f t="shared" ca="1" si="199"/>
        <v>1</v>
      </c>
      <c r="BR350" s="29">
        <f t="shared" ca="1" si="199"/>
        <v>2</v>
      </c>
      <c r="BS350" s="29">
        <f t="shared" ca="1" si="199"/>
        <v>0</v>
      </c>
      <c r="BT350" s="29">
        <f t="shared" ca="1" si="199"/>
        <v>1</v>
      </c>
      <c r="BU350" s="29">
        <f t="shared" ca="1" si="199"/>
        <v>1</v>
      </c>
      <c r="BV350" s="29">
        <f t="shared" ca="1" si="199"/>
        <v>0</v>
      </c>
      <c r="BW350" s="29">
        <f t="shared" ca="1" si="199"/>
        <v>1</v>
      </c>
      <c r="BX350" s="29">
        <f t="shared" ca="1" si="199"/>
        <v>0</v>
      </c>
      <c r="BY350" s="29">
        <f t="shared" ca="1" si="199"/>
        <v>0</v>
      </c>
      <c r="BZ350" s="29">
        <f t="shared" ca="1" si="199"/>
        <v>2</v>
      </c>
      <c r="CA350" s="29">
        <f t="shared" ca="1" si="194"/>
        <v>0</v>
      </c>
      <c r="CB350" s="29">
        <f t="shared" ca="1" si="194"/>
        <v>0</v>
      </c>
      <c r="CC350" s="29">
        <f t="shared" ca="1" si="194"/>
        <v>0</v>
      </c>
      <c r="CD350" s="29">
        <f t="shared" ca="1" si="194"/>
        <v>2</v>
      </c>
      <c r="CE350" s="29">
        <f t="shared" ca="1" si="194"/>
        <v>0</v>
      </c>
      <c r="CF350" s="29">
        <f t="shared" ca="1" si="194"/>
        <v>0</v>
      </c>
      <c r="CG350" s="29">
        <f t="shared" ca="1" si="194"/>
        <v>0</v>
      </c>
      <c r="CH350" s="29">
        <f t="shared" ca="1" si="194"/>
        <v>0</v>
      </c>
      <c r="CI350" s="29">
        <f t="shared" ca="1" si="194"/>
        <v>1</v>
      </c>
      <c r="CJ350" s="29">
        <f t="shared" ca="1" si="194"/>
        <v>0</v>
      </c>
      <c r="CK350" s="29">
        <f t="shared" ca="1" si="194"/>
        <v>1</v>
      </c>
      <c r="CL350" s="29">
        <f t="shared" ca="1" si="194"/>
        <v>1</v>
      </c>
      <c r="CM350" s="29">
        <f t="shared" ca="1" si="194"/>
        <v>1</v>
      </c>
      <c r="CN350" s="29">
        <f t="shared" ca="1" si="194"/>
        <v>2</v>
      </c>
      <c r="CO350" s="29">
        <f t="shared" ca="1" si="194"/>
        <v>0</v>
      </c>
      <c r="CP350" s="29">
        <f t="shared" ca="1" si="194"/>
        <v>1</v>
      </c>
      <c r="CQ350" s="29">
        <f t="shared" ca="1" si="193"/>
        <v>0</v>
      </c>
      <c r="CR350" s="29">
        <f t="shared" ca="1" si="193"/>
        <v>1</v>
      </c>
      <c r="CS350" s="29">
        <f t="shared" ca="1" si="193"/>
        <v>0</v>
      </c>
      <c r="CT350" s="29">
        <f t="shared" ca="1" si="193"/>
        <v>0</v>
      </c>
      <c r="CU350" s="29">
        <f t="shared" ca="1" si="193"/>
        <v>0</v>
      </c>
      <c r="CV350" s="29">
        <f t="shared" ca="1" si="193"/>
        <v>1</v>
      </c>
      <c r="CW350" s="29">
        <f t="shared" ca="1" si="193"/>
        <v>0</v>
      </c>
      <c r="CX350" s="29">
        <f t="shared" ca="1" si="193"/>
        <v>0</v>
      </c>
      <c r="CY350" s="29">
        <f t="shared" ca="1" si="193"/>
        <v>0</v>
      </c>
      <c r="CZ350" s="29">
        <f t="shared" ca="1" si="193"/>
        <v>0</v>
      </c>
      <c r="DA350" s="29">
        <f t="shared" ca="1" si="193"/>
        <v>0</v>
      </c>
      <c r="DB350" s="29">
        <f t="shared" ca="1" si="193"/>
        <v>0</v>
      </c>
      <c r="DC350" s="29">
        <f t="shared" ca="1" si="193"/>
        <v>0</v>
      </c>
      <c r="DD350" s="29">
        <f t="shared" ca="1" si="193"/>
        <v>0</v>
      </c>
      <c r="DE350" s="29">
        <f t="shared" ca="1" si="193"/>
        <v>0</v>
      </c>
      <c r="DF350" s="29">
        <f t="shared" ca="1" si="196"/>
        <v>0</v>
      </c>
      <c r="DG350" s="29">
        <f t="shared" ca="1" si="196"/>
        <v>0</v>
      </c>
      <c r="DH350" s="29">
        <f t="shared" ca="1" si="196"/>
        <v>0</v>
      </c>
      <c r="DI350" s="29">
        <f t="shared" ca="1" si="196"/>
        <v>0</v>
      </c>
      <c r="DJ350" s="29">
        <f t="shared" ca="1" si="196"/>
        <v>1</v>
      </c>
      <c r="DK350" s="29">
        <f t="shared" ca="1" si="196"/>
        <v>1</v>
      </c>
      <c r="DL350" s="29">
        <f t="shared" ca="1" si="196"/>
        <v>2</v>
      </c>
    </row>
    <row r="351" spans="1:116" ht="14.4" x14ac:dyDescent="0.3">
      <c r="A351" s="31">
        <v>131</v>
      </c>
      <c r="B351" s="28">
        <v>3.17</v>
      </c>
      <c r="C351" s="30">
        <v>21.38</v>
      </c>
      <c r="D351" s="28">
        <v>0.7</v>
      </c>
      <c r="E351" s="34">
        <f t="shared" si="180"/>
        <v>1.3999999999999999E-2</v>
      </c>
      <c r="F351" s="35">
        <f t="shared" si="181"/>
        <v>5.3449999999999998</v>
      </c>
      <c r="G351" s="34">
        <f t="shared" si="182"/>
        <v>17.5</v>
      </c>
      <c r="H351" s="33">
        <f t="shared" si="183"/>
        <v>3.8343848580441646</v>
      </c>
      <c r="I351" s="28">
        <f t="shared" si="186"/>
        <v>1421.3900000000003</v>
      </c>
      <c r="J351" s="32">
        <v>0</v>
      </c>
      <c r="K351" s="30">
        <f t="shared" si="184"/>
        <v>17.5</v>
      </c>
      <c r="L351" s="30"/>
      <c r="M351" s="30"/>
      <c r="N351" s="30"/>
      <c r="O351" s="30"/>
      <c r="Q351" s="29">
        <f t="shared" ca="1" si="185"/>
        <v>1</v>
      </c>
      <c r="R351" s="29">
        <f t="shared" ca="1" si="198"/>
        <v>2</v>
      </c>
      <c r="S351" s="29">
        <f t="shared" ca="1" si="198"/>
        <v>2</v>
      </c>
      <c r="T351" s="29">
        <f t="shared" ca="1" si="198"/>
        <v>0</v>
      </c>
      <c r="U351" s="29">
        <f t="shared" ca="1" si="198"/>
        <v>0</v>
      </c>
      <c r="V351" s="29">
        <f t="shared" ca="1" si="198"/>
        <v>0</v>
      </c>
      <c r="W351" s="29">
        <f t="shared" ca="1" si="198"/>
        <v>0</v>
      </c>
      <c r="X351" s="29">
        <f t="shared" ca="1" si="198"/>
        <v>0</v>
      </c>
      <c r="Y351" s="29">
        <f t="shared" ca="1" si="198"/>
        <v>1</v>
      </c>
      <c r="Z351" s="29">
        <f t="shared" ca="1" si="198"/>
        <v>2</v>
      </c>
      <c r="AA351" s="29">
        <f t="shared" ca="1" si="198"/>
        <v>1</v>
      </c>
      <c r="AB351" s="29">
        <f t="shared" ca="1" si="198"/>
        <v>0</v>
      </c>
      <c r="AC351" s="29">
        <f t="shared" ca="1" si="198"/>
        <v>0</v>
      </c>
      <c r="AD351" s="29">
        <f t="shared" ca="1" si="198"/>
        <v>0</v>
      </c>
      <c r="AE351" s="29">
        <f t="shared" ca="1" si="198"/>
        <v>1</v>
      </c>
      <c r="AF351" s="29">
        <f t="shared" ca="1" si="198"/>
        <v>3</v>
      </c>
      <c r="AG351" s="29">
        <f t="shared" ca="1" si="197"/>
        <v>1</v>
      </c>
      <c r="AH351" s="29">
        <f t="shared" ca="1" si="197"/>
        <v>1</v>
      </c>
      <c r="AI351" s="29">
        <f t="shared" ca="1" si="197"/>
        <v>1</v>
      </c>
      <c r="AJ351" s="29">
        <f t="shared" ca="1" si="197"/>
        <v>3</v>
      </c>
      <c r="AK351" s="29">
        <f t="shared" ca="1" si="197"/>
        <v>1</v>
      </c>
      <c r="AL351" s="29">
        <f t="shared" ca="1" si="197"/>
        <v>1</v>
      </c>
      <c r="AM351" s="29">
        <f t="shared" ca="1" si="197"/>
        <v>0</v>
      </c>
      <c r="AN351" s="29">
        <f t="shared" ca="1" si="197"/>
        <v>1</v>
      </c>
      <c r="AO351" s="29">
        <f t="shared" ca="1" si="197"/>
        <v>2</v>
      </c>
      <c r="AP351" s="29">
        <f t="shared" ca="1" si="197"/>
        <v>1</v>
      </c>
      <c r="AQ351" s="29">
        <f t="shared" ca="1" si="197"/>
        <v>1</v>
      </c>
      <c r="AR351" s="29">
        <f t="shared" ca="1" si="197"/>
        <v>0</v>
      </c>
      <c r="AS351" s="29">
        <f t="shared" ca="1" si="197"/>
        <v>0</v>
      </c>
      <c r="AT351" s="29">
        <f t="shared" ca="1" si="197"/>
        <v>0</v>
      </c>
      <c r="AU351" s="29">
        <f t="shared" ca="1" si="197"/>
        <v>0</v>
      </c>
      <c r="AV351" s="29">
        <f t="shared" ca="1" si="200"/>
        <v>1</v>
      </c>
      <c r="AW351" s="29">
        <f t="shared" ca="1" si="200"/>
        <v>0</v>
      </c>
      <c r="AX351" s="29">
        <f t="shared" ca="1" si="200"/>
        <v>0</v>
      </c>
      <c r="AY351" s="29">
        <f t="shared" ca="1" si="200"/>
        <v>2</v>
      </c>
      <c r="AZ351" s="29">
        <f t="shared" ca="1" si="200"/>
        <v>2</v>
      </c>
      <c r="BA351" s="29">
        <f t="shared" ca="1" si="200"/>
        <v>2</v>
      </c>
      <c r="BB351" s="29">
        <f t="shared" ca="1" si="200"/>
        <v>0</v>
      </c>
      <c r="BC351" s="29">
        <f t="shared" ca="1" si="200"/>
        <v>0</v>
      </c>
      <c r="BD351" s="29">
        <f t="shared" ca="1" si="200"/>
        <v>0</v>
      </c>
      <c r="BE351" s="29">
        <f t="shared" ca="1" si="200"/>
        <v>0</v>
      </c>
      <c r="BF351" s="29">
        <f t="shared" ca="1" si="200"/>
        <v>1</v>
      </c>
      <c r="BG351" s="29">
        <f t="shared" ca="1" si="200"/>
        <v>1</v>
      </c>
      <c r="BH351" s="29">
        <f t="shared" ca="1" si="200"/>
        <v>2</v>
      </c>
      <c r="BI351" s="29">
        <f t="shared" ca="1" si="200"/>
        <v>1</v>
      </c>
      <c r="BJ351" s="29">
        <f t="shared" ca="1" si="200"/>
        <v>0</v>
      </c>
      <c r="BK351" s="29">
        <f t="shared" ca="1" si="200"/>
        <v>1</v>
      </c>
      <c r="BL351" s="29">
        <f t="shared" ca="1" si="199"/>
        <v>1</v>
      </c>
      <c r="BM351" s="29">
        <f t="shared" ca="1" si="199"/>
        <v>0</v>
      </c>
      <c r="BN351" s="29">
        <f t="shared" ca="1" si="199"/>
        <v>0</v>
      </c>
      <c r="BO351" s="29">
        <f t="shared" ca="1" si="199"/>
        <v>0</v>
      </c>
      <c r="BP351" s="29">
        <f t="shared" ca="1" si="199"/>
        <v>0</v>
      </c>
      <c r="BQ351" s="29">
        <f t="shared" ca="1" si="199"/>
        <v>2</v>
      </c>
      <c r="BR351" s="29">
        <f t="shared" ca="1" si="199"/>
        <v>1</v>
      </c>
      <c r="BS351" s="29">
        <f t="shared" ca="1" si="199"/>
        <v>2</v>
      </c>
      <c r="BT351" s="29">
        <f t="shared" ca="1" si="199"/>
        <v>1</v>
      </c>
      <c r="BU351" s="29">
        <f t="shared" ca="1" si="199"/>
        <v>0</v>
      </c>
      <c r="BV351" s="29">
        <f t="shared" ca="1" si="199"/>
        <v>0</v>
      </c>
      <c r="BW351" s="29">
        <f t="shared" ca="1" si="199"/>
        <v>0</v>
      </c>
      <c r="BX351" s="29">
        <f t="shared" ca="1" si="199"/>
        <v>1</v>
      </c>
      <c r="BY351" s="29">
        <f t="shared" ca="1" si="199"/>
        <v>1</v>
      </c>
      <c r="BZ351" s="29">
        <f t="shared" ca="1" si="199"/>
        <v>0</v>
      </c>
      <c r="CA351" s="29">
        <f t="shared" ca="1" si="194"/>
        <v>1</v>
      </c>
      <c r="CB351" s="29">
        <f t="shared" ca="1" si="194"/>
        <v>0</v>
      </c>
      <c r="CC351" s="29">
        <f t="shared" ca="1" si="194"/>
        <v>1</v>
      </c>
      <c r="CD351" s="29">
        <f t="shared" ca="1" si="194"/>
        <v>1</v>
      </c>
      <c r="CE351" s="29">
        <f t="shared" ca="1" si="194"/>
        <v>0</v>
      </c>
      <c r="CF351" s="29">
        <f t="shared" ca="1" si="194"/>
        <v>0</v>
      </c>
      <c r="CG351" s="29">
        <f t="shared" ca="1" si="194"/>
        <v>1</v>
      </c>
      <c r="CH351" s="29">
        <f t="shared" ca="1" si="194"/>
        <v>1</v>
      </c>
      <c r="CI351" s="29">
        <f t="shared" ca="1" si="194"/>
        <v>1</v>
      </c>
      <c r="CJ351" s="29">
        <f t="shared" ca="1" si="194"/>
        <v>1</v>
      </c>
      <c r="CK351" s="29">
        <f t="shared" ca="1" si="194"/>
        <v>0</v>
      </c>
      <c r="CL351" s="29">
        <f t="shared" ca="1" si="194"/>
        <v>1</v>
      </c>
      <c r="CM351" s="29">
        <f t="shared" ca="1" si="194"/>
        <v>1</v>
      </c>
      <c r="CN351" s="29">
        <f t="shared" ca="1" si="194"/>
        <v>2</v>
      </c>
      <c r="CO351" s="29">
        <f t="shared" ca="1" si="194"/>
        <v>0</v>
      </c>
      <c r="CP351" s="29">
        <f t="shared" ca="1" si="194"/>
        <v>1</v>
      </c>
      <c r="CQ351" s="29">
        <f t="shared" ca="1" si="193"/>
        <v>0</v>
      </c>
      <c r="CR351" s="29">
        <f t="shared" ca="1" si="193"/>
        <v>0</v>
      </c>
      <c r="CS351" s="29">
        <f t="shared" ca="1" si="193"/>
        <v>0</v>
      </c>
      <c r="CT351" s="29">
        <f t="shared" ca="1" si="193"/>
        <v>0</v>
      </c>
      <c r="CU351" s="29">
        <f t="shared" ca="1" si="193"/>
        <v>0</v>
      </c>
      <c r="CV351" s="29">
        <f t="shared" ca="1" si="193"/>
        <v>0</v>
      </c>
      <c r="CW351" s="29">
        <f t="shared" ca="1" si="193"/>
        <v>0</v>
      </c>
      <c r="CX351" s="29">
        <f t="shared" ca="1" si="193"/>
        <v>0</v>
      </c>
      <c r="CY351" s="29">
        <f t="shared" ca="1" si="193"/>
        <v>0</v>
      </c>
      <c r="CZ351" s="29">
        <f t="shared" ca="1" si="193"/>
        <v>1</v>
      </c>
      <c r="DA351" s="29">
        <f t="shared" ca="1" si="193"/>
        <v>1</v>
      </c>
      <c r="DB351" s="29">
        <f t="shared" ca="1" si="193"/>
        <v>0</v>
      </c>
      <c r="DC351" s="29">
        <f t="shared" ca="1" si="193"/>
        <v>0</v>
      </c>
      <c r="DD351" s="29">
        <f t="shared" ca="1" si="193"/>
        <v>0</v>
      </c>
      <c r="DE351" s="29">
        <f t="shared" ca="1" si="193"/>
        <v>0</v>
      </c>
      <c r="DF351" s="29">
        <f t="shared" ca="1" si="196"/>
        <v>1</v>
      </c>
      <c r="DG351" s="29">
        <f t="shared" ca="1" si="196"/>
        <v>0</v>
      </c>
      <c r="DH351" s="29">
        <f t="shared" ca="1" si="196"/>
        <v>1</v>
      </c>
      <c r="DI351" s="29">
        <f t="shared" ca="1" si="196"/>
        <v>2</v>
      </c>
      <c r="DJ351" s="29">
        <f t="shared" ca="1" si="196"/>
        <v>0</v>
      </c>
      <c r="DK351" s="29">
        <f t="shared" ca="1" si="196"/>
        <v>2</v>
      </c>
      <c r="DL351" s="29">
        <f t="shared" ca="1" si="196"/>
        <v>0</v>
      </c>
    </row>
    <row r="352" spans="1:116" ht="14.4" x14ac:dyDescent="0.3">
      <c r="A352" s="31">
        <v>1104</v>
      </c>
      <c r="B352" s="28">
        <v>0.7</v>
      </c>
      <c r="C352" s="30">
        <v>95.35</v>
      </c>
      <c r="D352" s="28">
        <v>1.06</v>
      </c>
      <c r="E352" s="34">
        <f t="shared" si="180"/>
        <v>2.12E-2</v>
      </c>
      <c r="F352" s="35">
        <f t="shared" si="181"/>
        <v>23.837499999999999</v>
      </c>
      <c r="G352" s="34">
        <f t="shared" si="182"/>
        <v>26.5</v>
      </c>
      <c r="H352" s="33">
        <f t="shared" si="183"/>
        <v>3.803571428571431</v>
      </c>
      <c r="I352" s="28">
        <f t="shared" si="186"/>
        <v>1422.0900000000004</v>
      </c>
      <c r="J352" s="32">
        <v>0</v>
      </c>
      <c r="K352" s="30">
        <f t="shared" si="184"/>
        <v>26.5</v>
      </c>
      <c r="L352" s="30"/>
      <c r="M352" s="30"/>
      <c r="N352" s="30"/>
      <c r="O352" s="30"/>
      <c r="Q352" s="29">
        <f t="shared" ca="1" si="185"/>
        <v>3</v>
      </c>
      <c r="R352" s="29">
        <f t="shared" ca="1" si="198"/>
        <v>2</v>
      </c>
      <c r="S352" s="29">
        <f t="shared" ca="1" si="198"/>
        <v>3</v>
      </c>
      <c r="T352" s="29">
        <f t="shared" ca="1" si="198"/>
        <v>0</v>
      </c>
      <c r="U352" s="29">
        <f t="shared" ca="1" si="198"/>
        <v>1</v>
      </c>
      <c r="V352" s="29">
        <f t="shared" ca="1" si="198"/>
        <v>2</v>
      </c>
      <c r="W352" s="29">
        <f t="shared" ca="1" si="198"/>
        <v>2</v>
      </c>
      <c r="X352" s="29">
        <f t="shared" ca="1" si="198"/>
        <v>2</v>
      </c>
      <c r="Y352" s="29">
        <f t="shared" ca="1" si="198"/>
        <v>1</v>
      </c>
      <c r="Z352" s="29">
        <f t="shared" ca="1" si="198"/>
        <v>1</v>
      </c>
      <c r="AA352" s="29">
        <f t="shared" ca="1" si="198"/>
        <v>1</v>
      </c>
      <c r="AB352" s="29">
        <f t="shared" ca="1" si="198"/>
        <v>1</v>
      </c>
      <c r="AC352" s="29">
        <f t="shared" ca="1" si="198"/>
        <v>0</v>
      </c>
      <c r="AD352" s="29">
        <f t="shared" ca="1" si="198"/>
        <v>0</v>
      </c>
      <c r="AE352" s="29">
        <f t="shared" ca="1" si="198"/>
        <v>3</v>
      </c>
      <c r="AF352" s="29">
        <f t="shared" ca="1" si="198"/>
        <v>2</v>
      </c>
      <c r="AG352" s="29">
        <f t="shared" ca="1" si="197"/>
        <v>0</v>
      </c>
      <c r="AH352" s="29">
        <f t="shared" ca="1" si="197"/>
        <v>0</v>
      </c>
      <c r="AI352" s="29">
        <f t="shared" ca="1" si="197"/>
        <v>1</v>
      </c>
      <c r="AJ352" s="29">
        <f t="shared" ca="1" si="197"/>
        <v>0</v>
      </c>
      <c r="AK352" s="29">
        <f t="shared" ca="1" si="197"/>
        <v>1</v>
      </c>
      <c r="AL352" s="29">
        <f t="shared" ca="1" si="197"/>
        <v>0</v>
      </c>
      <c r="AM352" s="29">
        <f t="shared" ca="1" si="197"/>
        <v>0</v>
      </c>
      <c r="AN352" s="29">
        <f t="shared" ca="1" si="197"/>
        <v>0</v>
      </c>
      <c r="AO352" s="29">
        <f t="shared" ca="1" si="197"/>
        <v>1</v>
      </c>
      <c r="AP352" s="29">
        <f t="shared" ca="1" si="197"/>
        <v>1</v>
      </c>
      <c r="AQ352" s="29">
        <f t="shared" ca="1" si="197"/>
        <v>1</v>
      </c>
      <c r="AR352" s="29">
        <f t="shared" ca="1" si="197"/>
        <v>1</v>
      </c>
      <c r="AS352" s="29">
        <f t="shared" ca="1" si="197"/>
        <v>1</v>
      </c>
      <c r="AT352" s="29">
        <f t="shared" ca="1" si="197"/>
        <v>2</v>
      </c>
      <c r="AU352" s="29">
        <f t="shared" ca="1" si="197"/>
        <v>0</v>
      </c>
      <c r="AV352" s="29">
        <f t="shared" ca="1" si="200"/>
        <v>4</v>
      </c>
      <c r="AW352" s="29">
        <f t="shared" ca="1" si="200"/>
        <v>1</v>
      </c>
      <c r="AX352" s="29">
        <f t="shared" ca="1" si="200"/>
        <v>0</v>
      </c>
      <c r="AY352" s="29">
        <f t="shared" ca="1" si="200"/>
        <v>0</v>
      </c>
      <c r="AZ352" s="29">
        <f t="shared" ca="1" si="200"/>
        <v>1</v>
      </c>
      <c r="BA352" s="29">
        <f t="shared" ca="1" si="200"/>
        <v>0</v>
      </c>
      <c r="BB352" s="29">
        <f t="shared" ca="1" si="200"/>
        <v>1</v>
      </c>
      <c r="BC352" s="29">
        <f t="shared" ca="1" si="200"/>
        <v>0</v>
      </c>
      <c r="BD352" s="29">
        <f t="shared" ca="1" si="200"/>
        <v>0</v>
      </c>
      <c r="BE352" s="29">
        <f t="shared" ca="1" si="200"/>
        <v>0</v>
      </c>
      <c r="BF352" s="29">
        <f t="shared" ca="1" si="200"/>
        <v>0</v>
      </c>
      <c r="BG352" s="29">
        <f t="shared" ca="1" si="200"/>
        <v>0</v>
      </c>
      <c r="BH352" s="29">
        <f t="shared" ca="1" si="200"/>
        <v>1</v>
      </c>
      <c r="BI352" s="29">
        <f t="shared" ca="1" si="200"/>
        <v>1</v>
      </c>
      <c r="BJ352" s="29">
        <f t="shared" ca="1" si="200"/>
        <v>2</v>
      </c>
      <c r="BK352" s="29">
        <f t="shared" ca="1" si="200"/>
        <v>2</v>
      </c>
      <c r="BL352" s="29">
        <f t="shared" ca="1" si="199"/>
        <v>1</v>
      </c>
      <c r="BM352" s="29">
        <f t="shared" ca="1" si="199"/>
        <v>1</v>
      </c>
      <c r="BN352" s="29">
        <f t="shared" ca="1" si="199"/>
        <v>0</v>
      </c>
      <c r="BO352" s="29">
        <f t="shared" ca="1" si="199"/>
        <v>1</v>
      </c>
      <c r="BP352" s="29">
        <f t="shared" ca="1" si="199"/>
        <v>1</v>
      </c>
      <c r="BQ352" s="29">
        <f t="shared" ca="1" si="199"/>
        <v>0</v>
      </c>
      <c r="BR352" s="29">
        <f t="shared" ca="1" si="199"/>
        <v>2</v>
      </c>
      <c r="BS352" s="29">
        <f t="shared" ca="1" si="199"/>
        <v>3</v>
      </c>
      <c r="BT352" s="29">
        <f t="shared" ca="1" si="199"/>
        <v>3</v>
      </c>
      <c r="BU352" s="29">
        <f t="shared" ca="1" si="199"/>
        <v>0</v>
      </c>
      <c r="BV352" s="29">
        <f t="shared" ca="1" si="199"/>
        <v>0</v>
      </c>
      <c r="BW352" s="29">
        <f t="shared" ca="1" si="199"/>
        <v>3</v>
      </c>
      <c r="BX352" s="29">
        <f t="shared" ca="1" si="199"/>
        <v>2</v>
      </c>
      <c r="BY352" s="29">
        <f t="shared" ca="1" si="199"/>
        <v>0</v>
      </c>
      <c r="BZ352" s="29">
        <f t="shared" ca="1" si="199"/>
        <v>1</v>
      </c>
      <c r="CA352" s="29">
        <f t="shared" ca="1" si="194"/>
        <v>0</v>
      </c>
      <c r="CB352" s="29">
        <f t="shared" ca="1" si="194"/>
        <v>1</v>
      </c>
      <c r="CC352" s="29">
        <f t="shared" ca="1" si="194"/>
        <v>0</v>
      </c>
      <c r="CD352" s="29">
        <f t="shared" ca="1" si="194"/>
        <v>1</v>
      </c>
      <c r="CE352" s="29">
        <f t="shared" ca="1" si="194"/>
        <v>1</v>
      </c>
      <c r="CF352" s="29">
        <f t="shared" ca="1" si="194"/>
        <v>0</v>
      </c>
      <c r="CG352" s="29">
        <f t="shared" ca="1" si="194"/>
        <v>1</v>
      </c>
      <c r="CH352" s="29">
        <f t="shared" ca="1" si="194"/>
        <v>1</v>
      </c>
      <c r="CI352" s="29">
        <f t="shared" ca="1" si="194"/>
        <v>1</v>
      </c>
      <c r="CJ352" s="29">
        <f t="shared" ca="1" si="194"/>
        <v>0</v>
      </c>
      <c r="CK352" s="29">
        <f t="shared" ca="1" si="194"/>
        <v>0</v>
      </c>
      <c r="CL352" s="29">
        <f t="shared" ca="1" si="194"/>
        <v>0</v>
      </c>
      <c r="CM352" s="29">
        <f t="shared" ca="1" si="194"/>
        <v>0</v>
      </c>
      <c r="CN352" s="29">
        <f t="shared" ca="1" si="194"/>
        <v>1</v>
      </c>
      <c r="CO352" s="29">
        <f t="shared" ca="1" si="194"/>
        <v>1</v>
      </c>
      <c r="CP352" s="29">
        <f t="shared" ca="1" si="194"/>
        <v>1</v>
      </c>
      <c r="CQ352" s="29">
        <f t="shared" ca="1" si="193"/>
        <v>0</v>
      </c>
      <c r="CR352" s="29">
        <f t="shared" ca="1" si="193"/>
        <v>0</v>
      </c>
      <c r="CS352" s="29">
        <f t="shared" ca="1" si="193"/>
        <v>1</v>
      </c>
      <c r="CT352" s="29">
        <f t="shared" ca="1" si="193"/>
        <v>1</v>
      </c>
      <c r="CU352" s="29">
        <f t="shared" ca="1" si="193"/>
        <v>0</v>
      </c>
      <c r="CV352" s="29">
        <f t="shared" ca="1" si="193"/>
        <v>0</v>
      </c>
      <c r="CW352" s="29">
        <f t="shared" ca="1" si="193"/>
        <v>1</v>
      </c>
      <c r="CX352" s="29">
        <f t="shared" ca="1" si="193"/>
        <v>1</v>
      </c>
      <c r="CY352" s="29">
        <f t="shared" ca="1" si="193"/>
        <v>3</v>
      </c>
      <c r="CZ352" s="29">
        <f t="shared" ca="1" si="193"/>
        <v>0</v>
      </c>
      <c r="DA352" s="29">
        <f t="shared" ca="1" si="193"/>
        <v>2</v>
      </c>
      <c r="DB352" s="29">
        <f t="shared" ca="1" si="193"/>
        <v>2</v>
      </c>
      <c r="DC352" s="29">
        <f t="shared" ca="1" si="193"/>
        <v>1</v>
      </c>
      <c r="DD352" s="29">
        <f t="shared" ca="1" si="193"/>
        <v>3</v>
      </c>
      <c r="DE352" s="29">
        <f t="shared" ca="1" si="193"/>
        <v>1</v>
      </c>
      <c r="DF352" s="29">
        <f t="shared" ca="1" si="196"/>
        <v>1</v>
      </c>
      <c r="DG352" s="29">
        <f t="shared" ca="1" si="196"/>
        <v>2</v>
      </c>
      <c r="DH352" s="29">
        <f t="shared" ca="1" si="196"/>
        <v>1</v>
      </c>
      <c r="DI352" s="29">
        <f t="shared" ca="1" si="196"/>
        <v>1</v>
      </c>
      <c r="DJ352" s="29">
        <f t="shared" ca="1" si="196"/>
        <v>3</v>
      </c>
      <c r="DK352" s="29">
        <f t="shared" ca="1" si="196"/>
        <v>1</v>
      </c>
      <c r="DL352" s="29">
        <f t="shared" ca="1" si="196"/>
        <v>1</v>
      </c>
    </row>
    <row r="353" spans="1:116" ht="14.4" x14ac:dyDescent="0.3">
      <c r="A353" s="31">
        <v>317</v>
      </c>
      <c r="B353" s="28">
        <v>2.4700000000000002</v>
      </c>
      <c r="C353" s="30">
        <v>29.47</v>
      </c>
      <c r="D353" s="28">
        <v>0.66</v>
      </c>
      <c r="E353" s="34">
        <f t="shared" si="180"/>
        <v>1.32E-2</v>
      </c>
      <c r="F353" s="35">
        <f t="shared" si="181"/>
        <v>7.3674999999999997</v>
      </c>
      <c r="G353" s="34">
        <f t="shared" si="182"/>
        <v>16.5</v>
      </c>
      <c r="H353" s="33">
        <f t="shared" si="183"/>
        <v>3.6973684210526314</v>
      </c>
      <c r="I353" s="28">
        <f t="shared" si="186"/>
        <v>1424.5600000000004</v>
      </c>
      <c r="J353" s="32">
        <v>0</v>
      </c>
      <c r="K353" s="30">
        <f t="shared" si="184"/>
        <v>16.5</v>
      </c>
      <c r="L353" s="30"/>
      <c r="M353" s="30"/>
      <c r="N353" s="30"/>
      <c r="O353" s="30"/>
      <c r="Q353" s="29">
        <f t="shared" ca="1" si="185"/>
        <v>1</v>
      </c>
      <c r="R353" s="29">
        <f t="shared" ca="1" si="198"/>
        <v>0</v>
      </c>
      <c r="S353" s="29">
        <f t="shared" ca="1" si="198"/>
        <v>1</v>
      </c>
      <c r="T353" s="29">
        <f t="shared" ca="1" si="198"/>
        <v>0</v>
      </c>
      <c r="U353" s="29">
        <f t="shared" ca="1" si="198"/>
        <v>1</v>
      </c>
      <c r="V353" s="29">
        <f t="shared" ca="1" si="198"/>
        <v>0</v>
      </c>
      <c r="W353" s="29">
        <f t="shared" ca="1" si="198"/>
        <v>1</v>
      </c>
      <c r="X353" s="29">
        <f t="shared" ca="1" si="198"/>
        <v>0</v>
      </c>
      <c r="Y353" s="29">
        <f t="shared" ca="1" si="198"/>
        <v>2</v>
      </c>
      <c r="Z353" s="29">
        <f t="shared" ca="1" si="198"/>
        <v>0</v>
      </c>
      <c r="AA353" s="29">
        <f t="shared" ca="1" si="198"/>
        <v>1</v>
      </c>
      <c r="AB353" s="29">
        <f t="shared" ca="1" si="198"/>
        <v>0</v>
      </c>
      <c r="AC353" s="29">
        <f t="shared" ca="1" si="198"/>
        <v>1</v>
      </c>
      <c r="AD353" s="29">
        <f t="shared" ca="1" si="198"/>
        <v>1</v>
      </c>
      <c r="AE353" s="29">
        <f t="shared" ca="1" si="198"/>
        <v>1</v>
      </c>
      <c r="AF353" s="29">
        <f t="shared" ca="1" si="198"/>
        <v>2</v>
      </c>
      <c r="AG353" s="29">
        <f t="shared" ca="1" si="197"/>
        <v>1</v>
      </c>
      <c r="AH353" s="29">
        <f t="shared" ca="1" si="197"/>
        <v>0</v>
      </c>
      <c r="AI353" s="29">
        <f t="shared" ca="1" si="197"/>
        <v>1</v>
      </c>
      <c r="AJ353" s="29">
        <f t="shared" ca="1" si="197"/>
        <v>0</v>
      </c>
      <c r="AK353" s="29">
        <f t="shared" ca="1" si="197"/>
        <v>2</v>
      </c>
      <c r="AL353" s="29">
        <f t="shared" ca="1" si="197"/>
        <v>0</v>
      </c>
      <c r="AM353" s="29">
        <f t="shared" ca="1" si="197"/>
        <v>0</v>
      </c>
      <c r="AN353" s="29">
        <f t="shared" ca="1" si="197"/>
        <v>0</v>
      </c>
      <c r="AO353" s="29">
        <f t="shared" ca="1" si="197"/>
        <v>0</v>
      </c>
      <c r="AP353" s="29">
        <f t="shared" ca="1" si="197"/>
        <v>0</v>
      </c>
      <c r="AQ353" s="29">
        <f t="shared" ca="1" si="197"/>
        <v>0</v>
      </c>
      <c r="AR353" s="29">
        <f t="shared" ca="1" si="197"/>
        <v>0</v>
      </c>
      <c r="AS353" s="29">
        <f t="shared" ca="1" si="197"/>
        <v>0</v>
      </c>
      <c r="AT353" s="29">
        <f t="shared" ca="1" si="197"/>
        <v>0</v>
      </c>
      <c r="AU353" s="29">
        <f t="shared" ca="1" si="197"/>
        <v>2</v>
      </c>
      <c r="AV353" s="29">
        <f t="shared" ca="1" si="200"/>
        <v>1</v>
      </c>
      <c r="AW353" s="29">
        <f t="shared" ca="1" si="200"/>
        <v>2</v>
      </c>
      <c r="AX353" s="29">
        <f t="shared" ca="1" si="200"/>
        <v>1</v>
      </c>
      <c r="AY353" s="29">
        <f t="shared" ca="1" si="200"/>
        <v>0</v>
      </c>
      <c r="AZ353" s="29">
        <f t="shared" ca="1" si="200"/>
        <v>0</v>
      </c>
      <c r="BA353" s="29">
        <f t="shared" ca="1" si="200"/>
        <v>0</v>
      </c>
      <c r="BB353" s="29">
        <f t="shared" ca="1" si="200"/>
        <v>0</v>
      </c>
      <c r="BC353" s="29">
        <f t="shared" ca="1" si="200"/>
        <v>0</v>
      </c>
      <c r="BD353" s="29">
        <f t="shared" ca="1" si="200"/>
        <v>0</v>
      </c>
      <c r="BE353" s="29">
        <f t="shared" ca="1" si="200"/>
        <v>1</v>
      </c>
      <c r="BF353" s="29">
        <f t="shared" ca="1" si="200"/>
        <v>1</v>
      </c>
      <c r="BG353" s="29">
        <f t="shared" ca="1" si="200"/>
        <v>0</v>
      </c>
      <c r="BH353" s="29">
        <f t="shared" ca="1" si="200"/>
        <v>0</v>
      </c>
      <c r="BI353" s="29">
        <f t="shared" ca="1" si="200"/>
        <v>0</v>
      </c>
      <c r="BJ353" s="29">
        <f t="shared" ca="1" si="200"/>
        <v>0</v>
      </c>
      <c r="BK353" s="29">
        <f t="shared" ca="1" si="200"/>
        <v>1</v>
      </c>
      <c r="BL353" s="29">
        <f t="shared" ca="1" si="199"/>
        <v>0</v>
      </c>
      <c r="BM353" s="29">
        <f t="shared" ca="1" si="199"/>
        <v>0</v>
      </c>
      <c r="BN353" s="29">
        <f t="shared" ca="1" si="199"/>
        <v>0</v>
      </c>
      <c r="BO353" s="29">
        <f t="shared" ca="1" si="199"/>
        <v>0</v>
      </c>
      <c r="BP353" s="29">
        <f t="shared" ca="1" si="199"/>
        <v>1</v>
      </c>
      <c r="BQ353" s="29">
        <f t="shared" ca="1" si="199"/>
        <v>1</v>
      </c>
      <c r="BR353" s="29">
        <f t="shared" ca="1" si="199"/>
        <v>1</v>
      </c>
      <c r="BS353" s="29">
        <f t="shared" ca="1" si="199"/>
        <v>0</v>
      </c>
      <c r="BT353" s="29">
        <f t="shared" ca="1" si="199"/>
        <v>1</v>
      </c>
      <c r="BU353" s="29">
        <f t="shared" ca="1" si="199"/>
        <v>1</v>
      </c>
      <c r="BV353" s="29">
        <f t="shared" ca="1" si="199"/>
        <v>0</v>
      </c>
      <c r="BW353" s="29">
        <f t="shared" ca="1" si="199"/>
        <v>0</v>
      </c>
      <c r="BX353" s="29">
        <f t="shared" ca="1" si="199"/>
        <v>1</v>
      </c>
      <c r="BY353" s="29">
        <f t="shared" ca="1" si="199"/>
        <v>0</v>
      </c>
      <c r="BZ353" s="29">
        <f t="shared" ca="1" si="199"/>
        <v>1</v>
      </c>
      <c r="CA353" s="29">
        <f t="shared" ca="1" si="194"/>
        <v>0</v>
      </c>
      <c r="CB353" s="29">
        <f t="shared" ca="1" si="194"/>
        <v>1</v>
      </c>
      <c r="CC353" s="29">
        <f t="shared" ca="1" si="194"/>
        <v>0</v>
      </c>
      <c r="CD353" s="29">
        <f t="shared" ca="1" si="194"/>
        <v>1</v>
      </c>
      <c r="CE353" s="29">
        <f t="shared" ca="1" si="194"/>
        <v>0</v>
      </c>
      <c r="CF353" s="29">
        <f t="shared" ca="1" si="194"/>
        <v>0</v>
      </c>
      <c r="CG353" s="29">
        <f t="shared" ca="1" si="194"/>
        <v>0</v>
      </c>
      <c r="CH353" s="29">
        <f t="shared" ca="1" si="194"/>
        <v>1</v>
      </c>
      <c r="CI353" s="29">
        <f t="shared" ca="1" si="194"/>
        <v>0</v>
      </c>
      <c r="CJ353" s="29">
        <f t="shared" ca="1" si="194"/>
        <v>3</v>
      </c>
      <c r="CK353" s="29">
        <f t="shared" ca="1" si="194"/>
        <v>1</v>
      </c>
      <c r="CL353" s="29">
        <f t="shared" ca="1" si="194"/>
        <v>0</v>
      </c>
      <c r="CM353" s="29">
        <f t="shared" ca="1" si="194"/>
        <v>0</v>
      </c>
      <c r="CN353" s="29">
        <f t="shared" ca="1" si="194"/>
        <v>1</v>
      </c>
      <c r="CO353" s="29">
        <f t="shared" ca="1" si="194"/>
        <v>1</v>
      </c>
      <c r="CP353" s="29">
        <f t="shared" ca="1" si="194"/>
        <v>0</v>
      </c>
      <c r="CQ353" s="29">
        <f t="shared" ca="1" si="193"/>
        <v>1</v>
      </c>
      <c r="CR353" s="29">
        <f t="shared" ca="1" si="193"/>
        <v>0</v>
      </c>
      <c r="CS353" s="29">
        <f t="shared" ca="1" si="193"/>
        <v>1</v>
      </c>
      <c r="CT353" s="29">
        <f t="shared" ca="1" si="193"/>
        <v>0</v>
      </c>
      <c r="CU353" s="29">
        <f t="shared" ca="1" si="193"/>
        <v>1</v>
      </c>
      <c r="CV353" s="29">
        <f t="shared" ca="1" si="193"/>
        <v>0</v>
      </c>
      <c r="CW353" s="29">
        <f t="shared" ca="1" si="193"/>
        <v>0</v>
      </c>
      <c r="CX353" s="29">
        <f t="shared" ca="1" si="193"/>
        <v>0</v>
      </c>
      <c r="CY353" s="29">
        <f t="shared" ca="1" si="193"/>
        <v>1</v>
      </c>
      <c r="CZ353" s="29">
        <f t="shared" ca="1" si="193"/>
        <v>1</v>
      </c>
      <c r="DA353" s="29">
        <f t="shared" ca="1" si="193"/>
        <v>0</v>
      </c>
      <c r="DB353" s="29">
        <f t="shared" ca="1" si="193"/>
        <v>0</v>
      </c>
      <c r="DC353" s="29">
        <f t="shared" ca="1" si="193"/>
        <v>0</v>
      </c>
      <c r="DD353" s="29">
        <f t="shared" ca="1" si="193"/>
        <v>1</v>
      </c>
      <c r="DE353" s="29">
        <f t="shared" ca="1" si="193"/>
        <v>0</v>
      </c>
      <c r="DF353" s="29">
        <f t="shared" ca="1" si="196"/>
        <v>0</v>
      </c>
      <c r="DG353" s="29">
        <f t="shared" ca="1" si="196"/>
        <v>0</v>
      </c>
      <c r="DH353" s="29">
        <f t="shared" ca="1" si="196"/>
        <v>0</v>
      </c>
      <c r="DI353" s="29">
        <f t="shared" ca="1" si="196"/>
        <v>4</v>
      </c>
      <c r="DJ353" s="29">
        <f t="shared" ca="1" si="196"/>
        <v>0</v>
      </c>
      <c r="DK353" s="29">
        <f t="shared" ca="1" si="196"/>
        <v>2</v>
      </c>
      <c r="DL353" s="29">
        <f t="shared" ca="1" si="196"/>
        <v>1</v>
      </c>
    </row>
    <row r="354" spans="1:116" ht="14.4" x14ac:dyDescent="0.3">
      <c r="A354" s="31">
        <v>220</v>
      </c>
      <c r="B354" s="28">
        <v>4.67</v>
      </c>
      <c r="C354" s="30">
        <v>8.1300000000000008</v>
      </c>
      <c r="D354" s="28">
        <v>0.77</v>
      </c>
      <c r="E354" s="34">
        <f t="shared" si="180"/>
        <v>1.54E-2</v>
      </c>
      <c r="F354" s="35">
        <f t="shared" si="181"/>
        <v>2.0325000000000002</v>
      </c>
      <c r="G354" s="34">
        <f t="shared" si="182"/>
        <v>19.25</v>
      </c>
      <c r="H354" s="33">
        <f t="shared" si="183"/>
        <v>3.6868308351177732</v>
      </c>
      <c r="I354" s="28">
        <f t="shared" si="186"/>
        <v>1429.2300000000005</v>
      </c>
      <c r="J354" s="32">
        <v>0</v>
      </c>
      <c r="K354" s="30">
        <f t="shared" si="184"/>
        <v>19.25</v>
      </c>
      <c r="L354" s="30"/>
      <c r="M354" s="30"/>
      <c r="N354" s="30"/>
      <c r="O354" s="30"/>
      <c r="Q354" s="29">
        <f t="shared" ca="1" si="185"/>
        <v>1</v>
      </c>
      <c r="R354" s="29">
        <f t="shared" ca="1" si="198"/>
        <v>0</v>
      </c>
      <c r="S354" s="29">
        <f t="shared" ca="1" si="198"/>
        <v>0</v>
      </c>
      <c r="T354" s="29">
        <f t="shared" ca="1" si="198"/>
        <v>1</v>
      </c>
      <c r="U354" s="29">
        <f t="shared" ca="1" si="198"/>
        <v>1</v>
      </c>
      <c r="V354" s="29">
        <f t="shared" ca="1" si="198"/>
        <v>1</v>
      </c>
      <c r="W354" s="29">
        <f t="shared" ca="1" si="198"/>
        <v>1</v>
      </c>
      <c r="X354" s="29">
        <f t="shared" ca="1" si="198"/>
        <v>1</v>
      </c>
      <c r="Y354" s="29">
        <f t="shared" ca="1" si="198"/>
        <v>3</v>
      </c>
      <c r="Z354" s="29">
        <f t="shared" ca="1" si="198"/>
        <v>1</v>
      </c>
      <c r="AA354" s="29">
        <f t="shared" ca="1" si="198"/>
        <v>1</v>
      </c>
      <c r="AB354" s="29">
        <f t="shared" ca="1" si="198"/>
        <v>0</v>
      </c>
      <c r="AC354" s="29">
        <f t="shared" ca="1" si="198"/>
        <v>1</v>
      </c>
      <c r="AD354" s="29">
        <f t="shared" ca="1" si="198"/>
        <v>0</v>
      </c>
      <c r="AE354" s="29">
        <f t="shared" ca="1" si="198"/>
        <v>0</v>
      </c>
      <c r="AF354" s="29">
        <f t="shared" ca="1" si="198"/>
        <v>1</v>
      </c>
      <c r="AG354" s="29">
        <f t="shared" ca="1" si="197"/>
        <v>0</v>
      </c>
      <c r="AH354" s="29">
        <f t="shared" ca="1" si="197"/>
        <v>1</v>
      </c>
      <c r="AI354" s="29">
        <f t="shared" ca="1" si="197"/>
        <v>0</v>
      </c>
      <c r="AJ354" s="29">
        <f t="shared" ca="1" si="197"/>
        <v>0</v>
      </c>
      <c r="AK354" s="29">
        <f t="shared" ca="1" si="197"/>
        <v>1</v>
      </c>
      <c r="AL354" s="29">
        <f t="shared" ca="1" si="197"/>
        <v>0</v>
      </c>
      <c r="AM354" s="29">
        <f t="shared" ca="1" si="197"/>
        <v>1</v>
      </c>
      <c r="AN354" s="29">
        <f t="shared" ca="1" si="197"/>
        <v>1</v>
      </c>
      <c r="AO354" s="29">
        <f t="shared" ca="1" si="197"/>
        <v>1</v>
      </c>
      <c r="AP354" s="29">
        <f t="shared" ca="1" si="197"/>
        <v>1</v>
      </c>
      <c r="AQ354" s="29">
        <f t="shared" ca="1" si="197"/>
        <v>1</v>
      </c>
      <c r="AR354" s="29">
        <f t="shared" ca="1" si="197"/>
        <v>1</v>
      </c>
      <c r="AS354" s="29">
        <f t="shared" ca="1" si="197"/>
        <v>2</v>
      </c>
      <c r="AT354" s="29">
        <f t="shared" ca="1" si="197"/>
        <v>1</v>
      </c>
      <c r="AU354" s="29">
        <f t="shared" ca="1" si="197"/>
        <v>0</v>
      </c>
      <c r="AV354" s="29">
        <f t="shared" ca="1" si="200"/>
        <v>2</v>
      </c>
      <c r="AW354" s="29">
        <f t="shared" ca="1" si="200"/>
        <v>2</v>
      </c>
      <c r="AX354" s="29">
        <f t="shared" ca="1" si="200"/>
        <v>1</v>
      </c>
      <c r="AY354" s="29">
        <f t="shared" ca="1" si="200"/>
        <v>0</v>
      </c>
      <c r="AZ354" s="29">
        <f t="shared" ca="1" si="200"/>
        <v>0</v>
      </c>
      <c r="BA354" s="29">
        <f t="shared" ca="1" si="200"/>
        <v>1</v>
      </c>
      <c r="BB354" s="29">
        <f t="shared" ca="1" si="200"/>
        <v>2</v>
      </c>
      <c r="BC354" s="29">
        <f t="shared" ca="1" si="200"/>
        <v>0</v>
      </c>
      <c r="BD354" s="29">
        <f t="shared" ca="1" si="200"/>
        <v>0</v>
      </c>
      <c r="BE354" s="29">
        <f t="shared" ca="1" si="200"/>
        <v>2</v>
      </c>
      <c r="BF354" s="29">
        <f t="shared" ca="1" si="200"/>
        <v>0</v>
      </c>
      <c r="BG354" s="29">
        <f t="shared" ca="1" si="200"/>
        <v>0</v>
      </c>
      <c r="BH354" s="29">
        <f t="shared" ca="1" si="200"/>
        <v>0</v>
      </c>
      <c r="BI354" s="29">
        <f t="shared" ca="1" si="200"/>
        <v>0</v>
      </c>
      <c r="BJ354" s="29">
        <f t="shared" ca="1" si="200"/>
        <v>0</v>
      </c>
      <c r="BK354" s="29">
        <f t="shared" ca="1" si="200"/>
        <v>0</v>
      </c>
      <c r="BL354" s="29">
        <f t="shared" ca="1" si="199"/>
        <v>0</v>
      </c>
      <c r="BM354" s="29">
        <f t="shared" ca="1" si="199"/>
        <v>1</v>
      </c>
      <c r="BN354" s="29">
        <f t="shared" ca="1" si="199"/>
        <v>0</v>
      </c>
      <c r="BO354" s="29">
        <f t="shared" ca="1" si="199"/>
        <v>1</v>
      </c>
      <c r="BP354" s="29">
        <f t="shared" ca="1" si="199"/>
        <v>0</v>
      </c>
      <c r="BQ354" s="29">
        <f t="shared" ca="1" si="199"/>
        <v>1</v>
      </c>
      <c r="BR354" s="29">
        <f t="shared" ca="1" si="199"/>
        <v>1</v>
      </c>
      <c r="BS354" s="29">
        <f t="shared" ca="1" si="199"/>
        <v>0</v>
      </c>
      <c r="BT354" s="29">
        <f t="shared" ca="1" si="199"/>
        <v>0</v>
      </c>
      <c r="BU354" s="29">
        <f t="shared" ca="1" si="199"/>
        <v>0</v>
      </c>
      <c r="BV354" s="29">
        <f t="shared" ca="1" si="199"/>
        <v>1</v>
      </c>
      <c r="BW354" s="29">
        <f t="shared" ca="1" si="199"/>
        <v>0</v>
      </c>
      <c r="BX354" s="29">
        <f t="shared" ca="1" si="199"/>
        <v>1</v>
      </c>
      <c r="BY354" s="29">
        <f t="shared" ca="1" si="199"/>
        <v>0</v>
      </c>
      <c r="BZ354" s="29">
        <f t="shared" ca="1" si="199"/>
        <v>1</v>
      </c>
      <c r="CA354" s="29">
        <f t="shared" ca="1" si="194"/>
        <v>0</v>
      </c>
      <c r="CB354" s="29">
        <f t="shared" ca="1" si="194"/>
        <v>0</v>
      </c>
      <c r="CC354" s="29">
        <f t="shared" ca="1" si="194"/>
        <v>1</v>
      </c>
      <c r="CD354" s="29">
        <f t="shared" ca="1" si="194"/>
        <v>1</v>
      </c>
      <c r="CE354" s="29">
        <f t="shared" ca="1" si="194"/>
        <v>1</v>
      </c>
      <c r="CF354" s="29">
        <f t="shared" ca="1" si="194"/>
        <v>1</v>
      </c>
      <c r="CG354" s="29">
        <f t="shared" ca="1" si="194"/>
        <v>2</v>
      </c>
      <c r="CH354" s="29">
        <f t="shared" ca="1" si="194"/>
        <v>1</v>
      </c>
      <c r="CI354" s="29">
        <f t="shared" ca="1" si="194"/>
        <v>0</v>
      </c>
      <c r="CJ354" s="29">
        <f t="shared" ca="1" si="194"/>
        <v>0</v>
      </c>
      <c r="CK354" s="29">
        <f t="shared" ca="1" si="194"/>
        <v>0</v>
      </c>
      <c r="CL354" s="29">
        <f t="shared" ca="1" si="194"/>
        <v>1</v>
      </c>
      <c r="CM354" s="29">
        <f t="shared" ca="1" si="194"/>
        <v>1</v>
      </c>
      <c r="CN354" s="29">
        <f t="shared" ca="1" si="194"/>
        <v>1</v>
      </c>
      <c r="CO354" s="29">
        <f t="shared" ca="1" si="194"/>
        <v>1</v>
      </c>
      <c r="CP354" s="29">
        <f t="shared" ca="1" si="194"/>
        <v>0</v>
      </c>
      <c r="CQ354" s="29">
        <f t="shared" ca="1" si="193"/>
        <v>2</v>
      </c>
      <c r="CR354" s="29">
        <f t="shared" ca="1" si="193"/>
        <v>2</v>
      </c>
      <c r="CS354" s="29">
        <f t="shared" ca="1" si="193"/>
        <v>0</v>
      </c>
      <c r="CT354" s="29">
        <f t="shared" ca="1" si="193"/>
        <v>0</v>
      </c>
      <c r="CU354" s="29">
        <f t="shared" ca="1" si="193"/>
        <v>0</v>
      </c>
      <c r="CV354" s="29">
        <f t="shared" ca="1" si="193"/>
        <v>1</v>
      </c>
      <c r="CW354" s="29">
        <f t="shared" ca="1" si="193"/>
        <v>1</v>
      </c>
      <c r="CX354" s="29">
        <f t="shared" ca="1" si="193"/>
        <v>3</v>
      </c>
      <c r="CY354" s="29">
        <f t="shared" ca="1" si="193"/>
        <v>0</v>
      </c>
      <c r="CZ354" s="29">
        <f t="shared" ca="1" si="193"/>
        <v>0</v>
      </c>
      <c r="DA354" s="29">
        <f t="shared" ca="1" si="193"/>
        <v>0</v>
      </c>
      <c r="DB354" s="29">
        <f t="shared" ca="1" si="193"/>
        <v>0</v>
      </c>
      <c r="DC354" s="29">
        <f t="shared" ca="1" si="193"/>
        <v>2</v>
      </c>
      <c r="DD354" s="29">
        <f t="shared" ca="1" si="193"/>
        <v>0</v>
      </c>
      <c r="DE354" s="29">
        <f t="shared" ca="1" si="193"/>
        <v>2</v>
      </c>
      <c r="DF354" s="29">
        <f t="shared" ca="1" si="196"/>
        <v>0</v>
      </c>
      <c r="DG354" s="29">
        <f t="shared" ca="1" si="196"/>
        <v>1</v>
      </c>
      <c r="DH354" s="29">
        <f t="shared" ca="1" si="196"/>
        <v>0</v>
      </c>
      <c r="DI354" s="29">
        <f t="shared" ca="1" si="196"/>
        <v>3</v>
      </c>
      <c r="DJ354" s="29">
        <f t="shared" ca="1" si="196"/>
        <v>1</v>
      </c>
      <c r="DK354" s="29">
        <f t="shared" ca="1" si="196"/>
        <v>1</v>
      </c>
      <c r="DL354" s="29">
        <f t="shared" ca="1" si="196"/>
        <v>0</v>
      </c>
    </row>
    <row r="355" spans="1:116" ht="14.4" x14ac:dyDescent="0.3">
      <c r="A355" s="31">
        <v>1039</v>
      </c>
      <c r="B355" s="28">
        <v>3.88</v>
      </c>
      <c r="C355" s="30">
        <v>0.95</v>
      </c>
      <c r="D355" s="28">
        <v>0.57999999999999996</v>
      </c>
      <c r="E355" s="34">
        <f t="shared" si="180"/>
        <v>1.1599999999999999E-2</v>
      </c>
      <c r="F355" s="35">
        <f t="shared" si="181"/>
        <v>0.23749999999999999</v>
      </c>
      <c r="G355" s="34">
        <f t="shared" si="182"/>
        <v>14.499999999999998</v>
      </c>
      <c r="H355" s="33">
        <f t="shared" si="183"/>
        <v>3.6759020618556697</v>
      </c>
      <c r="I355" s="28">
        <f t="shared" si="186"/>
        <v>1433.1100000000006</v>
      </c>
      <c r="J355" s="32">
        <v>0</v>
      </c>
      <c r="K355" s="30">
        <f t="shared" si="184"/>
        <v>14.499999999999998</v>
      </c>
      <c r="L355" s="30"/>
      <c r="M355" s="30"/>
      <c r="N355" s="30"/>
      <c r="O355" s="30"/>
      <c r="Q355" s="29">
        <f t="shared" ca="1" si="185"/>
        <v>2</v>
      </c>
      <c r="R355" s="29">
        <f t="shared" ca="1" si="198"/>
        <v>0</v>
      </c>
      <c r="S355" s="29">
        <f t="shared" ca="1" si="198"/>
        <v>0</v>
      </c>
      <c r="T355" s="29">
        <f t="shared" ca="1" si="198"/>
        <v>0</v>
      </c>
      <c r="U355" s="29">
        <f t="shared" ca="1" si="198"/>
        <v>1</v>
      </c>
      <c r="V355" s="29">
        <f t="shared" ca="1" si="198"/>
        <v>0</v>
      </c>
      <c r="W355" s="29">
        <f t="shared" ca="1" si="198"/>
        <v>1</v>
      </c>
      <c r="X355" s="29">
        <f t="shared" ca="1" si="198"/>
        <v>2</v>
      </c>
      <c r="Y355" s="29">
        <f t="shared" ca="1" si="198"/>
        <v>0</v>
      </c>
      <c r="Z355" s="29">
        <f t="shared" ca="1" si="198"/>
        <v>1</v>
      </c>
      <c r="AA355" s="29">
        <f t="shared" ca="1" si="198"/>
        <v>0</v>
      </c>
      <c r="AB355" s="29">
        <f t="shared" ca="1" si="198"/>
        <v>1</v>
      </c>
      <c r="AC355" s="29">
        <f t="shared" ca="1" si="198"/>
        <v>0</v>
      </c>
      <c r="AD355" s="29">
        <f t="shared" ca="1" si="198"/>
        <v>0</v>
      </c>
      <c r="AE355" s="29">
        <f t="shared" ca="1" si="198"/>
        <v>0</v>
      </c>
      <c r="AF355" s="29">
        <f t="shared" ca="1" si="198"/>
        <v>2</v>
      </c>
      <c r="AG355" s="29">
        <f t="shared" ca="1" si="197"/>
        <v>0</v>
      </c>
      <c r="AH355" s="29">
        <f t="shared" ca="1" si="197"/>
        <v>0</v>
      </c>
      <c r="AI355" s="29">
        <f t="shared" ca="1" si="197"/>
        <v>0</v>
      </c>
      <c r="AJ355" s="29">
        <f t="shared" ca="1" si="197"/>
        <v>2</v>
      </c>
      <c r="AK355" s="29">
        <f t="shared" ca="1" si="197"/>
        <v>3</v>
      </c>
      <c r="AL355" s="29">
        <f t="shared" ca="1" si="197"/>
        <v>0</v>
      </c>
      <c r="AM355" s="29">
        <f t="shared" ca="1" si="197"/>
        <v>0</v>
      </c>
      <c r="AN355" s="29">
        <f t="shared" ca="1" si="197"/>
        <v>0</v>
      </c>
      <c r="AO355" s="29">
        <f t="shared" ca="1" si="197"/>
        <v>0</v>
      </c>
      <c r="AP355" s="29">
        <f t="shared" ca="1" si="197"/>
        <v>1</v>
      </c>
      <c r="AQ355" s="29">
        <f t="shared" ca="1" si="197"/>
        <v>0</v>
      </c>
      <c r="AR355" s="29">
        <f t="shared" ca="1" si="197"/>
        <v>0</v>
      </c>
      <c r="AS355" s="29">
        <f t="shared" ca="1" si="197"/>
        <v>2</v>
      </c>
      <c r="AT355" s="29">
        <f t="shared" ca="1" si="197"/>
        <v>0</v>
      </c>
      <c r="AU355" s="29">
        <f t="shared" ca="1" si="197"/>
        <v>1</v>
      </c>
      <c r="AV355" s="29">
        <f t="shared" ca="1" si="200"/>
        <v>1</v>
      </c>
      <c r="AW355" s="29">
        <f t="shared" ca="1" si="200"/>
        <v>1</v>
      </c>
      <c r="AX355" s="29">
        <f t="shared" ca="1" si="200"/>
        <v>1</v>
      </c>
      <c r="AY355" s="29">
        <f t="shared" ca="1" si="200"/>
        <v>0</v>
      </c>
      <c r="AZ355" s="29">
        <f t="shared" ca="1" si="200"/>
        <v>1</v>
      </c>
      <c r="BA355" s="29">
        <f t="shared" ca="1" si="200"/>
        <v>1</v>
      </c>
      <c r="BB355" s="29">
        <f t="shared" ca="1" si="200"/>
        <v>1</v>
      </c>
      <c r="BC355" s="29">
        <f t="shared" ca="1" si="200"/>
        <v>1</v>
      </c>
      <c r="BD355" s="29">
        <f t="shared" ca="1" si="200"/>
        <v>0</v>
      </c>
      <c r="BE355" s="29">
        <f t="shared" ca="1" si="200"/>
        <v>3</v>
      </c>
      <c r="BF355" s="29">
        <f t="shared" ca="1" si="200"/>
        <v>0</v>
      </c>
      <c r="BG355" s="29">
        <f t="shared" ca="1" si="200"/>
        <v>1</v>
      </c>
      <c r="BH355" s="29">
        <f t="shared" ca="1" si="200"/>
        <v>2</v>
      </c>
      <c r="BI355" s="29">
        <f t="shared" ca="1" si="200"/>
        <v>1</v>
      </c>
      <c r="BJ355" s="29">
        <f t="shared" ca="1" si="200"/>
        <v>1</v>
      </c>
      <c r="BK355" s="29">
        <f t="shared" ca="1" si="200"/>
        <v>0</v>
      </c>
      <c r="BL355" s="29">
        <f t="shared" ca="1" si="199"/>
        <v>2</v>
      </c>
      <c r="BM355" s="29">
        <f t="shared" ca="1" si="199"/>
        <v>0</v>
      </c>
      <c r="BN355" s="29">
        <f t="shared" ca="1" si="199"/>
        <v>1</v>
      </c>
      <c r="BO355" s="29">
        <f t="shared" ca="1" si="199"/>
        <v>1</v>
      </c>
      <c r="BP355" s="29">
        <f t="shared" ca="1" si="199"/>
        <v>0</v>
      </c>
      <c r="BQ355" s="29">
        <f t="shared" ca="1" si="199"/>
        <v>0</v>
      </c>
      <c r="BR355" s="29">
        <f t="shared" ca="1" si="199"/>
        <v>1</v>
      </c>
      <c r="BS355" s="29">
        <f t="shared" ca="1" si="199"/>
        <v>0</v>
      </c>
      <c r="BT355" s="29">
        <f t="shared" ca="1" si="199"/>
        <v>1</v>
      </c>
      <c r="BU355" s="29">
        <f t="shared" ca="1" si="199"/>
        <v>1</v>
      </c>
      <c r="BV355" s="29">
        <f t="shared" ca="1" si="199"/>
        <v>1</v>
      </c>
      <c r="BW355" s="29">
        <f t="shared" ca="1" si="199"/>
        <v>0</v>
      </c>
      <c r="BX355" s="29">
        <f t="shared" ca="1" si="199"/>
        <v>1</v>
      </c>
      <c r="BY355" s="29">
        <f t="shared" ca="1" si="199"/>
        <v>0</v>
      </c>
      <c r="BZ355" s="29">
        <f t="shared" ca="1" si="199"/>
        <v>1</v>
      </c>
      <c r="CA355" s="29">
        <f t="shared" ca="1" si="194"/>
        <v>1</v>
      </c>
      <c r="CB355" s="29">
        <f t="shared" ca="1" si="194"/>
        <v>0</v>
      </c>
      <c r="CC355" s="29">
        <f t="shared" ca="1" si="194"/>
        <v>0</v>
      </c>
      <c r="CD355" s="29">
        <f t="shared" ca="1" si="194"/>
        <v>0</v>
      </c>
      <c r="CE355" s="29">
        <f t="shared" ca="1" si="194"/>
        <v>0</v>
      </c>
      <c r="CF355" s="29">
        <f t="shared" ca="1" si="194"/>
        <v>1</v>
      </c>
      <c r="CG355" s="29">
        <f t="shared" ca="1" si="194"/>
        <v>1</v>
      </c>
      <c r="CH355" s="29">
        <f t="shared" ca="1" si="194"/>
        <v>0</v>
      </c>
      <c r="CI355" s="29">
        <f t="shared" ca="1" si="194"/>
        <v>0</v>
      </c>
      <c r="CJ355" s="29">
        <f t="shared" ca="1" si="194"/>
        <v>0</v>
      </c>
      <c r="CK355" s="29">
        <f t="shared" ca="1" si="194"/>
        <v>2</v>
      </c>
      <c r="CL355" s="29">
        <f t="shared" ca="1" si="194"/>
        <v>0</v>
      </c>
      <c r="CM355" s="29">
        <f t="shared" ca="1" si="194"/>
        <v>0</v>
      </c>
      <c r="CN355" s="29">
        <f t="shared" ca="1" si="194"/>
        <v>1</v>
      </c>
      <c r="CO355" s="29">
        <f t="shared" ca="1" si="194"/>
        <v>0</v>
      </c>
      <c r="CP355" s="29">
        <f t="shared" ca="1" si="194"/>
        <v>0</v>
      </c>
      <c r="CQ355" s="29">
        <f t="shared" ca="1" si="193"/>
        <v>0</v>
      </c>
      <c r="CR355" s="29">
        <f t="shared" ca="1" si="193"/>
        <v>0</v>
      </c>
      <c r="CS355" s="29">
        <f t="shared" ca="1" si="193"/>
        <v>1</v>
      </c>
      <c r="CT355" s="29">
        <f t="shared" ca="1" si="193"/>
        <v>0</v>
      </c>
      <c r="CU355" s="29">
        <f t="shared" ca="1" si="193"/>
        <v>0</v>
      </c>
      <c r="CV355" s="29">
        <f t="shared" ca="1" si="193"/>
        <v>0</v>
      </c>
      <c r="CW355" s="29">
        <f t="shared" ca="1" si="193"/>
        <v>0</v>
      </c>
      <c r="CX355" s="29">
        <f t="shared" ca="1" si="193"/>
        <v>0</v>
      </c>
      <c r="CY355" s="29">
        <f t="shared" ca="1" si="193"/>
        <v>3</v>
      </c>
      <c r="CZ355" s="29">
        <f t="shared" ca="1" si="193"/>
        <v>0</v>
      </c>
      <c r="DA355" s="29">
        <f t="shared" ca="1" si="193"/>
        <v>0</v>
      </c>
      <c r="DB355" s="29">
        <f t="shared" ca="1" si="193"/>
        <v>2</v>
      </c>
      <c r="DC355" s="29">
        <f t="shared" ca="1" si="193"/>
        <v>0</v>
      </c>
      <c r="DD355" s="29">
        <f t="shared" ca="1" si="193"/>
        <v>0</v>
      </c>
      <c r="DE355" s="29">
        <f t="shared" ca="1" si="193"/>
        <v>0</v>
      </c>
      <c r="DF355" s="29">
        <f t="shared" ca="1" si="196"/>
        <v>1</v>
      </c>
      <c r="DG355" s="29">
        <f t="shared" ca="1" si="196"/>
        <v>0</v>
      </c>
      <c r="DH355" s="29">
        <f t="shared" ca="1" si="196"/>
        <v>0</v>
      </c>
      <c r="DI355" s="29">
        <f t="shared" ca="1" si="196"/>
        <v>0</v>
      </c>
      <c r="DJ355" s="29">
        <f t="shared" ca="1" si="196"/>
        <v>1</v>
      </c>
      <c r="DK355" s="29">
        <f t="shared" ca="1" si="196"/>
        <v>0</v>
      </c>
      <c r="DL355" s="29">
        <f t="shared" ca="1" si="196"/>
        <v>0</v>
      </c>
    </row>
    <row r="356" spans="1:116" ht="14.4" x14ac:dyDescent="0.3">
      <c r="A356" s="31">
        <v>1085</v>
      </c>
      <c r="B356" s="28">
        <v>2.41</v>
      </c>
      <c r="C356" s="30">
        <v>87.69</v>
      </c>
      <c r="D356" s="28">
        <v>1.23</v>
      </c>
      <c r="E356" s="34">
        <f t="shared" si="180"/>
        <v>2.46E-2</v>
      </c>
      <c r="F356" s="35">
        <f t="shared" si="181"/>
        <v>21.922499999999999</v>
      </c>
      <c r="G356" s="34">
        <f t="shared" si="182"/>
        <v>30.75</v>
      </c>
      <c r="H356" s="33">
        <f t="shared" si="183"/>
        <v>3.662863070539419</v>
      </c>
      <c r="I356" s="28">
        <f t="shared" si="186"/>
        <v>1435.5200000000007</v>
      </c>
      <c r="J356" s="32">
        <v>0</v>
      </c>
      <c r="K356" s="30">
        <f t="shared" si="184"/>
        <v>30.75</v>
      </c>
      <c r="L356" s="30"/>
      <c r="M356" s="30"/>
      <c r="N356" s="30"/>
      <c r="O356" s="30"/>
      <c r="Q356" s="29">
        <f t="shared" ca="1" si="185"/>
        <v>2</v>
      </c>
      <c r="R356" s="29">
        <f t="shared" ca="1" si="198"/>
        <v>0</v>
      </c>
      <c r="S356" s="29">
        <f t="shared" ca="1" si="198"/>
        <v>2</v>
      </c>
      <c r="T356" s="29">
        <f t="shared" ca="1" si="198"/>
        <v>1</v>
      </c>
      <c r="U356" s="29">
        <f t="shared" ca="1" si="198"/>
        <v>1</v>
      </c>
      <c r="V356" s="29">
        <f t="shared" ca="1" si="198"/>
        <v>3</v>
      </c>
      <c r="W356" s="29">
        <f t="shared" ca="1" si="198"/>
        <v>2</v>
      </c>
      <c r="X356" s="29">
        <f t="shared" ca="1" si="198"/>
        <v>1</v>
      </c>
      <c r="Y356" s="29">
        <f t="shared" ca="1" si="198"/>
        <v>0</v>
      </c>
      <c r="Z356" s="29">
        <f t="shared" ca="1" si="198"/>
        <v>0</v>
      </c>
      <c r="AA356" s="29">
        <f t="shared" ca="1" si="198"/>
        <v>2</v>
      </c>
      <c r="AB356" s="29">
        <f t="shared" ca="1" si="198"/>
        <v>0</v>
      </c>
      <c r="AC356" s="29">
        <f t="shared" ca="1" si="198"/>
        <v>2</v>
      </c>
      <c r="AD356" s="29">
        <f t="shared" ca="1" si="198"/>
        <v>0</v>
      </c>
      <c r="AE356" s="29">
        <f t="shared" ca="1" si="198"/>
        <v>2</v>
      </c>
      <c r="AF356" s="29">
        <f t="shared" ca="1" si="198"/>
        <v>0</v>
      </c>
      <c r="AG356" s="29">
        <f t="shared" ca="1" si="197"/>
        <v>2</v>
      </c>
      <c r="AH356" s="29">
        <f t="shared" ca="1" si="197"/>
        <v>2</v>
      </c>
      <c r="AI356" s="29">
        <f t="shared" ca="1" si="197"/>
        <v>2</v>
      </c>
      <c r="AJ356" s="29">
        <f t="shared" ca="1" si="197"/>
        <v>2</v>
      </c>
      <c r="AK356" s="29">
        <f t="shared" ca="1" si="197"/>
        <v>1</v>
      </c>
      <c r="AL356" s="29">
        <f t="shared" ca="1" si="197"/>
        <v>2</v>
      </c>
      <c r="AM356" s="29">
        <f t="shared" ca="1" si="197"/>
        <v>0</v>
      </c>
      <c r="AN356" s="29">
        <f t="shared" ca="1" si="197"/>
        <v>2</v>
      </c>
      <c r="AO356" s="29">
        <f t="shared" ca="1" si="197"/>
        <v>1</v>
      </c>
      <c r="AP356" s="29">
        <f t="shared" ca="1" si="197"/>
        <v>1</v>
      </c>
      <c r="AQ356" s="29">
        <f t="shared" ca="1" si="197"/>
        <v>1</v>
      </c>
      <c r="AR356" s="29">
        <f t="shared" ca="1" si="197"/>
        <v>0</v>
      </c>
      <c r="AS356" s="29">
        <f t="shared" ca="1" si="197"/>
        <v>0</v>
      </c>
      <c r="AT356" s="29">
        <f t="shared" ca="1" si="197"/>
        <v>1</v>
      </c>
      <c r="AU356" s="29">
        <f t="shared" ca="1" si="197"/>
        <v>2</v>
      </c>
      <c r="AV356" s="29">
        <f t="shared" ca="1" si="200"/>
        <v>2</v>
      </c>
      <c r="AW356" s="29">
        <f t="shared" ca="1" si="200"/>
        <v>1</v>
      </c>
      <c r="AX356" s="29">
        <f t="shared" ca="1" si="200"/>
        <v>0</v>
      </c>
      <c r="AY356" s="29">
        <f t="shared" ca="1" si="200"/>
        <v>2</v>
      </c>
      <c r="AZ356" s="29">
        <f t="shared" ca="1" si="200"/>
        <v>0</v>
      </c>
      <c r="BA356" s="29">
        <f t="shared" ca="1" si="200"/>
        <v>0</v>
      </c>
      <c r="BB356" s="29">
        <f t="shared" ca="1" si="200"/>
        <v>2</v>
      </c>
      <c r="BC356" s="29">
        <f t="shared" ca="1" si="200"/>
        <v>0</v>
      </c>
      <c r="BD356" s="29">
        <f t="shared" ca="1" si="200"/>
        <v>0</v>
      </c>
      <c r="BE356" s="29">
        <f t="shared" ca="1" si="200"/>
        <v>1</v>
      </c>
      <c r="BF356" s="29">
        <f t="shared" ca="1" si="200"/>
        <v>0</v>
      </c>
      <c r="BG356" s="29">
        <f t="shared" ca="1" si="200"/>
        <v>1</v>
      </c>
      <c r="BH356" s="29">
        <f t="shared" ca="1" si="200"/>
        <v>2</v>
      </c>
      <c r="BI356" s="29">
        <f t="shared" ca="1" si="200"/>
        <v>4</v>
      </c>
      <c r="BJ356" s="29">
        <f t="shared" ca="1" si="200"/>
        <v>0</v>
      </c>
      <c r="BK356" s="29">
        <f t="shared" ca="1" si="200"/>
        <v>0</v>
      </c>
      <c r="BL356" s="29">
        <f t="shared" ca="1" si="199"/>
        <v>1</v>
      </c>
      <c r="BM356" s="29">
        <f t="shared" ca="1" si="199"/>
        <v>4</v>
      </c>
      <c r="BN356" s="29">
        <f t="shared" ca="1" si="199"/>
        <v>1</v>
      </c>
      <c r="BO356" s="29">
        <f t="shared" ca="1" si="199"/>
        <v>0</v>
      </c>
      <c r="BP356" s="29">
        <f t="shared" ca="1" si="199"/>
        <v>0</v>
      </c>
      <c r="BQ356" s="29">
        <f t="shared" ca="1" si="199"/>
        <v>3</v>
      </c>
      <c r="BR356" s="29">
        <f t="shared" ca="1" si="199"/>
        <v>0</v>
      </c>
      <c r="BS356" s="29">
        <f t="shared" ca="1" si="199"/>
        <v>1</v>
      </c>
      <c r="BT356" s="29">
        <f t="shared" ca="1" si="199"/>
        <v>0</v>
      </c>
      <c r="BU356" s="29">
        <f t="shared" ca="1" si="199"/>
        <v>0</v>
      </c>
      <c r="BV356" s="29">
        <f t="shared" ca="1" si="199"/>
        <v>0</v>
      </c>
      <c r="BW356" s="29">
        <f t="shared" ca="1" si="199"/>
        <v>1</v>
      </c>
      <c r="BX356" s="29">
        <f t="shared" ca="1" si="199"/>
        <v>1</v>
      </c>
      <c r="BY356" s="29">
        <f t="shared" ca="1" si="199"/>
        <v>1</v>
      </c>
      <c r="BZ356" s="29">
        <f t="shared" ca="1" si="199"/>
        <v>1</v>
      </c>
      <c r="CA356" s="29">
        <f t="shared" ca="1" si="194"/>
        <v>3</v>
      </c>
      <c r="CB356" s="29">
        <f t="shared" ca="1" si="194"/>
        <v>1</v>
      </c>
      <c r="CC356" s="29">
        <f t="shared" ca="1" si="194"/>
        <v>2</v>
      </c>
      <c r="CD356" s="29">
        <f t="shared" ca="1" si="194"/>
        <v>1</v>
      </c>
      <c r="CE356" s="29">
        <f t="shared" ca="1" si="194"/>
        <v>1</v>
      </c>
      <c r="CF356" s="29">
        <f t="shared" ca="1" si="194"/>
        <v>3</v>
      </c>
      <c r="CG356" s="29">
        <f t="shared" ca="1" si="194"/>
        <v>1</v>
      </c>
      <c r="CH356" s="29">
        <f t="shared" ca="1" si="194"/>
        <v>0</v>
      </c>
      <c r="CI356" s="29">
        <f t="shared" ca="1" si="194"/>
        <v>0</v>
      </c>
      <c r="CJ356" s="29">
        <f t="shared" ca="1" si="194"/>
        <v>3</v>
      </c>
      <c r="CK356" s="29">
        <f t="shared" ca="1" si="194"/>
        <v>0</v>
      </c>
      <c r="CL356" s="29">
        <f t="shared" ca="1" si="194"/>
        <v>1</v>
      </c>
      <c r="CM356" s="29">
        <f t="shared" ca="1" si="194"/>
        <v>0</v>
      </c>
      <c r="CN356" s="29">
        <f t="shared" ca="1" si="194"/>
        <v>2</v>
      </c>
      <c r="CO356" s="29">
        <f t="shared" ca="1" si="194"/>
        <v>2</v>
      </c>
      <c r="CP356" s="29">
        <f t="shared" ref="CP356:DE371" ca="1" si="201">_xlfn.BINOM.INV(50,$E356,RAND())</f>
        <v>1</v>
      </c>
      <c r="CQ356" s="29">
        <f t="shared" ca="1" si="201"/>
        <v>2</v>
      </c>
      <c r="CR356" s="29">
        <f t="shared" ca="1" si="201"/>
        <v>1</v>
      </c>
      <c r="CS356" s="29">
        <f t="shared" ca="1" si="201"/>
        <v>1</v>
      </c>
      <c r="CT356" s="29">
        <f t="shared" ca="1" si="201"/>
        <v>1</v>
      </c>
      <c r="CU356" s="29">
        <f t="shared" ca="1" si="201"/>
        <v>1</v>
      </c>
      <c r="CV356" s="29">
        <f t="shared" ca="1" si="201"/>
        <v>1</v>
      </c>
      <c r="CW356" s="29">
        <f t="shared" ca="1" si="201"/>
        <v>1</v>
      </c>
      <c r="CX356" s="29">
        <f t="shared" ca="1" si="201"/>
        <v>3</v>
      </c>
      <c r="CY356" s="29">
        <f t="shared" ca="1" si="201"/>
        <v>1</v>
      </c>
      <c r="CZ356" s="29">
        <f t="shared" ca="1" si="201"/>
        <v>1</v>
      </c>
      <c r="DA356" s="29">
        <f t="shared" ca="1" si="201"/>
        <v>0</v>
      </c>
      <c r="DB356" s="29">
        <f t="shared" ca="1" si="201"/>
        <v>1</v>
      </c>
      <c r="DC356" s="29">
        <f t="shared" ca="1" si="201"/>
        <v>0</v>
      </c>
      <c r="DD356" s="29">
        <f t="shared" ca="1" si="201"/>
        <v>1</v>
      </c>
      <c r="DE356" s="29">
        <f t="shared" ca="1" si="201"/>
        <v>1</v>
      </c>
      <c r="DF356" s="29">
        <f t="shared" ca="1" si="196"/>
        <v>1</v>
      </c>
      <c r="DG356" s="29">
        <f t="shared" ca="1" si="196"/>
        <v>0</v>
      </c>
      <c r="DH356" s="29">
        <f t="shared" ca="1" si="196"/>
        <v>0</v>
      </c>
      <c r="DI356" s="29">
        <f t="shared" ca="1" si="196"/>
        <v>3</v>
      </c>
      <c r="DJ356" s="29">
        <f t="shared" ca="1" si="196"/>
        <v>0</v>
      </c>
      <c r="DK356" s="29">
        <f t="shared" ca="1" si="196"/>
        <v>1</v>
      </c>
      <c r="DL356" s="29">
        <f t="shared" ca="1" si="196"/>
        <v>1</v>
      </c>
    </row>
    <row r="357" spans="1:116" ht="14.4" x14ac:dyDescent="0.3">
      <c r="A357" s="31">
        <v>498</v>
      </c>
      <c r="B357" s="28">
        <v>2.1800000000000002</v>
      </c>
      <c r="C357" s="30">
        <v>30.95</v>
      </c>
      <c r="D357" s="28">
        <v>0.61</v>
      </c>
      <c r="E357" s="34">
        <f t="shared" si="180"/>
        <v>1.2199999999999999E-2</v>
      </c>
      <c r="F357" s="35">
        <f t="shared" si="181"/>
        <v>7.7374999999999998</v>
      </c>
      <c r="G357" s="34">
        <f t="shared" si="182"/>
        <v>15.25</v>
      </c>
      <c r="H357" s="33">
        <f t="shared" si="183"/>
        <v>3.4461009174311923</v>
      </c>
      <c r="I357" s="28">
        <f t="shared" si="186"/>
        <v>1437.7000000000007</v>
      </c>
      <c r="J357" s="32">
        <v>0</v>
      </c>
      <c r="K357" s="30">
        <f t="shared" si="184"/>
        <v>15.25</v>
      </c>
      <c r="L357" s="30"/>
      <c r="M357" s="30"/>
      <c r="N357" s="30"/>
      <c r="O357" s="30"/>
      <c r="Q357" s="29">
        <f t="shared" ca="1" si="185"/>
        <v>0</v>
      </c>
      <c r="R357" s="29">
        <f t="shared" ca="1" si="198"/>
        <v>1</v>
      </c>
      <c r="S357" s="29">
        <f t="shared" ca="1" si="198"/>
        <v>0</v>
      </c>
      <c r="T357" s="29">
        <f t="shared" ca="1" si="198"/>
        <v>0</v>
      </c>
      <c r="U357" s="29">
        <f t="shared" ca="1" si="198"/>
        <v>1</v>
      </c>
      <c r="V357" s="29">
        <f t="shared" ca="1" si="198"/>
        <v>0</v>
      </c>
      <c r="W357" s="29">
        <f t="shared" ca="1" si="198"/>
        <v>1</v>
      </c>
      <c r="X357" s="29">
        <f t="shared" ca="1" si="198"/>
        <v>0</v>
      </c>
      <c r="Y357" s="29">
        <f t="shared" ca="1" si="198"/>
        <v>1</v>
      </c>
      <c r="Z357" s="29">
        <f t="shared" ca="1" si="198"/>
        <v>0</v>
      </c>
      <c r="AA357" s="29">
        <f t="shared" ca="1" si="198"/>
        <v>0</v>
      </c>
      <c r="AB357" s="29">
        <f t="shared" ca="1" si="198"/>
        <v>1</v>
      </c>
      <c r="AC357" s="29">
        <f t="shared" ca="1" si="198"/>
        <v>1</v>
      </c>
      <c r="AD357" s="29">
        <f t="shared" ca="1" si="198"/>
        <v>2</v>
      </c>
      <c r="AE357" s="29">
        <f t="shared" ca="1" si="198"/>
        <v>0</v>
      </c>
      <c r="AF357" s="29">
        <f t="shared" ca="1" si="198"/>
        <v>0</v>
      </c>
      <c r="AG357" s="29">
        <f t="shared" ca="1" si="197"/>
        <v>0</v>
      </c>
      <c r="AH357" s="29">
        <f t="shared" ca="1" si="197"/>
        <v>0</v>
      </c>
      <c r="AI357" s="29">
        <f t="shared" ca="1" si="197"/>
        <v>0</v>
      </c>
      <c r="AJ357" s="29">
        <f t="shared" ca="1" si="197"/>
        <v>0</v>
      </c>
      <c r="AK357" s="29">
        <f t="shared" ca="1" si="197"/>
        <v>0</v>
      </c>
      <c r="AL357" s="29">
        <f t="shared" ca="1" si="197"/>
        <v>0</v>
      </c>
      <c r="AM357" s="29">
        <f t="shared" ca="1" si="197"/>
        <v>0</v>
      </c>
      <c r="AN357" s="29">
        <f t="shared" ca="1" si="197"/>
        <v>2</v>
      </c>
      <c r="AO357" s="29">
        <f t="shared" ca="1" si="197"/>
        <v>0</v>
      </c>
      <c r="AP357" s="29">
        <f t="shared" ca="1" si="197"/>
        <v>0</v>
      </c>
      <c r="AQ357" s="29">
        <f t="shared" ca="1" si="197"/>
        <v>1</v>
      </c>
      <c r="AR357" s="29">
        <f t="shared" ca="1" si="197"/>
        <v>0</v>
      </c>
      <c r="AS357" s="29">
        <f t="shared" ca="1" si="197"/>
        <v>2</v>
      </c>
      <c r="AT357" s="29">
        <f t="shared" ca="1" si="197"/>
        <v>0</v>
      </c>
      <c r="AU357" s="29">
        <f t="shared" ca="1" si="197"/>
        <v>0</v>
      </c>
      <c r="AV357" s="29">
        <f t="shared" ca="1" si="200"/>
        <v>2</v>
      </c>
      <c r="AW357" s="29">
        <f t="shared" ca="1" si="200"/>
        <v>0</v>
      </c>
      <c r="AX357" s="29">
        <f t="shared" ca="1" si="200"/>
        <v>0</v>
      </c>
      <c r="AY357" s="29">
        <f t="shared" ca="1" si="200"/>
        <v>0</v>
      </c>
      <c r="AZ357" s="29">
        <f t="shared" ca="1" si="200"/>
        <v>0</v>
      </c>
      <c r="BA357" s="29">
        <f t="shared" ca="1" si="200"/>
        <v>0</v>
      </c>
      <c r="BB357" s="29">
        <f t="shared" ca="1" si="200"/>
        <v>3</v>
      </c>
      <c r="BC357" s="29">
        <f t="shared" ca="1" si="200"/>
        <v>2</v>
      </c>
      <c r="BD357" s="29">
        <f t="shared" ca="1" si="200"/>
        <v>2</v>
      </c>
      <c r="BE357" s="29">
        <f t="shared" ca="1" si="200"/>
        <v>2</v>
      </c>
      <c r="BF357" s="29">
        <f t="shared" ca="1" si="200"/>
        <v>1</v>
      </c>
      <c r="BG357" s="29">
        <f t="shared" ca="1" si="200"/>
        <v>0</v>
      </c>
      <c r="BH357" s="29">
        <f t="shared" ca="1" si="200"/>
        <v>0</v>
      </c>
      <c r="BI357" s="29">
        <f t="shared" ca="1" si="200"/>
        <v>0</v>
      </c>
      <c r="BJ357" s="29">
        <f t="shared" ca="1" si="200"/>
        <v>1</v>
      </c>
      <c r="BK357" s="29">
        <f t="shared" ca="1" si="200"/>
        <v>0</v>
      </c>
      <c r="BL357" s="29">
        <f t="shared" ca="1" si="199"/>
        <v>1</v>
      </c>
      <c r="BM357" s="29">
        <f t="shared" ca="1" si="199"/>
        <v>0</v>
      </c>
      <c r="BN357" s="29">
        <f t="shared" ca="1" si="199"/>
        <v>0</v>
      </c>
      <c r="BO357" s="29">
        <f t="shared" ca="1" si="199"/>
        <v>0</v>
      </c>
      <c r="BP357" s="29">
        <f t="shared" ca="1" si="199"/>
        <v>0</v>
      </c>
      <c r="BQ357" s="29">
        <f t="shared" ca="1" si="199"/>
        <v>0</v>
      </c>
      <c r="BR357" s="29">
        <f t="shared" ca="1" si="199"/>
        <v>0</v>
      </c>
      <c r="BS357" s="29">
        <f t="shared" ca="1" si="199"/>
        <v>0</v>
      </c>
      <c r="BT357" s="29">
        <f t="shared" ca="1" si="199"/>
        <v>0</v>
      </c>
      <c r="BU357" s="29">
        <f t="shared" ca="1" si="199"/>
        <v>0</v>
      </c>
      <c r="BV357" s="29">
        <f t="shared" ca="1" si="199"/>
        <v>1</v>
      </c>
      <c r="BW357" s="29">
        <f t="shared" ca="1" si="199"/>
        <v>0</v>
      </c>
      <c r="BX357" s="29">
        <f t="shared" ca="1" si="199"/>
        <v>0</v>
      </c>
      <c r="BY357" s="29">
        <f t="shared" ca="1" si="199"/>
        <v>0</v>
      </c>
      <c r="BZ357" s="29">
        <f t="shared" ca="1" si="199"/>
        <v>1</v>
      </c>
      <c r="CA357" s="29">
        <f t="shared" ref="CA357:CP372" ca="1" si="202">_xlfn.BINOM.INV(50,$E357,RAND())</f>
        <v>0</v>
      </c>
      <c r="CB357" s="29">
        <f t="shared" ca="1" si="202"/>
        <v>2</v>
      </c>
      <c r="CC357" s="29">
        <f t="shared" ca="1" si="202"/>
        <v>0</v>
      </c>
      <c r="CD357" s="29">
        <f t="shared" ca="1" si="202"/>
        <v>0</v>
      </c>
      <c r="CE357" s="29">
        <f t="shared" ca="1" si="202"/>
        <v>1</v>
      </c>
      <c r="CF357" s="29">
        <f t="shared" ca="1" si="202"/>
        <v>0</v>
      </c>
      <c r="CG357" s="29">
        <f t="shared" ca="1" si="202"/>
        <v>0</v>
      </c>
      <c r="CH357" s="29">
        <f t="shared" ca="1" si="202"/>
        <v>0</v>
      </c>
      <c r="CI357" s="29">
        <f t="shared" ca="1" si="202"/>
        <v>0</v>
      </c>
      <c r="CJ357" s="29">
        <f t="shared" ca="1" si="202"/>
        <v>0</v>
      </c>
      <c r="CK357" s="29">
        <f t="shared" ca="1" si="202"/>
        <v>1</v>
      </c>
      <c r="CL357" s="29">
        <f t="shared" ca="1" si="202"/>
        <v>1</v>
      </c>
      <c r="CM357" s="29">
        <f t="shared" ca="1" si="202"/>
        <v>0</v>
      </c>
      <c r="CN357" s="29">
        <f t="shared" ca="1" si="202"/>
        <v>0</v>
      </c>
      <c r="CO357" s="29">
        <f t="shared" ca="1" si="202"/>
        <v>0</v>
      </c>
      <c r="CP357" s="29">
        <f t="shared" ca="1" si="202"/>
        <v>0</v>
      </c>
      <c r="CQ357" s="29">
        <f t="shared" ca="1" si="201"/>
        <v>1</v>
      </c>
      <c r="CR357" s="29">
        <f t="shared" ca="1" si="201"/>
        <v>0</v>
      </c>
      <c r="CS357" s="29">
        <f t="shared" ca="1" si="201"/>
        <v>0</v>
      </c>
      <c r="CT357" s="29">
        <f t="shared" ca="1" si="201"/>
        <v>2</v>
      </c>
      <c r="CU357" s="29">
        <f t="shared" ca="1" si="201"/>
        <v>3</v>
      </c>
      <c r="CV357" s="29">
        <f t="shared" ca="1" si="201"/>
        <v>0</v>
      </c>
      <c r="CW357" s="29">
        <f t="shared" ca="1" si="201"/>
        <v>0</v>
      </c>
      <c r="CX357" s="29">
        <f t="shared" ca="1" si="201"/>
        <v>0</v>
      </c>
      <c r="CY357" s="29">
        <f t="shared" ca="1" si="201"/>
        <v>1</v>
      </c>
      <c r="CZ357" s="29">
        <f t="shared" ca="1" si="201"/>
        <v>2</v>
      </c>
      <c r="DA357" s="29">
        <f t="shared" ca="1" si="201"/>
        <v>0</v>
      </c>
      <c r="DB357" s="29">
        <f t="shared" ca="1" si="201"/>
        <v>0</v>
      </c>
      <c r="DC357" s="29">
        <f t="shared" ca="1" si="201"/>
        <v>0</v>
      </c>
      <c r="DD357" s="29">
        <f t="shared" ca="1" si="201"/>
        <v>0</v>
      </c>
      <c r="DE357" s="29">
        <f t="shared" ca="1" si="201"/>
        <v>0</v>
      </c>
      <c r="DF357" s="29">
        <f t="shared" ca="1" si="196"/>
        <v>2</v>
      </c>
      <c r="DG357" s="29">
        <f t="shared" ca="1" si="196"/>
        <v>1</v>
      </c>
      <c r="DH357" s="29">
        <f t="shared" ca="1" si="196"/>
        <v>0</v>
      </c>
      <c r="DI357" s="29">
        <f t="shared" ca="1" si="196"/>
        <v>0</v>
      </c>
      <c r="DJ357" s="29">
        <f t="shared" ca="1" si="196"/>
        <v>0</v>
      </c>
      <c r="DK357" s="29">
        <f t="shared" ca="1" si="196"/>
        <v>1</v>
      </c>
      <c r="DL357" s="29">
        <f t="shared" ca="1" si="196"/>
        <v>0</v>
      </c>
    </row>
    <row r="358" spans="1:116" ht="14.4" x14ac:dyDescent="0.3">
      <c r="A358" s="31">
        <v>469</v>
      </c>
      <c r="B358" s="28">
        <v>1.1499999999999999</v>
      </c>
      <c r="C358" s="30">
        <v>82.61</v>
      </c>
      <c r="D358" s="28">
        <v>0.98</v>
      </c>
      <c r="E358" s="34">
        <f t="shared" si="180"/>
        <v>1.9599999999999999E-2</v>
      </c>
      <c r="F358" s="35">
        <f t="shared" si="181"/>
        <v>20.6525</v>
      </c>
      <c r="G358" s="34">
        <f t="shared" si="182"/>
        <v>24.5</v>
      </c>
      <c r="H358" s="33">
        <f t="shared" si="183"/>
        <v>3.3456521739130438</v>
      </c>
      <c r="I358" s="28">
        <f t="shared" si="186"/>
        <v>1438.8500000000008</v>
      </c>
      <c r="J358" s="32">
        <v>0</v>
      </c>
      <c r="K358" s="30">
        <f t="shared" si="184"/>
        <v>24.5</v>
      </c>
      <c r="L358" s="30"/>
      <c r="M358" s="30"/>
      <c r="N358" s="30"/>
      <c r="O358" s="30"/>
      <c r="Q358" s="29">
        <f t="shared" ca="1" si="185"/>
        <v>1</v>
      </c>
      <c r="R358" s="29">
        <f t="shared" ca="1" si="198"/>
        <v>1</v>
      </c>
      <c r="S358" s="29">
        <f t="shared" ca="1" si="198"/>
        <v>1</v>
      </c>
      <c r="T358" s="29">
        <f t="shared" ca="1" si="198"/>
        <v>0</v>
      </c>
      <c r="U358" s="29">
        <f t="shared" ca="1" si="198"/>
        <v>1</v>
      </c>
      <c r="V358" s="29">
        <f t="shared" ca="1" si="198"/>
        <v>2</v>
      </c>
      <c r="W358" s="29">
        <f t="shared" ca="1" si="198"/>
        <v>0</v>
      </c>
      <c r="X358" s="29">
        <f t="shared" ca="1" si="198"/>
        <v>1</v>
      </c>
      <c r="Y358" s="29">
        <f t="shared" ca="1" si="198"/>
        <v>1</v>
      </c>
      <c r="Z358" s="29">
        <f t="shared" ca="1" si="198"/>
        <v>2</v>
      </c>
      <c r="AA358" s="29">
        <f t="shared" ca="1" si="198"/>
        <v>0</v>
      </c>
      <c r="AB358" s="29">
        <f t="shared" ca="1" si="198"/>
        <v>0</v>
      </c>
      <c r="AC358" s="29">
        <f t="shared" ca="1" si="198"/>
        <v>3</v>
      </c>
      <c r="AD358" s="29">
        <f t="shared" ca="1" si="198"/>
        <v>1</v>
      </c>
      <c r="AE358" s="29">
        <f t="shared" ca="1" si="198"/>
        <v>0</v>
      </c>
      <c r="AF358" s="29">
        <f t="shared" ca="1" si="198"/>
        <v>0</v>
      </c>
      <c r="AG358" s="29">
        <f t="shared" ca="1" si="197"/>
        <v>4</v>
      </c>
      <c r="AH358" s="29">
        <f t="shared" ca="1" si="197"/>
        <v>1</v>
      </c>
      <c r="AI358" s="29">
        <f t="shared" ca="1" si="197"/>
        <v>4</v>
      </c>
      <c r="AJ358" s="29">
        <f t="shared" ca="1" si="197"/>
        <v>0</v>
      </c>
      <c r="AK358" s="29">
        <f t="shared" ca="1" si="197"/>
        <v>3</v>
      </c>
      <c r="AL358" s="29">
        <f t="shared" ca="1" si="197"/>
        <v>1</v>
      </c>
      <c r="AM358" s="29">
        <f t="shared" ca="1" si="197"/>
        <v>1</v>
      </c>
      <c r="AN358" s="29">
        <f t="shared" ca="1" si="197"/>
        <v>1</v>
      </c>
      <c r="AO358" s="29">
        <f t="shared" ca="1" si="197"/>
        <v>0</v>
      </c>
      <c r="AP358" s="29">
        <f t="shared" ca="1" si="197"/>
        <v>3</v>
      </c>
      <c r="AQ358" s="29">
        <f t="shared" ca="1" si="197"/>
        <v>3</v>
      </c>
      <c r="AR358" s="29">
        <f t="shared" ca="1" si="197"/>
        <v>1</v>
      </c>
      <c r="AS358" s="29">
        <f t="shared" ca="1" si="197"/>
        <v>2</v>
      </c>
      <c r="AT358" s="29">
        <f t="shared" ca="1" si="197"/>
        <v>0</v>
      </c>
      <c r="AU358" s="29">
        <f t="shared" ca="1" si="197"/>
        <v>0</v>
      </c>
      <c r="AV358" s="29">
        <f t="shared" ca="1" si="200"/>
        <v>3</v>
      </c>
      <c r="AW358" s="29">
        <f t="shared" ca="1" si="200"/>
        <v>1</v>
      </c>
      <c r="AX358" s="29">
        <f t="shared" ca="1" si="200"/>
        <v>1</v>
      </c>
      <c r="AY358" s="29">
        <f t="shared" ca="1" si="200"/>
        <v>0</v>
      </c>
      <c r="AZ358" s="29">
        <f t="shared" ca="1" si="200"/>
        <v>3</v>
      </c>
      <c r="BA358" s="29">
        <f t="shared" ca="1" si="200"/>
        <v>0</v>
      </c>
      <c r="BB358" s="29">
        <f t="shared" ca="1" si="200"/>
        <v>2</v>
      </c>
      <c r="BC358" s="29">
        <f t="shared" ca="1" si="200"/>
        <v>1</v>
      </c>
      <c r="BD358" s="29">
        <f t="shared" ca="1" si="200"/>
        <v>1</v>
      </c>
      <c r="BE358" s="29">
        <f t="shared" ca="1" si="200"/>
        <v>1</v>
      </c>
      <c r="BF358" s="29">
        <f t="shared" ca="1" si="200"/>
        <v>4</v>
      </c>
      <c r="BG358" s="29">
        <f t="shared" ca="1" si="200"/>
        <v>0</v>
      </c>
      <c r="BH358" s="29">
        <f t="shared" ca="1" si="200"/>
        <v>0</v>
      </c>
      <c r="BI358" s="29">
        <f t="shared" ca="1" si="200"/>
        <v>1</v>
      </c>
      <c r="BJ358" s="29">
        <f t="shared" ca="1" si="200"/>
        <v>2</v>
      </c>
      <c r="BK358" s="29">
        <f t="shared" ca="1" si="200"/>
        <v>3</v>
      </c>
      <c r="BL358" s="29">
        <f t="shared" ca="1" si="199"/>
        <v>0</v>
      </c>
      <c r="BM358" s="29">
        <f t="shared" ca="1" si="199"/>
        <v>1</v>
      </c>
      <c r="BN358" s="29">
        <f t="shared" ca="1" si="199"/>
        <v>1</v>
      </c>
      <c r="BO358" s="29">
        <f t="shared" ca="1" si="199"/>
        <v>3</v>
      </c>
      <c r="BP358" s="29">
        <f t="shared" ca="1" si="199"/>
        <v>1</v>
      </c>
      <c r="BQ358" s="29">
        <f t="shared" ca="1" si="199"/>
        <v>0</v>
      </c>
      <c r="BR358" s="29">
        <f t="shared" ca="1" si="199"/>
        <v>0</v>
      </c>
      <c r="BS358" s="29">
        <f t="shared" ca="1" si="199"/>
        <v>3</v>
      </c>
      <c r="BT358" s="29">
        <f t="shared" ca="1" si="199"/>
        <v>1</v>
      </c>
      <c r="BU358" s="29">
        <f t="shared" ca="1" si="199"/>
        <v>0</v>
      </c>
      <c r="BV358" s="29">
        <f t="shared" ca="1" si="199"/>
        <v>1</v>
      </c>
      <c r="BW358" s="29">
        <f t="shared" ca="1" si="199"/>
        <v>0</v>
      </c>
      <c r="BX358" s="29">
        <f t="shared" ca="1" si="199"/>
        <v>0</v>
      </c>
      <c r="BY358" s="29">
        <f t="shared" ca="1" si="199"/>
        <v>1</v>
      </c>
      <c r="BZ358" s="29">
        <f t="shared" ca="1" si="199"/>
        <v>1</v>
      </c>
      <c r="CA358" s="29">
        <f t="shared" ca="1" si="202"/>
        <v>0</v>
      </c>
      <c r="CB358" s="29">
        <f t="shared" ca="1" si="202"/>
        <v>0</v>
      </c>
      <c r="CC358" s="29">
        <f t="shared" ca="1" si="202"/>
        <v>1</v>
      </c>
      <c r="CD358" s="29">
        <f t="shared" ca="1" si="202"/>
        <v>0</v>
      </c>
      <c r="CE358" s="29">
        <f t="shared" ca="1" si="202"/>
        <v>0</v>
      </c>
      <c r="CF358" s="29">
        <f t="shared" ca="1" si="202"/>
        <v>2</v>
      </c>
      <c r="CG358" s="29">
        <f t="shared" ca="1" si="202"/>
        <v>1</v>
      </c>
      <c r="CH358" s="29">
        <f t="shared" ca="1" si="202"/>
        <v>2</v>
      </c>
      <c r="CI358" s="29">
        <f t="shared" ca="1" si="202"/>
        <v>0</v>
      </c>
      <c r="CJ358" s="29">
        <f t="shared" ca="1" si="202"/>
        <v>2</v>
      </c>
      <c r="CK358" s="29">
        <f t="shared" ca="1" si="202"/>
        <v>3</v>
      </c>
      <c r="CL358" s="29">
        <f t="shared" ca="1" si="202"/>
        <v>2</v>
      </c>
      <c r="CM358" s="29">
        <f t="shared" ca="1" si="202"/>
        <v>1</v>
      </c>
      <c r="CN358" s="29">
        <f t="shared" ca="1" si="202"/>
        <v>0</v>
      </c>
      <c r="CO358" s="29">
        <f t="shared" ca="1" si="202"/>
        <v>1</v>
      </c>
      <c r="CP358" s="29">
        <f t="shared" ca="1" si="202"/>
        <v>0</v>
      </c>
      <c r="CQ358" s="29">
        <f t="shared" ca="1" si="201"/>
        <v>1</v>
      </c>
      <c r="CR358" s="29">
        <f t="shared" ca="1" si="201"/>
        <v>0</v>
      </c>
      <c r="CS358" s="29">
        <f t="shared" ca="1" si="201"/>
        <v>0</v>
      </c>
      <c r="CT358" s="29">
        <f t="shared" ca="1" si="201"/>
        <v>1</v>
      </c>
      <c r="CU358" s="29">
        <f t="shared" ca="1" si="201"/>
        <v>1</v>
      </c>
      <c r="CV358" s="29">
        <f t="shared" ca="1" si="201"/>
        <v>0</v>
      </c>
      <c r="CW358" s="29">
        <f t="shared" ca="1" si="201"/>
        <v>3</v>
      </c>
      <c r="CX358" s="29">
        <f t="shared" ca="1" si="201"/>
        <v>0</v>
      </c>
      <c r="CY358" s="29">
        <f t="shared" ca="1" si="201"/>
        <v>3</v>
      </c>
      <c r="CZ358" s="29">
        <f t="shared" ca="1" si="201"/>
        <v>1</v>
      </c>
      <c r="DA358" s="29">
        <f t="shared" ca="1" si="201"/>
        <v>3</v>
      </c>
      <c r="DB358" s="29">
        <f t="shared" ca="1" si="201"/>
        <v>3</v>
      </c>
      <c r="DC358" s="29">
        <f t="shared" ca="1" si="201"/>
        <v>0</v>
      </c>
      <c r="DD358" s="29">
        <f t="shared" ca="1" si="201"/>
        <v>3</v>
      </c>
      <c r="DE358" s="29">
        <f t="shared" ca="1" si="201"/>
        <v>2</v>
      </c>
      <c r="DF358" s="29">
        <f t="shared" ca="1" si="196"/>
        <v>3</v>
      </c>
      <c r="DG358" s="29">
        <f t="shared" ca="1" si="196"/>
        <v>1</v>
      </c>
      <c r="DH358" s="29">
        <f t="shared" ca="1" si="196"/>
        <v>0</v>
      </c>
      <c r="DI358" s="29">
        <f t="shared" ca="1" si="196"/>
        <v>0</v>
      </c>
      <c r="DJ358" s="29">
        <f t="shared" ca="1" si="196"/>
        <v>0</v>
      </c>
      <c r="DK358" s="29">
        <f t="shared" ca="1" si="196"/>
        <v>0</v>
      </c>
      <c r="DL358" s="29">
        <f t="shared" ca="1" si="196"/>
        <v>0</v>
      </c>
    </row>
    <row r="359" spans="1:116" ht="14.4" x14ac:dyDescent="0.3">
      <c r="A359" s="31">
        <v>760</v>
      </c>
      <c r="B359" s="28">
        <v>5.25</v>
      </c>
      <c r="C359" s="30">
        <v>6.82</v>
      </c>
      <c r="D359" s="28">
        <v>0.69</v>
      </c>
      <c r="E359" s="34">
        <f t="shared" si="180"/>
        <v>1.38E-2</v>
      </c>
      <c r="F359" s="35">
        <f t="shared" si="181"/>
        <v>1.7050000000000001</v>
      </c>
      <c r="G359" s="34">
        <f t="shared" si="182"/>
        <v>17.25</v>
      </c>
      <c r="H359" s="33">
        <f t="shared" si="183"/>
        <v>2.960952380952381</v>
      </c>
      <c r="I359" s="28">
        <f t="shared" si="186"/>
        <v>1444.1000000000008</v>
      </c>
      <c r="J359" s="32">
        <v>0</v>
      </c>
      <c r="K359" s="30">
        <f t="shared" si="184"/>
        <v>17.25</v>
      </c>
      <c r="L359" s="30"/>
      <c r="M359" s="30"/>
      <c r="N359" s="30"/>
      <c r="O359" s="30"/>
      <c r="Q359" s="29">
        <f t="shared" ca="1" si="185"/>
        <v>1</v>
      </c>
      <c r="R359" s="29">
        <f t="shared" ca="1" si="198"/>
        <v>1</v>
      </c>
      <c r="S359" s="29">
        <f t="shared" ca="1" si="198"/>
        <v>3</v>
      </c>
      <c r="T359" s="29">
        <f t="shared" ca="1" si="198"/>
        <v>2</v>
      </c>
      <c r="U359" s="29">
        <f t="shared" ca="1" si="198"/>
        <v>0</v>
      </c>
      <c r="V359" s="29">
        <f t="shared" ca="1" si="198"/>
        <v>1</v>
      </c>
      <c r="W359" s="29">
        <f t="shared" ca="1" si="198"/>
        <v>1</v>
      </c>
      <c r="X359" s="29">
        <f t="shared" ca="1" si="198"/>
        <v>1</v>
      </c>
      <c r="Y359" s="29">
        <f t="shared" ca="1" si="198"/>
        <v>0</v>
      </c>
      <c r="Z359" s="29">
        <f t="shared" ca="1" si="198"/>
        <v>2</v>
      </c>
      <c r="AA359" s="29">
        <f t="shared" ca="1" si="198"/>
        <v>0</v>
      </c>
      <c r="AB359" s="29">
        <f t="shared" ca="1" si="198"/>
        <v>2</v>
      </c>
      <c r="AC359" s="29">
        <f t="shared" ca="1" si="198"/>
        <v>1</v>
      </c>
      <c r="AD359" s="29">
        <f t="shared" ca="1" si="198"/>
        <v>0</v>
      </c>
      <c r="AE359" s="29">
        <f t="shared" ca="1" si="198"/>
        <v>1</v>
      </c>
      <c r="AF359" s="29">
        <f t="shared" ca="1" si="198"/>
        <v>0</v>
      </c>
      <c r="AG359" s="29">
        <f t="shared" ca="1" si="197"/>
        <v>0</v>
      </c>
      <c r="AH359" s="29">
        <f t="shared" ca="1" si="197"/>
        <v>2</v>
      </c>
      <c r="AI359" s="29">
        <f t="shared" ca="1" si="197"/>
        <v>1</v>
      </c>
      <c r="AJ359" s="29">
        <f t="shared" ca="1" si="197"/>
        <v>0</v>
      </c>
      <c r="AK359" s="29">
        <f t="shared" ca="1" si="197"/>
        <v>0</v>
      </c>
      <c r="AL359" s="29">
        <f t="shared" ca="1" si="197"/>
        <v>0</v>
      </c>
      <c r="AM359" s="29">
        <f t="shared" ca="1" si="197"/>
        <v>1</v>
      </c>
      <c r="AN359" s="29">
        <f t="shared" ca="1" si="197"/>
        <v>0</v>
      </c>
      <c r="AO359" s="29">
        <f t="shared" ca="1" si="197"/>
        <v>0</v>
      </c>
      <c r="AP359" s="29">
        <f t="shared" ca="1" si="197"/>
        <v>0</v>
      </c>
      <c r="AQ359" s="29">
        <f t="shared" ca="1" si="197"/>
        <v>1</v>
      </c>
      <c r="AR359" s="29">
        <f t="shared" ca="1" si="197"/>
        <v>1</v>
      </c>
      <c r="AS359" s="29">
        <f t="shared" ca="1" si="197"/>
        <v>0</v>
      </c>
      <c r="AT359" s="29">
        <f t="shared" ca="1" si="197"/>
        <v>1</v>
      </c>
      <c r="AU359" s="29">
        <f t="shared" ca="1" si="197"/>
        <v>0</v>
      </c>
      <c r="AV359" s="29">
        <f t="shared" ca="1" si="200"/>
        <v>1</v>
      </c>
      <c r="AW359" s="29">
        <f t="shared" ca="1" si="200"/>
        <v>0</v>
      </c>
      <c r="AX359" s="29">
        <f t="shared" ca="1" si="200"/>
        <v>1</v>
      </c>
      <c r="AY359" s="29">
        <f t="shared" ca="1" si="200"/>
        <v>1</v>
      </c>
      <c r="AZ359" s="29">
        <f t="shared" ca="1" si="200"/>
        <v>0</v>
      </c>
      <c r="BA359" s="29">
        <f t="shared" ca="1" si="200"/>
        <v>0</v>
      </c>
      <c r="BB359" s="29">
        <f t="shared" ca="1" si="200"/>
        <v>1</v>
      </c>
      <c r="BC359" s="29">
        <f t="shared" ca="1" si="200"/>
        <v>0</v>
      </c>
      <c r="BD359" s="29">
        <f t="shared" ca="1" si="200"/>
        <v>0</v>
      </c>
      <c r="BE359" s="29">
        <f t="shared" ca="1" si="200"/>
        <v>1</v>
      </c>
      <c r="BF359" s="29">
        <f t="shared" ca="1" si="200"/>
        <v>0</v>
      </c>
      <c r="BG359" s="29">
        <f t="shared" ca="1" si="200"/>
        <v>1</v>
      </c>
      <c r="BH359" s="29">
        <f t="shared" ca="1" si="200"/>
        <v>1</v>
      </c>
      <c r="BI359" s="29">
        <f t="shared" ca="1" si="200"/>
        <v>1</v>
      </c>
      <c r="BJ359" s="29">
        <f t="shared" ca="1" si="200"/>
        <v>2</v>
      </c>
      <c r="BK359" s="29">
        <f t="shared" ca="1" si="200"/>
        <v>0</v>
      </c>
      <c r="BL359" s="29">
        <f t="shared" ca="1" si="199"/>
        <v>1</v>
      </c>
      <c r="BM359" s="29">
        <f t="shared" ca="1" si="199"/>
        <v>2</v>
      </c>
      <c r="BN359" s="29">
        <f t="shared" ca="1" si="199"/>
        <v>0</v>
      </c>
      <c r="BO359" s="29">
        <f t="shared" ca="1" si="199"/>
        <v>1</v>
      </c>
      <c r="BP359" s="29">
        <f t="shared" ca="1" si="199"/>
        <v>0</v>
      </c>
      <c r="BQ359" s="29">
        <f t="shared" ca="1" si="199"/>
        <v>0</v>
      </c>
      <c r="BR359" s="29">
        <f t="shared" ca="1" si="199"/>
        <v>1</v>
      </c>
      <c r="BS359" s="29">
        <f t="shared" ca="1" si="199"/>
        <v>1</v>
      </c>
      <c r="BT359" s="29">
        <f t="shared" ca="1" si="199"/>
        <v>1</v>
      </c>
      <c r="BU359" s="29">
        <f t="shared" ca="1" si="199"/>
        <v>1</v>
      </c>
      <c r="BV359" s="29">
        <f t="shared" ca="1" si="199"/>
        <v>1</v>
      </c>
      <c r="BW359" s="29">
        <f t="shared" ca="1" si="199"/>
        <v>1</v>
      </c>
      <c r="BX359" s="29">
        <f t="shared" ca="1" si="199"/>
        <v>0</v>
      </c>
      <c r="BY359" s="29">
        <f t="shared" ca="1" si="199"/>
        <v>0</v>
      </c>
      <c r="BZ359" s="29">
        <f t="shared" ca="1" si="199"/>
        <v>0</v>
      </c>
      <c r="CA359" s="29">
        <f t="shared" ca="1" si="202"/>
        <v>0</v>
      </c>
      <c r="CB359" s="29">
        <f t="shared" ca="1" si="202"/>
        <v>0</v>
      </c>
      <c r="CC359" s="29">
        <f t="shared" ca="1" si="202"/>
        <v>0</v>
      </c>
      <c r="CD359" s="29">
        <f t="shared" ca="1" si="202"/>
        <v>0</v>
      </c>
      <c r="CE359" s="29">
        <f t="shared" ca="1" si="202"/>
        <v>0</v>
      </c>
      <c r="CF359" s="29">
        <f t="shared" ca="1" si="202"/>
        <v>1</v>
      </c>
      <c r="CG359" s="29">
        <f t="shared" ca="1" si="202"/>
        <v>0</v>
      </c>
      <c r="CH359" s="29">
        <f t="shared" ca="1" si="202"/>
        <v>0</v>
      </c>
      <c r="CI359" s="29">
        <f t="shared" ca="1" si="202"/>
        <v>2</v>
      </c>
      <c r="CJ359" s="29">
        <f t="shared" ca="1" si="202"/>
        <v>0</v>
      </c>
      <c r="CK359" s="29">
        <f t="shared" ca="1" si="202"/>
        <v>1</v>
      </c>
      <c r="CL359" s="29">
        <f t="shared" ca="1" si="202"/>
        <v>0</v>
      </c>
      <c r="CM359" s="29">
        <f t="shared" ca="1" si="202"/>
        <v>0</v>
      </c>
      <c r="CN359" s="29">
        <f t="shared" ca="1" si="202"/>
        <v>0</v>
      </c>
      <c r="CO359" s="29">
        <f t="shared" ca="1" si="202"/>
        <v>0</v>
      </c>
      <c r="CP359" s="29">
        <f t="shared" ca="1" si="202"/>
        <v>0</v>
      </c>
      <c r="CQ359" s="29">
        <f t="shared" ca="1" si="201"/>
        <v>0</v>
      </c>
      <c r="CR359" s="29">
        <f t="shared" ca="1" si="201"/>
        <v>1</v>
      </c>
      <c r="CS359" s="29">
        <f t="shared" ca="1" si="201"/>
        <v>2</v>
      </c>
      <c r="CT359" s="29">
        <f t="shared" ca="1" si="201"/>
        <v>0</v>
      </c>
      <c r="CU359" s="29">
        <f t="shared" ca="1" si="201"/>
        <v>1</v>
      </c>
      <c r="CV359" s="29">
        <f t="shared" ca="1" si="201"/>
        <v>2</v>
      </c>
      <c r="CW359" s="29">
        <f t="shared" ca="1" si="201"/>
        <v>1</v>
      </c>
      <c r="CX359" s="29">
        <f t="shared" ca="1" si="201"/>
        <v>2</v>
      </c>
      <c r="CY359" s="29">
        <f t="shared" ca="1" si="201"/>
        <v>0</v>
      </c>
      <c r="CZ359" s="29">
        <f t="shared" ca="1" si="201"/>
        <v>0</v>
      </c>
      <c r="DA359" s="29">
        <f t="shared" ca="1" si="201"/>
        <v>1</v>
      </c>
      <c r="DB359" s="29">
        <f t="shared" ca="1" si="201"/>
        <v>1</v>
      </c>
      <c r="DC359" s="29">
        <f t="shared" ca="1" si="201"/>
        <v>0</v>
      </c>
      <c r="DD359" s="29">
        <f t="shared" ca="1" si="201"/>
        <v>1</v>
      </c>
      <c r="DE359" s="29">
        <f t="shared" ca="1" si="201"/>
        <v>1</v>
      </c>
      <c r="DF359" s="29">
        <f t="shared" ca="1" si="196"/>
        <v>0</v>
      </c>
      <c r="DG359" s="29">
        <f t="shared" ca="1" si="196"/>
        <v>1</v>
      </c>
      <c r="DH359" s="29">
        <f t="shared" ca="1" si="196"/>
        <v>0</v>
      </c>
      <c r="DI359" s="29">
        <f t="shared" ca="1" si="196"/>
        <v>0</v>
      </c>
      <c r="DJ359" s="29">
        <f t="shared" ca="1" si="196"/>
        <v>0</v>
      </c>
      <c r="DK359" s="29">
        <f t="shared" ca="1" si="196"/>
        <v>1</v>
      </c>
      <c r="DL359" s="29">
        <f t="shared" ca="1" si="196"/>
        <v>0</v>
      </c>
    </row>
    <row r="360" spans="1:116" ht="14.4" x14ac:dyDescent="0.3">
      <c r="A360" s="31">
        <v>445</v>
      </c>
      <c r="B360" s="28">
        <v>2.37</v>
      </c>
      <c r="C360" s="30">
        <v>65.23</v>
      </c>
      <c r="D360" s="28">
        <v>0.93</v>
      </c>
      <c r="E360" s="34">
        <f t="shared" si="180"/>
        <v>1.8600000000000002E-2</v>
      </c>
      <c r="F360" s="35">
        <f t="shared" si="181"/>
        <v>16.307500000000001</v>
      </c>
      <c r="G360" s="34">
        <f t="shared" si="182"/>
        <v>23.25</v>
      </c>
      <c r="H360" s="33">
        <f t="shared" si="183"/>
        <v>2.9293248945147674</v>
      </c>
      <c r="I360" s="28">
        <f t="shared" si="186"/>
        <v>1446.4700000000007</v>
      </c>
      <c r="J360" s="32">
        <v>0</v>
      </c>
      <c r="K360" s="30">
        <f t="shared" si="184"/>
        <v>23.25</v>
      </c>
      <c r="L360" s="30"/>
      <c r="M360" s="30"/>
      <c r="N360" s="30"/>
      <c r="O360" s="30"/>
      <c r="Q360" s="29">
        <f t="shared" ca="1" si="185"/>
        <v>1</v>
      </c>
      <c r="R360" s="29">
        <f t="shared" ca="1" si="198"/>
        <v>1</v>
      </c>
      <c r="S360" s="29">
        <f t="shared" ca="1" si="198"/>
        <v>1</v>
      </c>
      <c r="T360" s="29">
        <f t="shared" ca="1" si="198"/>
        <v>0</v>
      </c>
      <c r="U360" s="29">
        <f t="shared" ca="1" si="198"/>
        <v>0</v>
      </c>
      <c r="V360" s="29">
        <f t="shared" ca="1" si="198"/>
        <v>0</v>
      </c>
      <c r="W360" s="29">
        <f t="shared" ca="1" si="198"/>
        <v>1</v>
      </c>
      <c r="X360" s="29">
        <f t="shared" ca="1" si="198"/>
        <v>1</v>
      </c>
      <c r="Y360" s="29">
        <f t="shared" ca="1" si="198"/>
        <v>1</v>
      </c>
      <c r="Z360" s="29">
        <f t="shared" ca="1" si="198"/>
        <v>0</v>
      </c>
      <c r="AA360" s="29">
        <f t="shared" ca="1" si="198"/>
        <v>0</v>
      </c>
      <c r="AB360" s="29">
        <f t="shared" ca="1" si="198"/>
        <v>0</v>
      </c>
      <c r="AC360" s="29">
        <f t="shared" ca="1" si="198"/>
        <v>2</v>
      </c>
      <c r="AD360" s="29">
        <f t="shared" ca="1" si="198"/>
        <v>0</v>
      </c>
      <c r="AE360" s="29">
        <f t="shared" ca="1" si="198"/>
        <v>0</v>
      </c>
      <c r="AF360" s="29">
        <f t="shared" ca="1" si="198"/>
        <v>1</v>
      </c>
      <c r="AG360" s="29">
        <f t="shared" ca="1" si="197"/>
        <v>1</v>
      </c>
      <c r="AH360" s="29">
        <f t="shared" ca="1" si="197"/>
        <v>0</v>
      </c>
      <c r="AI360" s="29">
        <f t="shared" ca="1" si="197"/>
        <v>1</v>
      </c>
      <c r="AJ360" s="29">
        <f t="shared" ca="1" si="197"/>
        <v>3</v>
      </c>
      <c r="AK360" s="29">
        <f t="shared" ca="1" si="197"/>
        <v>2</v>
      </c>
      <c r="AL360" s="29">
        <f t="shared" ca="1" si="197"/>
        <v>1</v>
      </c>
      <c r="AM360" s="29">
        <f t="shared" ca="1" si="197"/>
        <v>0</v>
      </c>
      <c r="AN360" s="29">
        <f t="shared" ca="1" si="197"/>
        <v>1</v>
      </c>
      <c r="AO360" s="29">
        <f t="shared" ca="1" si="197"/>
        <v>0</v>
      </c>
      <c r="AP360" s="29">
        <f t="shared" ca="1" si="197"/>
        <v>3</v>
      </c>
      <c r="AQ360" s="29">
        <f t="shared" ca="1" si="197"/>
        <v>1</v>
      </c>
      <c r="AR360" s="29">
        <f t="shared" ca="1" si="197"/>
        <v>0</v>
      </c>
      <c r="AS360" s="29">
        <f t="shared" ca="1" si="197"/>
        <v>0</v>
      </c>
      <c r="AT360" s="29">
        <f t="shared" ca="1" si="197"/>
        <v>1</v>
      </c>
      <c r="AU360" s="29">
        <f t="shared" ca="1" si="197"/>
        <v>2</v>
      </c>
      <c r="AV360" s="29">
        <f t="shared" ca="1" si="200"/>
        <v>2</v>
      </c>
      <c r="AW360" s="29">
        <f t="shared" ca="1" si="200"/>
        <v>0</v>
      </c>
      <c r="AX360" s="29">
        <f t="shared" ca="1" si="200"/>
        <v>0</v>
      </c>
      <c r="AY360" s="29">
        <f t="shared" ca="1" si="200"/>
        <v>1</v>
      </c>
      <c r="AZ360" s="29">
        <f t="shared" ca="1" si="200"/>
        <v>1</v>
      </c>
      <c r="BA360" s="29">
        <f t="shared" ca="1" si="200"/>
        <v>0</v>
      </c>
      <c r="BB360" s="29">
        <f t="shared" ca="1" si="200"/>
        <v>1</v>
      </c>
      <c r="BC360" s="29">
        <f t="shared" ca="1" si="200"/>
        <v>2</v>
      </c>
      <c r="BD360" s="29">
        <f t="shared" ca="1" si="200"/>
        <v>2</v>
      </c>
      <c r="BE360" s="29">
        <f t="shared" ca="1" si="200"/>
        <v>0</v>
      </c>
      <c r="BF360" s="29">
        <f t="shared" ca="1" si="200"/>
        <v>2</v>
      </c>
      <c r="BG360" s="29">
        <f t="shared" ca="1" si="200"/>
        <v>1</v>
      </c>
      <c r="BH360" s="29">
        <f t="shared" ca="1" si="200"/>
        <v>0</v>
      </c>
      <c r="BI360" s="29">
        <f t="shared" ca="1" si="200"/>
        <v>0</v>
      </c>
      <c r="BJ360" s="29">
        <f t="shared" ca="1" si="200"/>
        <v>2</v>
      </c>
      <c r="BK360" s="29">
        <f t="shared" ca="1" si="200"/>
        <v>4</v>
      </c>
      <c r="BL360" s="29">
        <f t="shared" ca="1" si="199"/>
        <v>1</v>
      </c>
      <c r="BM360" s="29">
        <f t="shared" ca="1" si="199"/>
        <v>0</v>
      </c>
      <c r="BN360" s="29">
        <f t="shared" ca="1" si="199"/>
        <v>0</v>
      </c>
      <c r="BO360" s="29">
        <f t="shared" ca="1" si="199"/>
        <v>0</v>
      </c>
      <c r="BP360" s="29">
        <f t="shared" ca="1" si="199"/>
        <v>2</v>
      </c>
      <c r="BQ360" s="29">
        <f t="shared" ca="1" si="199"/>
        <v>2</v>
      </c>
      <c r="BR360" s="29">
        <f t="shared" ca="1" si="199"/>
        <v>0</v>
      </c>
      <c r="BS360" s="29">
        <f t="shared" ca="1" si="199"/>
        <v>0</v>
      </c>
      <c r="BT360" s="29">
        <f t="shared" ca="1" si="199"/>
        <v>0</v>
      </c>
      <c r="BU360" s="29">
        <f t="shared" ca="1" si="199"/>
        <v>1</v>
      </c>
      <c r="BV360" s="29">
        <f t="shared" ca="1" si="199"/>
        <v>1</v>
      </c>
      <c r="BW360" s="29">
        <f t="shared" ca="1" si="199"/>
        <v>1</v>
      </c>
      <c r="BX360" s="29">
        <f t="shared" ca="1" si="199"/>
        <v>0</v>
      </c>
      <c r="BY360" s="29">
        <f t="shared" ca="1" si="199"/>
        <v>1</v>
      </c>
      <c r="BZ360" s="29">
        <f t="shared" ca="1" si="199"/>
        <v>3</v>
      </c>
      <c r="CA360" s="29">
        <f t="shared" ca="1" si="202"/>
        <v>1</v>
      </c>
      <c r="CB360" s="29">
        <f t="shared" ca="1" si="202"/>
        <v>1</v>
      </c>
      <c r="CC360" s="29">
        <f t="shared" ca="1" si="202"/>
        <v>4</v>
      </c>
      <c r="CD360" s="29">
        <f t="shared" ca="1" si="202"/>
        <v>1</v>
      </c>
      <c r="CE360" s="29">
        <f t="shared" ca="1" si="202"/>
        <v>0</v>
      </c>
      <c r="CF360" s="29">
        <f t="shared" ca="1" si="202"/>
        <v>3</v>
      </c>
      <c r="CG360" s="29">
        <f t="shared" ca="1" si="202"/>
        <v>1</v>
      </c>
      <c r="CH360" s="29">
        <f t="shared" ca="1" si="202"/>
        <v>3</v>
      </c>
      <c r="CI360" s="29">
        <f t="shared" ca="1" si="202"/>
        <v>0</v>
      </c>
      <c r="CJ360" s="29">
        <f t="shared" ca="1" si="202"/>
        <v>1</v>
      </c>
      <c r="CK360" s="29">
        <f t="shared" ca="1" si="202"/>
        <v>3</v>
      </c>
      <c r="CL360" s="29">
        <f t="shared" ca="1" si="202"/>
        <v>1</v>
      </c>
      <c r="CM360" s="29">
        <f t="shared" ca="1" si="202"/>
        <v>1</v>
      </c>
      <c r="CN360" s="29">
        <f t="shared" ca="1" si="202"/>
        <v>0</v>
      </c>
      <c r="CO360" s="29">
        <f t="shared" ca="1" si="202"/>
        <v>0</v>
      </c>
      <c r="CP360" s="29">
        <f t="shared" ca="1" si="202"/>
        <v>0</v>
      </c>
      <c r="CQ360" s="29">
        <f t="shared" ca="1" si="201"/>
        <v>1</v>
      </c>
      <c r="CR360" s="29">
        <f t="shared" ca="1" si="201"/>
        <v>4</v>
      </c>
      <c r="CS360" s="29">
        <f t="shared" ca="1" si="201"/>
        <v>2</v>
      </c>
      <c r="CT360" s="29">
        <f t="shared" ca="1" si="201"/>
        <v>2</v>
      </c>
      <c r="CU360" s="29">
        <f t="shared" ca="1" si="201"/>
        <v>3</v>
      </c>
      <c r="CV360" s="29">
        <f t="shared" ca="1" si="201"/>
        <v>0</v>
      </c>
      <c r="CW360" s="29">
        <f t="shared" ca="1" si="201"/>
        <v>2</v>
      </c>
      <c r="CX360" s="29">
        <f t="shared" ca="1" si="201"/>
        <v>2</v>
      </c>
      <c r="CY360" s="29">
        <f t="shared" ca="1" si="201"/>
        <v>1</v>
      </c>
      <c r="CZ360" s="29">
        <f t="shared" ca="1" si="201"/>
        <v>1</v>
      </c>
      <c r="DA360" s="29">
        <f t="shared" ca="1" si="201"/>
        <v>1</v>
      </c>
      <c r="DB360" s="29">
        <f t="shared" ca="1" si="201"/>
        <v>1</v>
      </c>
      <c r="DC360" s="29">
        <f t="shared" ca="1" si="201"/>
        <v>0</v>
      </c>
      <c r="DD360" s="29">
        <f t="shared" ca="1" si="201"/>
        <v>1</v>
      </c>
      <c r="DE360" s="29">
        <f t="shared" ca="1" si="201"/>
        <v>0</v>
      </c>
      <c r="DF360" s="29">
        <f t="shared" ca="1" si="196"/>
        <v>2</v>
      </c>
      <c r="DG360" s="29">
        <f t="shared" ca="1" si="196"/>
        <v>2</v>
      </c>
      <c r="DH360" s="29">
        <f t="shared" ca="1" si="196"/>
        <v>0</v>
      </c>
      <c r="DI360" s="29">
        <f t="shared" ca="1" si="196"/>
        <v>1</v>
      </c>
      <c r="DJ360" s="29">
        <f t="shared" ca="1" si="196"/>
        <v>2</v>
      </c>
      <c r="DK360" s="29">
        <f t="shared" ca="1" si="196"/>
        <v>2</v>
      </c>
      <c r="DL360" s="29">
        <f t="shared" ca="1" si="196"/>
        <v>1</v>
      </c>
    </row>
    <row r="361" spans="1:116" ht="14.4" x14ac:dyDescent="0.3">
      <c r="A361" s="31">
        <v>515</v>
      </c>
      <c r="B361" s="28">
        <v>9.64</v>
      </c>
      <c r="C361" s="30">
        <v>4.74</v>
      </c>
      <c r="D361" s="28">
        <v>1.17</v>
      </c>
      <c r="E361" s="34">
        <f t="shared" si="180"/>
        <v>2.3399999999999997E-2</v>
      </c>
      <c r="F361" s="35">
        <f t="shared" si="181"/>
        <v>1.1850000000000001</v>
      </c>
      <c r="G361" s="34">
        <f t="shared" si="182"/>
        <v>29.25</v>
      </c>
      <c r="H361" s="33">
        <f t="shared" si="183"/>
        <v>2.9113070539419086</v>
      </c>
      <c r="I361" s="28">
        <f t="shared" si="186"/>
        <v>1456.1100000000008</v>
      </c>
      <c r="J361" s="32">
        <v>0</v>
      </c>
      <c r="K361" s="30">
        <f t="shared" si="184"/>
        <v>29.25</v>
      </c>
      <c r="L361" s="30"/>
      <c r="M361" s="30"/>
      <c r="N361" s="30"/>
      <c r="O361" s="30"/>
      <c r="Q361" s="29">
        <f t="shared" ca="1" si="185"/>
        <v>2</v>
      </c>
      <c r="R361" s="29">
        <f t="shared" ca="1" si="198"/>
        <v>0</v>
      </c>
      <c r="S361" s="29">
        <f t="shared" ca="1" si="198"/>
        <v>2</v>
      </c>
      <c r="T361" s="29">
        <f t="shared" ca="1" si="198"/>
        <v>0</v>
      </c>
      <c r="U361" s="29">
        <f t="shared" ca="1" si="198"/>
        <v>2</v>
      </c>
      <c r="V361" s="29">
        <f t="shared" ca="1" si="198"/>
        <v>1</v>
      </c>
      <c r="W361" s="29">
        <f t="shared" ca="1" si="198"/>
        <v>1</v>
      </c>
      <c r="X361" s="29">
        <f t="shared" ca="1" si="198"/>
        <v>1</v>
      </c>
      <c r="Y361" s="29">
        <f t="shared" ca="1" si="198"/>
        <v>0</v>
      </c>
      <c r="Z361" s="29">
        <f t="shared" ca="1" si="198"/>
        <v>1</v>
      </c>
      <c r="AA361" s="29">
        <f t="shared" ca="1" si="198"/>
        <v>1</v>
      </c>
      <c r="AB361" s="29">
        <f t="shared" ca="1" si="198"/>
        <v>1</v>
      </c>
      <c r="AC361" s="29">
        <f t="shared" ca="1" si="198"/>
        <v>2</v>
      </c>
      <c r="AD361" s="29">
        <f t="shared" ca="1" si="198"/>
        <v>0</v>
      </c>
      <c r="AE361" s="29">
        <f t="shared" ca="1" si="198"/>
        <v>3</v>
      </c>
      <c r="AF361" s="29">
        <f t="shared" ref="AF361:AU376" ca="1" si="203">_xlfn.BINOM.INV(50,$E361,RAND())</f>
        <v>2</v>
      </c>
      <c r="AG361" s="29">
        <f t="shared" ca="1" si="203"/>
        <v>0</v>
      </c>
      <c r="AH361" s="29">
        <f t="shared" ca="1" si="203"/>
        <v>0</v>
      </c>
      <c r="AI361" s="29">
        <f t="shared" ca="1" si="203"/>
        <v>0</v>
      </c>
      <c r="AJ361" s="29">
        <f t="shared" ca="1" si="203"/>
        <v>0</v>
      </c>
      <c r="AK361" s="29">
        <f t="shared" ca="1" si="203"/>
        <v>3</v>
      </c>
      <c r="AL361" s="29">
        <f t="shared" ca="1" si="203"/>
        <v>2</v>
      </c>
      <c r="AM361" s="29">
        <f t="shared" ca="1" si="203"/>
        <v>2</v>
      </c>
      <c r="AN361" s="29">
        <f t="shared" ca="1" si="203"/>
        <v>3</v>
      </c>
      <c r="AO361" s="29">
        <f t="shared" ca="1" si="203"/>
        <v>0</v>
      </c>
      <c r="AP361" s="29">
        <f t="shared" ca="1" si="203"/>
        <v>2</v>
      </c>
      <c r="AQ361" s="29">
        <f t="shared" ca="1" si="203"/>
        <v>2</v>
      </c>
      <c r="AR361" s="29">
        <f t="shared" ca="1" si="203"/>
        <v>1</v>
      </c>
      <c r="AS361" s="29">
        <f t="shared" ca="1" si="203"/>
        <v>2</v>
      </c>
      <c r="AT361" s="29">
        <f t="shared" ca="1" si="203"/>
        <v>3</v>
      </c>
      <c r="AU361" s="29">
        <f t="shared" ca="1" si="203"/>
        <v>2</v>
      </c>
      <c r="AV361" s="29">
        <f t="shared" ca="1" si="200"/>
        <v>0</v>
      </c>
      <c r="AW361" s="29">
        <f t="shared" ca="1" si="200"/>
        <v>2</v>
      </c>
      <c r="AX361" s="29">
        <f t="shared" ca="1" si="200"/>
        <v>0</v>
      </c>
      <c r="AY361" s="29">
        <f t="shared" ca="1" si="200"/>
        <v>0</v>
      </c>
      <c r="AZ361" s="29">
        <f t="shared" ca="1" si="200"/>
        <v>3</v>
      </c>
      <c r="BA361" s="29">
        <f t="shared" ca="1" si="200"/>
        <v>2</v>
      </c>
      <c r="BB361" s="29">
        <f t="shared" ca="1" si="200"/>
        <v>1</v>
      </c>
      <c r="BC361" s="29">
        <f t="shared" ca="1" si="200"/>
        <v>2</v>
      </c>
      <c r="BD361" s="29">
        <f t="shared" ca="1" si="200"/>
        <v>0</v>
      </c>
      <c r="BE361" s="29">
        <f t="shared" ca="1" si="200"/>
        <v>0</v>
      </c>
      <c r="BF361" s="29">
        <f t="shared" ca="1" si="200"/>
        <v>2</v>
      </c>
      <c r="BG361" s="29">
        <f t="shared" ca="1" si="200"/>
        <v>0</v>
      </c>
      <c r="BH361" s="29">
        <f t="shared" ca="1" si="200"/>
        <v>1</v>
      </c>
      <c r="BI361" s="29">
        <f t="shared" ca="1" si="200"/>
        <v>1</v>
      </c>
      <c r="BJ361" s="29">
        <f t="shared" ca="1" si="200"/>
        <v>2</v>
      </c>
      <c r="BK361" s="29">
        <f t="shared" ca="1" si="200"/>
        <v>0</v>
      </c>
      <c r="BL361" s="29">
        <f t="shared" ca="1" si="199"/>
        <v>2</v>
      </c>
      <c r="BM361" s="29">
        <f t="shared" ca="1" si="199"/>
        <v>1</v>
      </c>
      <c r="BN361" s="29">
        <f t="shared" ca="1" si="199"/>
        <v>0</v>
      </c>
      <c r="BO361" s="29">
        <f t="shared" ca="1" si="199"/>
        <v>0</v>
      </c>
      <c r="BP361" s="29">
        <f t="shared" ca="1" si="199"/>
        <v>0</v>
      </c>
      <c r="BQ361" s="29">
        <f t="shared" ca="1" si="199"/>
        <v>2</v>
      </c>
      <c r="BR361" s="29">
        <f t="shared" ca="1" si="199"/>
        <v>1</v>
      </c>
      <c r="BS361" s="29">
        <f t="shared" ca="1" si="199"/>
        <v>3</v>
      </c>
      <c r="BT361" s="29">
        <f t="shared" ca="1" si="199"/>
        <v>4</v>
      </c>
      <c r="BU361" s="29">
        <f t="shared" ca="1" si="199"/>
        <v>1</v>
      </c>
      <c r="BV361" s="29">
        <f t="shared" ca="1" si="199"/>
        <v>2</v>
      </c>
      <c r="BW361" s="29">
        <f t="shared" ca="1" si="199"/>
        <v>0</v>
      </c>
      <c r="BX361" s="29">
        <f t="shared" ca="1" si="199"/>
        <v>0</v>
      </c>
      <c r="BY361" s="29">
        <f t="shared" ca="1" si="199"/>
        <v>1</v>
      </c>
      <c r="BZ361" s="29">
        <f t="shared" ca="1" si="199"/>
        <v>0</v>
      </c>
      <c r="CA361" s="29">
        <f t="shared" ca="1" si="202"/>
        <v>2</v>
      </c>
      <c r="CB361" s="29">
        <f t="shared" ca="1" si="202"/>
        <v>1</v>
      </c>
      <c r="CC361" s="29">
        <f t="shared" ca="1" si="202"/>
        <v>0</v>
      </c>
      <c r="CD361" s="29">
        <f t="shared" ca="1" si="202"/>
        <v>2</v>
      </c>
      <c r="CE361" s="29">
        <f t="shared" ca="1" si="202"/>
        <v>0</v>
      </c>
      <c r="CF361" s="29">
        <f t="shared" ca="1" si="202"/>
        <v>1</v>
      </c>
      <c r="CG361" s="29">
        <f t="shared" ca="1" si="202"/>
        <v>1</v>
      </c>
      <c r="CH361" s="29">
        <f t="shared" ca="1" si="202"/>
        <v>1</v>
      </c>
      <c r="CI361" s="29">
        <f t="shared" ca="1" si="202"/>
        <v>1</v>
      </c>
      <c r="CJ361" s="29">
        <f t="shared" ca="1" si="202"/>
        <v>1</v>
      </c>
      <c r="CK361" s="29">
        <f t="shared" ca="1" si="202"/>
        <v>1</v>
      </c>
      <c r="CL361" s="29">
        <f t="shared" ca="1" si="202"/>
        <v>1</v>
      </c>
      <c r="CM361" s="29">
        <f t="shared" ca="1" si="202"/>
        <v>1</v>
      </c>
      <c r="CN361" s="29">
        <f t="shared" ca="1" si="202"/>
        <v>3</v>
      </c>
      <c r="CO361" s="29">
        <f t="shared" ca="1" si="202"/>
        <v>2</v>
      </c>
      <c r="CP361" s="29">
        <f t="shared" ca="1" si="202"/>
        <v>0</v>
      </c>
      <c r="CQ361" s="29">
        <f t="shared" ca="1" si="201"/>
        <v>3</v>
      </c>
      <c r="CR361" s="29">
        <f t="shared" ca="1" si="201"/>
        <v>0</v>
      </c>
      <c r="CS361" s="29">
        <f t="shared" ca="1" si="201"/>
        <v>2</v>
      </c>
      <c r="CT361" s="29">
        <f t="shared" ca="1" si="201"/>
        <v>2</v>
      </c>
      <c r="CU361" s="29">
        <f t="shared" ca="1" si="201"/>
        <v>1</v>
      </c>
      <c r="CV361" s="29">
        <f t="shared" ca="1" si="201"/>
        <v>2</v>
      </c>
      <c r="CW361" s="29">
        <f t="shared" ca="1" si="201"/>
        <v>1</v>
      </c>
      <c r="CX361" s="29">
        <f t="shared" ca="1" si="201"/>
        <v>1</v>
      </c>
      <c r="CY361" s="29">
        <f t="shared" ca="1" si="201"/>
        <v>2</v>
      </c>
      <c r="CZ361" s="29">
        <f t="shared" ca="1" si="201"/>
        <v>1</v>
      </c>
      <c r="DA361" s="29">
        <f t="shared" ca="1" si="201"/>
        <v>0</v>
      </c>
      <c r="DB361" s="29">
        <f t="shared" ca="1" si="201"/>
        <v>1</v>
      </c>
      <c r="DC361" s="29">
        <f t="shared" ca="1" si="201"/>
        <v>0</v>
      </c>
      <c r="DD361" s="29">
        <f t="shared" ca="1" si="201"/>
        <v>1</v>
      </c>
      <c r="DE361" s="29">
        <f t="shared" ca="1" si="201"/>
        <v>1</v>
      </c>
      <c r="DF361" s="29">
        <f t="shared" ca="1" si="196"/>
        <v>0</v>
      </c>
      <c r="DG361" s="29">
        <f t="shared" ca="1" si="196"/>
        <v>0</v>
      </c>
      <c r="DH361" s="29">
        <f t="shared" ca="1" si="196"/>
        <v>1</v>
      </c>
      <c r="DI361" s="29">
        <f t="shared" ca="1" si="196"/>
        <v>1</v>
      </c>
      <c r="DJ361" s="29">
        <f t="shared" ca="1" si="196"/>
        <v>0</v>
      </c>
      <c r="DK361" s="29">
        <f t="shared" ca="1" si="196"/>
        <v>0</v>
      </c>
      <c r="DL361" s="29">
        <f t="shared" ca="1" si="196"/>
        <v>2</v>
      </c>
    </row>
    <row r="362" spans="1:116" ht="14.4" x14ac:dyDescent="0.3">
      <c r="A362" s="31">
        <v>55</v>
      </c>
      <c r="B362" s="28">
        <v>8.9600000000000009</v>
      </c>
      <c r="C362" s="30">
        <v>8.01</v>
      </c>
      <c r="D362" s="28">
        <v>1.1200000000000001</v>
      </c>
      <c r="E362" s="34">
        <f t="shared" si="180"/>
        <v>2.2400000000000003E-2</v>
      </c>
      <c r="F362" s="35">
        <f t="shared" si="181"/>
        <v>2.0024999999999999</v>
      </c>
      <c r="G362" s="34">
        <f t="shared" si="182"/>
        <v>28.000000000000004</v>
      </c>
      <c r="H362" s="33">
        <f t="shared" si="183"/>
        <v>2.9015066964285716</v>
      </c>
      <c r="I362" s="28">
        <f t="shared" si="186"/>
        <v>1465.0700000000008</v>
      </c>
      <c r="J362" s="32">
        <v>0</v>
      </c>
      <c r="K362" s="30">
        <f t="shared" si="184"/>
        <v>28.000000000000004</v>
      </c>
      <c r="L362" s="30"/>
      <c r="M362" s="30"/>
      <c r="N362" s="30"/>
      <c r="O362" s="30"/>
      <c r="Q362" s="29">
        <f t="shared" ca="1" si="185"/>
        <v>2</v>
      </c>
      <c r="R362" s="29">
        <f t="shared" ref="R362:AF377" ca="1" si="204">_xlfn.BINOM.INV(50,$E362,RAND())</f>
        <v>1</v>
      </c>
      <c r="S362" s="29">
        <f t="shared" ca="1" si="204"/>
        <v>0</v>
      </c>
      <c r="T362" s="29">
        <f t="shared" ca="1" si="204"/>
        <v>0</v>
      </c>
      <c r="U362" s="29">
        <f t="shared" ca="1" si="204"/>
        <v>1</v>
      </c>
      <c r="V362" s="29">
        <f t="shared" ca="1" si="204"/>
        <v>1</v>
      </c>
      <c r="W362" s="29">
        <f t="shared" ca="1" si="204"/>
        <v>0</v>
      </c>
      <c r="X362" s="29">
        <f t="shared" ca="1" si="204"/>
        <v>0</v>
      </c>
      <c r="Y362" s="29">
        <f t="shared" ca="1" si="204"/>
        <v>1</v>
      </c>
      <c r="Z362" s="29">
        <f t="shared" ca="1" si="204"/>
        <v>0</v>
      </c>
      <c r="AA362" s="29">
        <f t="shared" ca="1" si="204"/>
        <v>3</v>
      </c>
      <c r="AB362" s="29">
        <f t="shared" ca="1" si="204"/>
        <v>0</v>
      </c>
      <c r="AC362" s="29">
        <f t="shared" ca="1" si="204"/>
        <v>0</v>
      </c>
      <c r="AD362" s="29">
        <f t="shared" ca="1" si="204"/>
        <v>0</v>
      </c>
      <c r="AE362" s="29">
        <f t="shared" ca="1" si="204"/>
        <v>1</v>
      </c>
      <c r="AF362" s="29">
        <f t="shared" ca="1" si="204"/>
        <v>3</v>
      </c>
      <c r="AG362" s="29">
        <f t="shared" ca="1" si="203"/>
        <v>1</v>
      </c>
      <c r="AH362" s="29">
        <f t="shared" ca="1" si="203"/>
        <v>2</v>
      </c>
      <c r="AI362" s="29">
        <f t="shared" ca="1" si="203"/>
        <v>2</v>
      </c>
      <c r="AJ362" s="29">
        <f t="shared" ca="1" si="203"/>
        <v>3</v>
      </c>
      <c r="AK362" s="29">
        <f t="shared" ca="1" si="203"/>
        <v>0</v>
      </c>
      <c r="AL362" s="29">
        <f t="shared" ca="1" si="203"/>
        <v>1</v>
      </c>
      <c r="AM362" s="29">
        <f t="shared" ca="1" si="203"/>
        <v>2</v>
      </c>
      <c r="AN362" s="29">
        <f t="shared" ca="1" si="203"/>
        <v>0</v>
      </c>
      <c r="AO362" s="29">
        <f t="shared" ca="1" si="203"/>
        <v>2</v>
      </c>
      <c r="AP362" s="29">
        <f t="shared" ca="1" si="203"/>
        <v>0</v>
      </c>
      <c r="AQ362" s="29">
        <f t="shared" ca="1" si="203"/>
        <v>1</v>
      </c>
      <c r="AR362" s="29">
        <f t="shared" ca="1" si="203"/>
        <v>0</v>
      </c>
      <c r="AS362" s="29">
        <f t="shared" ca="1" si="203"/>
        <v>0</v>
      </c>
      <c r="AT362" s="29">
        <f t="shared" ca="1" si="203"/>
        <v>5</v>
      </c>
      <c r="AU362" s="29">
        <f t="shared" ca="1" si="203"/>
        <v>1</v>
      </c>
      <c r="AV362" s="29">
        <f t="shared" ca="1" si="200"/>
        <v>0</v>
      </c>
      <c r="AW362" s="29">
        <f t="shared" ca="1" si="200"/>
        <v>4</v>
      </c>
      <c r="AX362" s="29">
        <f t="shared" ca="1" si="200"/>
        <v>4</v>
      </c>
      <c r="AY362" s="29">
        <f t="shared" ca="1" si="200"/>
        <v>1</v>
      </c>
      <c r="AZ362" s="29">
        <f t="shared" ca="1" si="200"/>
        <v>1</v>
      </c>
      <c r="BA362" s="29">
        <f t="shared" ca="1" si="200"/>
        <v>1</v>
      </c>
      <c r="BB362" s="29">
        <f t="shared" ca="1" si="200"/>
        <v>0</v>
      </c>
      <c r="BC362" s="29">
        <f t="shared" ca="1" si="200"/>
        <v>0</v>
      </c>
      <c r="BD362" s="29">
        <f t="shared" ca="1" si="200"/>
        <v>0</v>
      </c>
      <c r="BE362" s="29">
        <f t="shared" ca="1" si="200"/>
        <v>0</v>
      </c>
      <c r="BF362" s="29">
        <f t="shared" ca="1" si="200"/>
        <v>1</v>
      </c>
      <c r="BG362" s="29">
        <f t="shared" ca="1" si="200"/>
        <v>2</v>
      </c>
      <c r="BH362" s="29">
        <f t="shared" ca="1" si="200"/>
        <v>0</v>
      </c>
      <c r="BI362" s="29">
        <f t="shared" ca="1" si="200"/>
        <v>1</v>
      </c>
      <c r="BJ362" s="29">
        <f t="shared" ca="1" si="200"/>
        <v>3</v>
      </c>
      <c r="BK362" s="29">
        <f t="shared" ca="1" si="200"/>
        <v>1</v>
      </c>
      <c r="BL362" s="29">
        <f t="shared" ca="1" si="199"/>
        <v>1</v>
      </c>
      <c r="BM362" s="29">
        <f t="shared" ca="1" si="199"/>
        <v>1</v>
      </c>
      <c r="BN362" s="29">
        <f t="shared" ca="1" si="199"/>
        <v>1</v>
      </c>
      <c r="BO362" s="29">
        <f t="shared" ca="1" si="199"/>
        <v>1</v>
      </c>
      <c r="BP362" s="29">
        <f t="shared" ca="1" si="199"/>
        <v>0</v>
      </c>
      <c r="BQ362" s="29">
        <f t="shared" ca="1" si="199"/>
        <v>0</v>
      </c>
      <c r="BR362" s="29">
        <f t="shared" ca="1" si="199"/>
        <v>0</v>
      </c>
      <c r="BS362" s="29">
        <f t="shared" ca="1" si="199"/>
        <v>0</v>
      </c>
      <c r="BT362" s="29">
        <f t="shared" ca="1" si="199"/>
        <v>2</v>
      </c>
      <c r="BU362" s="29">
        <f t="shared" ca="1" si="199"/>
        <v>2</v>
      </c>
      <c r="BV362" s="29">
        <f t="shared" ca="1" si="199"/>
        <v>1</v>
      </c>
      <c r="BW362" s="29">
        <f t="shared" ca="1" si="199"/>
        <v>0</v>
      </c>
      <c r="BX362" s="29">
        <f t="shared" ca="1" si="199"/>
        <v>1</v>
      </c>
      <c r="BY362" s="29">
        <f t="shared" ca="1" si="199"/>
        <v>0</v>
      </c>
      <c r="BZ362" s="29">
        <f t="shared" ca="1" si="199"/>
        <v>2</v>
      </c>
      <c r="CA362" s="29">
        <f t="shared" ca="1" si="202"/>
        <v>0</v>
      </c>
      <c r="CB362" s="29">
        <f t="shared" ca="1" si="202"/>
        <v>1</v>
      </c>
      <c r="CC362" s="29">
        <f t="shared" ca="1" si="202"/>
        <v>2</v>
      </c>
      <c r="CD362" s="29">
        <f t="shared" ca="1" si="202"/>
        <v>1</v>
      </c>
      <c r="CE362" s="29">
        <f t="shared" ca="1" si="202"/>
        <v>3</v>
      </c>
      <c r="CF362" s="29">
        <f t="shared" ca="1" si="202"/>
        <v>3</v>
      </c>
      <c r="CG362" s="29">
        <f t="shared" ca="1" si="202"/>
        <v>0</v>
      </c>
      <c r="CH362" s="29">
        <f t="shared" ca="1" si="202"/>
        <v>1</v>
      </c>
      <c r="CI362" s="29">
        <f t="shared" ca="1" si="202"/>
        <v>0</v>
      </c>
      <c r="CJ362" s="29">
        <f t="shared" ca="1" si="202"/>
        <v>2</v>
      </c>
      <c r="CK362" s="29">
        <f t="shared" ca="1" si="202"/>
        <v>1</v>
      </c>
      <c r="CL362" s="29">
        <f t="shared" ca="1" si="202"/>
        <v>0</v>
      </c>
      <c r="CM362" s="29">
        <f t="shared" ca="1" si="202"/>
        <v>1</v>
      </c>
      <c r="CN362" s="29">
        <f t="shared" ca="1" si="202"/>
        <v>0</v>
      </c>
      <c r="CO362" s="29">
        <f t="shared" ca="1" si="202"/>
        <v>3</v>
      </c>
      <c r="CP362" s="29">
        <f t="shared" ca="1" si="202"/>
        <v>0</v>
      </c>
      <c r="CQ362" s="29">
        <f t="shared" ca="1" si="201"/>
        <v>3</v>
      </c>
      <c r="CR362" s="29">
        <f t="shared" ca="1" si="201"/>
        <v>2</v>
      </c>
      <c r="CS362" s="29">
        <f t="shared" ca="1" si="201"/>
        <v>2</v>
      </c>
      <c r="CT362" s="29">
        <f t="shared" ca="1" si="201"/>
        <v>1</v>
      </c>
      <c r="CU362" s="29">
        <f t="shared" ca="1" si="201"/>
        <v>1</v>
      </c>
      <c r="CV362" s="29">
        <f t="shared" ca="1" si="201"/>
        <v>1</v>
      </c>
      <c r="CW362" s="29">
        <f t="shared" ca="1" si="201"/>
        <v>1</v>
      </c>
      <c r="CX362" s="29">
        <f t="shared" ca="1" si="201"/>
        <v>0</v>
      </c>
      <c r="CY362" s="29">
        <f t="shared" ca="1" si="201"/>
        <v>1</v>
      </c>
      <c r="CZ362" s="29">
        <f t="shared" ca="1" si="201"/>
        <v>2</v>
      </c>
      <c r="DA362" s="29">
        <f t="shared" ca="1" si="201"/>
        <v>1</v>
      </c>
      <c r="DB362" s="29">
        <f t="shared" ca="1" si="201"/>
        <v>2</v>
      </c>
      <c r="DC362" s="29">
        <f t="shared" ca="1" si="201"/>
        <v>1</v>
      </c>
      <c r="DD362" s="29">
        <f t="shared" ca="1" si="201"/>
        <v>1</v>
      </c>
      <c r="DE362" s="29">
        <f t="shared" ca="1" si="201"/>
        <v>0</v>
      </c>
      <c r="DF362" s="29">
        <f t="shared" ca="1" si="196"/>
        <v>1</v>
      </c>
      <c r="DG362" s="29">
        <f t="shared" ca="1" si="196"/>
        <v>1</v>
      </c>
      <c r="DH362" s="29">
        <f t="shared" ca="1" si="196"/>
        <v>3</v>
      </c>
      <c r="DI362" s="29">
        <f t="shared" ca="1" si="196"/>
        <v>0</v>
      </c>
      <c r="DJ362" s="29">
        <f t="shared" ca="1" si="196"/>
        <v>1</v>
      </c>
      <c r="DK362" s="29">
        <f t="shared" ca="1" si="196"/>
        <v>1</v>
      </c>
      <c r="DL362" s="29">
        <f t="shared" ca="1" si="196"/>
        <v>0</v>
      </c>
    </row>
    <row r="363" spans="1:116" ht="14.4" x14ac:dyDescent="0.3">
      <c r="A363" s="31">
        <v>993</v>
      </c>
      <c r="B363" s="28">
        <v>5.47</v>
      </c>
      <c r="C363" s="30">
        <v>1.45</v>
      </c>
      <c r="D363" s="28">
        <v>0.56999999999999995</v>
      </c>
      <c r="E363" s="34">
        <f t="shared" si="180"/>
        <v>1.1399999999999999E-2</v>
      </c>
      <c r="F363" s="35">
        <f t="shared" si="181"/>
        <v>0.36249999999999999</v>
      </c>
      <c r="G363" s="34">
        <f t="shared" si="182"/>
        <v>14.249999999999998</v>
      </c>
      <c r="H363" s="33">
        <f t="shared" si="183"/>
        <v>2.5388482632541129</v>
      </c>
      <c r="I363" s="28">
        <f t="shared" si="186"/>
        <v>1470.5400000000009</v>
      </c>
      <c r="J363" s="32">
        <v>0</v>
      </c>
      <c r="K363" s="30">
        <f t="shared" si="184"/>
        <v>14.249999999999998</v>
      </c>
      <c r="L363" s="30"/>
      <c r="M363" s="30"/>
      <c r="N363" s="30"/>
      <c r="O363" s="30"/>
      <c r="Q363" s="29">
        <f t="shared" ca="1" si="185"/>
        <v>1</v>
      </c>
      <c r="R363" s="29">
        <f t="shared" ca="1" si="204"/>
        <v>0</v>
      </c>
      <c r="S363" s="29">
        <f t="shared" ca="1" si="204"/>
        <v>0</v>
      </c>
      <c r="T363" s="29">
        <f t="shared" ca="1" si="204"/>
        <v>1</v>
      </c>
      <c r="U363" s="29">
        <f t="shared" ca="1" si="204"/>
        <v>2</v>
      </c>
      <c r="V363" s="29">
        <f t="shared" ca="1" si="204"/>
        <v>0</v>
      </c>
      <c r="W363" s="29">
        <f t="shared" ca="1" si="204"/>
        <v>1</v>
      </c>
      <c r="X363" s="29">
        <f t="shared" ca="1" si="204"/>
        <v>2</v>
      </c>
      <c r="Y363" s="29">
        <f t="shared" ca="1" si="204"/>
        <v>0</v>
      </c>
      <c r="Z363" s="29">
        <f t="shared" ca="1" si="204"/>
        <v>0</v>
      </c>
      <c r="AA363" s="29">
        <f t="shared" ca="1" si="204"/>
        <v>0</v>
      </c>
      <c r="AB363" s="29">
        <f t="shared" ca="1" si="204"/>
        <v>1</v>
      </c>
      <c r="AC363" s="29">
        <f t="shared" ca="1" si="204"/>
        <v>0</v>
      </c>
      <c r="AD363" s="29">
        <f t="shared" ca="1" si="204"/>
        <v>1</v>
      </c>
      <c r="AE363" s="29">
        <f t="shared" ca="1" si="204"/>
        <v>0</v>
      </c>
      <c r="AF363" s="29">
        <f t="shared" ca="1" si="204"/>
        <v>2</v>
      </c>
      <c r="AG363" s="29">
        <f t="shared" ca="1" si="203"/>
        <v>0</v>
      </c>
      <c r="AH363" s="29">
        <f t="shared" ca="1" si="203"/>
        <v>1</v>
      </c>
      <c r="AI363" s="29">
        <f t="shared" ca="1" si="203"/>
        <v>1</v>
      </c>
      <c r="AJ363" s="29">
        <f t="shared" ca="1" si="203"/>
        <v>0</v>
      </c>
      <c r="AK363" s="29">
        <f t="shared" ca="1" si="203"/>
        <v>0</v>
      </c>
      <c r="AL363" s="29">
        <f t="shared" ca="1" si="203"/>
        <v>2</v>
      </c>
      <c r="AM363" s="29">
        <f t="shared" ca="1" si="203"/>
        <v>1</v>
      </c>
      <c r="AN363" s="29">
        <f t="shared" ca="1" si="203"/>
        <v>2</v>
      </c>
      <c r="AO363" s="29">
        <f t="shared" ca="1" si="203"/>
        <v>0</v>
      </c>
      <c r="AP363" s="29">
        <f t="shared" ca="1" si="203"/>
        <v>1</v>
      </c>
      <c r="AQ363" s="29">
        <f t="shared" ca="1" si="203"/>
        <v>0</v>
      </c>
      <c r="AR363" s="29">
        <f t="shared" ca="1" si="203"/>
        <v>0</v>
      </c>
      <c r="AS363" s="29">
        <f t="shared" ca="1" si="203"/>
        <v>0</v>
      </c>
      <c r="AT363" s="29">
        <f t="shared" ca="1" si="203"/>
        <v>0</v>
      </c>
      <c r="AU363" s="29">
        <f t="shared" ca="1" si="203"/>
        <v>0</v>
      </c>
      <c r="AV363" s="29">
        <f t="shared" ca="1" si="200"/>
        <v>0</v>
      </c>
      <c r="AW363" s="29">
        <f t="shared" ca="1" si="200"/>
        <v>0</v>
      </c>
      <c r="AX363" s="29">
        <f t="shared" ca="1" si="200"/>
        <v>0</v>
      </c>
      <c r="AY363" s="29">
        <f t="shared" ca="1" si="200"/>
        <v>0</v>
      </c>
      <c r="AZ363" s="29">
        <f t="shared" ca="1" si="200"/>
        <v>0</v>
      </c>
      <c r="BA363" s="29">
        <f t="shared" ca="1" si="200"/>
        <v>0</v>
      </c>
      <c r="BB363" s="29">
        <f t="shared" ca="1" si="200"/>
        <v>0</v>
      </c>
      <c r="BC363" s="29">
        <f t="shared" ca="1" si="200"/>
        <v>1</v>
      </c>
      <c r="BD363" s="29">
        <f t="shared" ca="1" si="200"/>
        <v>1</v>
      </c>
      <c r="BE363" s="29">
        <f t="shared" ca="1" si="200"/>
        <v>3</v>
      </c>
      <c r="BF363" s="29">
        <f t="shared" ca="1" si="200"/>
        <v>0</v>
      </c>
      <c r="BG363" s="29">
        <f t="shared" ca="1" si="200"/>
        <v>2</v>
      </c>
      <c r="BH363" s="29">
        <f t="shared" ca="1" si="200"/>
        <v>1</v>
      </c>
      <c r="BI363" s="29">
        <f t="shared" ca="1" si="200"/>
        <v>0</v>
      </c>
      <c r="BJ363" s="29">
        <f t="shared" ca="1" si="200"/>
        <v>1</v>
      </c>
      <c r="BK363" s="29">
        <f t="shared" ca="1" si="200"/>
        <v>0</v>
      </c>
      <c r="BL363" s="29">
        <f t="shared" ca="1" si="199"/>
        <v>1</v>
      </c>
      <c r="BM363" s="29">
        <f t="shared" ca="1" si="199"/>
        <v>0</v>
      </c>
      <c r="BN363" s="29">
        <f t="shared" ca="1" si="199"/>
        <v>3</v>
      </c>
      <c r="BO363" s="29">
        <f t="shared" ca="1" si="199"/>
        <v>0</v>
      </c>
      <c r="BP363" s="29">
        <f t="shared" ca="1" si="199"/>
        <v>1</v>
      </c>
      <c r="BQ363" s="29">
        <f t="shared" ca="1" si="199"/>
        <v>0</v>
      </c>
      <c r="BR363" s="29">
        <f t="shared" ca="1" si="199"/>
        <v>0</v>
      </c>
      <c r="BS363" s="29">
        <f t="shared" ca="1" si="199"/>
        <v>0</v>
      </c>
      <c r="BT363" s="29">
        <f t="shared" ca="1" si="199"/>
        <v>1</v>
      </c>
      <c r="BU363" s="29">
        <f t="shared" ca="1" si="199"/>
        <v>0</v>
      </c>
      <c r="BV363" s="29">
        <f t="shared" ca="1" si="199"/>
        <v>0</v>
      </c>
      <c r="BW363" s="29">
        <f t="shared" ca="1" si="199"/>
        <v>0</v>
      </c>
      <c r="BX363" s="29">
        <f t="shared" ca="1" si="199"/>
        <v>0</v>
      </c>
      <c r="BY363" s="29">
        <f t="shared" ca="1" si="199"/>
        <v>1</v>
      </c>
      <c r="BZ363" s="29">
        <f t="shared" ca="1" si="199"/>
        <v>0</v>
      </c>
      <c r="CA363" s="29">
        <f t="shared" ca="1" si="202"/>
        <v>0</v>
      </c>
      <c r="CB363" s="29">
        <f t="shared" ca="1" si="202"/>
        <v>0</v>
      </c>
      <c r="CC363" s="29">
        <f t="shared" ca="1" si="202"/>
        <v>0</v>
      </c>
      <c r="CD363" s="29">
        <f t="shared" ca="1" si="202"/>
        <v>0</v>
      </c>
      <c r="CE363" s="29">
        <f t="shared" ca="1" si="202"/>
        <v>0</v>
      </c>
      <c r="CF363" s="29">
        <f t="shared" ca="1" si="202"/>
        <v>0</v>
      </c>
      <c r="CG363" s="29">
        <f t="shared" ca="1" si="202"/>
        <v>0</v>
      </c>
      <c r="CH363" s="29">
        <f t="shared" ca="1" si="202"/>
        <v>1</v>
      </c>
      <c r="CI363" s="29">
        <f t="shared" ca="1" si="202"/>
        <v>0</v>
      </c>
      <c r="CJ363" s="29">
        <f t="shared" ca="1" si="202"/>
        <v>0</v>
      </c>
      <c r="CK363" s="29">
        <f t="shared" ca="1" si="202"/>
        <v>0</v>
      </c>
      <c r="CL363" s="29">
        <f t="shared" ca="1" si="202"/>
        <v>0</v>
      </c>
      <c r="CM363" s="29">
        <f t="shared" ca="1" si="202"/>
        <v>1</v>
      </c>
      <c r="CN363" s="29">
        <f t="shared" ca="1" si="202"/>
        <v>1</v>
      </c>
      <c r="CO363" s="29">
        <f t="shared" ca="1" si="202"/>
        <v>0</v>
      </c>
      <c r="CP363" s="29">
        <f t="shared" ca="1" si="202"/>
        <v>0</v>
      </c>
      <c r="CQ363" s="29">
        <f t="shared" ca="1" si="201"/>
        <v>1</v>
      </c>
      <c r="CR363" s="29">
        <f t="shared" ca="1" si="201"/>
        <v>1</v>
      </c>
      <c r="CS363" s="29">
        <f t="shared" ca="1" si="201"/>
        <v>1</v>
      </c>
      <c r="CT363" s="29">
        <f t="shared" ca="1" si="201"/>
        <v>1</v>
      </c>
      <c r="CU363" s="29">
        <f t="shared" ca="1" si="201"/>
        <v>0</v>
      </c>
      <c r="CV363" s="29">
        <f t="shared" ca="1" si="201"/>
        <v>1</v>
      </c>
      <c r="CW363" s="29">
        <f t="shared" ca="1" si="201"/>
        <v>1</v>
      </c>
      <c r="CX363" s="29">
        <f t="shared" ca="1" si="201"/>
        <v>2</v>
      </c>
      <c r="CY363" s="29">
        <f t="shared" ca="1" si="201"/>
        <v>2</v>
      </c>
      <c r="CZ363" s="29">
        <f t="shared" ca="1" si="201"/>
        <v>0</v>
      </c>
      <c r="DA363" s="29">
        <f t="shared" ca="1" si="201"/>
        <v>1</v>
      </c>
      <c r="DB363" s="29">
        <f t="shared" ca="1" si="201"/>
        <v>0</v>
      </c>
      <c r="DC363" s="29">
        <f t="shared" ca="1" si="201"/>
        <v>0</v>
      </c>
      <c r="DD363" s="29">
        <f t="shared" ca="1" si="201"/>
        <v>0</v>
      </c>
      <c r="DE363" s="29">
        <f t="shared" ca="1" si="201"/>
        <v>1</v>
      </c>
      <c r="DF363" s="29">
        <f t="shared" ca="1" si="196"/>
        <v>0</v>
      </c>
      <c r="DG363" s="29">
        <f t="shared" ca="1" si="196"/>
        <v>4</v>
      </c>
      <c r="DH363" s="29">
        <f t="shared" ca="1" si="196"/>
        <v>0</v>
      </c>
      <c r="DI363" s="29">
        <f t="shared" ca="1" si="196"/>
        <v>0</v>
      </c>
      <c r="DJ363" s="29">
        <f t="shared" ca="1" si="196"/>
        <v>0</v>
      </c>
      <c r="DK363" s="29">
        <f t="shared" ca="1" si="196"/>
        <v>0</v>
      </c>
      <c r="DL363" s="29">
        <f t="shared" ca="1" si="196"/>
        <v>0</v>
      </c>
    </row>
    <row r="364" spans="1:116" ht="14.4" x14ac:dyDescent="0.3">
      <c r="A364" s="31">
        <v>375</v>
      </c>
      <c r="B364" s="28">
        <v>1.44</v>
      </c>
      <c r="C364" s="30">
        <v>51.83</v>
      </c>
      <c r="D364" s="28">
        <v>0.66</v>
      </c>
      <c r="E364" s="34">
        <f t="shared" si="180"/>
        <v>1.32E-2</v>
      </c>
      <c r="F364" s="35">
        <f t="shared" si="181"/>
        <v>12.9575</v>
      </c>
      <c r="G364" s="34">
        <f t="shared" si="182"/>
        <v>16.5</v>
      </c>
      <c r="H364" s="33">
        <f t="shared" si="183"/>
        <v>2.4600694444444446</v>
      </c>
      <c r="I364" s="28">
        <f t="shared" si="186"/>
        <v>1471.9800000000009</v>
      </c>
      <c r="J364" s="32">
        <v>0</v>
      </c>
      <c r="K364" s="30">
        <f t="shared" si="184"/>
        <v>16.5</v>
      </c>
      <c r="L364" s="30"/>
      <c r="M364" s="30"/>
      <c r="N364" s="30"/>
      <c r="O364" s="30"/>
      <c r="Q364" s="29">
        <f t="shared" ca="1" si="185"/>
        <v>0</v>
      </c>
      <c r="R364" s="29">
        <f t="shared" ca="1" si="204"/>
        <v>1</v>
      </c>
      <c r="S364" s="29">
        <f t="shared" ca="1" si="204"/>
        <v>0</v>
      </c>
      <c r="T364" s="29">
        <f t="shared" ca="1" si="204"/>
        <v>0</v>
      </c>
      <c r="U364" s="29">
        <f t="shared" ca="1" si="204"/>
        <v>1</v>
      </c>
      <c r="V364" s="29">
        <f t="shared" ca="1" si="204"/>
        <v>1</v>
      </c>
      <c r="W364" s="29">
        <f t="shared" ca="1" si="204"/>
        <v>0</v>
      </c>
      <c r="X364" s="29">
        <f t="shared" ca="1" si="204"/>
        <v>1</v>
      </c>
      <c r="Y364" s="29">
        <f t="shared" ca="1" si="204"/>
        <v>1</v>
      </c>
      <c r="Z364" s="29">
        <f t="shared" ca="1" si="204"/>
        <v>0</v>
      </c>
      <c r="AA364" s="29">
        <f t="shared" ca="1" si="204"/>
        <v>1</v>
      </c>
      <c r="AB364" s="29">
        <f t="shared" ca="1" si="204"/>
        <v>0</v>
      </c>
      <c r="AC364" s="29">
        <f t="shared" ca="1" si="204"/>
        <v>1</v>
      </c>
      <c r="AD364" s="29">
        <f t="shared" ca="1" si="204"/>
        <v>0</v>
      </c>
      <c r="AE364" s="29">
        <f t="shared" ca="1" si="204"/>
        <v>0</v>
      </c>
      <c r="AF364" s="29">
        <f t="shared" ca="1" si="204"/>
        <v>1</v>
      </c>
      <c r="AG364" s="29">
        <f t="shared" ca="1" si="203"/>
        <v>1</v>
      </c>
      <c r="AH364" s="29">
        <f t="shared" ca="1" si="203"/>
        <v>0</v>
      </c>
      <c r="AI364" s="29">
        <f t="shared" ca="1" si="203"/>
        <v>0</v>
      </c>
      <c r="AJ364" s="29">
        <f t="shared" ca="1" si="203"/>
        <v>0</v>
      </c>
      <c r="AK364" s="29">
        <f t="shared" ca="1" si="203"/>
        <v>2</v>
      </c>
      <c r="AL364" s="29">
        <f t="shared" ca="1" si="203"/>
        <v>0</v>
      </c>
      <c r="AM364" s="29">
        <f t="shared" ca="1" si="203"/>
        <v>1</v>
      </c>
      <c r="AN364" s="29">
        <f t="shared" ca="1" si="203"/>
        <v>2</v>
      </c>
      <c r="AO364" s="29">
        <f t="shared" ca="1" si="203"/>
        <v>0</v>
      </c>
      <c r="AP364" s="29">
        <f t="shared" ca="1" si="203"/>
        <v>0</v>
      </c>
      <c r="AQ364" s="29">
        <f t="shared" ca="1" si="203"/>
        <v>0</v>
      </c>
      <c r="AR364" s="29">
        <f t="shared" ca="1" si="203"/>
        <v>1</v>
      </c>
      <c r="AS364" s="29">
        <f t="shared" ca="1" si="203"/>
        <v>0</v>
      </c>
      <c r="AT364" s="29">
        <f t="shared" ca="1" si="203"/>
        <v>0</v>
      </c>
      <c r="AU364" s="29">
        <f t="shared" ca="1" si="203"/>
        <v>1</v>
      </c>
      <c r="AV364" s="29">
        <f t="shared" ca="1" si="200"/>
        <v>0</v>
      </c>
      <c r="AW364" s="29">
        <f t="shared" ca="1" si="200"/>
        <v>2</v>
      </c>
      <c r="AX364" s="29">
        <f t="shared" ca="1" si="200"/>
        <v>3</v>
      </c>
      <c r="AY364" s="29">
        <f t="shared" ca="1" si="200"/>
        <v>2</v>
      </c>
      <c r="AZ364" s="29">
        <f t="shared" ca="1" si="200"/>
        <v>0</v>
      </c>
      <c r="BA364" s="29">
        <f t="shared" ca="1" si="200"/>
        <v>1</v>
      </c>
      <c r="BB364" s="29">
        <f t="shared" ca="1" si="200"/>
        <v>2</v>
      </c>
      <c r="BC364" s="29">
        <f t="shared" ca="1" si="200"/>
        <v>1</v>
      </c>
      <c r="BD364" s="29">
        <f t="shared" ca="1" si="200"/>
        <v>0</v>
      </c>
      <c r="BE364" s="29">
        <f t="shared" ca="1" si="200"/>
        <v>3</v>
      </c>
      <c r="BF364" s="29">
        <f t="shared" ca="1" si="200"/>
        <v>0</v>
      </c>
      <c r="BG364" s="29">
        <f t="shared" ca="1" si="200"/>
        <v>1</v>
      </c>
      <c r="BH364" s="29">
        <f t="shared" ca="1" si="200"/>
        <v>0</v>
      </c>
      <c r="BI364" s="29">
        <f t="shared" ca="1" si="200"/>
        <v>0</v>
      </c>
      <c r="BJ364" s="29">
        <f t="shared" ca="1" si="200"/>
        <v>0</v>
      </c>
      <c r="BK364" s="29">
        <f t="shared" ref="BK364:BZ379" ca="1" si="205">_xlfn.BINOM.INV(50,$E364,RAND())</f>
        <v>1</v>
      </c>
      <c r="BL364" s="29">
        <f t="shared" ca="1" si="205"/>
        <v>1</v>
      </c>
      <c r="BM364" s="29">
        <f t="shared" ca="1" si="205"/>
        <v>0</v>
      </c>
      <c r="BN364" s="29">
        <f t="shared" ca="1" si="205"/>
        <v>1</v>
      </c>
      <c r="BO364" s="29">
        <f t="shared" ca="1" si="205"/>
        <v>1</v>
      </c>
      <c r="BP364" s="29">
        <f t="shared" ca="1" si="205"/>
        <v>0</v>
      </c>
      <c r="BQ364" s="29">
        <f t="shared" ca="1" si="205"/>
        <v>1</v>
      </c>
      <c r="BR364" s="29">
        <f t="shared" ca="1" si="205"/>
        <v>1</v>
      </c>
      <c r="BS364" s="29">
        <f t="shared" ca="1" si="205"/>
        <v>2</v>
      </c>
      <c r="BT364" s="29">
        <f t="shared" ca="1" si="205"/>
        <v>1</v>
      </c>
      <c r="BU364" s="29">
        <f t="shared" ca="1" si="205"/>
        <v>0</v>
      </c>
      <c r="BV364" s="29">
        <f t="shared" ca="1" si="205"/>
        <v>1</v>
      </c>
      <c r="BW364" s="29">
        <f t="shared" ca="1" si="205"/>
        <v>0</v>
      </c>
      <c r="BX364" s="29">
        <f t="shared" ca="1" si="205"/>
        <v>0</v>
      </c>
      <c r="BY364" s="29">
        <f t="shared" ca="1" si="205"/>
        <v>1</v>
      </c>
      <c r="BZ364" s="29">
        <f t="shared" ca="1" si="205"/>
        <v>1</v>
      </c>
      <c r="CA364" s="29">
        <f t="shared" ca="1" si="202"/>
        <v>0</v>
      </c>
      <c r="CB364" s="29">
        <f t="shared" ca="1" si="202"/>
        <v>0</v>
      </c>
      <c r="CC364" s="29">
        <f t="shared" ca="1" si="202"/>
        <v>0</v>
      </c>
      <c r="CD364" s="29">
        <f t="shared" ca="1" si="202"/>
        <v>1</v>
      </c>
      <c r="CE364" s="29">
        <f t="shared" ca="1" si="202"/>
        <v>1</v>
      </c>
      <c r="CF364" s="29">
        <f t="shared" ca="1" si="202"/>
        <v>1</v>
      </c>
      <c r="CG364" s="29">
        <f t="shared" ca="1" si="202"/>
        <v>1</v>
      </c>
      <c r="CH364" s="29">
        <f t="shared" ca="1" si="202"/>
        <v>0</v>
      </c>
      <c r="CI364" s="29">
        <f t="shared" ca="1" si="202"/>
        <v>1</v>
      </c>
      <c r="CJ364" s="29">
        <f t="shared" ca="1" si="202"/>
        <v>0</v>
      </c>
      <c r="CK364" s="29">
        <f t="shared" ca="1" si="202"/>
        <v>0</v>
      </c>
      <c r="CL364" s="29">
        <f t="shared" ca="1" si="202"/>
        <v>2</v>
      </c>
      <c r="CM364" s="29">
        <f t="shared" ca="1" si="202"/>
        <v>0</v>
      </c>
      <c r="CN364" s="29">
        <f t="shared" ca="1" si="202"/>
        <v>1</v>
      </c>
      <c r="CO364" s="29">
        <f t="shared" ca="1" si="202"/>
        <v>0</v>
      </c>
      <c r="CP364" s="29">
        <f t="shared" ca="1" si="202"/>
        <v>0</v>
      </c>
      <c r="CQ364" s="29">
        <f t="shared" ca="1" si="201"/>
        <v>0</v>
      </c>
      <c r="CR364" s="29">
        <f t="shared" ca="1" si="201"/>
        <v>0</v>
      </c>
      <c r="CS364" s="29">
        <f t="shared" ca="1" si="201"/>
        <v>1</v>
      </c>
      <c r="CT364" s="29">
        <f t="shared" ca="1" si="201"/>
        <v>2</v>
      </c>
      <c r="CU364" s="29">
        <f t="shared" ca="1" si="201"/>
        <v>0</v>
      </c>
      <c r="CV364" s="29">
        <f t="shared" ca="1" si="201"/>
        <v>2</v>
      </c>
      <c r="CW364" s="29">
        <f t="shared" ca="1" si="201"/>
        <v>0</v>
      </c>
      <c r="CX364" s="29">
        <f t="shared" ca="1" si="201"/>
        <v>1</v>
      </c>
      <c r="CY364" s="29">
        <f t="shared" ca="1" si="201"/>
        <v>0</v>
      </c>
      <c r="CZ364" s="29">
        <f t="shared" ca="1" si="201"/>
        <v>0</v>
      </c>
      <c r="DA364" s="29">
        <f t="shared" ca="1" si="201"/>
        <v>1</v>
      </c>
      <c r="DB364" s="29">
        <f t="shared" ca="1" si="201"/>
        <v>2</v>
      </c>
      <c r="DC364" s="29">
        <f t="shared" ca="1" si="201"/>
        <v>3</v>
      </c>
      <c r="DD364" s="29">
        <f t="shared" ca="1" si="201"/>
        <v>0</v>
      </c>
      <c r="DE364" s="29">
        <f t="shared" ca="1" si="201"/>
        <v>0</v>
      </c>
      <c r="DF364" s="29">
        <f t="shared" ca="1" si="196"/>
        <v>0</v>
      </c>
      <c r="DG364" s="29">
        <f t="shared" ca="1" si="196"/>
        <v>0</v>
      </c>
      <c r="DH364" s="29">
        <f t="shared" ca="1" si="196"/>
        <v>0</v>
      </c>
      <c r="DI364" s="29">
        <f t="shared" ca="1" si="196"/>
        <v>0</v>
      </c>
      <c r="DJ364" s="29">
        <f t="shared" ca="1" si="196"/>
        <v>0</v>
      </c>
      <c r="DK364" s="29">
        <f t="shared" ca="1" si="196"/>
        <v>0</v>
      </c>
      <c r="DL364" s="29">
        <f t="shared" ca="1" si="196"/>
        <v>2</v>
      </c>
    </row>
    <row r="365" spans="1:116" ht="14.4" x14ac:dyDescent="0.3">
      <c r="A365" s="31">
        <v>750</v>
      </c>
      <c r="B365" s="28">
        <v>2.92</v>
      </c>
      <c r="C365" s="30">
        <v>12.62</v>
      </c>
      <c r="D365" s="28">
        <v>0.4</v>
      </c>
      <c r="E365" s="34">
        <f t="shared" si="180"/>
        <v>8.0000000000000002E-3</v>
      </c>
      <c r="F365" s="35">
        <f t="shared" si="181"/>
        <v>3.1549999999999998</v>
      </c>
      <c r="G365" s="34">
        <f t="shared" si="182"/>
        <v>10</v>
      </c>
      <c r="H365" s="33">
        <f t="shared" si="183"/>
        <v>2.3441780821917813</v>
      </c>
      <c r="I365" s="28">
        <f t="shared" si="186"/>
        <v>1474.900000000001</v>
      </c>
      <c r="J365" s="32">
        <v>0</v>
      </c>
      <c r="K365" s="30">
        <f t="shared" si="184"/>
        <v>10</v>
      </c>
      <c r="L365" s="30"/>
      <c r="M365" s="30"/>
      <c r="N365" s="30"/>
      <c r="O365" s="30"/>
      <c r="Q365" s="29">
        <f t="shared" ca="1" si="185"/>
        <v>0</v>
      </c>
      <c r="R365" s="29">
        <f t="shared" ca="1" si="204"/>
        <v>0</v>
      </c>
      <c r="S365" s="29">
        <f t="shared" ca="1" si="204"/>
        <v>0</v>
      </c>
      <c r="T365" s="29">
        <f t="shared" ca="1" si="204"/>
        <v>2</v>
      </c>
      <c r="U365" s="29">
        <f t="shared" ca="1" si="204"/>
        <v>0</v>
      </c>
      <c r="V365" s="29">
        <f t="shared" ca="1" si="204"/>
        <v>0</v>
      </c>
      <c r="W365" s="29">
        <f t="shared" ca="1" si="204"/>
        <v>1</v>
      </c>
      <c r="X365" s="29">
        <f t="shared" ca="1" si="204"/>
        <v>0</v>
      </c>
      <c r="Y365" s="29">
        <f t="shared" ca="1" si="204"/>
        <v>1</v>
      </c>
      <c r="Z365" s="29">
        <f t="shared" ca="1" si="204"/>
        <v>0</v>
      </c>
      <c r="AA365" s="29">
        <f t="shared" ca="1" si="204"/>
        <v>0</v>
      </c>
      <c r="AB365" s="29">
        <f t="shared" ca="1" si="204"/>
        <v>0</v>
      </c>
      <c r="AC365" s="29">
        <f t="shared" ca="1" si="204"/>
        <v>2</v>
      </c>
      <c r="AD365" s="29">
        <f t="shared" ca="1" si="204"/>
        <v>0</v>
      </c>
      <c r="AE365" s="29">
        <f t="shared" ca="1" si="204"/>
        <v>1</v>
      </c>
      <c r="AF365" s="29">
        <f t="shared" ca="1" si="204"/>
        <v>1</v>
      </c>
      <c r="AG365" s="29">
        <f t="shared" ca="1" si="203"/>
        <v>0</v>
      </c>
      <c r="AH365" s="29">
        <f t="shared" ca="1" si="203"/>
        <v>1</v>
      </c>
      <c r="AI365" s="29">
        <f t="shared" ca="1" si="203"/>
        <v>1</v>
      </c>
      <c r="AJ365" s="29">
        <f t="shared" ca="1" si="203"/>
        <v>1</v>
      </c>
      <c r="AK365" s="29">
        <f t="shared" ca="1" si="203"/>
        <v>0</v>
      </c>
      <c r="AL365" s="29">
        <f t="shared" ca="1" si="203"/>
        <v>0</v>
      </c>
      <c r="AM365" s="29">
        <f t="shared" ca="1" si="203"/>
        <v>1</v>
      </c>
      <c r="AN365" s="29">
        <f t="shared" ca="1" si="203"/>
        <v>0</v>
      </c>
      <c r="AO365" s="29">
        <f t="shared" ca="1" si="203"/>
        <v>0</v>
      </c>
      <c r="AP365" s="29">
        <f t="shared" ca="1" si="203"/>
        <v>0</v>
      </c>
      <c r="AQ365" s="29">
        <f t="shared" ca="1" si="203"/>
        <v>0</v>
      </c>
      <c r="AR365" s="29">
        <f t="shared" ca="1" si="203"/>
        <v>1</v>
      </c>
      <c r="AS365" s="29">
        <f t="shared" ca="1" si="203"/>
        <v>1</v>
      </c>
      <c r="AT365" s="29">
        <f t="shared" ca="1" si="203"/>
        <v>1</v>
      </c>
      <c r="AU365" s="29">
        <f t="shared" ca="1" si="203"/>
        <v>1</v>
      </c>
      <c r="AV365" s="29">
        <f t="shared" ref="AV365:BK380" ca="1" si="206">_xlfn.BINOM.INV(50,$E365,RAND())</f>
        <v>1</v>
      </c>
      <c r="AW365" s="29">
        <f t="shared" ca="1" si="206"/>
        <v>1</v>
      </c>
      <c r="AX365" s="29">
        <f t="shared" ca="1" si="206"/>
        <v>0</v>
      </c>
      <c r="AY365" s="29">
        <f t="shared" ca="1" si="206"/>
        <v>1</v>
      </c>
      <c r="AZ365" s="29">
        <f t="shared" ca="1" si="206"/>
        <v>0</v>
      </c>
      <c r="BA365" s="29">
        <f t="shared" ca="1" si="206"/>
        <v>0</v>
      </c>
      <c r="BB365" s="29">
        <f t="shared" ca="1" si="206"/>
        <v>0</v>
      </c>
      <c r="BC365" s="29">
        <f t="shared" ca="1" si="206"/>
        <v>0</v>
      </c>
      <c r="BD365" s="29">
        <f t="shared" ca="1" si="206"/>
        <v>0</v>
      </c>
      <c r="BE365" s="29">
        <f t="shared" ca="1" si="206"/>
        <v>0</v>
      </c>
      <c r="BF365" s="29">
        <f t="shared" ca="1" si="206"/>
        <v>0</v>
      </c>
      <c r="BG365" s="29">
        <f t="shared" ca="1" si="206"/>
        <v>0</v>
      </c>
      <c r="BH365" s="29">
        <f t="shared" ca="1" si="206"/>
        <v>0</v>
      </c>
      <c r="BI365" s="29">
        <f t="shared" ca="1" si="206"/>
        <v>0</v>
      </c>
      <c r="BJ365" s="29">
        <f t="shared" ca="1" si="206"/>
        <v>1</v>
      </c>
      <c r="BK365" s="29">
        <f t="shared" ca="1" si="206"/>
        <v>1</v>
      </c>
      <c r="BL365" s="29">
        <f t="shared" ca="1" si="205"/>
        <v>2</v>
      </c>
      <c r="BM365" s="29">
        <f t="shared" ca="1" si="205"/>
        <v>0</v>
      </c>
      <c r="BN365" s="29">
        <f t="shared" ca="1" si="205"/>
        <v>0</v>
      </c>
      <c r="BO365" s="29">
        <f t="shared" ca="1" si="205"/>
        <v>0</v>
      </c>
      <c r="BP365" s="29">
        <f t="shared" ca="1" si="205"/>
        <v>0</v>
      </c>
      <c r="BQ365" s="29">
        <f t="shared" ca="1" si="205"/>
        <v>0</v>
      </c>
      <c r="BR365" s="29">
        <f t="shared" ca="1" si="205"/>
        <v>0</v>
      </c>
      <c r="BS365" s="29">
        <f t="shared" ca="1" si="205"/>
        <v>1</v>
      </c>
      <c r="BT365" s="29">
        <f t="shared" ca="1" si="205"/>
        <v>0</v>
      </c>
      <c r="BU365" s="29">
        <f t="shared" ca="1" si="205"/>
        <v>0</v>
      </c>
      <c r="BV365" s="29">
        <f t="shared" ca="1" si="205"/>
        <v>1</v>
      </c>
      <c r="BW365" s="29">
        <f t="shared" ca="1" si="205"/>
        <v>0</v>
      </c>
      <c r="BX365" s="29">
        <f t="shared" ca="1" si="205"/>
        <v>0</v>
      </c>
      <c r="BY365" s="29">
        <f t="shared" ca="1" si="205"/>
        <v>0</v>
      </c>
      <c r="BZ365" s="29">
        <f t="shared" ca="1" si="205"/>
        <v>1</v>
      </c>
      <c r="CA365" s="29">
        <f t="shared" ca="1" si="202"/>
        <v>1</v>
      </c>
      <c r="CB365" s="29">
        <f t="shared" ca="1" si="202"/>
        <v>0</v>
      </c>
      <c r="CC365" s="29">
        <f t="shared" ca="1" si="202"/>
        <v>1</v>
      </c>
      <c r="CD365" s="29">
        <f t="shared" ca="1" si="202"/>
        <v>0</v>
      </c>
      <c r="CE365" s="29">
        <f t="shared" ca="1" si="202"/>
        <v>0</v>
      </c>
      <c r="CF365" s="29">
        <f t="shared" ca="1" si="202"/>
        <v>0</v>
      </c>
      <c r="CG365" s="29">
        <f t="shared" ca="1" si="202"/>
        <v>0</v>
      </c>
      <c r="CH365" s="29">
        <f t="shared" ca="1" si="202"/>
        <v>2</v>
      </c>
      <c r="CI365" s="29">
        <f t="shared" ca="1" si="202"/>
        <v>0</v>
      </c>
      <c r="CJ365" s="29">
        <f t="shared" ca="1" si="202"/>
        <v>0</v>
      </c>
      <c r="CK365" s="29">
        <f t="shared" ca="1" si="202"/>
        <v>1</v>
      </c>
      <c r="CL365" s="29">
        <f t="shared" ca="1" si="202"/>
        <v>0</v>
      </c>
      <c r="CM365" s="29">
        <f t="shared" ca="1" si="202"/>
        <v>2</v>
      </c>
      <c r="CN365" s="29">
        <f t="shared" ca="1" si="202"/>
        <v>1</v>
      </c>
      <c r="CO365" s="29">
        <f t="shared" ca="1" si="202"/>
        <v>0</v>
      </c>
      <c r="CP365" s="29">
        <f t="shared" ca="1" si="202"/>
        <v>0</v>
      </c>
      <c r="CQ365" s="29">
        <f t="shared" ca="1" si="201"/>
        <v>0</v>
      </c>
      <c r="CR365" s="29">
        <f t="shared" ca="1" si="201"/>
        <v>0</v>
      </c>
      <c r="CS365" s="29">
        <f t="shared" ca="1" si="201"/>
        <v>0</v>
      </c>
      <c r="CT365" s="29">
        <f t="shared" ca="1" si="201"/>
        <v>0</v>
      </c>
      <c r="CU365" s="29">
        <f t="shared" ca="1" si="201"/>
        <v>0</v>
      </c>
      <c r="CV365" s="29">
        <f t="shared" ca="1" si="201"/>
        <v>1</v>
      </c>
      <c r="CW365" s="29">
        <f t="shared" ca="1" si="201"/>
        <v>1</v>
      </c>
      <c r="CX365" s="29">
        <f t="shared" ca="1" si="201"/>
        <v>0</v>
      </c>
      <c r="CY365" s="29">
        <f t="shared" ca="1" si="201"/>
        <v>0</v>
      </c>
      <c r="CZ365" s="29">
        <f t="shared" ca="1" si="201"/>
        <v>0</v>
      </c>
      <c r="DA365" s="29">
        <f t="shared" ca="1" si="201"/>
        <v>0</v>
      </c>
      <c r="DB365" s="29">
        <f t="shared" ca="1" si="201"/>
        <v>1</v>
      </c>
      <c r="DC365" s="29">
        <f t="shared" ca="1" si="201"/>
        <v>0</v>
      </c>
      <c r="DD365" s="29">
        <f t="shared" ca="1" si="201"/>
        <v>0</v>
      </c>
      <c r="DE365" s="29">
        <f t="shared" ca="1" si="201"/>
        <v>0</v>
      </c>
      <c r="DF365" s="29">
        <f t="shared" ca="1" si="196"/>
        <v>0</v>
      </c>
      <c r="DG365" s="29">
        <f t="shared" ca="1" si="196"/>
        <v>0</v>
      </c>
      <c r="DH365" s="29">
        <f t="shared" ca="1" si="196"/>
        <v>0</v>
      </c>
      <c r="DI365" s="29">
        <f t="shared" ca="1" si="196"/>
        <v>0</v>
      </c>
      <c r="DJ365" s="29">
        <f t="shared" ca="1" si="196"/>
        <v>2</v>
      </c>
      <c r="DK365" s="29">
        <f t="shared" ca="1" si="196"/>
        <v>0</v>
      </c>
      <c r="DL365" s="29">
        <f t="shared" ca="1" si="196"/>
        <v>0</v>
      </c>
    </row>
    <row r="366" spans="1:116" ht="14.4" x14ac:dyDescent="0.3">
      <c r="A366" s="31">
        <v>773</v>
      </c>
      <c r="B366" s="28">
        <v>1.75</v>
      </c>
      <c r="C366" s="30">
        <v>77.94</v>
      </c>
      <c r="D366" s="28">
        <v>0.94</v>
      </c>
      <c r="E366" s="34">
        <f t="shared" si="180"/>
        <v>1.8799999999999997E-2</v>
      </c>
      <c r="F366" s="35">
        <f t="shared" si="181"/>
        <v>19.484999999999999</v>
      </c>
      <c r="G366" s="34">
        <f t="shared" si="182"/>
        <v>23.5</v>
      </c>
      <c r="H366" s="33">
        <f t="shared" si="183"/>
        <v>2.2942857142857145</v>
      </c>
      <c r="I366" s="28">
        <f t="shared" si="186"/>
        <v>1476.650000000001</v>
      </c>
      <c r="J366" s="32">
        <v>0</v>
      </c>
      <c r="K366" s="30">
        <f t="shared" si="184"/>
        <v>23.5</v>
      </c>
      <c r="L366" s="30"/>
      <c r="M366" s="30"/>
      <c r="N366" s="30"/>
      <c r="O366" s="30"/>
      <c r="Q366" s="29">
        <f t="shared" ca="1" si="185"/>
        <v>2</v>
      </c>
      <c r="R366" s="29">
        <f t="shared" ca="1" si="204"/>
        <v>1</v>
      </c>
      <c r="S366" s="29">
        <f t="shared" ca="1" si="204"/>
        <v>2</v>
      </c>
      <c r="T366" s="29">
        <f t="shared" ca="1" si="204"/>
        <v>0</v>
      </c>
      <c r="U366" s="29">
        <f t="shared" ca="1" si="204"/>
        <v>1</v>
      </c>
      <c r="V366" s="29">
        <f t="shared" ca="1" si="204"/>
        <v>0</v>
      </c>
      <c r="W366" s="29">
        <f t="shared" ca="1" si="204"/>
        <v>0</v>
      </c>
      <c r="X366" s="29">
        <f t="shared" ca="1" si="204"/>
        <v>1</v>
      </c>
      <c r="Y366" s="29">
        <f t="shared" ca="1" si="204"/>
        <v>0</v>
      </c>
      <c r="Z366" s="29">
        <f t="shared" ca="1" si="204"/>
        <v>1</v>
      </c>
      <c r="AA366" s="29">
        <f t="shared" ca="1" si="204"/>
        <v>2</v>
      </c>
      <c r="AB366" s="29">
        <f t="shared" ca="1" si="204"/>
        <v>2</v>
      </c>
      <c r="AC366" s="29">
        <f t="shared" ca="1" si="204"/>
        <v>1</v>
      </c>
      <c r="AD366" s="29">
        <f t="shared" ca="1" si="204"/>
        <v>1</v>
      </c>
      <c r="AE366" s="29">
        <f t="shared" ca="1" si="204"/>
        <v>0</v>
      </c>
      <c r="AF366" s="29">
        <f t="shared" ca="1" si="204"/>
        <v>0</v>
      </c>
      <c r="AG366" s="29">
        <f t="shared" ca="1" si="203"/>
        <v>2</v>
      </c>
      <c r="AH366" s="29">
        <f t="shared" ca="1" si="203"/>
        <v>3</v>
      </c>
      <c r="AI366" s="29">
        <f t="shared" ca="1" si="203"/>
        <v>1</v>
      </c>
      <c r="AJ366" s="29">
        <f t="shared" ca="1" si="203"/>
        <v>0</v>
      </c>
      <c r="AK366" s="29">
        <f t="shared" ca="1" si="203"/>
        <v>0</v>
      </c>
      <c r="AL366" s="29">
        <f t="shared" ca="1" si="203"/>
        <v>0</v>
      </c>
      <c r="AM366" s="29">
        <f t="shared" ca="1" si="203"/>
        <v>0</v>
      </c>
      <c r="AN366" s="29">
        <f t="shared" ca="1" si="203"/>
        <v>0</v>
      </c>
      <c r="AO366" s="29">
        <f t="shared" ca="1" si="203"/>
        <v>1</v>
      </c>
      <c r="AP366" s="29">
        <f t="shared" ca="1" si="203"/>
        <v>0</v>
      </c>
      <c r="AQ366" s="29">
        <f t="shared" ca="1" si="203"/>
        <v>1</v>
      </c>
      <c r="AR366" s="29">
        <f t="shared" ca="1" si="203"/>
        <v>0</v>
      </c>
      <c r="AS366" s="29">
        <f t="shared" ca="1" si="203"/>
        <v>1</v>
      </c>
      <c r="AT366" s="29">
        <f t="shared" ca="1" si="203"/>
        <v>1</v>
      </c>
      <c r="AU366" s="29">
        <f t="shared" ca="1" si="203"/>
        <v>0</v>
      </c>
      <c r="AV366" s="29">
        <f t="shared" ca="1" si="206"/>
        <v>0</v>
      </c>
      <c r="AW366" s="29">
        <f t="shared" ca="1" si="206"/>
        <v>1</v>
      </c>
      <c r="AX366" s="29">
        <f t="shared" ca="1" si="206"/>
        <v>0</v>
      </c>
      <c r="AY366" s="29">
        <f t="shared" ca="1" si="206"/>
        <v>0</v>
      </c>
      <c r="AZ366" s="29">
        <f t="shared" ca="1" si="206"/>
        <v>2</v>
      </c>
      <c r="BA366" s="29">
        <f t="shared" ca="1" si="206"/>
        <v>2</v>
      </c>
      <c r="BB366" s="29">
        <f t="shared" ca="1" si="206"/>
        <v>0</v>
      </c>
      <c r="BC366" s="29">
        <f t="shared" ca="1" si="206"/>
        <v>2</v>
      </c>
      <c r="BD366" s="29">
        <f t="shared" ca="1" si="206"/>
        <v>3</v>
      </c>
      <c r="BE366" s="29">
        <f t="shared" ca="1" si="206"/>
        <v>1</v>
      </c>
      <c r="BF366" s="29">
        <f t="shared" ca="1" si="206"/>
        <v>1</v>
      </c>
      <c r="BG366" s="29">
        <f t="shared" ca="1" si="206"/>
        <v>1</v>
      </c>
      <c r="BH366" s="29">
        <f t="shared" ca="1" si="206"/>
        <v>1</v>
      </c>
      <c r="BI366" s="29">
        <f t="shared" ca="1" si="206"/>
        <v>1</v>
      </c>
      <c r="BJ366" s="29">
        <f t="shared" ca="1" si="206"/>
        <v>0</v>
      </c>
      <c r="BK366" s="29">
        <f t="shared" ca="1" si="206"/>
        <v>0</v>
      </c>
      <c r="BL366" s="29">
        <f t="shared" ca="1" si="205"/>
        <v>1</v>
      </c>
      <c r="BM366" s="29">
        <f t="shared" ca="1" si="205"/>
        <v>1</v>
      </c>
      <c r="BN366" s="29">
        <f t="shared" ca="1" si="205"/>
        <v>1</v>
      </c>
      <c r="BO366" s="29">
        <f t="shared" ca="1" si="205"/>
        <v>1</v>
      </c>
      <c r="BP366" s="29">
        <f t="shared" ca="1" si="205"/>
        <v>1</v>
      </c>
      <c r="BQ366" s="29">
        <f t="shared" ca="1" si="205"/>
        <v>1</v>
      </c>
      <c r="BR366" s="29">
        <f t="shared" ca="1" si="205"/>
        <v>0</v>
      </c>
      <c r="BS366" s="29">
        <f t="shared" ca="1" si="205"/>
        <v>0</v>
      </c>
      <c r="BT366" s="29">
        <f t="shared" ca="1" si="205"/>
        <v>3</v>
      </c>
      <c r="BU366" s="29">
        <f t="shared" ca="1" si="205"/>
        <v>0</v>
      </c>
      <c r="BV366" s="29">
        <f t="shared" ca="1" si="205"/>
        <v>0</v>
      </c>
      <c r="BW366" s="29">
        <f t="shared" ca="1" si="205"/>
        <v>0</v>
      </c>
      <c r="BX366" s="29">
        <f t="shared" ca="1" si="205"/>
        <v>0</v>
      </c>
      <c r="BY366" s="29">
        <f t="shared" ca="1" si="205"/>
        <v>1</v>
      </c>
      <c r="BZ366" s="29">
        <f t="shared" ca="1" si="205"/>
        <v>1</v>
      </c>
      <c r="CA366" s="29">
        <f t="shared" ca="1" si="202"/>
        <v>1</v>
      </c>
      <c r="CB366" s="29">
        <f t="shared" ca="1" si="202"/>
        <v>1</v>
      </c>
      <c r="CC366" s="29">
        <f t="shared" ca="1" si="202"/>
        <v>0</v>
      </c>
      <c r="CD366" s="29">
        <f t="shared" ca="1" si="202"/>
        <v>1</v>
      </c>
      <c r="CE366" s="29">
        <f t="shared" ca="1" si="202"/>
        <v>1</v>
      </c>
      <c r="CF366" s="29">
        <f t="shared" ca="1" si="202"/>
        <v>0</v>
      </c>
      <c r="CG366" s="29">
        <f t="shared" ca="1" si="202"/>
        <v>0</v>
      </c>
      <c r="CH366" s="29">
        <f t="shared" ca="1" si="202"/>
        <v>0</v>
      </c>
      <c r="CI366" s="29">
        <f t="shared" ca="1" si="202"/>
        <v>0</v>
      </c>
      <c r="CJ366" s="29">
        <f t="shared" ca="1" si="202"/>
        <v>3</v>
      </c>
      <c r="CK366" s="29">
        <f t="shared" ca="1" si="202"/>
        <v>0</v>
      </c>
      <c r="CL366" s="29">
        <f t="shared" ca="1" si="202"/>
        <v>1</v>
      </c>
      <c r="CM366" s="29">
        <f t="shared" ca="1" si="202"/>
        <v>1</v>
      </c>
      <c r="CN366" s="29">
        <f t="shared" ca="1" si="202"/>
        <v>0</v>
      </c>
      <c r="CO366" s="29">
        <f t="shared" ca="1" si="202"/>
        <v>0</v>
      </c>
      <c r="CP366" s="29">
        <f t="shared" ca="1" si="202"/>
        <v>0</v>
      </c>
      <c r="CQ366" s="29">
        <f t="shared" ca="1" si="201"/>
        <v>0</v>
      </c>
      <c r="CR366" s="29">
        <f t="shared" ca="1" si="201"/>
        <v>3</v>
      </c>
      <c r="CS366" s="29">
        <f t="shared" ca="1" si="201"/>
        <v>0</v>
      </c>
      <c r="CT366" s="29">
        <f t="shared" ca="1" si="201"/>
        <v>0</v>
      </c>
      <c r="CU366" s="29">
        <f t="shared" ca="1" si="201"/>
        <v>0</v>
      </c>
      <c r="CV366" s="29">
        <f t="shared" ca="1" si="201"/>
        <v>0</v>
      </c>
      <c r="CW366" s="29">
        <f t="shared" ca="1" si="201"/>
        <v>2</v>
      </c>
      <c r="CX366" s="29">
        <f t="shared" ca="1" si="201"/>
        <v>2</v>
      </c>
      <c r="CY366" s="29">
        <f t="shared" ca="1" si="201"/>
        <v>1</v>
      </c>
      <c r="CZ366" s="29">
        <f t="shared" ca="1" si="201"/>
        <v>2</v>
      </c>
      <c r="DA366" s="29">
        <f t="shared" ca="1" si="201"/>
        <v>0</v>
      </c>
      <c r="DB366" s="29">
        <f t="shared" ca="1" si="201"/>
        <v>1</v>
      </c>
      <c r="DC366" s="29">
        <f t="shared" ca="1" si="201"/>
        <v>1</v>
      </c>
      <c r="DD366" s="29">
        <f t="shared" ca="1" si="201"/>
        <v>3</v>
      </c>
      <c r="DE366" s="29">
        <f t="shared" ca="1" si="201"/>
        <v>1</v>
      </c>
      <c r="DF366" s="29">
        <f t="shared" ca="1" si="196"/>
        <v>1</v>
      </c>
      <c r="DG366" s="29">
        <f t="shared" ca="1" si="196"/>
        <v>0</v>
      </c>
      <c r="DH366" s="29">
        <f t="shared" ca="1" si="196"/>
        <v>1</v>
      </c>
      <c r="DI366" s="29">
        <f t="shared" ca="1" si="196"/>
        <v>1</v>
      </c>
      <c r="DJ366" s="29">
        <f t="shared" ca="1" si="196"/>
        <v>0</v>
      </c>
      <c r="DK366" s="29">
        <f t="shared" ca="1" si="196"/>
        <v>2</v>
      </c>
      <c r="DL366" s="29">
        <f t="shared" ca="1" si="196"/>
        <v>0</v>
      </c>
    </row>
    <row r="367" spans="1:116" ht="14.4" x14ac:dyDescent="0.3">
      <c r="A367" s="31">
        <v>696</v>
      </c>
      <c r="B367" s="28">
        <v>9.91</v>
      </c>
      <c r="C367" s="30">
        <v>3.51</v>
      </c>
      <c r="D367" s="28">
        <v>0.93</v>
      </c>
      <c r="E367" s="34">
        <f t="shared" si="180"/>
        <v>1.8600000000000002E-2</v>
      </c>
      <c r="F367" s="35">
        <f t="shared" si="181"/>
        <v>0.87749999999999995</v>
      </c>
      <c r="G367" s="34">
        <f t="shared" si="182"/>
        <v>23.25</v>
      </c>
      <c r="H367" s="33">
        <f t="shared" si="183"/>
        <v>2.2575681130171543</v>
      </c>
      <c r="I367" s="28">
        <f t="shared" si="186"/>
        <v>1486.5600000000011</v>
      </c>
      <c r="J367" s="32">
        <v>0</v>
      </c>
      <c r="K367" s="30">
        <f t="shared" si="184"/>
        <v>23.25</v>
      </c>
      <c r="L367" s="30"/>
      <c r="M367" s="30"/>
      <c r="N367" s="30"/>
      <c r="O367" s="30"/>
      <c r="Q367" s="29">
        <f t="shared" ca="1" si="185"/>
        <v>0</v>
      </c>
      <c r="R367" s="29">
        <f t="shared" ca="1" si="204"/>
        <v>1</v>
      </c>
      <c r="S367" s="29">
        <f t="shared" ca="1" si="204"/>
        <v>1</v>
      </c>
      <c r="T367" s="29">
        <f t="shared" ca="1" si="204"/>
        <v>4</v>
      </c>
      <c r="U367" s="29">
        <f t="shared" ca="1" si="204"/>
        <v>0</v>
      </c>
      <c r="V367" s="29">
        <f t="shared" ca="1" si="204"/>
        <v>1</v>
      </c>
      <c r="W367" s="29">
        <f t="shared" ca="1" si="204"/>
        <v>1</v>
      </c>
      <c r="X367" s="29">
        <f t="shared" ca="1" si="204"/>
        <v>1</v>
      </c>
      <c r="Y367" s="29">
        <f t="shared" ca="1" si="204"/>
        <v>4</v>
      </c>
      <c r="Z367" s="29">
        <f t="shared" ca="1" si="204"/>
        <v>1</v>
      </c>
      <c r="AA367" s="29">
        <f t="shared" ca="1" si="204"/>
        <v>1</v>
      </c>
      <c r="AB367" s="29">
        <f t="shared" ca="1" si="204"/>
        <v>1</v>
      </c>
      <c r="AC367" s="29">
        <f t="shared" ca="1" si="204"/>
        <v>2</v>
      </c>
      <c r="AD367" s="29">
        <f t="shared" ca="1" si="204"/>
        <v>0</v>
      </c>
      <c r="AE367" s="29">
        <f t="shared" ca="1" si="204"/>
        <v>0</v>
      </c>
      <c r="AF367" s="29">
        <f t="shared" ca="1" si="204"/>
        <v>1</v>
      </c>
      <c r="AG367" s="29">
        <f t="shared" ca="1" si="203"/>
        <v>0</v>
      </c>
      <c r="AH367" s="29">
        <f t="shared" ca="1" si="203"/>
        <v>1</v>
      </c>
      <c r="AI367" s="29">
        <f t="shared" ca="1" si="203"/>
        <v>0</v>
      </c>
      <c r="AJ367" s="29">
        <f t="shared" ca="1" si="203"/>
        <v>5</v>
      </c>
      <c r="AK367" s="29">
        <f t="shared" ca="1" si="203"/>
        <v>1</v>
      </c>
      <c r="AL367" s="29">
        <f t="shared" ca="1" si="203"/>
        <v>2</v>
      </c>
      <c r="AM367" s="29">
        <f t="shared" ca="1" si="203"/>
        <v>0</v>
      </c>
      <c r="AN367" s="29">
        <f t="shared" ca="1" si="203"/>
        <v>2</v>
      </c>
      <c r="AO367" s="29">
        <f t="shared" ca="1" si="203"/>
        <v>0</v>
      </c>
      <c r="AP367" s="29">
        <f t="shared" ca="1" si="203"/>
        <v>0</v>
      </c>
      <c r="AQ367" s="29">
        <f t="shared" ca="1" si="203"/>
        <v>1</v>
      </c>
      <c r="AR367" s="29">
        <f t="shared" ca="1" si="203"/>
        <v>0</v>
      </c>
      <c r="AS367" s="29">
        <f t="shared" ca="1" si="203"/>
        <v>2</v>
      </c>
      <c r="AT367" s="29">
        <f t="shared" ca="1" si="203"/>
        <v>0</v>
      </c>
      <c r="AU367" s="29">
        <f t="shared" ca="1" si="203"/>
        <v>1</v>
      </c>
      <c r="AV367" s="29">
        <f t="shared" ca="1" si="206"/>
        <v>1</v>
      </c>
      <c r="AW367" s="29">
        <f t="shared" ca="1" si="206"/>
        <v>0</v>
      </c>
      <c r="AX367" s="29">
        <f t="shared" ca="1" si="206"/>
        <v>0</v>
      </c>
      <c r="AY367" s="29">
        <f t="shared" ca="1" si="206"/>
        <v>1</v>
      </c>
      <c r="AZ367" s="29">
        <f t="shared" ca="1" si="206"/>
        <v>1</v>
      </c>
      <c r="BA367" s="29">
        <f t="shared" ca="1" si="206"/>
        <v>1</v>
      </c>
      <c r="BB367" s="29">
        <f t="shared" ca="1" si="206"/>
        <v>1</v>
      </c>
      <c r="BC367" s="29">
        <f t="shared" ca="1" si="206"/>
        <v>1</v>
      </c>
      <c r="BD367" s="29">
        <f t="shared" ca="1" si="206"/>
        <v>0</v>
      </c>
      <c r="BE367" s="29">
        <f t="shared" ca="1" si="206"/>
        <v>3</v>
      </c>
      <c r="BF367" s="29">
        <f t="shared" ca="1" si="206"/>
        <v>1</v>
      </c>
      <c r="BG367" s="29">
        <f t="shared" ca="1" si="206"/>
        <v>1</v>
      </c>
      <c r="BH367" s="29">
        <f t="shared" ca="1" si="206"/>
        <v>2</v>
      </c>
      <c r="BI367" s="29">
        <f t="shared" ca="1" si="206"/>
        <v>1</v>
      </c>
      <c r="BJ367" s="29">
        <f t="shared" ca="1" si="206"/>
        <v>1</v>
      </c>
      <c r="BK367" s="29">
        <f t="shared" ca="1" si="206"/>
        <v>1</v>
      </c>
      <c r="BL367" s="29">
        <f t="shared" ca="1" si="205"/>
        <v>1</v>
      </c>
      <c r="BM367" s="29">
        <f t="shared" ca="1" si="205"/>
        <v>1</v>
      </c>
      <c r="BN367" s="29">
        <f t="shared" ca="1" si="205"/>
        <v>4</v>
      </c>
      <c r="BO367" s="29">
        <f t="shared" ca="1" si="205"/>
        <v>2</v>
      </c>
      <c r="BP367" s="29">
        <f t="shared" ca="1" si="205"/>
        <v>2</v>
      </c>
      <c r="BQ367" s="29">
        <f t="shared" ca="1" si="205"/>
        <v>4</v>
      </c>
      <c r="BR367" s="29">
        <f t="shared" ca="1" si="205"/>
        <v>1</v>
      </c>
      <c r="BS367" s="29">
        <f t="shared" ca="1" si="205"/>
        <v>3</v>
      </c>
      <c r="BT367" s="29">
        <f t="shared" ca="1" si="205"/>
        <v>2</v>
      </c>
      <c r="BU367" s="29">
        <f t="shared" ca="1" si="205"/>
        <v>2</v>
      </c>
      <c r="BV367" s="29">
        <f t="shared" ca="1" si="205"/>
        <v>0</v>
      </c>
      <c r="BW367" s="29">
        <f t="shared" ca="1" si="205"/>
        <v>2</v>
      </c>
      <c r="BX367" s="29">
        <f t="shared" ca="1" si="205"/>
        <v>2</v>
      </c>
      <c r="BY367" s="29">
        <f t="shared" ca="1" si="205"/>
        <v>0</v>
      </c>
      <c r="BZ367" s="29">
        <f t="shared" ca="1" si="205"/>
        <v>1</v>
      </c>
      <c r="CA367" s="29">
        <f t="shared" ca="1" si="202"/>
        <v>0</v>
      </c>
      <c r="CB367" s="29">
        <f t="shared" ca="1" si="202"/>
        <v>1</v>
      </c>
      <c r="CC367" s="29">
        <f t="shared" ca="1" si="202"/>
        <v>2</v>
      </c>
      <c r="CD367" s="29">
        <f t="shared" ca="1" si="202"/>
        <v>1</v>
      </c>
      <c r="CE367" s="29">
        <f t="shared" ca="1" si="202"/>
        <v>1</v>
      </c>
      <c r="CF367" s="29">
        <f t="shared" ca="1" si="202"/>
        <v>0</v>
      </c>
      <c r="CG367" s="29">
        <f t="shared" ca="1" si="202"/>
        <v>0</v>
      </c>
      <c r="CH367" s="29">
        <f t="shared" ca="1" si="202"/>
        <v>1</v>
      </c>
      <c r="CI367" s="29">
        <f t="shared" ca="1" si="202"/>
        <v>1</v>
      </c>
      <c r="CJ367" s="29">
        <f t="shared" ca="1" si="202"/>
        <v>0</v>
      </c>
      <c r="CK367" s="29">
        <f t="shared" ca="1" si="202"/>
        <v>0</v>
      </c>
      <c r="CL367" s="29">
        <f t="shared" ca="1" si="202"/>
        <v>1</v>
      </c>
      <c r="CM367" s="29">
        <f t="shared" ca="1" si="202"/>
        <v>0</v>
      </c>
      <c r="CN367" s="29">
        <f t="shared" ca="1" si="202"/>
        <v>0</v>
      </c>
      <c r="CO367" s="29">
        <f t="shared" ca="1" si="202"/>
        <v>1</v>
      </c>
      <c r="CP367" s="29">
        <f t="shared" ca="1" si="202"/>
        <v>1</v>
      </c>
      <c r="CQ367" s="29">
        <f t="shared" ca="1" si="201"/>
        <v>1</v>
      </c>
      <c r="CR367" s="29">
        <f t="shared" ca="1" si="201"/>
        <v>1</v>
      </c>
      <c r="CS367" s="29">
        <f t="shared" ca="1" si="201"/>
        <v>1</v>
      </c>
      <c r="CT367" s="29">
        <f t="shared" ca="1" si="201"/>
        <v>1</v>
      </c>
      <c r="CU367" s="29">
        <f t="shared" ca="1" si="201"/>
        <v>0</v>
      </c>
      <c r="CV367" s="29">
        <f t="shared" ca="1" si="201"/>
        <v>2</v>
      </c>
      <c r="CW367" s="29">
        <f t="shared" ca="1" si="201"/>
        <v>0</v>
      </c>
      <c r="CX367" s="29">
        <f t="shared" ca="1" si="201"/>
        <v>1</v>
      </c>
      <c r="CY367" s="29">
        <f t="shared" ca="1" si="201"/>
        <v>3</v>
      </c>
      <c r="CZ367" s="29">
        <f t="shared" ca="1" si="201"/>
        <v>1</v>
      </c>
      <c r="DA367" s="29">
        <f t="shared" ca="1" si="201"/>
        <v>0</v>
      </c>
      <c r="DB367" s="29">
        <f t="shared" ca="1" si="201"/>
        <v>1</v>
      </c>
      <c r="DC367" s="29">
        <f t="shared" ca="1" si="201"/>
        <v>0</v>
      </c>
      <c r="DD367" s="29">
        <f t="shared" ca="1" si="201"/>
        <v>1</v>
      </c>
      <c r="DE367" s="29">
        <f t="shared" ca="1" si="201"/>
        <v>0</v>
      </c>
      <c r="DF367" s="29">
        <f t="shared" ca="1" si="196"/>
        <v>2</v>
      </c>
      <c r="DG367" s="29">
        <f t="shared" ca="1" si="196"/>
        <v>0</v>
      </c>
      <c r="DH367" s="29">
        <f t="shared" ca="1" si="196"/>
        <v>0</v>
      </c>
      <c r="DI367" s="29">
        <f t="shared" ca="1" si="196"/>
        <v>2</v>
      </c>
      <c r="DJ367" s="29">
        <f t="shared" ca="1" si="196"/>
        <v>1</v>
      </c>
      <c r="DK367" s="29">
        <f t="shared" ca="1" si="196"/>
        <v>0</v>
      </c>
      <c r="DL367" s="29">
        <f t="shared" ca="1" si="196"/>
        <v>2</v>
      </c>
    </row>
    <row r="368" spans="1:116" ht="14.4" x14ac:dyDescent="0.3">
      <c r="A368" s="31">
        <v>316</v>
      </c>
      <c r="B368" s="28">
        <v>1.94</v>
      </c>
      <c r="C368" s="30">
        <v>52.51</v>
      </c>
      <c r="D368" s="28">
        <v>0.7</v>
      </c>
      <c r="E368" s="34">
        <f t="shared" si="180"/>
        <v>1.3999999999999999E-2</v>
      </c>
      <c r="F368" s="35">
        <f t="shared" si="181"/>
        <v>13.1275</v>
      </c>
      <c r="G368" s="34">
        <f t="shared" si="182"/>
        <v>17.5</v>
      </c>
      <c r="H368" s="33">
        <f t="shared" si="183"/>
        <v>2.2538659793814437</v>
      </c>
      <c r="I368" s="28">
        <f t="shared" si="186"/>
        <v>1488.5000000000011</v>
      </c>
      <c r="J368" s="32">
        <v>0</v>
      </c>
      <c r="K368" s="30">
        <f t="shared" si="184"/>
        <v>17.5</v>
      </c>
      <c r="L368" s="30"/>
      <c r="M368" s="30"/>
      <c r="N368" s="30"/>
      <c r="O368" s="30"/>
      <c r="Q368" s="29">
        <f t="shared" ca="1" si="185"/>
        <v>0</v>
      </c>
      <c r="R368" s="29">
        <f t="shared" ca="1" si="204"/>
        <v>1</v>
      </c>
      <c r="S368" s="29">
        <f t="shared" ca="1" si="204"/>
        <v>0</v>
      </c>
      <c r="T368" s="29">
        <f t="shared" ca="1" si="204"/>
        <v>0</v>
      </c>
      <c r="U368" s="29">
        <f t="shared" ca="1" si="204"/>
        <v>1</v>
      </c>
      <c r="V368" s="29">
        <f t="shared" ca="1" si="204"/>
        <v>1</v>
      </c>
      <c r="W368" s="29">
        <f t="shared" ca="1" si="204"/>
        <v>1</v>
      </c>
      <c r="X368" s="29">
        <f t="shared" ca="1" si="204"/>
        <v>1</v>
      </c>
      <c r="Y368" s="29">
        <f t="shared" ca="1" si="204"/>
        <v>1</v>
      </c>
      <c r="Z368" s="29">
        <f t="shared" ca="1" si="204"/>
        <v>0</v>
      </c>
      <c r="AA368" s="29">
        <f t="shared" ca="1" si="204"/>
        <v>0</v>
      </c>
      <c r="AB368" s="29">
        <f t="shared" ca="1" si="204"/>
        <v>1</v>
      </c>
      <c r="AC368" s="29">
        <f t="shared" ca="1" si="204"/>
        <v>0</v>
      </c>
      <c r="AD368" s="29">
        <f t="shared" ca="1" si="204"/>
        <v>0</v>
      </c>
      <c r="AE368" s="29">
        <f t="shared" ca="1" si="204"/>
        <v>1</v>
      </c>
      <c r="AF368" s="29">
        <f t="shared" ca="1" si="204"/>
        <v>0</v>
      </c>
      <c r="AG368" s="29">
        <f t="shared" ca="1" si="203"/>
        <v>0</v>
      </c>
      <c r="AH368" s="29">
        <f t="shared" ca="1" si="203"/>
        <v>0</v>
      </c>
      <c r="AI368" s="29">
        <f t="shared" ca="1" si="203"/>
        <v>0</v>
      </c>
      <c r="AJ368" s="29">
        <f t="shared" ca="1" si="203"/>
        <v>0</v>
      </c>
      <c r="AK368" s="29">
        <f t="shared" ca="1" si="203"/>
        <v>0</v>
      </c>
      <c r="AL368" s="29">
        <f t="shared" ca="1" si="203"/>
        <v>1</v>
      </c>
      <c r="AM368" s="29">
        <f t="shared" ca="1" si="203"/>
        <v>0</v>
      </c>
      <c r="AN368" s="29">
        <f t="shared" ca="1" si="203"/>
        <v>0</v>
      </c>
      <c r="AO368" s="29">
        <f t="shared" ca="1" si="203"/>
        <v>2</v>
      </c>
      <c r="AP368" s="29">
        <f t="shared" ca="1" si="203"/>
        <v>1</v>
      </c>
      <c r="AQ368" s="29">
        <f t="shared" ca="1" si="203"/>
        <v>0</v>
      </c>
      <c r="AR368" s="29">
        <f t="shared" ca="1" si="203"/>
        <v>1</v>
      </c>
      <c r="AS368" s="29">
        <f t="shared" ca="1" si="203"/>
        <v>3</v>
      </c>
      <c r="AT368" s="29">
        <f t="shared" ca="1" si="203"/>
        <v>1</v>
      </c>
      <c r="AU368" s="29">
        <f t="shared" ca="1" si="203"/>
        <v>2</v>
      </c>
      <c r="AV368" s="29">
        <f t="shared" ca="1" si="206"/>
        <v>0</v>
      </c>
      <c r="AW368" s="29">
        <f t="shared" ca="1" si="206"/>
        <v>1</v>
      </c>
      <c r="AX368" s="29">
        <f t="shared" ca="1" si="206"/>
        <v>1</v>
      </c>
      <c r="AY368" s="29">
        <f t="shared" ca="1" si="206"/>
        <v>1</v>
      </c>
      <c r="AZ368" s="29">
        <f t="shared" ca="1" si="206"/>
        <v>0</v>
      </c>
      <c r="BA368" s="29">
        <f t="shared" ca="1" si="206"/>
        <v>0</v>
      </c>
      <c r="BB368" s="29">
        <f t="shared" ca="1" si="206"/>
        <v>3</v>
      </c>
      <c r="BC368" s="29">
        <f t="shared" ca="1" si="206"/>
        <v>0</v>
      </c>
      <c r="BD368" s="29">
        <f t="shared" ca="1" si="206"/>
        <v>1</v>
      </c>
      <c r="BE368" s="29">
        <f t="shared" ca="1" si="206"/>
        <v>0</v>
      </c>
      <c r="BF368" s="29">
        <f t="shared" ca="1" si="206"/>
        <v>1</v>
      </c>
      <c r="BG368" s="29">
        <f t="shared" ca="1" si="206"/>
        <v>2</v>
      </c>
      <c r="BH368" s="29">
        <f t="shared" ca="1" si="206"/>
        <v>0</v>
      </c>
      <c r="BI368" s="29">
        <f t="shared" ca="1" si="206"/>
        <v>1</v>
      </c>
      <c r="BJ368" s="29">
        <f t="shared" ca="1" si="206"/>
        <v>0</v>
      </c>
      <c r="BK368" s="29">
        <f t="shared" ca="1" si="206"/>
        <v>0</v>
      </c>
      <c r="BL368" s="29">
        <f t="shared" ca="1" si="205"/>
        <v>0</v>
      </c>
      <c r="BM368" s="29">
        <f t="shared" ca="1" si="205"/>
        <v>0</v>
      </c>
      <c r="BN368" s="29">
        <f t="shared" ca="1" si="205"/>
        <v>2</v>
      </c>
      <c r="BO368" s="29">
        <f t="shared" ca="1" si="205"/>
        <v>0</v>
      </c>
      <c r="BP368" s="29">
        <f t="shared" ca="1" si="205"/>
        <v>0</v>
      </c>
      <c r="BQ368" s="29">
        <f t="shared" ca="1" si="205"/>
        <v>0</v>
      </c>
      <c r="BR368" s="29">
        <f t="shared" ca="1" si="205"/>
        <v>0</v>
      </c>
      <c r="BS368" s="29">
        <f t="shared" ca="1" si="205"/>
        <v>1</v>
      </c>
      <c r="BT368" s="29">
        <f t="shared" ca="1" si="205"/>
        <v>0</v>
      </c>
      <c r="BU368" s="29">
        <f t="shared" ca="1" si="205"/>
        <v>1</v>
      </c>
      <c r="BV368" s="29">
        <f t="shared" ca="1" si="205"/>
        <v>0</v>
      </c>
      <c r="BW368" s="29">
        <f t="shared" ca="1" si="205"/>
        <v>2</v>
      </c>
      <c r="BX368" s="29">
        <f t="shared" ca="1" si="205"/>
        <v>0</v>
      </c>
      <c r="BY368" s="29">
        <f t="shared" ca="1" si="205"/>
        <v>1</v>
      </c>
      <c r="BZ368" s="29">
        <f t="shared" ca="1" si="205"/>
        <v>0</v>
      </c>
      <c r="CA368" s="29">
        <f t="shared" ca="1" si="202"/>
        <v>0</v>
      </c>
      <c r="CB368" s="29">
        <f t="shared" ca="1" si="202"/>
        <v>0</v>
      </c>
      <c r="CC368" s="29">
        <f t="shared" ca="1" si="202"/>
        <v>1</v>
      </c>
      <c r="CD368" s="29">
        <f t="shared" ca="1" si="202"/>
        <v>0</v>
      </c>
      <c r="CE368" s="29">
        <f t="shared" ca="1" si="202"/>
        <v>0</v>
      </c>
      <c r="CF368" s="29">
        <f t="shared" ca="1" si="202"/>
        <v>0</v>
      </c>
      <c r="CG368" s="29">
        <f t="shared" ca="1" si="202"/>
        <v>0</v>
      </c>
      <c r="CH368" s="29">
        <f t="shared" ca="1" si="202"/>
        <v>2</v>
      </c>
      <c r="CI368" s="29">
        <f t="shared" ca="1" si="202"/>
        <v>0</v>
      </c>
      <c r="CJ368" s="29">
        <f t="shared" ca="1" si="202"/>
        <v>0</v>
      </c>
      <c r="CK368" s="29">
        <f t="shared" ca="1" si="202"/>
        <v>1</v>
      </c>
      <c r="CL368" s="29">
        <f t="shared" ca="1" si="202"/>
        <v>0</v>
      </c>
      <c r="CM368" s="29">
        <f t="shared" ca="1" si="202"/>
        <v>0</v>
      </c>
      <c r="CN368" s="29">
        <f t="shared" ca="1" si="202"/>
        <v>2</v>
      </c>
      <c r="CO368" s="29">
        <f t="shared" ca="1" si="202"/>
        <v>1</v>
      </c>
      <c r="CP368" s="29">
        <f t="shared" ca="1" si="202"/>
        <v>0</v>
      </c>
      <c r="CQ368" s="29">
        <f t="shared" ca="1" si="201"/>
        <v>1</v>
      </c>
      <c r="CR368" s="29">
        <f t="shared" ca="1" si="201"/>
        <v>1</v>
      </c>
      <c r="CS368" s="29">
        <f t="shared" ca="1" si="201"/>
        <v>2</v>
      </c>
      <c r="CT368" s="29">
        <f t="shared" ca="1" si="201"/>
        <v>0</v>
      </c>
      <c r="CU368" s="29">
        <f t="shared" ca="1" si="201"/>
        <v>0</v>
      </c>
      <c r="CV368" s="29">
        <f t="shared" ca="1" si="201"/>
        <v>1</v>
      </c>
      <c r="CW368" s="29">
        <f t="shared" ca="1" si="201"/>
        <v>0</v>
      </c>
      <c r="CX368" s="29">
        <f t="shared" ca="1" si="201"/>
        <v>0</v>
      </c>
      <c r="CY368" s="29">
        <f t="shared" ca="1" si="201"/>
        <v>0</v>
      </c>
      <c r="CZ368" s="29">
        <f t="shared" ca="1" si="201"/>
        <v>0</v>
      </c>
      <c r="DA368" s="29">
        <f t="shared" ca="1" si="201"/>
        <v>0</v>
      </c>
      <c r="DB368" s="29">
        <f t="shared" ca="1" si="201"/>
        <v>1</v>
      </c>
      <c r="DC368" s="29">
        <f t="shared" ca="1" si="201"/>
        <v>0</v>
      </c>
      <c r="DD368" s="29">
        <f t="shared" ca="1" si="201"/>
        <v>0</v>
      </c>
      <c r="DE368" s="29">
        <f t="shared" ca="1" si="201"/>
        <v>0</v>
      </c>
      <c r="DF368" s="29">
        <f t="shared" ca="1" si="196"/>
        <v>0</v>
      </c>
      <c r="DG368" s="29">
        <f t="shared" ca="1" si="196"/>
        <v>1</v>
      </c>
      <c r="DH368" s="29">
        <f t="shared" ca="1" si="196"/>
        <v>1</v>
      </c>
      <c r="DI368" s="29">
        <f t="shared" ca="1" si="196"/>
        <v>1</v>
      </c>
      <c r="DJ368" s="29">
        <f t="shared" ca="1" si="196"/>
        <v>1</v>
      </c>
      <c r="DK368" s="29">
        <f t="shared" ca="1" si="196"/>
        <v>0</v>
      </c>
      <c r="DL368" s="29">
        <f t="shared" ca="1" si="196"/>
        <v>1</v>
      </c>
    </row>
    <row r="369" spans="1:116" ht="14.4" x14ac:dyDescent="0.3">
      <c r="A369" s="31">
        <v>145</v>
      </c>
      <c r="B369" s="28">
        <v>4.5</v>
      </c>
      <c r="C369" s="30">
        <v>6.61</v>
      </c>
      <c r="D369" s="28">
        <v>0.46</v>
      </c>
      <c r="E369" s="34">
        <f t="shared" si="180"/>
        <v>9.1999999999999998E-3</v>
      </c>
      <c r="F369" s="35">
        <f t="shared" si="181"/>
        <v>1.6525000000000001</v>
      </c>
      <c r="G369" s="34">
        <f t="shared" si="182"/>
        <v>11.5</v>
      </c>
      <c r="H369" s="33">
        <f t="shared" si="183"/>
        <v>2.1883333333333335</v>
      </c>
      <c r="I369" s="28">
        <f t="shared" si="186"/>
        <v>1493.0000000000011</v>
      </c>
      <c r="J369" s="32">
        <v>0</v>
      </c>
      <c r="K369" s="30">
        <f t="shared" si="184"/>
        <v>11.5</v>
      </c>
      <c r="L369" s="30"/>
      <c r="M369" s="30"/>
      <c r="N369" s="30"/>
      <c r="O369" s="30"/>
      <c r="Q369" s="29">
        <f t="shared" ca="1" si="185"/>
        <v>0</v>
      </c>
      <c r="R369" s="29">
        <f t="shared" ca="1" si="204"/>
        <v>0</v>
      </c>
      <c r="S369" s="29">
        <f t="shared" ca="1" si="204"/>
        <v>0</v>
      </c>
      <c r="T369" s="29">
        <f t="shared" ca="1" si="204"/>
        <v>1</v>
      </c>
      <c r="U369" s="29">
        <f t="shared" ca="1" si="204"/>
        <v>1</v>
      </c>
      <c r="V369" s="29">
        <f t="shared" ca="1" si="204"/>
        <v>0</v>
      </c>
      <c r="W369" s="29">
        <f t="shared" ca="1" si="204"/>
        <v>0</v>
      </c>
      <c r="X369" s="29">
        <f t="shared" ca="1" si="204"/>
        <v>0</v>
      </c>
      <c r="Y369" s="29">
        <f t="shared" ca="1" si="204"/>
        <v>1</v>
      </c>
      <c r="Z369" s="29">
        <f t="shared" ca="1" si="204"/>
        <v>0</v>
      </c>
      <c r="AA369" s="29">
        <f t="shared" ca="1" si="204"/>
        <v>1</v>
      </c>
      <c r="AB369" s="29">
        <f t="shared" ca="1" si="204"/>
        <v>0</v>
      </c>
      <c r="AC369" s="29">
        <f t="shared" ca="1" si="204"/>
        <v>1</v>
      </c>
      <c r="AD369" s="29">
        <f t="shared" ca="1" si="204"/>
        <v>0</v>
      </c>
      <c r="AE369" s="29">
        <f t="shared" ca="1" si="204"/>
        <v>0</v>
      </c>
      <c r="AF369" s="29">
        <f t="shared" ca="1" si="204"/>
        <v>0</v>
      </c>
      <c r="AG369" s="29">
        <f t="shared" ca="1" si="203"/>
        <v>2</v>
      </c>
      <c r="AH369" s="29">
        <f t="shared" ca="1" si="203"/>
        <v>0</v>
      </c>
      <c r="AI369" s="29">
        <f t="shared" ca="1" si="203"/>
        <v>2</v>
      </c>
      <c r="AJ369" s="29">
        <f t="shared" ca="1" si="203"/>
        <v>0</v>
      </c>
      <c r="AK369" s="29">
        <f t="shared" ca="1" si="203"/>
        <v>0</v>
      </c>
      <c r="AL369" s="29">
        <f t="shared" ca="1" si="203"/>
        <v>0</v>
      </c>
      <c r="AM369" s="29">
        <f t="shared" ca="1" si="203"/>
        <v>0</v>
      </c>
      <c r="AN369" s="29">
        <f t="shared" ca="1" si="203"/>
        <v>1</v>
      </c>
      <c r="AO369" s="29">
        <f t="shared" ca="1" si="203"/>
        <v>0</v>
      </c>
      <c r="AP369" s="29">
        <f t="shared" ca="1" si="203"/>
        <v>0</v>
      </c>
      <c r="AQ369" s="29">
        <f t="shared" ca="1" si="203"/>
        <v>0</v>
      </c>
      <c r="AR369" s="29">
        <f t="shared" ca="1" si="203"/>
        <v>1</v>
      </c>
      <c r="AS369" s="29">
        <f t="shared" ca="1" si="203"/>
        <v>0</v>
      </c>
      <c r="AT369" s="29">
        <f t="shared" ca="1" si="203"/>
        <v>0</v>
      </c>
      <c r="AU369" s="29">
        <f t="shared" ca="1" si="203"/>
        <v>0</v>
      </c>
      <c r="AV369" s="29">
        <f t="shared" ca="1" si="206"/>
        <v>0</v>
      </c>
      <c r="AW369" s="29">
        <f t="shared" ca="1" si="206"/>
        <v>2</v>
      </c>
      <c r="AX369" s="29">
        <f t="shared" ca="1" si="206"/>
        <v>0</v>
      </c>
      <c r="AY369" s="29">
        <f t="shared" ca="1" si="206"/>
        <v>0</v>
      </c>
      <c r="AZ369" s="29">
        <f t="shared" ca="1" si="206"/>
        <v>0</v>
      </c>
      <c r="BA369" s="29">
        <f t="shared" ca="1" si="206"/>
        <v>0</v>
      </c>
      <c r="BB369" s="29">
        <f t="shared" ca="1" si="206"/>
        <v>0</v>
      </c>
      <c r="BC369" s="29">
        <f t="shared" ca="1" si="206"/>
        <v>0</v>
      </c>
      <c r="BD369" s="29">
        <f t="shared" ca="1" si="206"/>
        <v>1</v>
      </c>
      <c r="BE369" s="29">
        <f t="shared" ca="1" si="206"/>
        <v>0</v>
      </c>
      <c r="BF369" s="29">
        <f t="shared" ca="1" si="206"/>
        <v>0</v>
      </c>
      <c r="BG369" s="29">
        <f t="shared" ca="1" si="206"/>
        <v>1</v>
      </c>
      <c r="BH369" s="29">
        <f t="shared" ca="1" si="206"/>
        <v>1</v>
      </c>
      <c r="BI369" s="29">
        <f t="shared" ca="1" si="206"/>
        <v>0</v>
      </c>
      <c r="BJ369" s="29">
        <f t="shared" ca="1" si="206"/>
        <v>2</v>
      </c>
      <c r="BK369" s="29">
        <f t="shared" ca="1" si="206"/>
        <v>1</v>
      </c>
      <c r="BL369" s="29">
        <f t="shared" ca="1" si="205"/>
        <v>0</v>
      </c>
      <c r="BM369" s="29">
        <f t="shared" ca="1" si="205"/>
        <v>0</v>
      </c>
      <c r="BN369" s="29">
        <f t="shared" ca="1" si="205"/>
        <v>0</v>
      </c>
      <c r="BO369" s="29">
        <f t="shared" ca="1" si="205"/>
        <v>1</v>
      </c>
      <c r="BP369" s="29">
        <f t="shared" ca="1" si="205"/>
        <v>2</v>
      </c>
      <c r="BQ369" s="29">
        <f t="shared" ca="1" si="205"/>
        <v>1</v>
      </c>
      <c r="BR369" s="29">
        <f t="shared" ca="1" si="205"/>
        <v>0</v>
      </c>
      <c r="BS369" s="29">
        <f t="shared" ca="1" si="205"/>
        <v>0</v>
      </c>
      <c r="BT369" s="29">
        <f t="shared" ca="1" si="205"/>
        <v>0</v>
      </c>
      <c r="BU369" s="29">
        <f t="shared" ca="1" si="205"/>
        <v>0</v>
      </c>
      <c r="BV369" s="29">
        <f t="shared" ca="1" si="205"/>
        <v>2</v>
      </c>
      <c r="BW369" s="29">
        <f t="shared" ca="1" si="205"/>
        <v>1</v>
      </c>
      <c r="BX369" s="29">
        <f t="shared" ca="1" si="205"/>
        <v>0</v>
      </c>
      <c r="BY369" s="29">
        <f t="shared" ca="1" si="205"/>
        <v>1</v>
      </c>
      <c r="BZ369" s="29">
        <f t="shared" ca="1" si="205"/>
        <v>0</v>
      </c>
      <c r="CA369" s="29">
        <f t="shared" ca="1" si="202"/>
        <v>1</v>
      </c>
      <c r="CB369" s="29">
        <f t="shared" ca="1" si="202"/>
        <v>1</v>
      </c>
      <c r="CC369" s="29">
        <f t="shared" ca="1" si="202"/>
        <v>2</v>
      </c>
      <c r="CD369" s="29">
        <f t="shared" ca="1" si="202"/>
        <v>0</v>
      </c>
      <c r="CE369" s="29">
        <f t="shared" ca="1" si="202"/>
        <v>0</v>
      </c>
      <c r="CF369" s="29">
        <f t="shared" ca="1" si="202"/>
        <v>0</v>
      </c>
      <c r="CG369" s="29">
        <f t="shared" ca="1" si="202"/>
        <v>0</v>
      </c>
      <c r="CH369" s="29">
        <f t="shared" ca="1" si="202"/>
        <v>0</v>
      </c>
      <c r="CI369" s="29">
        <f t="shared" ca="1" si="202"/>
        <v>1</v>
      </c>
      <c r="CJ369" s="29">
        <f t="shared" ca="1" si="202"/>
        <v>1</v>
      </c>
      <c r="CK369" s="29">
        <f t="shared" ca="1" si="202"/>
        <v>0</v>
      </c>
      <c r="CL369" s="29">
        <f t="shared" ca="1" si="202"/>
        <v>0</v>
      </c>
      <c r="CM369" s="29">
        <f t="shared" ca="1" si="202"/>
        <v>0</v>
      </c>
      <c r="CN369" s="29">
        <f t="shared" ca="1" si="202"/>
        <v>0</v>
      </c>
      <c r="CO369" s="29">
        <f t="shared" ca="1" si="202"/>
        <v>1</v>
      </c>
      <c r="CP369" s="29">
        <f t="shared" ca="1" si="202"/>
        <v>0</v>
      </c>
      <c r="CQ369" s="29">
        <f t="shared" ca="1" si="201"/>
        <v>0</v>
      </c>
      <c r="CR369" s="29">
        <f t="shared" ca="1" si="201"/>
        <v>0</v>
      </c>
      <c r="CS369" s="29">
        <f t="shared" ca="1" si="201"/>
        <v>0</v>
      </c>
      <c r="CT369" s="29">
        <f t="shared" ca="1" si="201"/>
        <v>0</v>
      </c>
      <c r="CU369" s="29">
        <f t="shared" ca="1" si="201"/>
        <v>0</v>
      </c>
      <c r="CV369" s="29">
        <f t="shared" ca="1" si="201"/>
        <v>1</v>
      </c>
      <c r="CW369" s="29">
        <f t="shared" ca="1" si="201"/>
        <v>0</v>
      </c>
      <c r="CX369" s="29">
        <f t="shared" ca="1" si="201"/>
        <v>0</v>
      </c>
      <c r="CY369" s="29">
        <f t="shared" ca="1" si="201"/>
        <v>1</v>
      </c>
      <c r="CZ369" s="29">
        <f t="shared" ca="1" si="201"/>
        <v>0</v>
      </c>
      <c r="DA369" s="29">
        <f t="shared" ca="1" si="201"/>
        <v>0</v>
      </c>
      <c r="DB369" s="29">
        <f t="shared" ca="1" si="201"/>
        <v>0</v>
      </c>
      <c r="DC369" s="29">
        <f t="shared" ca="1" si="201"/>
        <v>1</v>
      </c>
      <c r="DD369" s="29">
        <f t="shared" ca="1" si="201"/>
        <v>2</v>
      </c>
      <c r="DE369" s="29">
        <f t="shared" ca="1" si="201"/>
        <v>0</v>
      </c>
      <c r="DF369" s="29">
        <f t="shared" ca="1" si="196"/>
        <v>0</v>
      </c>
      <c r="DG369" s="29">
        <f t="shared" ca="1" si="196"/>
        <v>0</v>
      </c>
      <c r="DH369" s="29">
        <f t="shared" ca="1" si="196"/>
        <v>0</v>
      </c>
      <c r="DI369" s="29">
        <f t="shared" ca="1" si="196"/>
        <v>0</v>
      </c>
      <c r="DJ369" s="29">
        <f t="shared" ca="1" si="196"/>
        <v>1</v>
      </c>
      <c r="DK369" s="29">
        <f t="shared" ca="1" si="196"/>
        <v>0</v>
      </c>
      <c r="DL369" s="29">
        <f t="shared" ca="1" si="196"/>
        <v>1</v>
      </c>
    </row>
    <row r="370" spans="1:116" ht="14.4" x14ac:dyDescent="0.3">
      <c r="A370" s="31">
        <v>618</v>
      </c>
      <c r="B370" s="28">
        <v>2.72</v>
      </c>
      <c r="C370" s="30">
        <v>64.22</v>
      </c>
      <c r="D370" s="28">
        <v>0.88</v>
      </c>
      <c r="E370" s="34">
        <f t="shared" si="180"/>
        <v>1.7600000000000001E-2</v>
      </c>
      <c r="F370" s="35">
        <f t="shared" si="181"/>
        <v>16.055</v>
      </c>
      <c r="G370" s="34">
        <f t="shared" si="182"/>
        <v>22</v>
      </c>
      <c r="H370" s="33">
        <f t="shared" si="183"/>
        <v>2.1856617647058822</v>
      </c>
      <c r="I370" s="28">
        <f t="shared" si="186"/>
        <v>1495.7200000000012</v>
      </c>
      <c r="J370" s="32">
        <v>0</v>
      </c>
      <c r="K370" s="30">
        <f t="shared" si="184"/>
        <v>22</v>
      </c>
      <c r="L370" s="30"/>
      <c r="M370" s="30"/>
      <c r="N370" s="30"/>
      <c r="O370" s="30"/>
      <c r="Q370" s="29">
        <f t="shared" ca="1" si="185"/>
        <v>2</v>
      </c>
      <c r="R370" s="29">
        <f t="shared" ca="1" si="204"/>
        <v>2</v>
      </c>
      <c r="S370" s="29">
        <f t="shared" ca="1" si="204"/>
        <v>2</v>
      </c>
      <c r="T370" s="29">
        <f t="shared" ca="1" si="204"/>
        <v>1</v>
      </c>
      <c r="U370" s="29">
        <f t="shared" ca="1" si="204"/>
        <v>2</v>
      </c>
      <c r="V370" s="29">
        <f t="shared" ca="1" si="204"/>
        <v>0</v>
      </c>
      <c r="W370" s="29">
        <f t="shared" ca="1" si="204"/>
        <v>1</v>
      </c>
      <c r="X370" s="29">
        <f t="shared" ca="1" si="204"/>
        <v>0</v>
      </c>
      <c r="Y370" s="29">
        <f t="shared" ca="1" si="204"/>
        <v>0</v>
      </c>
      <c r="Z370" s="29">
        <f t="shared" ca="1" si="204"/>
        <v>2</v>
      </c>
      <c r="AA370" s="29">
        <f t="shared" ca="1" si="204"/>
        <v>1</v>
      </c>
      <c r="AB370" s="29">
        <f t="shared" ca="1" si="204"/>
        <v>1</v>
      </c>
      <c r="AC370" s="29">
        <f t="shared" ca="1" si="204"/>
        <v>4</v>
      </c>
      <c r="AD370" s="29">
        <f t="shared" ca="1" si="204"/>
        <v>2</v>
      </c>
      <c r="AE370" s="29">
        <f t="shared" ca="1" si="204"/>
        <v>0</v>
      </c>
      <c r="AF370" s="29">
        <f t="shared" ca="1" si="204"/>
        <v>2</v>
      </c>
      <c r="AG370" s="29">
        <f t="shared" ca="1" si="203"/>
        <v>2</v>
      </c>
      <c r="AH370" s="29">
        <f t="shared" ca="1" si="203"/>
        <v>0</v>
      </c>
      <c r="AI370" s="29">
        <f t="shared" ca="1" si="203"/>
        <v>0</v>
      </c>
      <c r="AJ370" s="29">
        <f t="shared" ca="1" si="203"/>
        <v>1</v>
      </c>
      <c r="AK370" s="29">
        <f t="shared" ca="1" si="203"/>
        <v>0</v>
      </c>
      <c r="AL370" s="29">
        <f t="shared" ca="1" si="203"/>
        <v>1</v>
      </c>
      <c r="AM370" s="29">
        <f t="shared" ca="1" si="203"/>
        <v>0</v>
      </c>
      <c r="AN370" s="29">
        <f t="shared" ca="1" si="203"/>
        <v>0</v>
      </c>
      <c r="AO370" s="29">
        <f t="shared" ca="1" si="203"/>
        <v>1</v>
      </c>
      <c r="AP370" s="29">
        <f t="shared" ca="1" si="203"/>
        <v>1</v>
      </c>
      <c r="AQ370" s="29">
        <f t="shared" ca="1" si="203"/>
        <v>2</v>
      </c>
      <c r="AR370" s="29">
        <f t="shared" ca="1" si="203"/>
        <v>0</v>
      </c>
      <c r="AS370" s="29">
        <f t="shared" ca="1" si="203"/>
        <v>1</v>
      </c>
      <c r="AT370" s="29">
        <f t="shared" ca="1" si="203"/>
        <v>1</v>
      </c>
      <c r="AU370" s="29">
        <f t="shared" ca="1" si="203"/>
        <v>0</v>
      </c>
      <c r="AV370" s="29">
        <f t="shared" ca="1" si="206"/>
        <v>1</v>
      </c>
      <c r="AW370" s="29">
        <f t="shared" ca="1" si="206"/>
        <v>1</v>
      </c>
      <c r="AX370" s="29">
        <f t="shared" ca="1" si="206"/>
        <v>0</v>
      </c>
      <c r="AY370" s="29">
        <f t="shared" ca="1" si="206"/>
        <v>1</v>
      </c>
      <c r="AZ370" s="29">
        <f t="shared" ca="1" si="206"/>
        <v>0</v>
      </c>
      <c r="BA370" s="29">
        <f t="shared" ca="1" si="206"/>
        <v>0</v>
      </c>
      <c r="BB370" s="29">
        <f t="shared" ca="1" si="206"/>
        <v>2</v>
      </c>
      <c r="BC370" s="29">
        <f t="shared" ca="1" si="206"/>
        <v>0</v>
      </c>
      <c r="BD370" s="29">
        <f t="shared" ca="1" si="206"/>
        <v>2</v>
      </c>
      <c r="BE370" s="29">
        <f t="shared" ca="1" si="206"/>
        <v>2</v>
      </c>
      <c r="BF370" s="29">
        <f t="shared" ca="1" si="206"/>
        <v>2</v>
      </c>
      <c r="BG370" s="29">
        <f t="shared" ca="1" si="206"/>
        <v>1</v>
      </c>
      <c r="BH370" s="29">
        <f t="shared" ca="1" si="206"/>
        <v>1</v>
      </c>
      <c r="BI370" s="29">
        <f t="shared" ca="1" si="206"/>
        <v>2</v>
      </c>
      <c r="BJ370" s="29">
        <f t="shared" ca="1" si="206"/>
        <v>1</v>
      </c>
      <c r="BK370" s="29">
        <f t="shared" ca="1" si="206"/>
        <v>3</v>
      </c>
      <c r="BL370" s="29">
        <f t="shared" ca="1" si="205"/>
        <v>1</v>
      </c>
      <c r="BM370" s="29">
        <f t="shared" ca="1" si="205"/>
        <v>1</v>
      </c>
      <c r="BN370" s="29">
        <f t="shared" ca="1" si="205"/>
        <v>0</v>
      </c>
      <c r="BO370" s="29">
        <f t="shared" ca="1" si="205"/>
        <v>3</v>
      </c>
      <c r="BP370" s="29">
        <f t="shared" ca="1" si="205"/>
        <v>1</v>
      </c>
      <c r="BQ370" s="29">
        <f t="shared" ca="1" si="205"/>
        <v>1</v>
      </c>
      <c r="BR370" s="29">
        <f t="shared" ca="1" si="205"/>
        <v>2</v>
      </c>
      <c r="BS370" s="29">
        <f t="shared" ca="1" si="205"/>
        <v>0</v>
      </c>
      <c r="BT370" s="29">
        <f t="shared" ca="1" si="205"/>
        <v>2</v>
      </c>
      <c r="BU370" s="29">
        <f t="shared" ca="1" si="205"/>
        <v>0</v>
      </c>
      <c r="BV370" s="29">
        <f t="shared" ca="1" si="205"/>
        <v>1</v>
      </c>
      <c r="BW370" s="29">
        <f t="shared" ca="1" si="205"/>
        <v>2</v>
      </c>
      <c r="BX370" s="29">
        <f t="shared" ca="1" si="205"/>
        <v>0</v>
      </c>
      <c r="BY370" s="29">
        <f t="shared" ca="1" si="205"/>
        <v>1</v>
      </c>
      <c r="BZ370" s="29">
        <f t="shared" ca="1" si="205"/>
        <v>0</v>
      </c>
      <c r="CA370" s="29">
        <f t="shared" ca="1" si="202"/>
        <v>0</v>
      </c>
      <c r="CB370" s="29">
        <f t="shared" ca="1" si="202"/>
        <v>1</v>
      </c>
      <c r="CC370" s="29">
        <f t="shared" ca="1" si="202"/>
        <v>2</v>
      </c>
      <c r="CD370" s="29">
        <f t="shared" ca="1" si="202"/>
        <v>2</v>
      </c>
      <c r="CE370" s="29">
        <f t="shared" ca="1" si="202"/>
        <v>1</v>
      </c>
      <c r="CF370" s="29">
        <f t="shared" ca="1" si="202"/>
        <v>1</v>
      </c>
      <c r="CG370" s="29">
        <f t="shared" ca="1" si="202"/>
        <v>1</v>
      </c>
      <c r="CH370" s="29">
        <f t="shared" ca="1" si="202"/>
        <v>0</v>
      </c>
      <c r="CI370" s="29">
        <f t="shared" ca="1" si="202"/>
        <v>1</v>
      </c>
      <c r="CJ370" s="29">
        <f t="shared" ca="1" si="202"/>
        <v>3</v>
      </c>
      <c r="CK370" s="29">
        <f t="shared" ca="1" si="202"/>
        <v>1</v>
      </c>
      <c r="CL370" s="29">
        <f t="shared" ca="1" si="202"/>
        <v>0</v>
      </c>
      <c r="CM370" s="29">
        <f t="shared" ca="1" si="202"/>
        <v>0</v>
      </c>
      <c r="CN370" s="29">
        <f t="shared" ca="1" si="202"/>
        <v>1</v>
      </c>
      <c r="CO370" s="29">
        <f t="shared" ca="1" si="202"/>
        <v>2</v>
      </c>
      <c r="CP370" s="29">
        <f t="shared" ca="1" si="202"/>
        <v>0</v>
      </c>
      <c r="CQ370" s="29">
        <f t="shared" ca="1" si="201"/>
        <v>0</v>
      </c>
      <c r="CR370" s="29">
        <f t="shared" ca="1" si="201"/>
        <v>2</v>
      </c>
      <c r="CS370" s="29">
        <f t="shared" ca="1" si="201"/>
        <v>1</v>
      </c>
      <c r="CT370" s="29">
        <f t="shared" ca="1" si="201"/>
        <v>1</v>
      </c>
      <c r="CU370" s="29">
        <f t="shared" ca="1" si="201"/>
        <v>0</v>
      </c>
      <c r="CV370" s="29">
        <f t="shared" ca="1" si="201"/>
        <v>1</v>
      </c>
      <c r="CW370" s="29">
        <f t="shared" ca="1" si="201"/>
        <v>2</v>
      </c>
      <c r="CX370" s="29">
        <f t="shared" ca="1" si="201"/>
        <v>0</v>
      </c>
      <c r="CY370" s="29">
        <f t="shared" ca="1" si="201"/>
        <v>0</v>
      </c>
      <c r="CZ370" s="29">
        <f t="shared" ca="1" si="201"/>
        <v>0</v>
      </c>
      <c r="DA370" s="29">
        <f t="shared" ca="1" si="201"/>
        <v>1</v>
      </c>
      <c r="DB370" s="29">
        <f t="shared" ca="1" si="201"/>
        <v>1</v>
      </c>
      <c r="DC370" s="29">
        <f t="shared" ca="1" si="201"/>
        <v>1</v>
      </c>
      <c r="DD370" s="29">
        <f t="shared" ca="1" si="201"/>
        <v>4</v>
      </c>
      <c r="DE370" s="29">
        <f t="shared" ca="1" si="201"/>
        <v>2</v>
      </c>
      <c r="DF370" s="29">
        <f t="shared" ca="1" si="196"/>
        <v>0</v>
      </c>
      <c r="DG370" s="29">
        <f t="shared" ca="1" si="196"/>
        <v>0</v>
      </c>
      <c r="DH370" s="29">
        <f t="shared" ca="1" si="196"/>
        <v>3</v>
      </c>
      <c r="DI370" s="29">
        <f t="shared" ca="1" si="196"/>
        <v>0</v>
      </c>
      <c r="DJ370" s="29">
        <f t="shared" ca="1" si="196"/>
        <v>0</v>
      </c>
      <c r="DK370" s="29">
        <f t="shared" ca="1" si="196"/>
        <v>0</v>
      </c>
      <c r="DL370" s="29">
        <f t="shared" ca="1" si="196"/>
        <v>1</v>
      </c>
    </row>
    <row r="371" spans="1:116" ht="14.4" x14ac:dyDescent="0.3">
      <c r="A371" s="31">
        <v>925</v>
      </c>
      <c r="B371" s="28">
        <v>2.83</v>
      </c>
      <c r="C371" s="30">
        <v>91.61</v>
      </c>
      <c r="D371" s="28">
        <v>1.1599999999999999</v>
      </c>
      <c r="E371" s="34">
        <f t="shared" si="180"/>
        <v>2.3199999999999998E-2</v>
      </c>
      <c r="F371" s="35">
        <f t="shared" si="181"/>
        <v>22.9025</v>
      </c>
      <c r="G371" s="34">
        <f t="shared" si="182"/>
        <v>28.999999999999996</v>
      </c>
      <c r="H371" s="33">
        <f t="shared" si="183"/>
        <v>2.1545936395759706</v>
      </c>
      <c r="I371" s="28">
        <f t="shared" si="186"/>
        <v>1498.5500000000011</v>
      </c>
      <c r="J371" s="32">
        <v>0</v>
      </c>
      <c r="K371" s="30">
        <f t="shared" si="184"/>
        <v>28.999999999999996</v>
      </c>
      <c r="L371" s="30"/>
      <c r="M371" s="30"/>
      <c r="N371" s="30"/>
      <c r="O371" s="30"/>
      <c r="Q371" s="29">
        <f t="shared" ca="1" si="185"/>
        <v>0</v>
      </c>
      <c r="R371" s="29">
        <f t="shared" ca="1" si="204"/>
        <v>1</v>
      </c>
      <c r="S371" s="29">
        <f t="shared" ca="1" si="204"/>
        <v>3</v>
      </c>
      <c r="T371" s="29">
        <f t="shared" ca="1" si="204"/>
        <v>3</v>
      </c>
      <c r="U371" s="29">
        <f t="shared" ca="1" si="204"/>
        <v>0</v>
      </c>
      <c r="V371" s="29">
        <f t="shared" ca="1" si="204"/>
        <v>0</v>
      </c>
      <c r="W371" s="29">
        <f t="shared" ca="1" si="204"/>
        <v>1</v>
      </c>
      <c r="X371" s="29">
        <f t="shared" ca="1" si="204"/>
        <v>2</v>
      </c>
      <c r="Y371" s="29">
        <f t="shared" ca="1" si="204"/>
        <v>2</v>
      </c>
      <c r="Z371" s="29">
        <f t="shared" ca="1" si="204"/>
        <v>1</v>
      </c>
      <c r="AA371" s="29">
        <f t="shared" ca="1" si="204"/>
        <v>0</v>
      </c>
      <c r="AB371" s="29">
        <f t="shared" ca="1" si="204"/>
        <v>1</v>
      </c>
      <c r="AC371" s="29">
        <f t="shared" ca="1" si="204"/>
        <v>1</v>
      </c>
      <c r="AD371" s="29">
        <f t="shared" ca="1" si="204"/>
        <v>0</v>
      </c>
      <c r="AE371" s="29">
        <f t="shared" ca="1" si="204"/>
        <v>0</v>
      </c>
      <c r="AF371" s="29">
        <f t="shared" ca="1" si="204"/>
        <v>2</v>
      </c>
      <c r="AG371" s="29">
        <f t="shared" ca="1" si="203"/>
        <v>1</v>
      </c>
      <c r="AH371" s="29">
        <f t="shared" ca="1" si="203"/>
        <v>1</v>
      </c>
      <c r="AI371" s="29">
        <f t="shared" ca="1" si="203"/>
        <v>2</v>
      </c>
      <c r="AJ371" s="29">
        <f t="shared" ca="1" si="203"/>
        <v>0</v>
      </c>
      <c r="AK371" s="29">
        <f t="shared" ca="1" si="203"/>
        <v>2</v>
      </c>
      <c r="AL371" s="29">
        <f t="shared" ca="1" si="203"/>
        <v>1</v>
      </c>
      <c r="AM371" s="29">
        <f t="shared" ca="1" si="203"/>
        <v>1</v>
      </c>
      <c r="AN371" s="29">
        <f t="shared" ca="1" si="203"/>
        <v>1</v>
      </c>
      <c r="AO371" s="29">
        <f t="shared" ca="1" si="203"/>
        <v>1</v>
      </c>
      <c r="AP371" s="29">
        <f t="shared" ca="1" si="203"/>
        <v>2</v>
      </c>
      <c r="AQ371" s="29">
        <f t="shared" ca="1" si="203"/>
        <v>1</v>
      </c>
      <c r="AR371" s="29">
        <f t="shared" ca="1" si="203"/>
        <v>0</v>
      </c>
      <c r="AS371" s="29">
        <f t="shared" ca="1" si="203"/>
        <v>0</v>
      </c>
      <c r="AT371" s="29">
        <f t="shared" ca="1" si="203"/>
        <v>1</v>
      </c>
      <c r="AU371" s="29">
        <f t="shared" ca="1" si="203"/>
        <v>2</v>
      </c>
      <c r="AV371" s="29">
        <f t="shared" ca="1" si="206"/>
        <v>0</v>
      </c>
      <c r="AW371" s="29">
        <f t="shared" ca="1" si="206"/>
        <v>3</v>
      </c>
      <c r="AX371" s="29">
        <f t="shared" ca="1" si="206"/>
        <v>3</v>
      </c>
      <c r="AY371" s="29">
        <f t="shared" ca="1" si="206"/>
        <v>2</v>
      </c>
      <c r="AZ371" s="29">
        <f t="shared" ca="1" si="206"/>
        <v>2</v>
      </c>
      <c r="BA371" s="29">
        <f t="shared" ca="1" si="206"/>
        <v>3</v>
      </c>
      <c r="BB371" s="29">
        <f t="shared" ca="1" si="206"/>
        <v>0</v>
      </c>
      <c r="BC371" s="29">
        <f t="shared" ca="1" si="206"/>
        <v>0</v>
      </c>
      <c r="BD371" s="29">
        <f t="shared" ca="1" si="206"/>
        <v>2</v>
      </c>
      <c r="BE371" s="29">
        <f t="shared" ca="1" si="206"/>
        <v>1</v>
      </c>
      <c r="BF371" s="29">
        <f t="shared" ca="1" si="206"/>
        <v>1</v>
      </c>
      <c r="BG371" s="29">
        <f t="shared" ca="1" si="206"/>
        <v>1</v>
      </c>
      <c r="BH371" s="29">
        <f t="shared" ca="1" si="206"/>
        <v>1</v>
      </c>
      <c r="BI371" s="29">
        <f t="shared" ca="1" si="206"/>
        <v>3</v>
      </c>
      <c r="BJ371" s="29">
        <f t="shared" ca="1" si="206"/>
        <v>1</v>
      </c>
      <c r="BK371" s="29">
        <f t="shared" ca="1" si="206"/>
        <v>4</v>
      </c>
      <c r="BL371" s="29">
        <f t="shared" ca="1" si="205"/>
        <v>3</v>
      </c>
      <c r="BM371" s="29">
        <f t="shared" ca="1" si="205"/>
        <v>1</v>
      </c>
      <c r="BN371" s="29">
        <f t="shared" ca="1" si="205"/>
        <v>0</v>
      </c>
      <c r="BO371" s="29">
        <f t="shared" ca="1" si="205"/>
        <v>1</v>
      </c>
      <c r="BP371" s="29">
        <f t="shared" ca="1" si="205"/>
        <v>1</v>
      </c>
      <c r="BQ371" s="29">
        <f t="shared" ca="1" si="205"/>
        <v>0</v>
      </c>
      <c r="BR371" s="29">
        <f t="shared" ca="1" si="205"/>
        <v>1</v>
      </c>
      <c r="BS371" s="29">
        <f t="shared" ca="1" si="205"/>
        <v>0</v>
      </c>
      <c r="BT371" s="29">
        <f t="shared" ca="1" si="205"/>
        <v>1</v>
      </c>
      <c r="BU371" s="29">
        <f t="shared" ca="1" si="205"/>
        <v>1</v>
      </c>
      <c r="BV371" s="29">
        <f t="shared" ca="1" si="205"/>
        <v>1</v>
      </c>
      <c r="BW371" s="29">
        <f t="shared" ca="1" si="205"/>
        <v>1</v>
      </c>
      <c r="BX371" s="29">
        <f t="shared" ca="1" si="205"/>
        <v>3</v>
      </c>
      <c r="BY371" s="29">
        <f t="shared" ca="1" si="205"/>
        <v>2</v>
      </c>
      <c r="BZ371" s="29">
        <f t="shared" ca="1" si="205"/>
        <v>2</v>
      </c>
      <c r="CA371" s="29">
        <f t="shared" ca="1" si="202"/>
        <v>2</v>
      </c>
      <c r="CB371" s="29">
        <f t="shared" ca="1" si="202"/>
        <v>3</v>
      </c>
      <c r="CC371" s="29">
        <f t="shared" ca="1" si="202"/>
        <v>1</v>
      </c>
      <c r="CD371" s="29">
        <f t="shared" ca="1" si="202"/>
        <v>0</v>
      </c>
      <c r="CE371" s="29">
        <f t="shared" ca="1" si="202"/>
        <v>3</v>
      </c>
      <c r="CF371" s="29">
        <f t="shared" ca="1" si="202"/>
        <v>0</v>
      </c>
      <c r="CG371" s="29">
        <f t="shared" ca="1" si="202"/>
        <v>1</v>
      </c>
      <c r="CH371" s="29">
        <f t="shared" ca="1" si="202"/>
        <v>1</v>
      </c>
      <c r="CI371" s="29">
        <f t="shared" ca="1" si="202"/>
        <v>0</v>
      </c>
      <c r="CJ371" s="29">
        <f t="shared" ca="1" si="202"/>
        <v>1</v>
      </c>
      <c r="CK371" s="29">
        <f t="shared" ca="1" si="202"/>
        <v>1</v>
      </c>
      <c r="CL371" s="29">
        <f t="shared" ca="1" si="202"/>
        <v>0</v>
      </c>
      <c r="CM371" s="29">
        <f t="shared" ca="1" si="202"/>
        <v>2</v>
      </c>
      <c r="CN371" s="29">
        <f t="shared" ca="1" si="202"/>
        <v>2</v>
      </c>
      <c r="CO371" s="29">
        <f t="shared" ca="1" si="202"/>
        <v>0</v>
      </c>
      <c r="CP371" s="29">
        <f t="shared" ca="1" si="202"/>
        <v>1</v>
      </c>
      <c r="CQ371" s="29">
        <f t="shared" ca="1" si="201"/>
        <v>3</v>
      </c>
      <c r="CR371" s="29">
        <f t="shared" ca="1" si="201"/>
        <v>1</v>
      </c>
      <c r="CS371" s="29">
        <f t="shared" ca="1" si="201"/>
        <v>1</v>
      </c>
      <c r="CT371" s="29">
        <f t="shared" ca="1" si="201"/>
        <v>1</v>
      </c>
      <c r="CU371" s="29">
        <f t="shared" ca="1" si="201"/>
        <v>1</v>
      </c>
      <c r="CV371" s="29">
        <f t="shared" ca="1" si="201"/>
        <v>0</v>
      </c>
      <c r="CW371" s="29">
        <f t="shared" ca="1" si="201"/>
        <v>0</v>
      </c>
      <c r="CX371" s="29">
        <f t="shared" ca="1" si="201"/>
        <v>2</v>
      </c>
      <c r="CY371" s="29">
        <f t="shared" ca="1" si="201"/>
        <v>1</v>
      </c>
      <c r="CZ371" s="29">
        <f t="shared" ca="1" si="201"/>
        <v>0</v>
      </c>
      <c r="DA371" s="29">
        <f t="shared" ca="1" si="201"/>
        <v>1</v>
      </c>
      <c r="DB371" s="29">
        <f t="shared" ca="1" si="201"/>
        <v>3</v>
      </c>
      <c r="DC371" s="29">
        <f t="shared" ca="1" si="201"/>
        <v>0</v>
      </c>
      <c r="DD371" s="29">
        <f t="shared" ca="1" si="201"/>
        <v>2</v>
      </c>
      <c r="DE371" s="29">
        <f t="shared" ca="1" si="201"/>
        <v>0</v>
      </c>
      <c r="DF371" s="29">
        <f t="shared" ca="1" si="196"/>
        <v>1</v>
      </c>
      <c r="DG371" s="29">
        <f t="shared" ca="1" si="196"/>
        <v>1</v>
      </c>
      <c r="DH371" s="29">
        <f t="shared" ca="1" si="196"/>
        <v>1</v>
      </c>
      <c r="DI371" s="29">
        <f t="shared" ca="1" si="196"/>
        <v>3</v>
      </c>
      <c r="DJ371" s="29">
        <f t="shared" ca="1" si="196"/>
        <v>0</v>
      </c>
      <c r="DK371" s="29">
        <f t="shared" ca="1" si="196"/>
        <v>0</v>
      </c>
      <c r="DL371" s="29">
        <f t="shared" ca="1" si="196"/>
        <v>0</v>
      </c>
    </row>
    <row r="372" spans="1:116" ht="14.4" x14ac:dyDescent="0.3">
      <c r="A372" s="31">
        <v>228</v>
      </c>
      <c r="B372" s="28">
        <v>5.52</v>
      </c>
      <c r="C372" s="30">
        <v>3.9</v>
      </c>
      <c r="D372" s="28">
        <v>0.5</v>
      </c>
      <c r="E372" s="34">
        <f t="shared" si="180"/>
        <v>0.01</v>
      </c>
      <c r="F372" s="35">
        <f t="shared" si="181"/>
        <v>0.97499999999999998</v>
      </c>
      <c r="G372" s="34">
        <f t="shared" si="182"/>
        <v>12.5</v>
      </c>
      <c r="H372" s="33">
        <f t="shared" si="183"/>
        <v>2.08786231884058</v>
      </c>
      <c r="I372" s="28">
        <f t="shared" si="186"/>
        <v>1504.0700000000011</v>
      </c>
      <c r="J372" s="32">
        <v>0</v>
      </c>
      <c r="K372" s="30">
        <f t="shared" si="184"/>
        <v>12.5</v>
      </c>
      <c r="L372" s="30"/>
      <c r="M372" s="30"/>
      <c r="N372" s="30"/>
      <c r="O372" s="30"/>
      <c r="Q372" s="29">
        <f t="shared" ca="1" si="185"/>
        <v>0</v>
      </c>
      <c r="R372" s="29">
        <f t="shared" ca="1" si="204"/>
        <v>0</v>
      </c>
      <c r="S372" s="29">
        <f t="shared" ca="1" si="204"/>
        <v>1</v>
      </c>
      <c r="T372" s="29">
        <f t="shared" ca="1" si="204"/>
        <v>1</v>
      </c>
      <c r="U372" s="29">
        <f t="shared" ca="1" si="204"/>
        <v>1</v>
      </c>
      <c r="V372" s="29">
        <f t="shared" ca="1" si="204"/>
        <v>1</v>
      </c>
      <c r="W372" s="29">
        <f t="shared" ca="1" si="204"/>
        <v>0</v>
      </c>
      <c r="X372" s="29">
        <f t="shared" ca="1" si="204"/>
        <v>0</v>
      </c>
      <c r="Y372" s="29">
        <f t="shared" ca="1" si="204"/>
        <v>1</v>
      </c>
      <c r="Z372" s="29">
        <f t="shared" ca="1" si="204"/>
        <v>0</v>
      </c>
      <c r="AA372" s="29">
        <f t="shared" ca="1" si="204"/>
        <v>0</v>
      </c>
      <c r="AB372" s="29">
        <f t="shared" ca="1" si="204"/>
        <v>0</v>
      </c>
      <c r="AC372" s="29">
        <f t="shared" ca="1" si="204"/>
        <v>0</v>
      </c>
      <c r="AD372" s="29">
        <f t="shared" ca="1" si="204"/>
        <v>0</v>
      </c>
      <c r="AE372" s="29">
        <f t="shared" ca="1" si="204"/>
        <v>1</v>
      </c>
      <c r="AF372" s="29">
        <f t="shared" ca="1" si="204"/>
        <v>1</v>
      </c>
      <c r="AG372" s="29">
        <f t="shared" ca="1" si="203"/>
        <v>2</v>
      </c>
      <c r="AH372" s="29">
        <f t="shared" ca="1" si="203"/>
        <v>2</v>
      </c>
      <c r="AI372" s="29">
        <f t="shared" ca="1" si="203"/>
        <v>0</v>
      </c>
      <c r="AJ372" s="29">
        <f t="shared" ca="1" si="203"/>
        <v>3</v>
      </c>
      <c r="AK372" s="29">
        <f t="shared" ca="1" si="203"/>
        <v>0</v>
      </c>
      <c r="AL372" s="29">
        <f t="shared" ca="1" si="203"/>
        <v>0</v>
      </c>
      <c r="AM372" s="29">
        <f t="shared" ca="1" si="203"/>
        <v>0</v>
      </c>
      <c r="AN372" s="29">
        <f t="shared" ca="1" si="203"/>
        <v>2</v>
      </c>
      <c r="AO372" s="29">
        <f t="shared" ca="1" si="203"/>
        <v>1</v>
      </c>
      <c r="AP372" s="29">
        <f t="shared" ca="1" si="203"/>
        <v>0</v>
      </c>
      <c r="AQ372" s="29">
        <f t="shared" ca="1" si="203"/>
        <v>0</v>
      </c>
      <c r="AR372" s="29">
        <f t="shared" ca="1" si="203"/>
        <v>0</v>
      </c>
      <c r="AS372" s="29">
        <f t="shared" ca="1" si="203"/>
        <v>0</v>
      </c>
      <c r="AT372" s="29">
        <f t="shared" ca="1" si="203"/>
        <v>0</v>
      </c>
      <c r="AU372" s="29">
        <f t="shared" ca="1" si="203"/>
        <v>0</v>
      </c>
      <c r="AV372" s="29">
        <f t="shared" ca="1" si="206"/>
        <v>0</v>
      </c>
      <c r="AW372" s="29">
        <f t="shared" ca="1" si="206"/>
        <v>0</v>
      </c>
      <c r="AX372" s="29">
        <f t="shared" ca="1" si="206"/>
        <v>0</v>
      </c>
      <c r="AY372" s="29">
        <f t="shared" ca="1" si="206"/>
        <v>0</v>
      </c>
      <c r="AZ372" s="29">
        <f t="shared" ca="1" si="206"/>
        <v>0</v>
      </c>
      <c r="BA372" s="29">
        <f t="shared" ca="1" si="206"/>
        <v>1</v>
      </c>
      <c r="BB372" s="29">
        <f t="shared" ca="1" si="206"/>
        <v>2</v>
      </c>
      <c r="BC372" s="29">
        <f t="shared" ca="1" si="206"/>
        <v>0</v>
      </c>
      <c r="BD372" s="29">
        <f t="shared" ca="1" si="206"/>
        <v>0</v>
      </c>
      <c r="BE372" s="29">
        <f t="shared" ca="1" si="206"/>
        <v>0</v>
      </c>
      <c r="BF372" s="29">
        <f t="shared" ca="1" si="206"/>
        <v>0</v>
      </c>
      <c r="BG372" s="29">
        <f t="shared" ca="1" si="206"/>
        <v>1</v>
      </c>
      <c r="BH372" s="29">
        <f t="shared" ca="1" si="206"/>
        <v>0</v>
      </c>
      <c r="BI372" s="29">
        <f t="shared" ca="1" si="206"/>
        <v>0</v>
      </c>
      <c r="BJ372" s="29">
        <f t="shared" ca="1" si="206"/>
        <v>2</v>
      </c>
      <c r="BK372" s="29">
        <f t="shared" ca="1" si="206"/>
        <v>0</v>
      </c>
      <c r="BL372" s="29">
        <f t="shared" ca="1" si="205"/>
        <v>0</v>
      </c>
      <c r="BM372" s="29">
        <f t="shared" ca="1" si="205"/>
        <v>0</v>
      </c>
      <c r="BN372" s="29">
        <f t="shared" ca="1" si="205"/>
        <v>0</v>
      </c>
      <c r="BO372" s="29">
        <f t="shared" ca="1" si="205"/>
        <v>0</v>
      </c>
      <c r="BP372" s="29">
        <f t="shared" ca="1" si="205"/>
        <v>0</v>
      </c>
      <c r="BQ372" s="29">
        <f t="shared" ca="1" si="205"/>
        <v>1</v>
      </c>
      <c r="BR372" s="29">
        <f t="shared" ca="1" si="205"/>
        <v>0</v>
      </c>
      <c r="BS372" s="29">
        <f t="shared" ca="1" si="205"/>
        <v>0</v>
      </c>
      <c r="BT372" s="29">
        <f t="shared" ca="1" si="205"/>
        <v>1</v>
      </c>
      <c r="BU372" s="29">
        <f t="shared" ca="1" si="205"/>
        <v>0</v>
      </c>
      <c r="BV372" s="29">
        <f t="shared" ca="1" si="205"/>
        <v>0</v>
      </c>
      <c r="BW372" s="29">
        <f t="shared" ca="1" si="205"/>
        <v>1</v>
      </c>
      <c r="BX372" s="29">
        <f t="shared" ca="1" si="205"/>
        <v>0</v>
      </c>
      <c r="BY372" s="29">
        <f t="shared" ca="1" si="205"/>
        <v>2</v>
      </c>
      <c r="BZ372" s="29">
        <f t="shared" ca="1" si="205"/>
        <v>0</v>
      </c>
      <c r="CA372" s="29">
        <f t="shared" ca="1" si="202"/>
        <v>2</v>
      </c>
      <c r="CB372" s="29">
        <f t="shared" ca="1" si="202"/>
        <v>1</v>
      </c>
      <c r="CC372" s="29">
        <f t="shared" ca="1" si="202"/>
        <v>0</v>
      </c>
      <c r="CD372" s="29">
        <f t="shared" ca="1" si="202"/>
        <v>0</v>
      </c>
      <c r="CE372" s="29">
        <f t="shared" ca="1" si="202"/>
        <v>1</v>
      </c>
      <c r="CF372" s="29">
        <f t="shared" ca="1" si="202"/>
        <v>0</v>
      </c>
      <c r="CG372" s="29">
        <f t="shared" ca="1" si="202"/>
        <v>1</v>
      </c>
      <c r="CH372" s="29">
        <f t="shared" ca="1" si="202"/>
        <v>0</v>
      </c>
      <c r="CI372" s="29">
        <f t="shared" ca="1" si="202"/>
        <v>0</v>
      </c>
      <c r="CJ372" s="29">
        <f t="shared" ca="1" si="202"/>
        <v>1</v>
      </c>
      <c r="CK372" s="29">
        <f t="shared" ca="1" si="202"/>
        <v>0</v>
      </c>
      <c r="CL372" s="29">
        <f t="shared" ca="1" si="202"/>
        <v>1</v>
      </c>
      <c r="CM372" s="29">
        <f t="shared" ca="1" si="202"/>
        <v>0</v>
      </c>
      <c r="CN372" s="29">
        <f t="shared" ca="1" si="202"/>
        <v>0</v>
      </c>
      <c r="CO372" s="29">
        <f t="shared" ca="1" si="202"/>
        <v>0</v>
      </c>
      <c r="CP372" s="29">
        <f t="shared" ref="CP372:DE387" ca="1" si="207">_xlfn.BINOM.INV(50,$E372,RAND())</f>
        <v>0</v>
      </c>
      <c r="CQ372" s="29">
        <f t="shared" ca="1" si="207"/>
        <v>0</v>
      </c>
      <c r="CR372" s="29">
        <f t="shared" ca="1" si="207"/>
        <v>0</v>
      </c>
      <c r="CS372" s="29">
        <f t="shared" ca="1" si="207"/>
        <v>0</v>
      </c>
      <c r="CT372" s="29">
        <f t="shared" ca="1" si="207"/>
        <v>0</v>
      </c>
      <c r="CU372" s="29">
        <f t="shared" ca="1" si="207"/>
        <v>0</v>
      </c>
      <c r="CV372" s="29">
        <f t="shared" ca="1" si="207"/>
        <v>0</v>
      </c>
      <c r="CW372" s="29">
        <f t="shared" ca="1" si="207"/>
        <v>0</v>
      </c>
      <c r="CX372" s="29">
        <f t="shared" ca="1" si="207"/>
        <v>1</v>
      </c>
      <c r="CY372" s="29">
        <f t="shared" ca="1" si="207"/>
        <v>0</v>
      </c>
      <c r="CZ372" s="29">
        <f t="shared" ca="1" si="207"/>
        <v>0</v>
      </c>
      <c r="DA372" s="29">
        <f t="shared" ca="1" si="207"/>
        <v>1</v>
      </c>
      <c r="DB372" s="29">
        <f t="shared" ca="1" si="207"/>
        <v>1</v>
      </c>
      <c r="DC372" s="29">
        <f t="shared" ca="1" si="207"/>
        <v>0</v>
      </c>
      <c r="DD372" s="29">
        <f t="shared" ca="1" si="207"/>
        <v>1</v>
      </c>
      <c r="DE372" s="29">
        <f t="shared" ca="1" si="207"/>
        <v>0</v>
      </c>
      <c r="DF372" s="29">
        <f t="shared" ca="1" si="196"/>
        <v>0</v>
      </c>
      <c r="DG372" s="29">
        <f t="shared" ca="1" si="196"/>
        <v>1</v>
      </c>
      <c r="DH372" s="29">
        <f t="shared" ca="1" si="196"/>
        <v>2</v>
      </c>
      <c r="DI372" s="29">
        <f t="shared" ca="1" si="196"/>
        <v>0</v>
      </c>
      <c r="DJ372" s="29">
        <f t="shared" ca="1" si="196"/>
        <v>0</v>
      </c>
      <c r="DK372" s="29">
        <f t="shared" ca="1" si="196"/>
        <v>0</v>
      </c>
      <c r="DL372" s="29">
        <f t="shared" ca="1" si="196"/>
        <v>0</v>
      </c>
    </row>
    <row r="373" spans="1:116" ht="14.4" x14ac:dyDescent="0.3">
      <c r="A373" s="31">
        <v>645</v>
      </c>
      <c r="B373" s="28">
        <v>8.73</v>
      </c>
      <c r="C373" s="30">
        <v>2.68</v>
      </c>
      <c r="D373" s="28">
        <v>0.75</v>
      </c>
      <c r="E373" s="34">
        <f t="shared" si="180"/>
        <v>1.4999999999999999E-2</v>
      </c>
      <c r="F373" s="35">
        <f t="shared" si="181"/>
        <v>0.67</v>
      </c>
      <c r="G373" s="34">
        <f t="shared" si="182"/>
        <v>18.75</v>
      </c>
      <c r="H373" s="33">
        <f t="shared" si="183"/>
        <v>2.0710194730813285</v>
      </c>
      <c r="I373" s="28">
        <f t="shared" si="186"/>
        <v>1512.8000000000011</v>
      </c>
      <c r="J373" s="32">
        <v>0</v>
      </c>
      <c r="K373" s="30">
        <f t="shared" si="184"/>
        <v>18.75</v>
      </c>
      <c r="L373" s="30"/>
      <c r="M373" s="30"/>
      <c r="N373" s="30"/>
      <c r="O373" s="30"/>
      <c r="Q373" s="29">
        <f t="shared" ca="1" si="185"/>
        <v>0</v>
      </c>
      <c r="R373" s="29">
        <f t="shared" ca="1" si="204"/>
        <v>1</v>
      </c>
      <c r="S373" s="29">
        <f t="shared" ca="1" si="204"/>
        <v>1</v>
      </c>
      <c r="T373" s="29">
        <f t="shared" ca="1" si="204"/>
        <v>1</v>
      </c>
      <c r="U373" s="29">
        <f t="shared" ca="1" si="204"/>
        <v>0</v>
      </c>
      <c r="V373" s="29">
        <f t="shared" ca="1" si="204"/>
        <v>1</v>
      </c>
      <c r="W373" s="29">
        <f t="shared" ca="1" si="204"/>
        <v>1</v>
      </c>
      <c r="X373" s="29">
        <f t="shared" ca="1" si="204"/>
        <v>1</v>
      </c>
      <c r="Y373" s="29">
        <f t="shared" ca="1" si="204"/>
        <v>1</v>
      </c>
      <c r="Z373" s="29">
        <f t="shared" ca="1" si="204"/>
        <v>2</v>
      </c>
      <c r="AA373" s="29">
        <f t="shared" ca="1" si="204"/>
        <v>0</v>
      </c>
      <c r="AB373" s="29">
        <f t="shared" ca="1" si="204"/>
        <v>0</v>
      </c>
      <c r="AC373" s="29">
        <f t="shared" ca="1" si="204"/>
        <v>0</v>
      </c>
      <c r="AD373" s="29">
        <f t="shared" ca="1" si="204"/>
        <v>1</v>
      </c>
      <c r="AE373" s="29">
        <f t="shared" ca="1" si="204"/>
        <v>0</v>
      </c>
      <c r="AF373" s="29">
        <f t="shared" ca="1" si="204"/>
        <v>0</v>
      </c>
      <c r="AG373" s="29">
        <f t="shared" ca="1" si="203"/>
        <v>0</v>
      </c>
      <c r="AH373" s="29">
        <f t="shared" ca="1" si="203"/>
        <v>1</v>
      </c>
      <c r="AI373" s="29">
        <f t="shared" ca="1" si="203"/>
        <v>0</v>
      </c>
      <c r="AJ373" s="29">
        <f t="shared" ca="1" si="203"/>
        <v>0</v>
      </c>
      <c r="AK373" s="29">
        <f t="shared" ca="1" si="203"/>
        <v>0</v>
      </c>
      <c r="AL373" s="29">
        <f t="shared" ca="1" si="203"/>
        <v>0</v>
      </c>
      <c r="AM373" s="29">
        <f t="shared" ca="1" si="203"/>
        <v>2</v>
      </c>
      <c r="AN373" s="29">
        <f t="shared" ca="1" si="203"/>
        <v>0</v>
      </c>
      <c r="AO373" s="29">
        <f t="shared" ca="1" si="203"/>
        <v>2</v>
      </c>
      <c r="AP373" s="29">
        <f t="shared" ca="1" si="203"/>
        <v>0</v>
      </c>
      <c r="AQ373" s="29">
        <f t="shared" ca="1" si="203"/>
        <v>0</v>
      </c>
      <c r="AR373" s="29">
        <f t="shared" ca="1" si="203"/>
        <v>1</v>
      </c>
      <c r="AS373" s="29">
        <f t="shared" ca="1" si="203"/>
        <v>1</v>
      </c>
      <c r="AT373" s="29">
        <f t="shared" ca="1" si="203"/>
        <v>0</v>
      </c>
      <c r="AU373" s="29">
        <f t="shared" ca="1" si="203"/>
        <v>2</v>
      </c>
      <c r="AV373" s="29">
        <f t="shared" ca="1" si="206"/>
        <v>0</v>
      </c>
      <c r="AW373" s="29">
        <f t="shared" ca="1" si="206"/>
        <v>3</v>
      </c>
      <c r="AX373" s="29">
        <f t="shared" ca="1" si="206"/>
        <v>1</v>
      </c>
      <c r="AY373" s="29">
        <f t="shared" ca="1" si="206"/>
        <v>1</v>
      </c>
      <c r="AZ373" s="29">
        <f t="shared" ca="1" si="206"/>
        <v>0</v>
      </c>
      <c r="BA373" s="29">
        <f t="shared" ca="1" si="206"/>
        <v>0</v>
      </c>
      <c r="BB373" s="29">
        <f t="shared" ca="1" si="206"/>
        <v>0</v>
      </c>
      <c r="BC373" s="29">
        <f t="shared" ca="1" si="206"/>
        <v>0</v>
      </c>
      <c r="BD373" s="29">
        <f t="shared" ca="1" si="206"/>
        <v>0</v>
      </c>
      <c r="BE373" s="29">
        <f t="shared" ca="1" si="206"/>
        <v>1</v>
      </c>
      <c r="BF373" s="29">
        <f t="shared" ca="1" si="206"/>
        <v>1</v>
      </c>
      <c r="BG373" s="29">
        <f t="shared" ca="1" si="206"/>
        <v>1</v>
      </c>
      <c r="BH373" s="29">
        <f t="shared" ca="1" si="206"/>
        <v>0</v>
      </c>
      <c r="BI373" s="29">
        <f t="shared" ca="1" si="206"/>
        <v>2</v>
      </c>
      <c r="BJ373" s="29">
        <f t="shared" ca="1" si="206"/>
        <v>0</v>
      </c>
      <c r="BK373" s="29">
        <f t="shared" ca="1" si="206"/>
        <v>1</v>
      </c>
      <c r="BL373" s="29">
        <f t="shared" ca="1" si="205"/>
        <v>0</v>
      </c>
      <c r="BM373" s="29">
        <f t="shared" ca="1" si="205"/>
        <v>0</v>
      </c>
      <c r="BN373" s="29">
        <f t="shared" ca="1" si="205"/>
        <v>2</v>
      </c>
      <c r="BO373" s="29">
        <f t="shared" ca="1" si="205"/>
        <v>1</v>
      </c>
      <c r="BP373" s="29">
        <f t="shared" ca="1" si="205"/>
        <v>1</v>
      </c>
      <c r="BQ373" s="29">
        <f t="shared" ca="1" si="205"/>
        <v>1</v>
      </c>
      <c r="BR373" s="29">
        <f t="shared" ca="1" si="205"/>
        <v>1</v>
      </c>
      <c r="BS373" s="29">
        <f t="shared" ca="1" si="205"/>
        <v>0</v>
      </c>
      <c r="BT373" s="29">
        <f t="shared" ca="1" si="205"/>
        <v>1</v>
      </c>
      <c r="BU373" s="29">
        <f t="shared" ca="1" si="205"/>
        <v>1</v>
      </c>
      <c r="BV373" s="29">
        <f t="shared" ca="1" si="205"/>
        <v>1</v>
      </c>
      <c r="BW373" s="29">
        <f t="shared" ca="1" si="205"/>
        <v>1</v>
      </c>
      <c r="BX373" s="29">
        <f t="shared" ca="1" si="205"/>
        <v>0</v>
      </c>
      <c r="BY373" s="29">
        <f t="shared" ca="1" si="205"/>
        <v>1</v>
      </c>
      <c r="BZ373" s="29">
        <f t="shared" ca="1" si="205"/>
        <v>1</v>
      </c>
      <c r="CA373" s="29">
        <f t="shared" ref="CA373:CP388" ca="1" si="208">_xlfn.BINOM.INV(50,$E373,RAND())</f>
        <v>1</v>
      </c>
      <c r="CB373" s="29">
        <f t="shared" ca="1" si="208"/>
        <v>1</v>
      </c>
      <c r="CC373" s="29">
        <f t="shared" ca="1" si="208"/>
        <v>2</v>
      </c>
      <c r="CD373" s="29">
        <f t="shared" ca="1" si="208"/>
        <v>1</v>
      </c>
      <c r="CE373" s="29">
        <f t="shared" ca="1" si="208"/>
        <v>1</v>
      </c>
      <c r="CF373" s="29">
        <f t="shared" ca="1" si="208"/>
        <v>0</v>
      </c>
      <c r="CG373" s="29">
        <f t="shared" ca="1" si="208"/>
        <v>1</v>
      </c>
      <c r="CH373" s="29">
        <f t="shared" ca="1" si="208"/>
        <v>0</v>
      </c>
      <c r="CI373" s="29">
        <f t="shared" ca="1" si="208"/>
        <v>3</v>
      </c>
      <c r="CJ373" s="29">
        <f t="shared" ca="1" si="208"/>
        <v>2</v>
      </c>
      <c r="CK373" s="29">
        <f t="shared" ca="1" si="208"/>
        <v>2</v>
      </c>
      <c r="CL373" s="29">
        <f t="shared" ca="1" si="208"/>
        <v>1</v>
      </c>
      <c r="CM373" s="29">
        <f t="shared" ca="1" si="208"/>
        <v>3</v>
      </c>
      <c r="CN373" s="29">
        <f t="shared" ca="1" si="208"/>
        <v>1</v>
      </c>
      <c r="CO373" s="29">
        <f t="shared" ca="1" si="208"/>
        <v>0</v>
      </c>
      <c r="CP373" s="29">
        <f t="shared" ca="1" si="208"/>
        <v>1</v>
      </c>
      <c r="CQ373" s="29">
        <f t="shared" ca="1" si="207"/>
        <v>2</v>
      </c>
      <c r="CR373" s="29">
        <f t="shared" ca="1" si="207"/>
        <v>0</v>
      </c>
      <c r="CS373" s="29">
        <f t="shared" ca="1" si="207"/>
        <v>0</v>
      </c>
      <c r="CT373" s="29">
        <f t="shared" ca="1" si="207"/>
        <v>0</v>
      </c>
      <c r="CU373" s="29">
        <f t="shared" ca="1" si="207"/>
        <v>1</v>
      </c>
      <c r="CV373" s="29">
        <f t="shared" ca="1" si="207"/>
        <v>1</v>
      </c>
      <c r="CW373" s="29">
        <f t="shared" ca="1" si="207"/>
        <v>1</v>
      </c>
      <c r="CX373" s="29">
        <f t="shared" ca="1" si="207"/>
        <v>2</v>
      </c>
      <c r="CY373" s="29">
        <f t="shared" ca="1" si="207"/>
        <v>1</v>
      </c>
      <c r="CZ373" s="29">
        <f t="shared" ca="1" si="207"/>
        <v>2</v>
      </c>
      <c r="DA373" s="29">
        <f t="shared" ca="1" si="207"/>
        <v>0</v>
      </c>
      <c r="DB373" s="29">
        <f t="shared" ca="1" si="207"/>
        <v>0</v>
      </c>
      <c r="DC373" s="29">
        <f t="shared" ca="1" si="207"/>
        <v>0</v>
      </c>
      <c r="DD373" s="29">
        <f t="shared" ca="1" si="207"/>
        <v>1</v>
      </c>
      <c r="DE373" s="29">
        <f t="shared" ca="1" si="207"/>
        <v>2</v>
      </c>
      <c r="DF373" s="29">
        <f t="shared" ca="1" si="196"/>
        <v>1</v>
      </c>
      <c r="DG373" s="29">
        <f t="shared" ca="1" si="196"/>
        <v>2</v>
      </c>
      <c r="DH373" s="29">
        <f t="shared" ca="1" si="196"/>
        <v>0</v>
      </c>
      <c r="DI373" s="29">
        <f t="shared" ca="1" si="196"/>
        <v>1</v>
      </c>
      <c r="DJ373" s="29">
        <f t="shared" ca="1" si="196"/>
        <v>1</v>
      </c>
      <c r="DK373" s="29">
        <f t="shared" ca="1" si="196"/>
        <v>0</v>
      </c>
      <c r="DL373" s="29">
        <f t="shared" ca="1" si="196"/>
        <v>0</v>
      </c>
    </row>
    <row r="374" spans="1:116" ht="14.4" x14ac:dyDescent="0.3">
      <c r="A374" s="31">
        <v>892</v>
      </c>
      <c r="B374" s="28">
        <v>6.66</v>
      </c>
      <c r="C374" s="30">
        <v>1.58</v>
      </c>
      <c r="D374" s="28">
        <v>0.56000000000000005</v>
      </c>
      <c r="E374" s="34">
        <f t="shared" si="180"/>
        <v>1.1200000000000002E-2</v>
      </c>
      <c r="F374" s="35">
        <f t="shared" si="181"/>
        <v>0.39500000000000002</v>
      </c>
      <c r="G374" s="34">
        <f t="shared" si="182"/>
        <v>14.000000000000002</v>
      </c>
      <c r="H374" s="33">
        <f t="shared" si="183"/>
        <v>2.0427927927927931</v>
      </c>
      <c r="I374" s="28">
        <f t="shared" si="186"/>
        <v>1519.4600000000012</v>
      </c>
      <c r="J374" s="32">
        <v>0</v>
      </c>
      <c r="K374" s="30">
        <f t="shared" si="184"/>
        <v>14.000000000000002</v>
      </c>
      <c r="L374" s="30"/>
      <c r="M374" s="30"/>
      <c r="N374" s="30"/>
      <c r="O374" s="30"/>
      <c r="Q374" s="29">
        <f t="shared" ca="1" si="185"/>
        <v>0</v>
      </c>
      <c r="R374" s="29">
        <f t="shared" ca="1" si="204"/>
        <v>1</v>
      </c>
      <c r="S374" s="29">
        <f t="shared" ca="1" si="204"/>
        <v>3</v>
      </c>
      <c r="T374" s="29">
        <f t="shared" ca="1" si="204"/>
        <v>2</v>
      </c>
      <c r="U374" s="29">
        <f t="shared" ca="1" si="204"/>
        <v>0</v>
      </c>
      <c r="V374" s="29">
        <f t="shared" ca="1" si="204"/>
        <v>1</v>
      </c>
      <c r="W374" s="29">
        <f t="shared" ca="1" si="204"/>
        <v>1</v>
      </c>
      <c r="X374" s="29">
        <f t="shared" ca="1" si="204"/>
        <v>0</v>
      </c>
      <c r="Y374" s="29">
        <f t="shared" ca="1" si="204"/>
        <v>0</v>
      </c>
      <c r="Z374" s="29">
        <f t="shared" ca="1" si="204"/>
        <v>0</v>
      </c>
      <c r="AA374" s="29">
        <f t="shared" ca="1" si="204"/>
        <v>1</v>
      </c>
      <c r="AB374" s="29">
        <f t="shared" ca="1" si="204"/>
        <v>0</v>
      </c>
      <c r="AC374" s="29">
        <f t="shared" ca="1" si="204"/>
        <v>0</v>
      </c>
      <c r="AD374" s="29">
        <f t="shared" ca="1" si="204"/>
        <v>0</v>
      </c>
      <c r="AE374" s="29">
        <f t="shared" ca="1" si="204"/>
        <v>0</v>
      </c>
      <c r="AF374" s="29">
        <f t="shared" ca="1" si="204"/>
        <v>0</v>
      </c>
      <c r="AG374" s="29">
        <f t="shared" ca="1" si="203"/>
        <v>0</v>
      </c>
      <c r="AH374" s="29">
        <f t="shared" ca="1" si="203"/>
        <v>0</v>
      </c>
      <c r="AI374" s="29">
        <f t="shared" ca="1" si="203"/>
        <v>4</v>
      </c>
      <c r="AJ374" s="29">
        <f t="shared" ca="1" si="203"/>
        <v>1</v>
      </c>
      <c r="AK374" s="29">
        <f t="shared" ca="1" si="203"/>
        <v>0</v>
      </c>
      <c r="AL374" s="29">
        <f t="shared" ca="1" si="203"/>
        <v>1</v>
      </c>
      <c r="AM374" s="29">
        <f t="shared" ca="1" si="203"/>
        <v>0</v>
      </c>
      <c r="AN374" s="29">
        <f t="shared" ca="1" si="203"/>
        <v>1</v>
      </c>
      <c r="AO374" s="29">
        <f t="shared" ca="1" si="203"/>
        <v>0</v>
      </c>
      <c r="AP374" s="29">
        <f t="shared" ca="1" si="203"/>
        <v>1</v>
      </c>
      <c r="AQ374" s="29">
        <f t="shared" ca="1" si="203"/>
        <v>2</v>
      </c>
      <c r="AR374" s="29">
        <f t="shared" ca="1" si="203"/>
        <v>1</v>
      </c>
      <c r="AS374" s="29">
        <f t="shared" ca="1" si="203"/>
        <v>0</v>
      </c>
      <c r="AT374" s="29">
        <f t="shared" ca="1" si="203"/>
        <v>0</v>
      </c>
      <c r="AU374" s="29">
        <f t="shared" ca="1" si="203"/>
        <v>0</v>
      </c>
      <c r="AV374" s="29">
        <f t="shared" ca="1" si="206"/>
        <v>0</v>
      </c>
      <c r="AW374" s="29">
        <f t="shared" ca="1" si="206"/>
        <v>0</v>
      </c>
      <c r="AX374" s="29">
        <f t="shared" ca="1" si="206"/>
        <v>0</v>
      </c>
      <c r="AY374" s="29">
        <f t="shared" ca="1" si="206"/>
        <v>0</v>
      </c>
      <c r="AZ374" s="29">
        <f t="shared" ca="1" si="206"/>
        <v>0</v>
      </c>
      <c r="BA374" s="29">
        <f t="shared" ca="1" si="206"/>
        <v>0</v>
      </c>
      <c r="BB374" s="29">
        <f t="shared" ca="1" si="206"/>
        <v>0</v>
      </c>
      <c r="BC374" s="29">
        <f t="shared" ca="1" si="206"/>
        <v>0</v>
      </c>
      <c r="BD374" s="29">
        <f t="shared" ca="1" si="206"/>
        <v>0</v>
      </c>
      <c r="BE374" s="29">
        <f t="shared" ca="1" si="206"/>
        <v>0</v>
      </c>
      <c r="BF374" s="29">
        <f t="shared" ca="1" si="206"/>
        <v>0</v>
      </c>
      <c r="BG374" s="29">
        <f t="shared" ca="1" si="206"/>
        <v>0</v>
      </c>
      <c r="BH374" s="29">
        <f t="shared" ca="1" si="206"/>
        <v>0</v>
      </c>
      <c r="BI374" s="29">
        <f t="shared" ca="1" si="206"/>
        <v>0</v>
      </c>
      <c r="BJ374" s="29">
        <f t="shared" ca="1" si="206"/>
        <v>0</v>
      </c>
      <c r="BK374" s="29">
        <f t="shared" ca="1" si="206"/>
        <v>0</v>
      </c>
      <c r="BL374" s="29">
        <f t="shared" ca="1" si="205"/>
        <v>1</v>
      </c>
      <c r="BM374" s="29">
        <f t="shared" ca="1" si="205"/>
        <v>1</v>
      </c>
      <c r="BN374" s="29">
        <f t="shared" ca="1" si="205"/>
        <v>1</v>
      </c>
      <c r="BO374" s="29">
        <f t="shared" ca="1" si="205"/>
        <v>1</v>
      </c>
      <c r="BP374" s="29">
        <f t="shared" ca="1" si="205"/>
        <v>1</v>
      </c>
      <c r="BQ374" s="29">
        <f t="shared" ca="1" si="205"/>
        <v>0</v>
      </c>
      <c r="BR374" s="29">
        <f t="shared" ca="1" si="205"/>
        <v>0</v>
      </c>
      <c r="BS374" s="29">
        <f t="shared" ca="1" si="205"/>
        <v>0</v>
      </c>
      <c r="BT374" s="29">
        <f t="shared" ca="1" si="205"/>
        <v>0</v>
      </c>
      <c r="BU374" s="29">
        <f t="shared" ca="1" si="205"/>
        <v>0</v>
      </c>
      <c r="BV374" s="29">
        <f t="shared" ca="1" si="205"/>
        <v>1</v>
      </c>
      <c r="BW374" s="29">
        <f t="shared" ca="1" si="205"/>
        <v>2</v>
      </c>
      <c r="BX374" s="29">
        <f t="shared" ca="1" si="205"/>
        <v>0</v>
      </c>
      <c r="BY374" s="29">
        <f t="shared" ca="1" si="205"/>
        <v>1</v>
      </c>
      <c r="BZ374" s="29">
        <f t="shared" ca="1" si="205"/>
        <v>0</v>
      </c>
      <c r="CA374" s="29">
        <f t="shared" ca="1" si="208"/>
        <v>1</v>
      </c>
      <c r="CB374" s="29">
        <f t="shared" ca="1" si="208"/>
        <v>0</v>
      </c>
      <c r="CC374" s="29">
        <f t="shared" ca="1" si="208"/>
        <v>0</v>
      </c>
      <c r="CD374" s="29">
        <f t="shared" ca="1" si="208"/>
        <v>3</v>
      </c>
      <c r="CE374" s="29">
        <f t="shared" ca="1" si="208"/>
        <v>1</v>
      </c>
      <c r="CF374" s="29">
        <f t="shared" ca="1" si="208"/>
        <v>0</v>
      </c>
      <c r="CG374" s="29">
        <f t="shared" ca="1" si="208"/>
        <v>0</v>
      </c>
      <c r="CH374" s="29">
        <f t="shared" ca="1" si="208"/>
        <v>0</v>
      </c>
      <c r="CI374" s="29">
        <f t="shared" ca="1" si="208"/>
        <v>1</v>
      </c>
      <c r="CJ374" s="29">
        <f t="shared" ca="1" si="208"/>
        <v>1</v>
      </c>
      <c r="CK374" s="29">
        <f t="shared" ca="1" si="208"/>
        <v>0</v>
      </c>
      <c r="CL374" s="29">
        <f t="shared" ca="1" si="208"/>
        <v>0</v>
      </c>
      <c r="CM374" s="29">
        <f t="shared" ca="1" si="208"/>
        <v>1</v>
      </c>
      <c r="CN374" s="29">
        <f t="shared" ca="1" si="208"/>
        <v>1</v>
      </c>
      <c r="CO374" s="29">
        <f t="shared" ca="1" si="208"/>
        <v>0</v>
      </c>
      <c r="CP374" s="29">
        <f t="shared" ca="1" si="208"/>
        <v>2</v>
      </c>
      <c r="CQ374" s="29">
        <f t="shared" ca="1" si="207"/>
        <v>0</v>
      </c>
      <c r="CR374" s="29">
        <f t="shared" ca="1" si="207"/>
        <v>0</v>
      </c>
      <c r="CS374" s="29">
        <f t="shared" ca="1" si="207"/>
        <v>0</v>
      </c>
      <c r="CT374" s="29">
        <f t="shared" ca="1" si="207"/>
        <v>0</v>
      </c>
      <c r="CU374" s="29">
        <f t="shared" ca="1" si="207"/>
        <v>0</v>
      </c>
      <c r="CV374" s="29">
        <f t="shared" ca="1" si="207"/>
        <v>1</v>
      </c>
      <c r="CW374" s="29">
        <f t="shared" ca="1" si="207"/>
        <v>1</v>
      </c>
      <c r="CX374" s="29">
        <f t="shared" ca="1" si="207"/>
        <v>1</v>
      </c>
      <c r="CY374" s="29">
        <f t="shared" ca="1" si="207"/>
        <v>1</v>
      </c>
      <c r="CZ374" s="29">
        <f t="shared" ca="1" si="207"/>
        <v>1</v>
      </c>
      <c r="DA374" s="29">
        <f t="shared" ca="1" si="207"/>
        <v>0</v>
      </c>
      <c r="DB374" s="29">
        <f t="shared" ca="1" si="207"/>
        <v>0</v>
      </c>
      <c r="DC374" s="29">
        <f t="shared" ca="1" si="207"/>
        <v>0</v>
      </c>
      <c r="DD374" s="29">
        <f t="shared" ca="1" si="207"/>
        <v>0</v>
      </c>
      <c r="DE374" s="29">
        <f t="shared" ca="1" si="207"/>
        <v>0</v>
      </c>
      <c r="DF374" s="29">
        <f t="shared" ca="1" si="196"/>
        <v>1</v>
      </c>
      <c r="DG374" s="29">
        <f t="shared" ca="1" si="196"/>
        <v>1</v>
      </c>
      <c r="DH374" s="29">
        <f t="shared" ca="1" si="196"/>
        <v>0</v>
      </c>
      <c r="DI374" s="29">
        <f t="shared" ca="1" si="196"/>
        <v>0</v>
      </c>
      <c r="DJ374" s="29">
        <f t="shared" ca="1" si="196"/>
        <v>2</v>
      </c>
      <c r="DK374" s="29">
        <f t="shared" ca="1" si="196"/>
        <v>0</v>
      </c>
      <c r="DL374" s="29">
        <f t="shared" ca="1" si="196"/>
        <v>1</v>
      </c>
    </row>
    <row r="375" spans="1:116" ht="14.4" x14ac:dyDescent="0.3">
      <c r="A375" s="31">
        <v>796</v>
      </c>
      <c r="B375" s="28">
        <v>4.82</v>
      </c>
      <c r="C375" s="30">
        <v>4.63</v>
      </c>
      <c r="D375" s="28">
        <v>0.44</v>
      </c>
      <c r="E375" s="34">
        <f t="shared" si="180"/>
        <v>8.8000000000000005E-3</v>
      </c>
      <c r="F375" s="35">
        <f t="shared" si="181"/>
        <v>1.1575</v>
      </c>
      <c r="G375" s="34">
        <f t="shared" si="182"/>
        <v>11</v>
      </c>
      <c r="H375" s="33">
        <f t="shared" si="183"/>
        <v>2.0420124481327799</v>
      </c>
      <c r="I375" s="28">
        <f t="shared" si="186"/>
        <v>1524.2800000000011</v>
      </c>
      <c r="J375" s="32">
        <v>0</v>
      </c>
      <c r="K375" s="30">
        <f t="shared" si="184"/>
        <v>11</v>
      </c>
      <c r="L375" s="30"/>
      <c r="M375" s="30"/>
      <c r="N375" s="30"/>
      <c r="O375" s="30"/>
      <c r="Q375" s="29">
        <f t="shared" ca="1" si="185"/>
        <v>1</v>
      </c>
      <c r="R375" s="29">
        <f t="shared" ca="1" si="204"/>
        <v>2</v>
      </c>
      <c r="S375" s="29">
        <f t="shared" ca="1" si="204"/>
        <v>2</v>
      </c>
      <c r="T375" s="29">
        <f t="shared" ca="1" si="204"/>
        <v>0</v>
      </c>
      <c r="U375" s="29">
        <f t="shared" ca="1" si="204"/>
        <v>0</v>
      </c>
      <c r="V375" s="29">
        <f t="shared" ca="1" si="204"/>
        <v>0</v>
      </c>
      <c r="W375" s="29">
        <f t="shared" ca="1" si="204"/>
        <v>1</v>
      </c>
      <c r="X375" s="29">
        <f t="shared" ca="1" si="204"/>
        <v>0</v>
      </c>
      <c r="Y375" s="29">
        <f t="shared" ca="1" si="204"/>
        <v>1</v>
      </c>
      <c r="Z375" s="29">
        <f t="shared" ca="1" si="204"/>
        <v>0</v>
      </c>
      <c r="AA375" s="29">
        <f t="shared" ca="1" si="204"/>
        <v>1</v>
      </c>
      <c r="AB375" s="29">
        <f t="shared" ca="1" si="204"/>
        <v>0</v>
      </c>
      <c r="AC375" s="29">
        <f t="shared" ca="1" si="204"/>
        <v>1</v>
      </c>
      <c r="AD375" s="29">
        <f t="shared" ca="1" si="204"/>
        <v>0</v>
      </c>
      <c r="AE375" s="29">
        <f t="shared" ca="1" si="204"/>
        <v>0</v>
      </c>
      <c r="AF375" s="29">
        <f t="shared" ca="1" si="204"/>
        <v>1</v>
      </c>
      <c r="AG375" s="29">
        <f t="shared" ca="1" si="203"/>
        <v>0</v>
      </c>
      <c r="AH375" s="29">
        <f t="shared" ca="1" si="203"/>
        <v>0</v>
      </c>
      <c r="AI375" s="29">
        <f t="shared" ca="1" si="203"/>
        <v>1</v>
      </c>
      <c r="AJ375" s="29">
        <f t="shared" ca="1" si="203"/>
        <v>2</v>
      </c>
      <c r="AK375" s="29">
        <f t="shared" ca="1" si="203"/>
        <v>0</v>
      </c>
      <c r="AL375" s="29">
        <f t="shared" ca="1" si="203"/>
        <v>0</v>
      </c>
      <c r="AM375" s="29">
        <f t="shared" ca="1" si="203"/>
        <v>1</v>
      </c>
      <c r="AN375" s="29">
        <f t="shared" ca="1" si="203"/>
        <v>1</v>
      </c>
      <c r="AO375" s="29">
        <f t="shared" ca="1" si="203"/>
        <v>0</v>
      </c>
      <c r="AP375" s="29">
        <f t="shared" ca="1" si="203"/>
        <v>0</v>
      </c>
      <c r="AQ375" s="29">
        <f t="shared" ca="1" si="203"/>
        <v>2</v>
      </c>
      <c r="AR375" s="29">
        <f t="shared" ca="1" si="203"/>
        <v>1</v>
      </c>
      <c r="AS375" s="29">
        <f t="shared" ca="1" si="203"/>
        <v>2</v>
      </c>
      <c r="AT375" s="29">
        <f t="shared" ca="1" si="203"/>
        <v>1</v>
      </c>
      <c r="AU375" s="29">
        <f t="shared" ca="1" si="203"/>
        <v>0</v>
      </c>
      <c r="AV375" s="29">
        <f t="shared" ca="1" si="206"/>
        <v>0</v>
      </c>
      <c r="AW375" s="29">
        <f t="shared" ca="1" si="206"/>
        <v>1</v>
      </c>
      <c r="AX375" s="29">
        <f t="shared" ca="1" si="206"/>
        <v>0</v>
      </c>
      <c r="AY375" s="29">
        <f t="shared" ca="1" si="206"/>
        <v>0</v>
      </c>
      <c r="AZ375" s="29">
        <f t="shared" ca="1" si="206"/>
        <v>0</v>
      </c>
      <c r="BA375" s="29">
        <f t="shared" ca="1" si="206"/>
        <v>0</v>
      </c>
      <c r="BB375" s="29">
        <f t="shared" ca="1" si="206"/>
        <v>0</v>
      </c>
      <c r="BC375" s="29">
        <f t="shared" ca="1" si="206"/>
        <v>0</v>
      </c>
      <c r="BD375" s="29">
        <f t="shared" ca="1" si="206"/>
        <v>1</v>
      </c>
      <c r="BE375" s="29">
        <f t="shared" ca="1" si="206"/>
        <v>1</v>
      </c>
      <c r="BF375" s="29">
        <f t="shared" ca="1" si="206"/>
        <v>1</v>
      </c>
      <c r="BG375" s="29">
        <f t="shared" ca="1" si="206"/>
        <v>1</v>
      </c>
      <c r="BH375" s="29">
        <f t="shared" ca="1" si="206"/>
        <v>0</v>
      </c>
      <c r="BI375" s="29">
        <f t="shared" ca="1" si="206"/>
        <v>0</v>
      </c>
      <c r="BJ375" s="29">
        <f t="shared" ca="1" si="206"/>
        <v>0</v>
      </c>
      <c r="BK375" s="29">
        <f t="shared" ca="1" si="206"/>
        <v>1</v>
      </c>
      <c r="BL375" s="29">
        <f t="shared" ca="1" si="205"/>
        <v>0</v>
      </c>
      <c r="BM375" s="29">
        <f t="shared" ca="1" si="205"/>
        <v>0</v>
      </c>
      <c r="BN375" s="29">
        <f t="shared" ca="1" si="205"/>
        <v>0</v>
      </c>
      <c r="BO375" s="29">
        <f t="shared" ca="1" si="205"/>
        <v>0</v>
      </c>
      <c r="BP375" s="29">
        <f t="shared" ca="1" si="205"/>
        <v>0</v>
      </c>
      <c r="BQ375" s="29">
        <f t="shared" ca="1" si="205"/>
        <v>1</v>
      </c>
      <c r="BR375" s="29">
        <f t="shared" ca="1" si="205"/>
        <v>0</v>
      </c>
      <c r="BS375" s="29">
        <f t="shared" ca="1" si="205"/>
        <v>0</v>
      </c>
      <c r="BT375" s="29">
        <f t="shared" ca="1" si="205"/>
        <v>0</v>
      </c>
      <c r="BU375" s="29">
        <f t="shared" ca="1" si="205"/>
        <v>0</v>
      </c>
      <c r="BV375" s="29">
        <f t="shared" ca="1" si="205"/>
        <v>0</v>
      </c>
      <c r="BW375" s="29">
        <f t="shared" ca="1" si="205"/>
        <v>1</v>
      </c>
      <c r="BX375" s="29">
        <f t="shared" ca="1" si="205"/>
        <v>0</v>
      </c>
      <c r="BY375" s="29">
        <f t="shared" ca="1" si="205"/>
        <v>1</v>
      </c>
      <c r="BZ375" s="29">
        <f t="shared" ca="1" si="205"/>
        <v>1</v>
      </c>
      <c r="CA375" s="29">
        <f t="shared" ca="1" si="208"/>
        <v>1</v>
      </c>
      <c r="CB375" s="29">
        <f t="shared" ca="1" si="208"/>
        <v>0</v>
      </c>
      <c r="CC375" s="29">
        <f t="shared" ca="1" si="208"/>
        <v>0</v>
      </c>
      <c r="CD375" s="29">
        <f t="shared" ca="1" si="208"/>
        <v>1</v>
      </c>
      <c r="CE375" s="29">
        <f t="shared" ca="1" si="208"/>
        <v>1</v>
      </c>
      <c r="CF375" s="29">
        <f t="shared" ca="1" si="208"/>
        <v>2</v>
      </c>
      <c r="CG375" s="29">
        <f t="shared" ca="1" si="208"/>
        <v>3</v>
      </c>
      <c r="CH375" s="29">
        <f t="shared" ca="1" si="208"/>
        <v>0</v>
      </c>
      <c r="CI375" s="29">
        <f t="shared" ca="1" si="208"/>
        <v>0</v>
      </c>
      <c r="CJ375" s="29">
        <f t="shared" ca="1" si="208"/>
        <v>0</v>
      </c>
      <c r="CK375" s="29">
        <f t="shared" ca="1" si="208"/>
        <v>0</v>
      </c>
      <c r="CL375" s="29">
        <f t="shared" ca="1" si="208"/>
        <v>0</v>
      </c>
      <c r="CM375" s="29">
        <f t="shared" ca="1" si="208"/>
        <v>0</v>
      </c>
      <c r="CN375" s="29">
        <f t="shared" ca="1" si="208"/>
        <v>1</v>
      </c>
      <c r="CO375" s="29">
        <f t="shared" ca="1" si="208"/>
        <v>0</v>
      </c>
      <c r="CP375" s="29">
        <f t="shared" ca="1" si="208"/>
        <v>0</v>
      </c>
      <c r="CQ375" s="29">
        <f t="shared" ca="1" si="207"/>
        <v>1</v>
      </c>
      <c r="CR375" s="29">
        <f t="shared" ca="1" si="207"/>
        <v>0</v>
      </c>
      <c r="CS375" s="29">
        <f t="shared" ca="1" si="207"/>
        <v>0</v>
      </c>
      <c r="CT375" s="29">
        <f t="shared" ca="1" si="207"/>
        <v>1</v>
      </c>
      <c r="CU375" s="29">
        <f t="shared" ca="1" si="207"/>
        <v>0</v>
      </c>
      <c r="CV375" s="29">
        <f t="shared" ca="1" si="207"/>
        <v>1</v>
      </c>
      <c r="CW375" s="29">
        <f t="shared" ca="1" si="207"/>
        <v>2</v>
      </c>
      <c r="CX375" s="29">
        <f t="shared" ca="1" si="207"/>
        <v>0</v>
      </c>
      <c r="CY375" s="29">
        <f t="shared" ca="1" si="207"/>
        <v>0</v>
      </c>
      <c r="CZ375" s="29">
        <f t="shared" ca="1" si="207"/>
        <v>0</v>
      </c>
      <c r="DA375" s="29">
        <f t="shared" ca="1" si="207"/>
        <v>0</v>
      </c>
      <c r="DB375" s="29">
        <f t="shared" ca="1" si="207"/>
        <v>2</v>
      </c>
      <c r="DC375" s="29">
        <f t="shared" ca="1" si="207"/>
        <v>0</v>
      </c>
      <c r="DD375" s="29">
        <f t="shared" ca="1" si="207"/>
        <v>0</v>
      </c>
      <c r="DE375" s="29">
        <f t="shared" ca="1" si="207"/>
        <v>0</v>
      </c>
      <c r="DF375" s="29">
        <f t="shared" ca="1" si="196"/>
        <v>0</v>
      </c>
      <c r="DG375" s="29">
        <f t="shared" ca="1" si="196"/>
        <v>0</v>
      </c>
      <c r="DH375" s="29">
        <f t="shared" ca="1" si="196"/>
        <v>0</v>
      </c>
      <c r="DI375" s="29">
        <f t="shared" ca="1" si="196"/>
        <v>0</v>
      </c>
      <c r="DJ375" s="29">
        <f t="shared" ca="1" si="196"/>
        <v>0</v>
      </c>
      <c r="DK375" s="29">
        <f t="shared" ca="1" si="196"/>
        <v>1</v>
      </c>
      <c r="DL375" s="29">
        <f t="shared" ca="1" si="196"/>
        <v>1</v>
      </c>
    </row>
    <row r="376" spans="1:116" ht="14.4" x14ac:dyDescent="0.3">
      <c r="A376" s="31">
        <v>865</v>
      </c>
      <c r="B376" s="28">
        <v>3.35</v>
      </c>
      <c r="C376" s="30">
        <v>59.53</v>
      </c>
      <c r="D376" s="28">
        <v>0.86</v>
      </c>
      <c r="E376" s="34">
        <f t="shared" si="180"/>
        <v>1.72E-2</v>
      </c>
      <c r="F376" s="35">
        <f t="shared" si="181"/>
        <v>14.8825</v>
      </c>
      <c r="G376" s="34">
        <f t="shared" si="182"/>
        <v>21.5</v>
      </c>
      <c r="H376" s="33">
        <f t="shared" si="183"/>
        <v>1.975373134328358</v>
      </c>
      <c r="I376" s="28">
        <f t="shared" si="186"/>
        <v>1527.630000000001</v>
      </c>
      <c r="J376" s="32">
        <v>0</v>
      </c>
      <c r="K376" s="30">
        <f t="shared" si="184"/>
        <v>21.5</v>
      </c>
      <c r="L376" s="30"/>
      <c r="M376" s="30"/>
      <c r="N376" s="30"/>
      <c r="O376" s="30"/>
      <c r="Q376" s="29">
        <f t="shared" ca="1" si="185"/>
        <v>1</v>
      </c>
      <c r="R376" s="29">
        <f t="shared" ca="1" si="204"/>
        <v>1</v>
      </c>
      <c r="S376" s="29">
        <f t="shared" ca="1" si="204"/>
        <v>1</v>
      </c>
      <c r="T376" s="29">
        <f t="shared" ca="1" si="204"/>
        <v>3</v>
      </c>
      <c r="U376" s="29">
        <f t="shared" ca="1" si="204"/>
        <v>0</v>
      </c>
      <c r="V376" s="29">
        <f t="shared" ca="1" si="204"/>
        <v>0</v>
      </c>
      <c r="W376" s="29">
        <f t="shared" ca="1" si="204"/>
        <v>0</v>
      </c>
      <c r="X376" s="29">
        <f t="shared" ca="1" si="204"/>
        <v>0</v>
      </c>
      <c r="Y376" s="29">
        <f t="shared" ca="1" si="204"/>
        <v>1</v>
      </c>
      <c r="Z376" s="29">
        <f t="shared" ca="1" si="204"/>
        <v>0</v>
      </c>
      <c r="AA376" s="29">
        <f t="shared" ca="1" si="204"/>
        <v>0</v>
      </c>
      <c r="AB376" s="29">
        <f t="shared" ca="1" si="204"/>
        <v>0</v>
      </c>
      <c r="AC376" s="29">
        <f t="shared" ca="1" si="204"/>
        <v>2</v>
      </c>
      <c r="AD376" s="29">
        <f t="shared" ca="1" si="204"/>
        <v>2</v>
      </c>
      <c r="AE376" s="29">
        <f t="shared" ca="1" si="204"/>
        <v>2</v>
      </c>
      <c r="AF376" s="29">
        <f t="shared" ca="1" si="204"/>
        <v>1</v>
      </c>
      <c r="AG376" s="29">
        <f t="shared" ca="1" si="203"/>
        <v>1</v>
      </c>
      <c r="AH376" s="29">
        <f t="shared" ca="1" si="203"/>
        <v>1</v>
      </c>
      <c r="AI376" s="29">
        <f t="shared" ca="1" si="203"/>
        <v>1</v>
      </c>
      <c r="AJ376" s="29">
        <f t="shared" ca="1" si="203"/>
        <v>2</v>
      </c>
      <c r="AK376" s="29">
        <f t="shared" ca="1" si="203"/>
        <v>1</v>
      </c>
      <c r="AL376" s="29">
        <f t="shared" ca="1" si="203"/>
        <v>2</v>
      </c>
      <c r="AM376" s="29">
        <f t="shared" ca="1" si="203"/>
        <v>2</v>
      </c>
      <c r="AN376" s="29">
        <f t="shared" ca="1" si="203"/>
        <v>1</v>
      </c>
      <c r="AO376" s="29">
        <f t="shared" ca="1" si="203"/>
        <v>2</v>
      </c>
      <c r="AP376" s="29">
        <f t="shared" ca="1" si="203"/>
        <v>0</v>
      </c>
      <c r="AQ376" s="29">
        <f t="shared" ca="1" si="203"/>
        <v>0</v>
      </c>
      <c r="AR376" s="29">
        <f t="shared" ca="1" si="203"/>
        <v>1</v>
      </c>
      <c r="AS376" s="29">
        <f t="shared" ca="1" si="203"/>
        <v>1</v>
      </c>
      <c r="AT376" s="29">
        <f t="shared" ca="1" si="203"/>
        <v>0</v>
      </c>
      <c r="AU376" s="29">
        <f t="shared" ca="1" si="203"/>
        <v>0</v>
      </c>
      <c r="AV376" s="29">
        <f t="shared" ca="1" si="206"/>
        <v>1</v>
      </c>
      <c r="AW376" s="29">
        <f t="shared" ca="1" si="206"/>
        <v>2</v>
      </c>
      <c r="AX376" s="29">
        <f t="shared" ca="1" si="206"/>
        <v>2</v>
      </c>
      <c r="AY376" s="29">
        <f t="shared" ca="1" si="206"/>
        <v>0</v>
      </c>
      <c r="AZ376" s="29">
        <f t="shared" ca="1" si="206"/>
        <v>0</v>
      </c>
      <c r="BA376" s="29">
        <f t="shared" ca="1" si="206"/>
        <v>2</v>
      </c>
      <c r="BB376" s="29">
        <f t="shared" ca="1" si="206"/>
        <v>3</v>
      </c>
      <c r="BC376" s="29">
        <f t="shared" ca="1" si="206"/>
        <v>1</v>
      </c>
      <c r="BD376" s="29">
        <f t="shared" ca="1" si="206"/>
        <v>1</v>
      </c>
      <c r="BE376" s="29">
        <f t="shared" ca="1" si="206"/>
        <v>1</v>
      </c>
      <c r="BF376" s="29">
        <f t="shared" ca="1" si="206"/>
        <v>0</v>
      </c>
      <c r="BG376" s="29">
        <f t="shared" ca="1" si="206"/>
        <v>4</v>
      </c>
      <c r="BH376" s="29">
        <f t="shared" ca="1" si="206"/>
        <v>1</v>
      </c>
      <c r="BI376" s="29">
        <f t="shared" ca="1" si="206"/>
        <v>0</v>
      </c>
      <c r="BJ376" s="29">
        <f t="shared" ca="1" si="206"/>
        <v>1</v>
      </c>
      <c r="BK376" s="29">
        <f t="shared" ca="1" si="206"/>
        <v>0</v>
      </c>
      <c r="BL376" s="29">
        <f t="shared" ca="1" si="205"/>
        <v>3</v>
      </c>
      <c r="BM376" s="29">
        <f t="shared" ca="1" si="205"/>
        <v>1</v>
      </c>
      <c r="BN376" s="29">
        <f t="shared" ca="1" si="205"/>
        <v>1</v>
      </c>
      <c r="BO376" s="29">
        <f t="shared" ca="1" si="205"/>
        <v>0</v>
      </c>
      <c r="BP376" s="29">
        <f t="shared" ca="1" si="205"/>
        <v>1</v>
      </c>
      <c r="BQ376" s="29">
        <f t="shared" ca="1" si="205"/>
        <v>2</v>
      </c>
      <c r="BR376" s="29">
        <f t="shared" ca="1" si="205"/>
        <v>2</v>
      </c>
      <c r="BS376" s="29">
        <f t="shared" ca="1" si="205"/>
        <v>1</v>
      </c>
      <c r="BT376" s="29">
        <f t="shared" ca="1" si="205"/>
        <v>2</v>
      </c>
      <c r="BU376" s="29">
        <f t="shared" ca="1" si="205"/>
        <v>2</v>
      </c>
      <c r="BV376" s="29">
        <f t="shared" ca="1" si="205"/>
        <v>1</v>
      </c>
      <c r="BW376" s="29">
        <f t="shared" ca="1" si="205"/>
        <v>0</v>
      </c>
      <c r="BX376" s="29">
        <f t="shared" ca="1" si="205"/>
        <v>1</v>
      </c>
      <c r="BY376" s="29">
        <f t="shared" ca="1" si="205"/>
        <v>0</v>
      </c>
      <c r="BZ376" s="29">
        <f t="shared" ca="1" si="205"/>
        <v>1</v>
      </c>
      <c r="CA376" s="29">
        <f t="shared" ca="1" si="208"/>
        <v>0</v>
      </c>
      <c r="CB376" s="29">
        <f t="shared" ca="1" si="208"/>
        <v>0</v>
      </c>
      <c r="CC376" s="29">
        <f t="shared" ca="1" si="208"/>
        <v>0</v>
      </c>
      <c r="CD376" s="29">
        <f t="shared" ca="1" si="208"/>
        <v>2</v>
      </c>
      <c r="CE376" s="29">
        <f t="shared" ca="1" si="208"/>
        <v>0</v>
      </c>
      <c r="CF376" s="29">
        <f t="shared" ca="1" si="208"/>
        <v>1</v>
      </c>
      <c r="CG376" s="29">
        <f t="shared" ca="1" si="208"/>
        <v>0</v>
      </c>
      <c r="CH376" s="29">
        <f t="shared" ca="1" si="208"/>
        <v>1</v>
      </c>
      <c r="CI376" s="29">
        <f t="shared" ca="1" si="208"/>
        <v>0</v>
      </c>
      <c r="CJ376" s="29">
        <f t="shared" ca="1" si="208"/>
        <v>1</v>
      </c>
      <c r="CK376" s="29">
        <f t="shared" ca="1" si="208"/>
        <v>0</v>
      </c>
      <c r="CL376" s="29">
        <f t="shared" ca="1" si="208"/>
        <v>0</v>
      </c>
      <c r="CM376" s="29">
        <f t="shared" ca="1" si="208"/>
        <v>1</v>
      </c>
      <c r="CN376" s="29">
        <f t="shared" ca="1" si="208"/>
        <v>0</v>
      </c>
      <c r="CO376" s="29">
        <f t="shared" ca="1" si="208"/>
        <v>0</v>
      </c>
      <c r="CP376" s="29">
        <f t="shared" ca="1" si="208"/>
        <v>0</v>
      </c>
      <c r="CQ376" s="29">
        <f t="shared" ca="1" si="207"/>
        <v>1</v>
      </c>
      <c r="CR376" s="29">
        <f t="shared" ca="1" si="207"/>
        <v>3</v>
      </c>
      <c r="CS376" s="29">
        <f t="shared" ca="1" si="207"/>
        <v>1</v>
      </c>
      <c r="CT376" s="29">
        <f t="shared" ca="1" si="207"/>
        <v>0</v>
      </c>
      <c r="CU376" s="29">
        <f t="shared" ca="1" si="207"/>
        <v>1</v>
      </c>
      <c r="CV376" s="29">
        <f t="shared" ca="1" si="207"/>
        <v>0</v>
      </c>
      <c r="CW376" s="29">
        <f t="shared" ca="1" si="207"/>
        <v>1</v>
      </c>
      <c r="CX376" s="29">
        <f t="shared" ca="1" si="207"/>
        <v>0</v>
      </c>
      <c r="CY376" s="29">
        <f t="shared" ca="1" si="207"/>
        <v>0</v>
      </c>
      <c r="CZ376" s="29">
        <f t="shared" ca="1" si="207"/>
        <v>1</v>
      </c>
      <c r="DA376" s="29">
        <f t="shared" ca="1" si="207"/>
        <v>1</v>
      </c>
      <c r="DB376" s="29">
        <f t="shared" ca="1" si="207"/>
        <v>0</v>
      </c>
      <c r="DC376" s="29">
        <f t="shared" ca="1" si="207"/>
        <v>1</v>
      </c>
      <c r="DD376" s="29">
        <f t="shared" ca="1" si="207"/>
        <v>1</v>
      </c>
      <c r="DE376" s="29">
        <f t="shared" ca="1" si="207"/>
        <v>2</v>
      </c>
      <c r="DF376" s="29">
        <f t="shared" ca="1" si="196"/>
        <v>2</v>
      </c>
      <c r="DG376" s="29">
        <f t="shared" ca="1" si="196"/>
        <v>0</v>
      </c>
      <c r="DH376" s="29">
        <f t="shared" ca="1" si="196"/>
        <v>1</v>
      </c>
      <c r="DI376" s="29">
        <f t="shared" ca="1" si="196"/>
        <v>1</v>
      </c>
      <c r="DJ376" s="29">
        <f t="shared" ca="1" si="196"/>
        <v>0</v>
      </c>
      <c r="DK376" s="29">
        <f t="shared" ca="1" si="196"/>
        <v>1</v>
      </c>
      <c r="DL376" s="29">
        <f t="shared" ca="1" si="196"/>
        <v>0</v>
      </c>
    </row>
    <row r="377" spans="1:116" ht="14.4" x14ac:dyDescent="0.3">
      <c r="A377" s="31">
        <v>537</v>
      </c>
      <c r="B377" s="28">
        <v>7.66</v>
      </c>
      <c r="C377" s="30">
        <v>3.92</v>
      </c>
      <c r="D377" s="28">
        <v>0.64</v>
      </c>
      <c r="E377" s="34">
        <f t="shared" si="180"/>
        <v>1.2800000000000001E-2</v>
      </c>
      <c r="F377" s="35">
        <f t="shared" si="181"/>
        <v>0.98</v>
      </c>
      <c r="G377" s="34">
        <f t="shared" si="182"/>
        <v>16</v>
      </c>
      <c r="H377" s="33">
        <f t="shared" si="183"/>
        <v>1.9608355091383811</v>
      </c>
      <c r="I377" s="28">
        <f t="shared" si="186"/>
        <v>1535.2900000000011</v>
      </c>
      <c r="J377" s="32">
        <v>0</v>
      </c>
      <c r="K377" s="30">
        <f t="shared" si="184"/>
        <v>16</v>
      </c>
      <c r="L377" s="30"/>
      <c r="M377" s="30"/>
      <c r="N377" s="30"/>
      <c r="O377" s="30"/>
      <c r="Q377" s="29">
        <f t="shared" ca="1" si="185"/>
        <v>0</v>
      </c>
      <c r="R377" s="29">
        <f t="shared" ca="1" si="204"/>
        <v>1</v>
      </c>
      <c r="S377" s="29">
        <f t="shared" ca="1" si="204"/>
        <v>1</v>
      </c>
      <c r="T377" s="29">
        <f t="shared" ca="1" si="204"/>
        <v>0</v>
      </c>
      <c r="U377" s="29">
        <f t="shared" ca="1" si="204"/>
        <v>1</v>
      </c>
      <c r="V377" s="29">
        <f t="shared" ca="1" si="204"/>
        <v>0</v>
      </c>
      <c r="W377" s="29">
        <f t="shared" ca="1" si="204"/>
        <v>0</v>
      </c>
      <c r="X377" s="29">
        <f t="shared" ca="1" si="204"/>
        <v>0</v>
      </c>
      <c r="Y377" s="29">
        <f t="shared" ca="1" si="204"/>
        <v>0</v>
      </c>
      <c r="Z377" s="29">
        <f t="shared" ca="1" si="204"/>
        <v>0</v>
      </c>
      <c r="AA377" s="29">
        <f t="shared" ca="1" si="204"/>
        <v>3</v>
      </c>
      <c r="AB377" s="29">
        <f t="shared" ca="1" si="204"/>
        <v>0</v>
      </c>
      <c r="AC377" s="29">
        <f t="shared" ca="1" si="204"/>
        <v>1</v>
      </c>
      <c r="AD377" s="29">
        <f t="shared" ca="1" si="204"/>
        <v>1</v>
      </c>
      <c r="AE377" s="29">
        <f t="shared" ca="1" si="204"/>
        <v>2</v>
      </c>
      <c r="AF377" s="29">
        <f t="shared" ref="AF377:AU392" ca="1" si="209">_xlfn.BINOM.INV(50,$E377,RAND())</f>
        <v>2</v>
      </c>
      <c r="AG377" s="29">
        <f t="shared" ca="1" si="209"/>
        <v>0</v>
      </c>
      <c r="AH377" s="29">
        <f t="shared" ca="1" si="209"/>
        <v>0</v>
      </c>
      <c r="AI377" s="29">
        <f t="shared" ca="1" si="209"/>
        <v>1</v>
      </c>
      <c r="AJ377" s="29">
        <f t="shared" ca="1" si="209"/>
        <v>0</v>
      </c>
      <c r="AK377" s="29">
        <f t="shared" ca="1" si="209"/>
        <v>0</v>
      </c>
      <c r="AL377" s="29">
        <f t="shared" ca="1" si="209"/>
        <v>1</v>
      </c>
      <c r="AM377" s="29">
        <f t="shared" ca="1" si="209"/>
        <v>0</v>
      </c>
      <c r="AN377" s="29">
        <f t="shared" ca="1" si="209"/>
        <v>1</v>
      </c>
      <c r="AO377" s="29">
        <f t="shared" ca="1" si="209"/>
        <v>0</v>
      </c>
      <c r="AP377" s="29">
        <f t="shared" ca="1" si="209"/>
        <v>1</v>
      </c>
      <c r="AQ377" s="29">
        <f t="shared" ca="1" si="209"/>
        <v>0</v>
      </c>
      <c r="AR377" s="29">
        <f t="shared" ca="1" si="209"/>
        <v>0</v>
      </c>
      <c r="AS377" s="29">
        <f t="shared" ca="1" si="209"/>
        <v>2</v>
      </c>
      <c r="AT377" s="29">
        <f t="shared" ca="1" si="209"/>
        <v>1</v>
      </c>
      <c r="AU377" s="29">
        <f t="shared" ca="1" si="209"/>
        <v>0</v>
      </c>
      <c r="AV377" s="29">
        <f t="shared" ca="1" si="206"/>
        <v>1</v>
      </c>
      <c r="AW377" s="29">
        <f t="shared" ca="1" si="206"/>
        <v>0</v>
      </c>
      <c r="AX377" s="29">
        <f t="shared" ca="1" si="206"/>
        <v>2</v>
      </c>
      <c r="AY377" s="29">
        <f t="shared" ca="1" si="206"/>
        <v>2</v>
      </c>
      <c r="AZ377" s="29">
        <f t="shared" ca="1" si="206"/>
        <v>1</v>
      </c>
      <c r="BA377" s="29">
        <f t="shared" ca="1" si="206"/>
        <v>1</v>
      </c>
      <c r="BB377" s="29">
        <f t="shared" ca="1" si="206"/>
        <v>0</v>
      </c>
      <c r="BC377" s="29">
        <f t="shared" ca="1" si="206"/>
        <v>0</v>
      </c>
      <c r="BD377" s="29">
        <f t="shared" ca="1" si="206"/>
        <v>0</v>
      </c>
      <c r="BE377" s="29">
        <f t="shared" ca="1" si="206"/>
        <v>1</v>
      </c>
      <c r="BF377" s="29">
        <f t="shared" ca="1" si="206"/>
        <v>0</v>
      </c>
      <c r="BG377" s="29">
        <f t="shared" ca="1" si="206"/>
        <v>0</v>
      </c>
      <c r="BH377" s="29">
        <f t="shared" ca="1" si="206"/>
        <v>0</v>
      </c>
      <c r="BI377" s="29">
        <f t="shared" ca="1" si="206"/>
        <v>0</v>
      </c>
      <c r="BJ377" s="29">
        <f t="shared" ca="1" si="206"/>
        <v>0</v>
      </c>
      <c r="BK377" s="29">
        <f t="shared" ca="1" si="206"/>
        <v>1</v>
      </c>
      <c r="BL377" s="29">
        <f t="shared" ca="1" si="205"/>
        <v>0</v>
      </c>
      <c r="BM377" s="29">
        <f t="shared" ca="1" si="205"/>
        <v>2</v>
      </c>
      <c r="BN377" s="29">
        <f t="shared" ca="1" si="205"/>
        <v>1</v>
      </c>
      <c r="BO377" s="29">
        <f t="shared" ca="1" si="205"/>
        <v>1</v>
      </c>
      <c r="BP377" s="29">
        <f t="shared" ca="1" si="205"/>
        <v>0</v>
      </c>
      <c r="BQ377" s="29">
        <f t="shared" ca="1" si="205"/>
        <v>1</v>
      </c>
      <c r="BR377" s="29">
        <f t="shared" ca="1" si="205"/>
        <v>0</v>
      </c>
      <c r="BS377" s="29">
        <f t="shared" ca="1" si="205"/>
        <v>1</v>
      </c>
      <c r="BT377" s="29">
        <f t="shared" ca="1" si="205"/>
        <v>0</v>
      </c>
      <c r="BU377" s="29">
        <f t="shared" ca="1" si="205"/>
        <v>0</v>
      </c>
      <c r="BV377" s="29">
        <f t="shared" ca="1" si="205"/>
        <v>1</v>
      </c>
      <c r="BW377" s="29">
        <f t="shared" ca="1" si="205"/>
        <v>0</v>
      </c>
      <c r="BX377" s="29">
        <f t="shared" ca="1" si="205"/>
        <v>0</v>
      </c>
      <c r="BY377" s="29">
        <f t="shared" ca="1" si="205"/>
        <v>1</v>
      </c>
      <c r="BZ377" s="29">
        <f t="shared" ca="1" si="205"/>
        <v>0</v>
      </c>
      <c r="CA377" s="29">
        <f t="shared" ca="1" si="208"/>
        <v>2</v>
      </c>
      <c r="CB377" s="29">
        <f t="shared" ca="1" si="208"/>
        <v>1</v>
      </c>
      <c r="CC377" s="29">
        <f t="shared" ca="1" si="208"/>
        <v>0</v>
      </c>
      <c r="CD377" s="29">
        <f t="shared" ca="1" si="208"/>
        <v>1</v>
      </c>
      <c r="CE377" s="29">
        <f t="shared" ca="1" si="208"/>
        <v>0</v>
      </c>
      <c r="CF377" s="29">
        <f t="shared" ca="1" si="208"/>
        <v>1</v>
      </c>
      <c r="CG377" s="29">
        <f t="shared" ca="1" si="208"/>
        <v>1</v>
      </c>
      <c r="CH377" s="29">
        <f t="shared" ca="1" si="208"/>
        <v>1</v>
      </c>
      <c r="CI377" s="29">
        <f t="shared" ca="1" si="208"/>
        <v>1</v>
      </c>
      <c r="CJ377" s="29">
        <f t="shared" ca="1" si="208"/>
        <v>0</v>
      </c>
      <c r="CK377" s="29">
        <f t="shared" ca="1" si="208"/>
        <v>0</v>
      </c>
      <c r="CL377" s="29">
        <f t="shared" ca="1" si="208"/>
        <v>1</v>
      </c>
      <c r="CM377" s="29">
        <f t="shared" ca="1" si="208"/>
        <v>2</v>
      </c>
      <c r="CN377" s="29">
        <f t="shared" ca="1" si="208"/>
        <v>0</v>
      </c>
      <c r="CO377" s="29">
        <f t="shared" ca="1" si="208"/>
        <v>1</v>
      </c>
      <c r="CP377" s="29">
        <f t="shared" ca="1" si="208"/>
        <v>1</v>
      </c>
      <c r="CQ377" s="29">
        <f t="shared" ca="1" si="207"/>
        <v>1</v>
      </c>
      <c r="CR377" s="29">
        <f t="shared" ca="1" si="207"/>
        <v>0</v>
      </c>
      <c r="CS377" s="29">
        <f t="shared" ca="1" si="207"/>
        <v>0</v>
      </c>
      <c r="CT377" s="29">
        <f t="shared" ca="1" si="207"/>
        <v>0</v>
      </c>
      <c r="CU377" s="29">
        <f t="shared" ca="1" si="207"/>
        <v>1</v>
      </c>
      <c r="CV377" s="29">
        <f t="shared" ca="1" si="207"/>
        <v>1</v>
      </c>
      <c r="CW377" s="29">
        <f t="shared" ca="1" si="207"/>
        <v>0</v>
      </c>
      <c r="CX377" s="29">
        <f t="shared" ca="1" si="207"/>
        <v>0</v>
      </c>
      <c r="CY377" s="29">
        <f t="shared" ca="1" si="207"/>
        <v>0</v>
      </c>
      <c r="CZ377" s="29">
        <f t="shared" ca="1" si="207"/>
        <v>1</v>
      </c>
      <c r="DA377" s="29">
        <f t="shared" ca="1" si="207"/>
        <v>0</v>
      </c>
      <c r="DB377" s="29">
        <f t="shared" ca="1" si="207"/>
        <v>2</v>
      </c>
      <c r="DC377" s="29">
        <f t="shared" ca="1" si="207"/>
        <v>0</v>
      </c>
      <c r="DD377" s="29">
        <f t="shared" ca="1" si="207"/>
        <v>1</v>
      </c>
      <c r="DE377" s="29">
        <f t="shared" ca="1" si="207"/>
        <v>0</v>
      </c>
      <c r="DF377" s="29">
        <f t="shared" ca="1" si="196"/>
        <v>0</v>
      </c>
      <c r="DG377" s="29">
        <f t="shared" ca="1" si="196"/>
        <v>1</v>
      </c>
      <c r="DH377" s="29">
        <f t="shared" ca="1" si="196"/>
        <v>0</v>
      </c>
      <c r="DI377" s="29">
        <f t="shared" ca="1" si="196"/>
        <v>0</v>
      </c>
      <c r="DJ377" s="29">
        <f t="shared" ca="1" si="196"/>
        <v>0</v>
      </c>
      <c r="DK377" s="29">
        <f t="shared" ca="1" si="196"/>
        <v>0</v>
      </c>
      <c r="DL377" s="29">
        <f t="shared" ca="1" si="196"/>
        <v>0</v>
      </c>
    </row>
    <row r="378" spans="1:116" ht="14.4" x14ac:dyDescent="0.3">
      <c r="A378" s="31">
        <v>101</v>
      </c>
      <c r="B378" s="28">
        <v>2</v>
      </c>
      <c r="C378" s="30">
        <v>93.52</v>
      </c>
      <c r="D378" s="28">
        <v>1.0900000000000001</v>
      </c>
      <c r="E378" s="34">
        <f t="shared" si="180"/>
        <v>2.18E-2</v>
      </c>
      <c r="F378" s="35">
        <f t="shared" si="181"/>
        <v>23.38</v>
      </c>
      <c r="G378" s="34">
        <f t="shared" si="182"/>
        <v>27.250000000000004</v>
      </c>
      <c r="H378" s="33">
        <f t="shared" si="183"/>
        <v>1.9350000000000023</v>
      </c>
      <c r="I378" s="28">
        <f t="shared" si="186"/>
        <v>1537.2900000000011</v>
      </c>
      <c r="J378" s="32">
        <v>0</v>
      </c>
      <c r="K378" s="30">
        <f t="shared" si="184"/>
        <v>27.250000000000004</v>
      </c>
      <c r="L378" s="30"/>
      <c r="M378" s="30"/>
      <c r="N378" s="30"/>
      <c r="O378" s="30"/>
      <c r="Q378" s="29">
        <f t="shared" ca="1" si="185"/>
        <v>1</v>
      </c>
      <c r="R378" s="29">
        <f t="shared" ref="R378:AF393" ca="1" si="210">_xlfn.BINOM.INV(50,$E378,RAND())</f>
        <v>3</v>
      </c>
      <c r="S378" s="29">
        <f t="shared" ca="1" si="210"/>
        <v>0</v>
      </c>
      <c r="T378" s="29">
        <f t="shared" ca="1" si="210"/>
        <v>1</v>
      </c>
      <c r="U378" s="29">
        <f t="shared" ca="1" si="210"/>
        <v>2</v>
      </c>
      <c r="V378" s="29">
        <f t="shared" ca="1" si="210"/>
        <v>0</v>
      </c>
      <c r="W378" s="29">
        <f t="shared" ca="1" si="210"/>
        <v>1</v>
      </c>
      <c r="X378" s="29">
        <f t="shared" ca="1" si="210"/>
        <v>1</v>
      </c>
      <c r="Y378" s="29">
        <f t="shared" ca="1" si="210"/>
        <v>0</v>
      </c>
      <c r="Z378" s="29">
        <f t="shared" ca="1" si="210"/>
        <v>2</v>
      </c>
      <c r="AA378" s="29">
        <f t="shared" ca="1" si="210"/>
        <v>2</v>
      </c>
      <c r="AB378" s="29">
        <f t="shared" ca="1" si="210"/>
        <v>0</v>
      </c>
      <c r="AC378" s="29">
        <f t="shared" ca="1" si="210"/>
        <v>1</v>
      </c>
      <c r="AD378" s="29">
        <f t="shared" ca="1" si="210"/>
        <v>3</v>
      </c>
      <c r="AE378" s="29">
        <f t="shared" ca="1" si="210"/>
        <v>0</v>
      </c>
      <c r="AF378" s="29">
        <f t="shared" ca="1" si="210"/>
        <v>0</v>
      </c>
      <c r="AG378" s="29">
        <f t="shared" ca="1" si="209"/>
        <v>0</v>
      </c>
      <c r="AH378" s="29">
        <f t="shared" ca="1" si="209"/>
        <v>0</v>
      </c>
      <c r="AI378" s="29">
        <f t="shared" ca="1" si="209"/>
        <v>0</v>
      </c>
      <c r="AJ378" s="29">
        <f t="shared" ca="1" si="209"/>
        <v>0</v>
      </c>
      <c r="AK378" s="29">
        <f t="shared" ca="1" si="209"/>
        <v>1</v>
      </c>
      <c r="AL378" s="29">
        <f t="shared" ca="1" si="209"/>
        <v>3</v>
      </c>
      <c r="AM378" s="29">
        <f t="shared" ca="1" si="209"/>
        <v>0</v>
      </c>
      <c r="AN378" s="29">
        <f t="shared" ca="1" si="209"/>
        <v>1</v>
      </c>
      <c r="AO378" s="29">
        <f t="shared" ca="1" si="209"/>
        <v>0</v>
      </c>
      <c r="AP378" s="29">
        <f t="shared" ca="1" si="209"/>
        <v>0</v>
      </c>
      <c r="AQ378" s="29">
        <f t="shared" ca="1" si="209"/>
        <v>2</v>
      </c>
      <c r="AR378" s="29">
        <f t="shared" ca="1" si="209"/>
        <v>3</v>
      </c>
      <c r="AS378" s="29">
        <f t="shared" ca="1" si="209"/>
        <v>0</v>
      </c>
      <c r="AT378" s="29">
        <f t="shared" ca="1" si="209"/>
        <v>2</v>
      </c>
      <c r="AU378" s="29">
        <f t="shared" ca="1" si="209"/>
        <v>4</v>
      </c>
      <c r="AV378" s="29">
        <f t="shared" ca="1" si="206"/>
        <v>1</v>
      </c>
      <c r="AW378" s="29">
        <f t="shared" ca="1" si="206"/>
        <v>1</v>
      </c>
      <c r="AX378" s="29">
        <f t="shared" ca="1" si="206"/>
        <v>1</v>
      </c>
      <c r="AY378" s="29">
        <f t="shared" ca="1" si="206"/>
        <v>0</v>
      </c>
      <c r="AZ378" s="29">
        <f t="shared" ca="1" si="206"/>
        <v>0</v>
      </c>
      <c r="BA378" s="29">
        <f t="shared" ca="1" si="206"/>
        <v>3</v>
      </c>
      <c r="BB378" s="29">
        <f t="shared" ca="1" si="206"/>
        <v>3</v>
      </c>
      <c r="BC378" s="29">
        <f t="shared" ca="1" si="206"/>
        <v>2</v>
      </c>
      <c r="BD378" s="29">
        <f t="shared" ca="1" si="206"/>
        <v>1</v>
      </c>
      <c r="BE378" s="29">
        <f t="shared" ca="1" si="206"/>
        <v>3</v>
      </c>
      <c r="BF378" s="29">
        <f t="shared" ca="1" si="206"/>
        <v>0</v>
      </c>
      <c r="BG378" s="29">
        <f t="shared" ca="1" si="206"/>
        <v>0</v>
      </c>
      <c r="BH378" s="29">
        <f t="shared" ca="1" si="206"/>
        <v>3</v>
      </c>
      <c r="BI378" s="29">
        <f t="shared" ca="1" si="206"/>
        <v>0</v>
      </c>
      <c r="BJ378" s="29">
        <f t="shared" ca="1" si="206"/>
        <v>4</v>
      </c>
      <c r="BK378" s="29">
        <f t="shared" ca="1" si="206"/>
        <v>0</v>
      </c>
      <c r="BL378" s="29">
        <f t="shared" ca="1" si="205"/>
        <v>3</v>
      </c>
      <c r="BM378" s="29">
        <f t="shared" ca="1" si="205"/>
        <v>3</v>
      </c>
      <c r="BN378" s="29">
        <f t="shared" ca="1" si="205"/>
        <v>2</v>
      </c>
      <c r="BO378" s="29">
        <f t="shared" ca="1" si="205"/>
        <v>2</v>
      </c>
      <c r="BP378" s="29">
        <f t="shared" ca="1" si="205"/>
        <v>1</v>
      </c>
      <c r="BQ378" s="29">
        <f t="shared" ca="1" si="205"/>
        <v>0</v>
      </c>
      <c r="BR378" s="29">
        <f t="shared" ca="1" si="205"/>
        <v>1</v>
      </c>
      <c r="BS378" s="29">
        <f t="shared" ca="1" si="205"/>
        <v>2</v>
      </c>
      <c r="BT378" s="29">
        <f t="shared" ca="1" si="205"/>
        <v>1</v>
      </c>
      <c r="BU378" s="29">
        <f t="shared" ca="1" si="205"/>
        <v>1</v>
      </c>
      <c r="BV378" s="29">
        <f t="shared" ca="1" si="205"/>
        <v>0</v>
      </c>
      <c r="BW378" s="29">
        <f t="shared" ca="1" si="205"/>
        <v>1</v>
      </c>
      <c r="BX378" s="29">
        <f t="shared" ca="1" si="205"/>
        <v>0</v>
      </c>
      <c r="BY378" s="29">
        <f t="shared" ca="1" si="205"/>
        <v>0</v>
      </c>
      <c r="BZ378" s="29">
        <f t="shared" ca="1" si="205"/>
        <v>2</v>
      </c>
      <c r="CA378" s="29">
        <f t="shared" ca="1" si="208"/>
        <v>1</v>
      </c>
      <c r="CB378" s="29">
        <f t="shared" ca="1" si="208"/>
        <v>1</v>
      </c>
      <c r="CC378" s="29">
        <f t="shared" ca="1" si="208"/>
        <v>2</v>
      </c>
      <c r="CD378" s="29">
        <f t="shared" ca="1" si="208"/>
        <v>1</v>
      </c>
      <c r="CE378" s="29">
        <f t="shared" ca="1" si="208"/>
        <v>1</v>
      </c>
      <c r="CF378" s="29">
        <f t="shared" ca="1" si="208"/>
        <v>0</v>
      </c>
      <c r="CG378" s="29">
        <f t="shared" ca="1" si="208"/>
        <v>0</v>
      </c>
      <c r="CH378" s="29">
        <f t="shared" ca="1" si="208"/>
        <v>1</v>
      </c>
      <c r="CI378" s="29">
        <f t="shared" ca="1" si="208"/>
        <v>3</v>
      </c>
      <c r="CJ378" s="29">
        <f t="shared" ca="1" si="208"/>
        <v>1</v>
      </c>
      <c r="CK378" s="29">
        <f t="shared" ca="1" si="208"/>
        <v>1</v>
      </c>
      <c r="CL378" s="29">
        <f t="shared" ca="1" si="208"/>
        <v>2</v>
      </c>
      <c r="CM378" s="29">
        <f t="shared" ca="1" si="208"/>
        <v>0</v>
      </c>
      <c r="CN378" s="29">
        <f t="shared" ca="1" si="208"/>
        <v>1</v>
      </c>
      <c r="CO378" s="29">
        <f t="shared" ca="1" si="208"/>
        <v>2</v>
      </c>
      <c r="CP378" s="29">
        <f t="shared" ca="1" si="208"/>
        <v>1</v>
      </c>
      <c r="CQ378" s="29">
        <f t="shared" ca="1" si="207"/>
        <v>0</v>
      </c>
      <c r="CR378" s="29">
        <f t="shared" ca="1" si="207"/>
        <v>2</v>
      </c>
      <c r="CS378" s="29">
        <f t="shared" ca="1" si="207"/>
        <v>1</v>
      </c>
      <c r="CT378" s="29">
        <f t="shared" ca="1" si="207"/>
        <v>2</v>
      </c>
      <c r="CU378" s="29">
        <f t="shared" ca="1" si="207"/>
        <v>1</v>
      </c>
      <c r="CV378" s="29">
        <f t="shared" ca="1" si="207"/>
        <v>1</v>
      </c>
      <c r="CW378" s="29">
        <f t="shared" ca="1" si="207"/>
        <v>2</v>
      </c>
      <c r="CX378" s="29">
        <f t="shared" ca="1" si="207"/>
        <v>0</v>
      </c>
      <c r="CY378" s="29">
        <f t="shared" ca="1" si="207"/>
        <v>0</v>
      </c>
      <c r="CZ378" s="29">
        <f t="shared" ca="1" si="207"/>
        <v>2</v>
      </c>
      <c r="DA378" s="29">
        <f t="shared" ca="1" si="207"/>
        <v>3</v>
      </c>
      <c r="DB378" s="29">
        <f t="shared" ca="1" si="207"/>
        <v>0</v>
      </c>
      <c r="DC378" s="29">
        <f t="shared" ca="1" si="207"/>
        <v>1</v>
      </c>
      <c r="DD378" s="29">
        <f t="shared" ca="1" si="207"/>
        <v>2</v>
      </c>
      <c r="DE378" s="29">
        <f t="shared" ca="1" si="207"/>
        <v>2</v>
      </c>
      <c r="DF378" s="29">
        <f t="shared" ca="1" si="196"/>
        <v>0</v>
      </c>
      <c r="DG378" s="29">
        <f t="shared" ca="1" si="196"/>
        <v>1</v>
      </c>
      <c r="DH378" s="29">
        <f t="shared" ca="1" si="196"/>
        <v>2</v>
      </c>
      <c r="DI378" s="29">
        <f t="shared" ca="1" si="196"/>
        <v>2</v>
      </c>
      <c r="DJ378" s="29">
        <f t="shared" ca="1" si="196"/>
        <v>2</v>
      </c>
      <c r="DK378" s="29">
        <f t="shared" ca="1" si="196"/>
        <v>1</v>
      </c>
      <c r="DL378" s="29">
        <f t="shared" ca="1" si="196"/>
        <v>0</v>
      </c>
    </row>
    <row r="379" spans="1:116" ht="14.4" x14ac:dyDescent="0.3">
      <c r="A379" s="31">
        <v>1004</v>
      </c>
      <c r="B379" s="28">
        <v>2.72</v>
      </c>
      <c r="C379" s="30">
        <v>43.43</v>
      </c>
      <c r="D379" s="28">
        <v>0.64</v>
      </c>
      <c r="E379" s="34">
        <f t="shared" si="180"/>
        <v>1.2800000000000001E-2</v>
      </c>
      <c r="F379" s="35">
        <f t="shared" si="181"/>
        <v>10.8575</v>
      </c>
      <c r="G379" s="34">
        <f t="shared" si="182"/>
        <v>16</v>
      </c>
      <c r="H379" s="33">
        <f t="shared" si="183"/>
        <v>1.890625</v>
      </c>
      <c r="I379" s="28">
        <f t="shared" si="186"/>
        <v>1540.0100000000011</v>
      </c>
      <c r="J379" s="32">
        <v>0</v>
      </c>
      <c r="K379" s="30">
        <f t="shared" si="184"/>
        <v>16</v>
      </c>
      <c r="L379" s="30"/>
      <c r="M379" s="30"/>
      <c r="N379" s="30"/>
      <c r="O379" s="30"/>
      <c r="Q379" s="29">
        <f t="shared" ca="1" si="185"/>
        <v>1</v>
      </c>
      <c r="R379" s="29">
        <f t="shared" ca="1" si="210"/>
        <v>0</v>
      </c>
      <c r="S379" s="29">
        <f t="shared" ca="1" si="210"/>
        <v>0</v>
      </c>
      <c r="T379" s="29">
        <f t="shared" ca="1" si="210"/>
        <v>0</v>
      </c>
      <c r="U379" s="29">
        <f t="shared" ca="1" si="210"/>
        <v>1</v>
      </c>
      <c r="V379" s="29">
        <f t="shared" ca="1" si="210"/>
        <v>0</v>
      </c>
      <c r="W379" s="29">
        <f t="shared" ca="1" si="210"/>
        <v>1</v>
      </c>
      <c r="X379" s="29">
        <f t="shared" ca="1" si="210"/>
        <v>1</v>
      </c>
      <c r="Y379" s="29">
        <f t="shared" ca="1" si="210"/>
        <v>0</v>
      </c>
      <c r="Z379" s="29">
        <f t="shared" ca="1" si="210"/>
        <v>0</v>
      </c>
      <c r="AA379" s="29">
        <f t="shared" ca="1" si="210"/>
        <v>1</v>
      </c>
      <c r="AB379" s="29">
        <f t="shared" ca="1" si="210"/>
        <v>0</v>
      </c>
      <c r="AC379" s="29">
        <f t="shared" ca="1" si="210"/>
        <v>0</v>
      </c>
      <c r="AD379" s="29">
        <f t="shared" ca="1" si="210"/>
        <v>0</v>
      </c>
      <c r="AE379" s="29">
        <f t="shared" ca="1" si="210"/>
        <v>2</v>
      </c>
      <c r="AF379" s="29">
        <f t="shared" ca="1" si="210"/>
        <v>2</v>
      </c>
      <c r="AG379" s="29">
        <f t="shared" ca="1" si="209"/>
        <v>1</v>
      </c>
      <c r="AH379" s="29">
        <f t="shared" ca="1" si="209"/>
        <v>0</v>
      </c>
      <c r="AI379" s="29">
        <f t="shared" ca="1" si="209"/>
        <v>0</v>
      </c>
      <c r="AJ379" s="29">
        <f t="shared" ca="1" si="209"/>
        <v>0</v>
      </c>
      <c r="AK379" s="29">
        <f t="shared" ca="1" si="209"/>
        <v>1</v>
      </c>
      <c r="AL379" s="29">
        <f t="shared" ca="1" si="209"/>
        <v>1</v>
      </c>
      <c r="AM379" s="29">
        <f t="shared" ca="1" si="209"/>
        <v>0</v>
      </c>
      <c r="AN379" s="29">
        <f t="shared" ca="1" si="209"/>
        <v>0</v>
      </c>
      <c r="AO379" s="29">
        <f t="shared" ca="1" si="209"/>
        <v>1</v>
      </c>
      <c r="AP379" s="29">
        <f t="shared" ca="1" si="209"/>
        <v>2</v>
      </c>
      <c r="AQ379" s="29">
        <f t="shared" ca="1" si="209"/>
        <v>0</v>
      </c>
      <c r="AR379" s="29">
        <f t="shared" ca="1" si="209"/>
        <v>0</v>
      </c>
      <c r="AS379" s="29">
        <f t="shared" ca="1" si="209"/>
        <v>1</v>
      </c>
      <c r="AT379" s="29">
        <f t="shared" ca="1" si="209"/>
        <v>0</v>
      </c>
      <c r="AU379" s="29">
        <f t="shared" ca="1" si="209"/>
        <v>0</v>
      </c>
      <c r="AV379" s="29">
        <f t="shared" ca="1" si="206"/>
        <v>1</v>
      </c>
      <c r="AW379" s="29">
        <f t="shared" ca="1" si="206"/>
        <v>1</v>
      </c>
      <c r="AX379" s="29">
        <f t="shared" ca="1" si="206"/>
        <v>0</v>
      </c>
      <c r="AY379" s="29">
        <f t="shared" ca="1" si="206"/>
        <v>0</v>
      </c>
      <c r="AZ379" s="29">
        <f t="shared" ca="1" si="206"/>
        <v>2</v>
      </c>
      <c r="BA379" s="29">
        <f t="shared" ca="1" si="206"/>
        <v>2</v>
      </c>
      <c r="BB379" s="29">
        <f t="shared" ca="1" si="206"/>
        <v>0</v>
      </c>
      <c r="BC379" s="29">
        <f t="shared" ca="1" si="206"/>
        <v>0</v>
      </c>
      <c r="BD379" s="29">
        <f t="shared" ca="1" si="206"/>
        <v>0</v>
      </c>
      <c r="BE379" s="29">
        <f t="shared" ca="1" si="206"/>
        <v>0</v>
      </c>
      <c r="BF379" s="29">
        <f t="shared" ca="1" si="206"/>
        <v>1</v>
      </c>
      <c r="BG379" s="29">
        <f t="shared" ca="1" si="206"/>
        <v>1</v>
      </c>
      <c r="BH379" s="29">
        <f t="shared" ca="1" si="206"/>
        <v>2</v>
      </c>
      <c r="BI379" s="29">
        <f t="shared" ca="1" si="206"/>
        <v>0</v>
      </c>
      <c r="BJ379" s="29">
        <f t="shared" ca="1" si="206"/>
        <v>0</v>
      </c>
      <c r="BK379" s="29">
        <f t="shared" ca="1" si="206"/>
        <v>1</v>
      </c>
      <c r="BL379" s="29">
        <f t="shared" ca="1" si="205"/>
        <v>1</v>
      </c>
      <c r="BM379" s="29">
        <f t="shared" ca="1" si="205"/>
        <v>2</v>
      </c>
      <c r="BN379" s="29">
        <f t="shared" ca="1" si="205"/>
        <v>2</v>
      </c>
      <c r="BO379" s="29">
        <f t="shared" ca="1" si="205"/>
        <v>0</v>
      </c>
      <c r="BP379" s="29">
        <f t="shared" ca="1" si="205"/>
        <v>2</v>
      </c>
      <c r="BQ379" s="29">
        <f t="shared" ca="1" si="205"/>
        <v>1</v>
      </c>
      <c r="BR379" s="29">
        <f t="shared" ca="1" si="205"/>
        <v>0</v>
      </c>
      <c r="BS379" s="29">
        <f t="shared" ca="1" si="205"/>
        <v>2</v>
      </c>
      <c r="BT379" s="29">
        <f t="shared" ca="1" si="205"/>
        <v>0</v>
      </c>
      <c r="BU379" s="29">
        <f t="shared" ca="1" si="205"/>
        <v>0</v>
      </c>
      <c r="BV379" s="29">
        <f t="shared" ca="1" si="205"/>
        <v>1</v>
      </c>
      <c r="BW379" s="29">
        <f t="shared" ca="1" si="205"/>
        <v>0</v>
      </c>
      <c r="BX379" s="29">
        <f t="shared" ca="1" si="205"/>
        <v>0</v>
      </c>
      <c r="BY379" s="29">
        <f t="shared" ca="1" si="205"/>
        <v>0</v>
      </c>
      <c r="BZ379" s="29">
        <f t="shared" ca="1" si="205"/>
        <v>0</v>
      </c>
      <c r="CA379" s="29">
        <f t="shared" ca="1" si="208"/>
        <v>1</v>
      </c>
      <c r="CB379" s="29">
        <f t="shared" ca="1" si="208"/>
        <v>0</v>
      </c>
      <c r="CC379" s="29">
        <f t="shared" ca="1" si="208"/>
        <v>1</v>
      </c>
      <c r="CD379" s="29">
        <f t="shared" ca="1" si="208"/>
        <v>2</v>
      </c>
      <c r="CE379" s="29">
        <f t="shared" ca="1" si="208"/>
        <v>0</v>
      </c>
      <c r="CF379" s="29">
        <f t="shared" ca="1" si="208"/>
        <v>0</v>
      </c>
      <c r="CG379" s="29">
        <f t="shared" ca="1" si="208"/>
        <v>0</v>
      </c>
      <c r="CH379" s="29">
        <f t="shared" ca="1" si="208"/>
        <v>1</v>
      </c>
      <c r="CI379" s="29">
        <f t="shared" ca="1" si="208"/>
        <v>0</v>
      </c>
      <c r="CJ379" s="29">
        <f t="shared" ca="1" si="208"/>
        <v>1</v>
      </c>
      <c r="CK379" s="29">
        <f t="shared" ca="1" si="208"/>
        <v>0</v>
      </c>
      <c r="CL379" s="29">
        <f t="shared" ca="1" si="208"/>
        <v>0</v>
      </c>
      <c r="CM379" s="29">
        <f t="shared" ca="1" si="208"/>
        <v>0</v>
      </c>
      <c r="CN379" s="29">
        <f t="shared" ca="1" si="208"/>
        <v>1</v>
      </c>
      <c r="CO379" s="29">
        <f t="shared" ca="1" si="208"/>
        <v>1</v>
      </c>
      <c r="CP379" s="29">
        <f t="shared" ca="1" si="208"/>
        <v>0</v>
      </c>
      <c r="CQ379" s="29">
        <f t="shared" ca="1" si="207"/>
        <v>2</v>
      </c>
      <c r="CR379" s="29">
        <f t="shared" ca="1" si="207"/>
        <v>0</v>
      </c>
      <c r="CS379" s="29">
        <f t="shared" ca="1" si="207"/>
        <v>1</v>
      </c>
      <c r="CT379" s="29">
        <f t="shared" ca="1" si="207"/>
        <v>0</v>
      </c>
      <c r="CU379" s="29">
        <f t="shared" ca="1" si="207"/>
        <v>0</v>
      </c>
      <c r="CV379" s="29">
        <f t="shared" ca="1" si="207"/>
        <v>1</v>
      </c>
      <c r="CW379" s="29">
        <f t="shared" ca="1" si="207"/>
        <v>2</v>
      </c>
      <c r="CX379" s="29">
        <f t="shared" ca="1" si="207"/>
        <v>0</v>
      </c>
      <c r="CY379" s="29">
        <f t="shared" ca="1" si="207"/>
        <v>0</v>
      </c>
      <c r="CZ379" s="29">
        <f t="shared" ca="1" si="207"/>
        <v>0</v>
      </c>
      <c r="DA379" s="29">
        <f t="shared" ca="1" si="207"/>
        <v>0</v>
      </c>
      <c r="DB379" s="29">
        <f t="shared" ca="1" si="207"/>
        <v>0</v>
      </c>
      <c r="DC379" s="29">
        <f t="shared" ca="1" si="207"/>
        <v>1</v>
      </c>
      <c r="DD379" s="29">
        <f t="shared" ca="1" si="207"/>
        <v>0</v>
      </c>
      <c r="DE379" s="29">
        <f t="shared" ca="1" si="207"/>
        <v>0</v>
      </c>
      <c r="DF379" s="29">
        <f t="shared" ca="1" si="196"/>
        <v>0</v>
      </c>
      <c r="DG379" s="29">
        <f t="shared" ca="1" si="196"/>
        <v>1</v>
      </c>
      <c r="DH379" s="29">
        <f t="shared" ca="1" si="196"/>
        <v>2</v>
      </c>
      <c r="DI379" s="29">
        <f t="shared" ref="DI379:DL379" ca="1" si="211">_xlfn.BINOM.INV(50,$E379,RAND())</f>
        <v>0</v>
      </c>
      <c r="DJ379" s="29">
        <f t="shared" ca="1" si="211"/>
        <v>0</v>
      </c>
      <c r="DK379" s="29">
        <f t="shared" ca="1" si="211"/>
        <v>0</v>
      </c>
      <c r="DL379" s="29">
        <f t="shared" ca="1" si="211"/>
        <v>1</v>
      </c>
    </row>
    <row r="380" spans="1:116" ht="14.4" x14ac:dyDescent="0.3">
      <c r="A380" s="31">
        <v>92</v>
      </c>
      <c r="B380" s="28">
        <v>3.52</v>
      </c>
      <c r="C380" s="30">
        <v>0.04</v>
      </c>
      <c r="D380" s="28">
        <v>0.26</v>
      </c>
      <c r="E380" s="34">
        <f t="shared" si="180"/>
        <v>5.1999999999999998E-3</v>
      </c>
      <c r="F380" s="35">
        <f t="shared" si="181"/>
        <v>0.01</v>
      </c>
      <c r="G380" s="34">
        <f t="shared" si="182"/>
        <v>6.5</v>
      </c>
      <c r="H380" s="33">
        <f t="shared" si="183"/>
        <v>1.84375</v>
      </c>
      <c r="I380" s="28">
        <f t="shared" si="186"/>
        <v>1543.5300000000011</v>
      </c>
      <c r="J380" s="32">
        <v>0</v>
      </c>
      <c r="K380" s="30">
        <f t="shared" si="184"/>
        <v>6.5</v>
      </c>
      <c r="L380" s="30"/>
      <c r="M380" s="30"/>
      <c r="N380" s="30"/>
      <c r="O380" s="30"/>
      <c r="Q380" s="29">
        <f t="shared" ca="1" si="185"/>
        <v>0</v>
      </c>
      <c r="R380" s="29">
        <f t="shared" ca="1" si="210"/>
        <v>0</v>
      </c>
      <c r="S380" s="29">
        <f t="shared" ca="1" si="210"/>
        <v>0</v>
      </c>
      <c r="T380" s="29">
        <f t="shared" ca="1" si="210"/>
        <v>1</v>
      </c>
      <c r="U380" s="29">
        <f t="shared" ca="1" si="210"/>
        <v>0</v>
      </c>
      <c r="V380" s="29">
        <f t="shared" ca="1" si="210"/>
        <v>0</v>
      </c>
      <c r="W380" s="29">
        <f t="shared" ca="1" si="210"/>
        <v>1</v>
      </c>
      <c r="X380" s="29">
        <f t="shared" ca="1" si="210"/>
        <v>0</v>
      </c>
      <c r="Y380" s="29">
        <f t="shared" ca="1" si="210"/>
        <v>1</v>
      </c>
      <c r="Z380" s="29">
        <f t="shared" ca="1" si="210"/>
        <v>0</v>
      </c>
      <c r="AA380" s="29">
        <f t="shared" ca="1" si="210"/>
        <v>0</v>
      </c>
      <c r="AB380" s="29">
        <f t="shared" ca="1" si="210"/>
        <v>0</v>
      </c>
      <c r="AC380" s="29">
        <f t="shared" ca="1" si="210"/>
        <v>0</v>
      </c>
      <c r="AD380" s="29">
        <f t="shared" ca="1" si="210"/>
        <v>1</v>
      </c>
      <c r="AE380" s="29">
        <f t="shared" ca="1" si="210"/>
        <v>0</v>
      </c>
      <c r="AF380" s="29">
        <f t="shared" ca="1" si="210"/>
        <v>2</v>
      </c>
      <c r="AG380" s="29">
        <f t="shared" ca="1" si="209"/>
        <v>0</v>
      </c>
      <c r="AH380" s="29">
        <f t="shared" ca="1" si="209"/>
        <v>0</v>
      </c>
      <c r="AI380" s="29">
        <f t="shared" ca="1" si="209"/>
        <v>0</v>
      </c>
      <c r="AJ380" s="29">
        <f t="shared" ca="1" si="209"/>
        <v>0</v>
      </c>
      <c r="AK380" s="29">
        <f t="shared" ca="1" si="209"/>
        <v>0</v>
      </c>
      <c r="AL380" s="29">
        <f t="shared" ca="1" si="209"/>
        <v>0</v>
      </c>
      <c r="AM380" s="29">
        <f t="shared" ca="1" si="209"/>
        <v>1</v>
      </c>
      <c r="AN380" s="29">
        <f t="shared" ca="1" si="209"/>
        <v>1</v>
      </c>
      <c r="AO380" s="29">
        <f t="shared" ca="1" si="209"/>
        <v>0</v>
      </c>
      <c r="AP380" s="29">
        <f t="shared" ca="1" si="209"/>
        <v>1</v>
      </c>
      <c r="AQ380" s="29">
        <f t="shared" ca="1" si="209"/>
        <v>1</v>
      </c>
      <c r="AR380" s="29">
        <f t="shared" ca="1" si="209"/>
        <v>0</v>
      </c>
      <c r="AS380" s="29">
        <f t="shared" ca="1" si="209"/>
        <v>0</v>
      </c>
      <c r="AT380" s="29">
        <f t="shared" ca="1" si="209"/>
        <v>0</v>
      </c>
      <c r="AU380" s="29">
        <f t="shared" ca="1" si="209"/>
        <v>1</v>
      </c>
      <c r="AV380" s="29">
        <f t="shared" ca="1" si="206"/>
        <v>0</v>
      </c>
      <c r="AW380" s="29">
        <f t="shared" ca="1" si="206"/>
        <v>1</v>
      </c>
      <c r="AX380" s="29">
        <f t="shared" ca="1" si="206"/>
        <v>0</v>
      </c>
      <c r="AY380" s="29">
        <f t="shared" ca="1" si="206"/>
        <v>1</v>
      </c>
      <c r="AZ380" s="29">
        <f t="shared" ca="1" si="206"/>
        <v>0</v>
      </c>
      <c r="BA380" s="29">
        <f t="shared" ca="1" si="206"/>
        <v>0</v>
      </c>
      <c r="BB380" s="29">
        <f t="shared" ca="1" si="206"/>
        <v>0</v>
      </c>
      <c r="BC380" s="29">
        <f t="shared" ca="1" si="206"/>
        <v>0</v>
      </c>
      <c r="BD380" s="29">
        <f t="shared" ca="1" si="206"/>
        <v>0</v>
      </c>
      <c r="BE380" s="29">
        <f t="shared" ca="1" si="206"/>
        <v>0</v>
      </c>
      <c r="BF380" s="29">
        <f t="shared" ca="1" si="206"/>
        <v>0</v>
      </c>
      <c r="BG380" s="29">
        <f t="shared" ca="1" si="206"/>
        <v>0</v>
      </c>
      <c r="BH380" s="29">
        <f t="shared" ca="1" si="206"/>
        <v>0</v>
      </c>
      <c r="BI380" s="29">
        <f t="shared" ca="1" si="206"/>
        <v>0</v>
      </c>
      <c r="BJ380" s="29">
        <f t="shared" ca="1" si="206"/>
        <v>0</v>
      </c>
      <c r="BK380" s="29">
        <f t="shared" ref="BK380:BZ395" ca="1" si="212">_xlfn.BINOM.INV(50,$E380,RAND())</f>
        <v>1</v>
      </c>
      <c r="BL380" s="29">
        <f t="shared" ca="1" si="212"/>
        <v>0</v>
      </c>
      <c r="BM380" s="29">
        <f t="shared" ca="1" si="212"/>
        <v>0</v>
      </c>
      <c r="BN380" s="29">
        <f t="shared" ca="1" si="212"/>
        <v>1</v>
      </c>
      <c r="BO380" s="29">
        <f t="shared" ca="1" si="212"/>
        <v>0</v>
      </c>
      <c r="BP380" s="29">
        <f t="shared" ca="1" si="212"/>
        <v>0</v>
      </c>
      <c r="BQ380" s="29">
        <f t="shared" ca="1" si="212"/>
        <v>0</v>
      </c>
      <c r="BR380" s="29">
        <f t="shared" ca="1" si="212"/>
        <v>0</v>
      </c>
      <c r="BS380" s="29">
        <f t="shared" ca="1" si="212"/>
        <v>0</v>
      </c>
      <c r="BT380" s="29">
        <f t="shared" ca="1" si="212"/>
        <v>0</v>
      </c>
      <c r="BU380" s="29">
        <f t="shared" ca="1" si="212"/>
        <v>0</v>
      </c>
      <c r="BV380" s="29">
        <f t="shared" ca="1" si="212"/>
        <v>0</v>
      </c>
      <c r="BW380" s="29">
        <f t="shared" ca="1" si="212"/>
        <v>0</v>
      </c>
      <c r="BX380" s="29">
        <f t="shared" ca="1" si="212"/>
        <v>0</v>
      </c>
      <c r="BY380" s="29">
        <f t="shared" ca="1" si="212"/>
        <v>0</v>
      </c>
      <c r="BZ380" s="29">
        <f t="shared" ca="1" si="212"/>
        <v>0</v>
      </c>
      <c r="CA380" s="29">
        <f t="shared" ca="1" si="208"/>
        <v>1</v>
      </c>
      <c r="CB380" s="29">
        <f t="shared" ca="1" si="208"/>
        <v>0</v>
      </c>
      <c r="CC380" s="29">
        <f t="shared" ca="1" si="208"/>
        <v>0</v>
      </c>
      <c r="CD380" s="29">
        <f t="shared" ca="1" si="208"/>
        <v>0</v>
      </c>
      <c r="CE380" s="29">
        <f t="shared" ca="1" si="208"/>
        <v>0</v>
      </c>
      <c r="CF380" s="29">
        <f t="shared" ca="1" si="208"/>
        <v>0</v>
      </c>
      <c r="CG380" s="29">
        <f t="shared" ca="1" si="208"/>
        <v>0</v>
      </c>
      <c r="CH380" s="29">
        <f t="shared" ca="1" si="208"/>
        <v>1</v>
      </c>
      <c r="CI380" s="29">
        <f t="shared" ca="1" si="208"/>
        <v>0</v>
      </c>
      <c r="CJ380" s="29">
        <f t="shared" ca="1" si="208"/>
        <v>0</v>
      </c>
      <c r="CK380" s="29">
        <f t="shared" ca="1" si="208"/>
        <v>0</v>
      </c>
      <c r="CL380" s="29">
        <f t="shared" ca="1" si="208"/>
        <v>0</v>
      </c>
      <c r="CM380" s="29">
        <f t="shared" ca="1" si="208"/>
        <v>1</v>
      </c>
      <c r="CN380" s="29">
        <f t="shared" ca="1" si="208"/>
        <v>0</v>
      </c>
      <c r="CO380" s="29">
        <f t="shared" ca="1" si="208"/>
        <v>0</v>
      </c>
      <c r="CP380" s="29">
        <f t="shared" ca="1" si="208"/>
        <v>0</v>
      </c>
      <c r="CQ380" s="29">
        <f t="shared" ca="1" si="207"/>
        <v>0</v>
      </c>
      <c r="CR380" s="29">
        <f t="shared" ca="1" si="207"/>
        <v>0</v>
      </c>
      <c r="CS380" s="29">
        <f t="shared" ca="1" si="207"/>
        <v>1</v>
      </c>
      <c r="CT380" s="29">
        <f t="shared" ca="1" si="207"/>
        <v>2</v>
      </c>
      <c r="CU380" s="29">
        <f t="shared" ca="1" si="207"/>
        <v>0</v>
      </c>
      <c r="CV380" s="29">
        <f t="shared" ca="1" si="207"/>
        <v>0</v>
      </c>
      <c r="CW380" s="29">
        <f t="shared" ca="1" si="207"/>
        <v>2</v>
      </c>
      <c r="CX380" s="29">
        <f t="shared" ca="1" si="207"/>
        <v>0</v>
      </c>
      <c r="CY380" s="29">
        <f t="shared" ca="1" si="207"/>
        <v>0</v>
      </c>
      <c r="CZ380" s="29">
        <f t="shared" ca="1" si="207"/>
        <v>1</v>
      </c>
      <c r="DA380" s="29">
        <f t="shared" ca="1" si="207"/>
        <v>1</v>
      </c>
      <c r="DB380" s="29">
        <f t="shared" ca="1" si="207"/>
        <v>1</v>
      </c>
      <c r="DC380" s="29">
        <f t="shared" ca="1" si="207"/>
        <v>1</v>
      </c>
      <c r="DD380" s="29">
        <f t="shared" ca="1" si="207"/>
        <v>0</v>
      </c>
      <c r="DE380" s="29">
        <f t="shared" ca="1" si="207"/>
        <v>2</v>
      </c>
      <c r="DF380" s="29">
        <f t="shared" ref="DF380:DL416" ca="1" si="213">_xlfn.BINOM.INV(50,$E380,RAND())</f>
        <v>0</v>
      </c>
      <c r="DG380" s="29">
        <f t="shared" ca="1" si="213"/>
        <v>0</v>
      </c>
      <c r="DH380" s="29">
        <f t="shared" ca="1" si="213"/>
        <v>0</v>
      </c>
      <c r="DI380" s="29">
        <f t="shared" ca="1" si="213"/>
        <v>1</v>
      </c>
      <c r="DJ380" s="29">
        <f t="shared" ca="1" si="213"/>
        <v>1</v>
      </c>
      <c r="DK380" s="29">
        <f t="shared" ca="1" si="213"/>
        <v>0</v>
      </c>
      <c r="DL380" s="29">
        <f t="shared" ca="1" si="213"/>
        <v>0</v>
      </c>
    </row>
    <row r="381" spans="1:116" ht="14.4" x14ac:dyDescent="0.3">
      <c r="A381" s="31">
        <v>311</v>
      </c>
      <c r="B381" s="28">
        <v>2.92</v>
      </c>
      <c r="C381" s="30">
        <v>17.5</v>
      </c>
      <c r="D381" s="28">
        <v>0.38</v>
      </c>
      <c r="E381" s="34">
        <f t="shared" si="180"/>
        <v>7.6E-3</v>
      </c>
      <c r="F381" s="35">
        <f t="shared" si="181"/>
        <v>4.375</v>
      </c>
      <c r="G381" s="34">
        <f t="shared" si="182"/>
        <v>9.5</v>
      </c>
      <c r="H381" s="33">
        <f t="shared" si="183"/>
        <v>1.7551369863013699</v>
      </c>
      <c r="I381" s="28">
        <f t="shared" si="186"/>
        <v>1546.4500000000012</v>
      </c>
      <c r="J381" s="32">
        <v>0</v>
      </c>
      <c r="K381" s="30">
        <f t="shared" si="184"/>
        <v>9.5</v>
      </c>
      <c r="L381" s="30"/>
      <c r="M381" s="30"/>
      <c r="N381" s="30"/>
      <c r="O381" s="30"/>
      <c r="Q381" s="29">
        <f t="shared" ca="1" si="185"/>
        <v>2</v>
      </c>
      <c r="R381" s="29">
        <f t="shared" ca="1" si="210"/>
        <v>1</v>
      </c>
      <c r="S381" s="29">
        <f t="shared" ca="1" si="210"/>
        <v>0</v>
      </c>
      <c r="T381" s="29">
        <f t="shared" ca="1" si="210"/>
        <v>3</v>
      </c>
      <c r="U381" s="29">
        <f t="shared" ca="1" si="210"/>
        <v>0</v>
      </c>
      <c r="V381" s="29">
        <f t="shared" ca="1" si="210"/>
        <v>1</v>
      </c>
      <c r="W381" s="29">
        <f t="shared" ca="1" si="210"/>
        <v>0</v>
      </c>
      <c r="X381" s="29">
        <f t="shared" ca="1" si="210"/>
        <v>1</v>
      </c>
      <c r="Y381" s="29">
        <f t="shared" ca="1" si="210"/>
        <v>1</v>
      </c>
      <c r="Z381" s="29">
        <f t="shared" ca="1" si="210"/>
        <v>0</v>
      </c>
      <c r="AA381" s="29">
        <f t="shared" ca="1" si="210"/>
        <v>0</v>
      </c>
      <c r="AB381" s="29">
        <f t="shared" ca="1" si="210"/>
        <v>1</v>
      </c>
      <c r="AC381" s="29">
        <f t="shared" ca="1" si="210"/>
        <v>0</v>
      </c>
      <c r="AD381" s="29">
        <f t="shared" ca="1" si="210"/>
        <v>0</v>
      </c>
      <c r="AE381" s="29">
        <f t="shared" ca="1" si="210"/>
        <v>1</v>
      </c>
      <c r="AF381" s="29">
        <f t="shared" ca="1" si="210"/>
        <v>0</v>
      </c>
      <c r="AG381" s="29">
        <f t="shared" ca="1" si="209"/>
        <v>0</v>
      </c>
      <c r="AH381" s="29">
        <f t="shared" ca="1" si="209"/>
        <v>2</v>
      </c>
      <c r="AI381" s="29">
        <f t="shared" ca="1" si="209"/>
        <v>0</v>
      </c>
      <c r="AJ381" s="29">
        <f t="shared" ca="1" si="209"/>
        <v>0</v>
      </c>
      <c r="AK381" s="29">
        <f t="shared" ca="1" si="209"/>
        <v>0</v>
      </c>
      <c r="AL381" s="29">
        <f t="shared" ca="1" si="209"/>
        <v>1</v>
      </c>
      <c r="AM381" s="29">
        <f t="shared" ca="1" si="209"/>
        <v>0</v>
      </c>
      <c r="AN381" s="29">
        <f t="shared" ca="1" si="209"/>
        <v>0</v>
      </c>
      <c r="AO381" s="29">
        <f t="shared" ca="1" si="209"/>
        <v>0</v>
      </c>
      <c r="AP381" s="29">
        <f t="shared" ca="1" si="209"/>
        <v>1</v>
      </c>
      <c r="AQ381" s="29">
        <f t="shared" ca="1" si="209"/>
        <v>0</v>
      </c>
      <c r="AR381" s="29">
        <f t="shared" ca="1" si="209"/>
        <v>0</v>
      </c>
      <c r="AS381" s="29">
        <f t="shared" ca="1" si="209"/>
        <v>0</v>
      </c>
      <c r="AT381" s="29">
        <f t="shared" ca="1" si="209"/>
        <v>1</v>
      </c>
      <c r="AU381" s="29">
        <f t="shared" ca="1" si="209"/>
        <v>1</v>
      </c>
      <c r="AV381" s="29">
        <f t="shared" ref="AV381:BK396" ca="1" si="214">_xlfn.BINOM.INV(50,$E381,RAND())</f>
        <v>0</v>
      </c>
      <c r="AW381" s="29">
        <f t="shared" ca="1" si="214"/>
        <v>2</v>
      </c>
      <c r="AX381" s="29">
        <f t="shared" ca="1" si="214"/>
        <v>0</v>
      </c>
      <c r="AY381" s="29">
        <f t="shared" ca="1" si="214"/>
        <v>1</v>
      </c>
      <c r="AZ381" s="29">
        <f t="shared" ca="1" si="214"/>
        <v>0</v>
      </c>
      <c r="BA381" s="29">
        <f t="shared" ca="1" si="214"/>
        <v>1</v>
      </c>
      <c r="BB381" s="29">
        <f t="shared" ca="1" si="214"/>
        <v>1</v>
      </c>
      <c r="BC381" s="29">
        <f t="shared" ca="1" si="214"/>
        <v>0</v>
      </c>
      <c r="BD381" s="29">
        <f t="shared" ca="1" si="214"/>
        <v>1</v>
      </c>
      <c r="BE381" s="29">
        <f t="shared" ca="1" si="214"/>
        <v>0</v>
      </c>
      <c r="BF381" s="29">
        <f t="shared" ca="1" si="214"/>
        <v>0</v>
      </c>
      <c r="BG381" s="29">
        <f t="shared" ca="1" si="214"/>
        <v>0</v>
      </c>
      <c r="BH381" s="29">
        <f t="shared" ca="1" si="214"/>
        <v>1</v>
      </c>
      <c r="BI381" s="29">
        <f t="shared" ca="1" si="214"/>
        <v>0</v>
      </c>
      <c r="BJ381" s="29">
        <f t="shared" ca="1" si="214"/>
        <v>0</v>
      </c>
      <c r="BK381" s="29">
        <f t="shared" ca="1" si="214"/>
        <v>0</v>
      </c>
      <c r="BL381" s="29">
        <f t="shared" ca="1" si="212"/>
        <v>0</v>
      </c>
      <c r="BM381" s="29">
        <f t="shared" ca="1" si="212"/>
        <v>2</v>
      </c>
      <c r="BN381" s="29">
        <f t="shared" ca="1" si="212"/>
        <v>1</v>
      </c>
      <c r="BO381" s="29">
        <f t="shared" ca="1" si="212"/>
        <v>2</v>
      </c>
      <c r="BP381" s="29">
        <f t="shared" ca="1" si="212"/>
        <v>0</v>
      </c>
      <c r="BQ381" s="29">
        <f t="shared" ca="1" si="212"/>
        <v>0</v>
      </c>
      <c r="BR381" s="29">
        <f t="shared" ca="1" si="212"/>
        <v>0</v>
      </c>
      <c r="BS381" s="29">
        <f t="shared" ca="1" si="212"/>
        <v>2</v>
      </c>
      <c r="BT381" s="29">
        <f t="shared" ca="1" si="212"/>
        <v>0</v>
      </c>
      <c r="BU381" s="29">
        <f t="shared" ca="1" si="212"/>
        <v>1</v>
      </c>
      <c r="BV381" s="29">
        <f t="shared" ca="1" si="212"/>
        <v>1</v>
      </c>
      <c r="BW381" s="29">
        <f t="shared" ca="1" si="212"/>
        <v>1</v>
      </c>
      <c r="BX381" s="29">
        <f t="shared" ca="1" si="212"/>
        <v>1</v>
      </c>
      <c r="BY381" s="29">
        <f t="shared" ca="1" si="212"/>
        <v>1</v>
      </c>
      <c r="BZ381" s="29">
        <f t="shared" ca="1" si="212"/>
        <v>1</v>
      </c>
      <c r="CA381" s="29">
        <f t="shared" ca="1" si="208"/>
        <v>0</v>
      </c>
      <c r="CB381" s="29">
        <f t="shared" ca="1" si="208"/>
        <v>0</v>
      </c>
      <c r="CC381" s="29">
        <f t="shared" ca="1" si="208"/>
        <v>0</v>
      </c>
      <c r="CD381" s="29">
        <f t="shared" ca="1" si="208"/>
        <v>1</v>
      </c>
      <c r="CE381" s="29">
        <f t="shared" ca="1" si="208"/>
        <v>0</v>
      </c>
      <c r="CF381" s="29">
        <f t="shared" ca="1" si="208"/>
        <v>0</v>
      </c>
      <c r="CG381" s="29">
        <f t="shared" ca="1" si="208"/>
        <v>0</v>
      </c>
      <c r="CH381" s="29">
        <f t="shared" ca="1" si="208"/>
        <v>0</v>
      </c>
      <c r="CI381" s="29">
        <f t="shared" ca="1" si="208"/>
        <v>1</v>
      </c>
      <c r="CJ381" s="29">
        <f t="shared" ca="1" si="208"/>
        <v>0</v>
      </c>
      <c r="CK381" s="29">
        <f t="shared" ca="1" si="208"/>
        <v>0</v>
      </c>
      <c r="CL381" s="29">
        <f t="shared" ca="1" si="208"/>
        <v>0</v>
      </c>
      <c r="CM381" s="29">
        <f t="shared" ca="1" si="208"/>
        <v>1</v>
      </c>
      <c r="CN381" s="29">
        <f t="shared" ca="1" si="208"/>
        <v>0</v>
      </c>
      <c r="CO381" s="29">
        <f t="shared" ca="1" si="208"/>
        <v>0</v>
      </c>
      <c r="CP381" s="29">
        <f t="shared" ca="1" si="208"/>
        <v>1</v>
      </c>
      <c r="CQ381" s="29">
        <f t="shared" ca="1" si="207"/>
        <v>1</v>
      </c>
      <c r="CR381" s="29">
        <f t="shared" ca="1" si="207"/>
        <v>0</v>
      </c>
      <c r="CS381" s="29">
        <f t="shared" ca="1" si="207"/>
        <v>0</v>
      </c>
      <c r="CT381" s="29">
        <f t="shared" ca="1" si="207"/>
        <v>0</v>
      </c>
      <c r="CU381" s="29">
        <f t="shared" ca="1" si="207"/>
        <v>1</v>
      </c>
      <c r="CV381" s="29">
        <f t="shared" ca="1" si="207"/>
        <v>0</v>
      </c>
      <c r="CW381" s="29">
        <f t="shared" ca="1" si="207"/>
        <v>0</v>
      </c>
      <c r="CX381" s="29">
        <f t="shared" ca="1" si="207"/>
        <v>1</v>
      </c>
      <c r="CY381" s="29">
        <f t="shared" ca="1" si="207"/>
        <v>1</v>
      </c>
      <c r="CZ381" s="29">
        <f t="shared" ca="1" si="207"/>
        <v>1</v>
      </c>
      <c r="DA381" s="29">
        <f t="shared" ca="1" si="207"/>
        <v>1</v>
      </c>
      <c r="DB381" s="29">
        <f t="shared" ca="1" si="207"/>
        <v>0</v>
      </c>
      <c r="DC381" s="29">
        <f t="shared" ca="1" si="207"/>
        <v>1</v>
      </c>
      <c r="DD381" s="29">
        <f t="shared" ca="1" si="207"/>
        <v>0</v>
      </c>
      <c r="DE381" s="29">
        <f t="shared" ca="1" si="207"/>
        <v>0</v>
      </c>
      <c r="DF381" s="29">
        <f t="shared" ca="1" si="213"/>
        <v>0</v>
      </c>
      <c r="DG381" s="29">
        <f t="shared" ca="1" si="213"/>
        <v>0</v>
      </c>
      <c r="DH381" s="29">
        <f t="shared" ca="1" si="213"/>
        <v>2</v>
      </c>
      <c r="DI381" s="29">
        <f t="shared" ca="1" si="213"/>
        <v>0</v>
      </c>
      <c r="DJ381" s="29">
        <f t="shared" ca="1" si="213"/>
        <v>0</v>
      </c>
      <c r="DK381" s="29">
        <f t="shared" ca="1" si="213"/>
        <v>0</v>
      </c>
      <c r="DL381" s="29">
        <f t="shared" ca="1" si="213"/>
        <v>2</v>
      </c>
    </row>
    <row r="382" spans="1:116" ht="14.4" x14ac:dyDescent="0.3">
      <c r="A382" s="31">
        <v>85</v>
      </c>
      <c r="B382" s="28">
        <v>0.86</v>
      </c>
      <c r="C382" s="30">
        <v>53.18</v>
      </c>
      <c r="D382" s="28">
        <v>0.59</v>
      </c>
      <c r="E382" s="34">
        <f t="shared" si="180"/>
        <v>1.18E-2</v>
      </c>
      <c r="F382" s="35">
        <f t="shared" si="181"/>
        <v>13.295</v>
      </c>
      <c r="G382" s="34">
        <f t="shared" si="182"/>
        <v>14.75</v>
      </c>
      <c r="H382" s="33">
        <f t="shared" si="183"/>
        <v>1.6918604651162792</v>
      </c>
      <c r="I382" s="28">
        <f t="shared" si="186"/>
        <v>1547.3100000000011</v>
      </c>
      <c r="J382" s="32">
        <v>0</v>
      </c>
      <c r="K382" s="30">
        <f t="shared" si="184"/>
        <v>14.75</v>
      </c>
      <c r="L382" s="30"/>
      <c r="M382" s="30"/>
      <c r="N382" s="30"/>
      <c r="O382" s="30"/>
      <c r="Q382" s="29">
        <f t="shared" ca="1" si="185"/>
        <v>0</v>
      </c>
      <c r="R382" s="29">
        <f t="shared" ca="1" si="210"/>
        <v>2</v>
      </c>
      <c r="S382" s="29">
        <f t="shared" ca="1" si="210"/>
        <v>0</v>
      </c>
      <c r="T382" s="29">
        <f t="shared" ca="1" si="210"/>
        <v>1</v>
      </c>
      <c r="U382" s="29">
        <f t="shared" ca="1" si="210"/>
        <v>0</v>
      </c>
      <c r="V382" s="29">
        <f t="shared" ca="1" si="210"/>
        <v>0</v>
      </c>
      <c r="W382" s="29">
        <f t="shared" ca="1" si="210"/>
        <v>0</v>
      </c>
      <c r="X382" s="29">
        <f t="shared" ca="1" si="210"/>
        <v>0</v>
      </c>
      <c r="Y382" s="29">
        <f t="shared" ca="1" si="210"/>
        <v>0</v>
      </c>
      <c r="Z382" s="29">
        <f t="shared" ca="1" si="210"/>
        <v>0</v>
      </c>
      <c r="AA382" s="29">
        <f t="shared" ca="1" si="210"/>
        <v>0</v>
      </c>
      <c r="AB382" s="29">
        <f t="shared" ca="1" si="210"/>
        <v>0</v>
      </c>
      <c r="AC382" s="29">
        <f t="shared" ca="1" si="210"/>
        <v>0</v>
      </c>
      <c r="AD382" s="29">
        <f t="shared" ca="1" si="210"/>
        <v>0</v>
      </c>
      <c r="AE382" s="29">
        <f t="shared" ca="1" si="210"/>
        <v>1</v>
      </c>
      <c r="AF382" s="29">
        <f t="shared" ca="1" si="210"/>
        <v>0</v>
      </c>
      <c r="AG382" s="29">
        <f t="shared" ca="1" si="209"/>
        <v>0</v>
      </c>
      <c r="AH382" s="29">
        <f t="shared" ca="1" si="209"/>
        <v>0</v>
      </c>
      <c r="AI382" s="29">
        <f t="shared" ca="1" si="209"/>
        <v>0</v>
      </c>
      <c r="AJ382" s="29">
        <f t="shared" ca="1" si="209"/>
        <v>2</v>
      </c>
      <c r="AK382" s="29">
        <f t="shared" ca="1" si="209"/>
        <v>1</v>
      </c>
      <c r="AL382" s="29">
        <f t="shared" ca="1" si="209"/>
        <v>0</v>
      </c>
      <c r="AM382" s="29">
        <f t="shared" ca="1" si="209"/>
        <v>0</v>
      </c>
      <c r="AN382" s="29">
        <f t="shared" ca="1" si="209"/>
        <v>1</v>
      </c>
      <c r="AO382" s="29">
        <f t="shared" ca="1" si="209"/>
        <v>0</v>
      </c>
      <c r="AP382" s="29">
        <f t="shared" ca="1" si="209"/>
        <v>1</v>
      </c>
      <c r="AQ382" s="29">
        <f t="shared" ca="1" si="209"/>
        <v>0</v>
      </c>
      <c r="AR382" s="29">
        <f t="shared" ca="1" si="209"/>
        <v>1</v>
      </c>
      <c r="AS382" s="29">
        <f t="shared" ca="1" si="209"/>
        <v>0</v>
      </c>
      <c r="AT382" s="29">
        <f t="shared" ca="1" si="209"/>
        <v>0</v>
      </c>
      <c r="AU382" s="29">
        <f t="shared" ca="1" si="209"/>
        <v>0</v>
      </c>
      <c r="AV382" s="29">
        <f t="shared" ca="1" si="214"/>
        <v>1</v>
      </c>
      <c r="AW382" s="29">
        <f t="shared" ca="1" si="214"/>
        <v>0</v>
      </c>
      <c r="AX382" s="29">
        <f t="shared" ca="1" si="214"/>
        <v>2</v>
      </c>
      <c r="AY382" s="29">
        <f t="shared" ca="1" si="214"/>
        <v>0</v>
      </c>
      <c r="AZ382" s="29">
        <f t="shared" ca="1" si="214"/>
        <v>1</v>
      </c>
      <c r="BA382" s="29">
        <f t="shared" ca="1" si="214"/>
        <v>0</v>
      </c>
      <c r="BB382" s="29">
        <f t="shared" ca="1" si="214"/>
        <v>2</v>
      </c>
      <c r="BC382" s="29">
        <f t="shared" ca="1" si="214"/>
        <v>0</v>
      </c>
      <c r="BD382" s="29">
        <f t="shared" ca="1" si="214"/>
        <v>0</v>
      </c>
      <c r="BE382" s="29">
        <f t="shared" ca="1" si="214"/>
        <v>0</v>
      </c>
      <c r="BF382" s="29">
        <f t="shared" ca="1" si="214"/>
        <v>1</v>
      </c>
      <c r="BG382" s="29">
        <f t="shared" ca="1" si="214"/>
        <v>0</v>
      </c>
      <c r="BH382" s="29">
        <f t="shared" ca="1" si="214"/>
        <v>0</v>
      </c>
      <c r="BI382" s="29">
        <f t="shared" ca="1" si="214"/>
        <v>1</v>
      </c>
      <c r="BJ382" s="29">
        <f t="shared" ca="1" si="214"/>
        <v>1</v>
      </c>
      <c r="BK382" s="29">
        <f t="shared" ca="1" si="214"/>
        <v>0</v>
      </c>
      <c r="BL382" s="29">
        <f t="shared" ca="1" si="212"/>
        <v>0</v>
      </c>
      <c r="BM382" s="29">
        <f t="shared" ca="1" si="212"/>
        <v>1</v>
      </c>
      <c r="BN382" s="29">
        <f t="shared" ca="1" si="212"/>
        <v>0</v>
      </c>
      <c r="BO382" s="29">
        <f t="shared" ca="1" si="212"/>
        <v>0</v>
      </c>
      <c r="BP382" s="29">
        <f t="shared" ca="1" si="212"/>
        <v>0</v>
      </c>
      <c r="BQ382" s="29">
        <f t="shared" ca="1" si="212"/>
        <v>0</v>
      </c>
      <c r="BR382" s="29">
        <f t="shared" ca="1" si="212"/>
        <v>0</v>
      </c>
      <c r="BS382" s="29">
        <f t="shared" ca="1" si="212"/>
        <v>1</v>
      </c>
      <c r="BT382" s="29">
        <f t="shared" ca="1" si="212"/>
        <v>1</v>
      </c>
      <c r="BU382" s="29">
        <f t="shared" ca="1" si="212"/>
        <v>0</v>
      </c>
      <c r="BV382" s="29">
        <f t="shared" ca="1" si="212"/>
        <v>1</v>
      </c>
      <c r="BW382" s="29">
        <f t="shared" ca="1" si="212"/>
        <v>0</v>
      </c>
      <c r="BX382" s="29">
        <f t="shared" ca="1" si="212"/>
        <v>2</v>
      </c>
      <c r="BY382" s="29">
        <f t="shared" ca="1" si="212"/>
        <v>1</v>
      </c>
      <c r="BZ382" s="29">
        <f t="shared" ca="1" si="212"/>
        <v>0</v>
      </c>
      <c r="CA382" s="29">
        <f t="shared" ca="1" si="208"/>
        <v>0</v>
      </c>
      <c r="CB382" s="29">
        <f t="shared" ca="1" si="208"/>
        <v>0</v>
      </c>
      <c r="CC382" s="29">
        <f t="shared" ca="1" si="208"/>
        <v>0</v>
      </c>
      <c r="CD382" s="29">
        <f t="shared" ca="1" si="208"/>
        <v>4</v>
      </c>
      <c r="CE382" s="29">
        <f t="shared" ca="1" si="208"/>
        <v>0</v>
      </c>
      <c r="CF382" s="29">
        <f t="shared" ca="1" si="208"/>
        <v>1</v>
      </c>
      <c r="CG382" s="29">
        <f t="shared" ca="1" si="208"/>
        <v>0</v>
      </c>
      <c r="CH382" s="29">
        <f t="shared" ca="1" si="208"/>
        <v>0</v>
      </c>
      <c r="CI382" s="29">
        <f t="shared" ca="1" si="208"/>
        <v>0</v>
      </c>
      <c r="CJ382" s="29">
        <f t="shared" ca="1" si="208"/>
        <v>0</v>
      </c>
      <c r="CK382" s="29">
        <f t="shared" ca="1" si="208"/>
        <v>0</v>
      </c>
      <c r="CL382" s="29">
        <f t="shared" ca="1" si="208"/>
        <v>0</v>
      </c>
      <c r="CM382" s="29">
        <f t="shared" ca="1" si="208"/>
        <v>0</v>
      </c>
      <c r="CN382" s="29">
        <f t="shared" ca="1" si="208"/>
        <v>0</v>
      </c>
      <c r="CO382" s="29">
        <f t="shared" ca="1" si="208"/>
        <v>0</v>
      </c>
      <c r="CP382" s="29">
        <f t="shared" ca="1" si="208"/>
        <v>0</v>
      </c>
      <c r="CQ382" s="29">
        <f t="shared" ca="1" si="207"/>
        <v>1</v>
      </c>
      <c r="CR382" s="29">
        <f t="shared" ca="1" si="207"/>
        <v>1</v>
      </c>
      <c r="CS382" s="29">
        <f t="shared" ca="1" si="207"/>
        <v>1</v>
      </c>
      <c r="CT382" s="29">
        <f t="shared" ca="1" si="207"/>
        <v>0</v>
      </c>
      <c r="CU382" s="29">
        <f t="shared" ca="1" si="207"/>
        <v>1</v>
      </c>
      <c r="CV382" s="29">
        <f t="shared" ca="1" si="207"/>
        <v>1</v>
      </c>
      <c r="CW382" s="29">
        <f t="shared" ca="1" si="207"/>
        <v>0</v>
      </c>
      <c r="CX382" s="29">
        <f t="shared" ca="1" si="207"/>
        <v>0</v>
      </c>
      <c r="CY382" s="29">
        <f t="shared" ca="1" si="207"/>
        <v>1</v>
      </c>
      <c r="CZ382" s="29">
        <f t="shared" ca="1" si="207"/>
        <v>0</v>
      </c>
      <c r="DA382" s="29">
        <f t="shared" ca="1" si="207"/>
        <v>0</v>
      </c>
      <c r="DB382" s="29">
        <f t="shared" ca="1" si="207"/>
        <v>0</v>
      </c>
      <c r="DC382" s="29">
        <f t="shared" ca="1" si="207"/>
        <v>1</v>
      </c>
      <c r="DD382" s="29">
        <f t="shared" ca="1" si="207"/>
        <v>2</v>
      </c>
      <c r="DE382" s="29">
        <f t="shared" ca="1" si="207"/>
        <v>1</v>
      </c>
      <c r="DF382" s="29">
        <f t="shared" ca="1" si="213"/>
        <v>2</v>
      </c>
      <c r="DG382" s="29">
        <f t="shared" ca="1" si="213"/>
        <v>0</v>
      </c>
      <c r="DH382" s="29">
        <f t="shared" ca="1" si="213"/>
        <v>3</v>
      </c>
      <c r="DI382" s="29">
        <f t="shared" ca="1" si="213"/>
        <v>1</v>
      </c>
      <c r="DJ382" s="29">
        <f t="shared" ca="1" si="213"/>
        <v>1</v>
      </c>
      <c r="DK382" s="29">
        <f t="shared" ca="1" si="213"/>
        <v>0</v>
      </c>
      <c r="DL382" s="29">
        <f t="shared" ca="1" si="213"/>
        <v>2</v>
      </c>
    </row>
    <row r="383" spans="1:116" ht="14.4" x14ac:dyDescent="0.3">
      <c r="A383" s="31">
        <v>649</v>
      </c>
      <c r="B383" s="28">
        <v>1.53</v>
      </c>
      <c r="C383" s="30">
        <v>91.4</v>
      </c>
      <c r="D383" s="28">
        <v>1.01</v>
      </c>
      <c r="E383" s="34">
        <f t="shared" si="180"/>
        <v>2.0199999999999999E-2</v>
      </c>
      <c r="F383" s="35">
        <f t="shared" si="181"/>
        <v>22.85</v>
      </c>
      <c r="G383" s="34">
        <f t="shared" si="182"/>
        <v>25.25</v>
      </c>
      <c r="H383" s="33">
        <f t="shared" si="183"/>
        <v>1.5686274509803912</v>
      </c>
      <c r="I383" s="28">
        <f t="shared" si="186"/>
        <v>1548.8400000000011</v>
      </c>
      <c r="J383" s="32">
        <v>0</v>
      </c>
      <c r="K383" s="30">
        <f t="shared" si="184"/>
        <v>25.25</v>
      </c>
      <c r="L383" s="30"/>
      <c r="M383" s="30"/>
      <c r="N383" s="30"/>
      <c r="O383" s="30"/>
      <c r="Q383" s="29">
        <f t="shared" ca="1" si="185"/>
        <v>2</v>
      </c>
      <c r="R383" s="29">
        <f t="shared" ca="1" si="210"/>
        <v>6</v>
      </c>
      <c r="S383" s="29">
        <f t="shared" ca="1" si="210"/>
        <v>0</v>
      </c>
      <c r="T383" s="29">
        <f t="shared" ca="1" si="210"/>
        <v>2</v>
      </c>
      <c r="U383" s="29">
        <f t="shared" ca="1" si="210"/>
        <v>0</v>
      </c>
      <c r="V383" s="29">
        <f t="shared" ca="1" si="210"/>
        <v>2</v>
      </c>
      <c r="W383" s="29">
        <f t="shared" ca="1" si="210"/>
        <v>0</v>
      </c>
      <c r="X383" s="29">
        <f t="shared" ca="1" si="210"/>
        <v>1</v>
      </c>
      <c r="Y383" s="29">
        <f t="shared" ca="1" si="210"/>
        <v>1</v>
      </c>
      <c r="Z383" s="29">
        <f t="shared" ca="1" si="210"/>
        <v>0</v>
      </c>
      <c r="AA383" s="29">
        <f t="shared" ca="1" si="210"/>
        <v>1</v>
      </c>
      <c r="AB383" s="29">
        <f t="shared" ca="1" si="210"/>
        <v>0</v>
      </c>
      <c r="AC383" s="29">
        <f t="shared" ca="1" si="210"/>
        <v>0</v>
      </c>
      <c r="AD383" s="29">
        <f t="shared" ca="1" si="210"/>
        <v>0</v>
      </c>
      <c r="AE383" s="29">
        <f t="shared" ca="1" si="210"/>
        <v>1</v>
      </c>
      <c r="AF383" s="29">
        <f t="shared" ca="1" si="210"/>
        <v>1</v>
      </c>
      <c r="AG383" s="29">
        <f t="shared" ca="1" si="209"/>
        <v>1</v>
      </c>
      <c r="AH383" s="29">
        <f t="shared" ca="1" si="209"/>
        <v>4</v>
      </c>
      <c r="AI383" s="29">
        <f t="shared" ca="1" si="209"/>
        <v>1</v>
      </c>
      <c r="AJ383" s="29">
        <f t="shared" ca="1" si="209"/>
        <v>1</v>
      </c>
      <c r="AK383" s="29">
        <f t="shared" ca="1" si="209"/>
        <v>0</v>
      </c>
      <c r="AL383" s="29">
        <f t="shared" ca="1" si="209"/>
        <v>1</v>
      </c>
      <c r="AM383" s="29">
        <f t="shared" ca="1" si="209"/>
        <v>1</v>
      </c>
      <c r="AN383" s="29">
        <f t="shared" ca="1" si="209"/>
        <v>1</v>
      </c>
      <c r="AO383" s="29">
        <f t="shared" ca="1" si="209"/>
        <v>1</v>
      </c>
      <c r="AP383" s="29">
        <f t="shared" ca="1" si="209"/>
        <v>0</v>
      </c>
      <c r="AQ383" s="29">
        <f t="shared" ca="1" si="209"/>
        <v>0</v>
      </c>
      <c r="AR383" s="29">
        <f t="shared" ca="1" si="209"/>
        <v>2</v>
      </c>
      <c r="AS383" s="29">
        <f t="shared" ca="1" si="209"/>
        <v>1</v>
      </c>
      <c r="AT383" s="29">
        <f t="shared" ca="1" si="209"/>
        <v>2</v>
      </c>
      <c r="AU383" s="29">
        <f t="shared" ca="1" si="209"/>
        <v>2</v>
      </c>
      <c r="AV383" s="29">
        <f t="shared" ca="1" si="214"/>
        <v>2</v>
      </c>
      <c r="AW383" s="29">
        <f t="shared" ca="1" si="214"/>
        <v>0</v>
      </c>
      <c r="AX383" s="29">
        <f t="shared" ca="1" si="214"/>
        <v>2</v>
      </c>
      <c r="AY383" s="29">
        <f t="shared" ca="1" si="214"/>
        <v>0</v>
      </c>
      <c r="AZ383" s="29">
        <f t="shared" ca="1" si="214"/>
        <v>1</v>
      </c>
      <c r="BA383" s="29">
        <f t="shared" ca="1" si="214"/>
        <v>1</v>
      </c>
      <c r="BB383" s="29">
        <f t="shared" ca="1" si="214"/>
        <v>0</v>
      </c>
      <c r="BC383" s="29">
        <f t="shared" ca="1" si="214"/>
        <v>0</v>
      </c>
      <c r="BD383" s="29">
        <f t="shared" ca="1" si="214"/>
        <v>2</v>
      </c>
      <c r="BE383" s="29">
        <f t="shared" ca="1" si="214"/>
        <v>0</v>
      </c>
      <c r="BF383" s="29">
        <f t="shared" ca="1" si="214"/>
        <v>0</v>
      </c>
      <c r="BG383" s="29">
        <f t="shared" ca="1" si="214"/>
        <v>1</v>
      </c>
      <c r="BH383" s="29">
        <f t="shared" ca="1" si="214"/>
        <v>1</v>
      </c>
      <c r="BI383" s="29">
        <f t="shared" ca="1" si="214"/>
        <v>0</v>
      </c>
      <c r="BJ383" s="29">
        <f t="shared" ca="1" si="214"/>
        <v>2</v>
      </c>
      <c r="BK383" s="29">
        <f t="shared" ca="1" si="214"/>
        <v>1</v>
      </c>
      <c r="BL383" s="29">
        <f t="shared" ca="1" si="212"/>
        <v>3</v>
      </c>
      <c r="BM383" s="29">
        <f t="shared" ca="1" si="212"/>
        <v>0</v>
      </c>
      <c r="BN383" s="29">
        <f t="shared" ca="1" si="212"/>
        <v>0</v>
      </c>
      <c r="BO383" s="29">
        <f t="shared" ca="1" si="212"/>
        <v>1</v>
      </c>
      <c r="BP383" s="29">
        <f t="shared" ca="1" si="212"/>
        <v>2</v>
      </c>
      <c r="BQ383" s="29">
        <f t="shared" ca="1" si="212"/>
        <v>1</v>
      </c>
      <c r="BR383" s="29">
        <f t="shared" ca="1" si="212"/>
        <v>1</v>
      </c>
      <c r="BS383" s="29">
        <f t="shared" ca="1" si="212"/>
        <v>2</v>
      </c>
      <c r="BT383" s="29">
        <f t="shared" ca="1" si="212"/>
        <v>2</v>
      </c>
      <c r="BU383" s="29">
        <f t="shared" ca="1" si="212"/>
        <v>1</v>
      </c>
      <c r="BV383" s="29">
        <f t="shared" ca="1" si="212"/>
        <v>1</v>
      </c>
      <c r="BW383" s="29">
        <f t="shared" ca="1" si="212"/>
        <v>1</v>
      </c>
      <c r="BX383" s="29">
        <f t="shared" ca="1" si="212"/>
        <v>1</v>
      </c>
      <c r="BY383" s="29">
        <f t="shared" ca="1" si="212"/>
        <v>0</v>
      </c>
      <c r="BZ383" s="29">
        <f t="shared" ca="1" si="212"/>
        <v>1</v>
      </c>
      <c r="CA383" s="29">
        <f t="shared" ca="1" si="208"/>
        <v>0</v>
      </c>
      <c r="CB383" s="29">
        <f t="shared" ca="1" si="208"/>
        <v>0</v>
      </c>
      <c r="CC383" s="29">
        <f t="shared" ca="1" si="208"/>
        <v>1</v>
      </c>
      <c r="CD383" s="29">
        <f t="shared" ca="1" si="208"/>
        <v>4</v>
      </c>
      <c r="CE383" s="29">
        <f t="shared" ca="1" si="208"/>
        <v>0</v>
      </c>
      <c r="CF383" s="29">
        <f t="shared" ca="1" si="208"/>
        <v>0</v>
      </c>
      <c r="CG383" s="29">
        <f t="shared" ca="1" si="208"/>
        <v>1</v>
      </c>
      <c r="CH383" s="29">
        <f t="shared" ca="1" si="208"/>
        <v>2</v>
      </c>
      <c r="CI383" s="29">
        <f t="shared" ca="1" si="208"/>
        <v>2</v>
      </c>
      <c r="CJ383" s="29">
        <f t="shared" ca="1" si="208"/>
        <v>0</v>
      </c>
      <c r="CK383" s="29">
        <f t="shared" ca="1" si="208"/>
        <v>0</v>
      </c>
      <c r="CL383" s="29">
        <f t="shared" ca="1" si="208"/>
        <v>1</v>
      </c>
      <c r="CM383" s="29">
        <f t="shared" ca="1" si="208"/>
        <v>1</v>
      </c>
      <c r="CN383" s="29">
        <f t="shared" ca="1" si="208"/>
        <v>1</v>
      </c>
      <c r="CO383" s="29">
        <f t="shared" ca="1" si="208"/>
        <v>1</v>
      </c>
      <c r="CP383" s="29">
        <f t="shared" ca="1" si="208"/>
        <v>1</v>
      </c>
      <c r="CQ383" s="29">
        <f t="shared" ca="1" si="207"/>
        <v>2</v>
      </c>
      <c r="CR383" s="29">
        <f t="shared" ca="1" si="207"/>
        <v>2</v>
      </c>
      <c r="CS383" s="29">
        <f t="shared" ca="1" si="207"/>
        <v>2</v>
      </c>
      <c r="CT383" s="29">
        <f t="shared" ca="1" si="207"/>
        <v>0</v>
      </c>
      <c r="CU383" s="29">
        <f t="shared" ca="1" si="207"/>
        <v>2</v>
      </c>
      <c r="CV383" s="29">
        <f t="shared" ca="1" si="207"/>
        <v>1</v>
      </c>
      <c r="CW383" s="29">
        <f t="shared" ca="1" si="207"/>
        <v>1</v>
      </c>
      <c r="CX383" s="29">
        <f t="shared" ca="1" si="207"/>
        <v>1</v>
      </c>
      <c r="CY383" s="29">
        <f t="shared" ca="1" si="207"/>
        <v>3</v>
      </c>
      <c r="CZ383" s="29">
        <f t="shared" ca="1" si="207"/>
        <v>0</v>
      </c>
      <c r="DA383" s="29">
        <f t="shared" ca="1" si="207"/>
        <v>0</v>
      </c>
      <c r="DB383" s="29">
        <f t="shared" ca="1" si="207"/>
        <v>0</v>
      </c>
      <c r="DC383" s="29">
        <f t="shared" ca="1" si="207"/>
        <v>1</v>
      </c>
      <c r="DD383" s="29">
        <f t="shared" ca="1" si="207"/>
        <v>1</v>
      </c>
      <c r="DE383" s="29">
        <f t="shared" ca="1" si="207"/>
        <v>0</v>
      </c>
      <c r="DF383" s="29">
        <f t="shared" ca="1" si="213"/>
        <v>0</v>
      </c>
      <c r="DG383" s="29">
        <f t="shared" ca="1" si="213"/>
        <v>0</v>
      </c>
      <c r="DH383" s="29">
        <f t="shared" ca="1" si="213"/>
        <v>0</v>
      </c>
      <c r="DI383" s="29">
        <f t="shared" ca="1" si="213"/>
        <v>4</v>
      </c>
      <c r="DJ383" s="29">
        <f t="shared" ca="1" si="213"/>
        <v>0</v>
      </c>
      <c r="DK383" s="29">
        <f t="shared" ca="1" si="213"/>
        <v>0</v>
      </c>
      <c r="DL383" s="29">
        <f t="shared" ca="1" si="213"/>
        <v>1</v>
      </c>
    </row>
    <row r="384" spans="1:116" ht="14.4" x14ac:dyDescent="0.3">
      <c r="A384" s="31">
        <v>549</v>
      </c>
      <c r="B384" s="28">
        <v>7.11</v>
      </c>
      <c r="C384" s="30">
        <v>0.76</v>
      </c>
      <c r="D384" s="28">
        <v>0.4</v>
      </c>
      <c r="E384" s="34">
        <f t="shared" si="180"/>
        <v>8.0000000000000002E-3</v>
      </c>
      <c r="F384" s="35">
        <f t="shared" si="181"/>
        <v>0.19</v>
      </c>
      <c r="G384" s="34">
        <f t="shared" si="182"/>
        <v>10</v>
      </c>
      <c r="H384" s="33">
        <f t="shared" si="183"/>
        <v>1.379746835443038</v>
      </c>
      <c r="I384" s="28">
        <f t="shared" si="186"/>
        <v>1555.950000000001</v>
      </c>
      <c r="J384" s="32">
        <v>0</v>
      </c>
      <c r="K384" s="30">
        <f t="shared" si="184"/>
        <v>10</v>
      </c>
      <c r="L384" s="30"/>
      <c r="M384" s="30"/>
      <c r="N384" s="30"/>
      <c r="O384" s="30"/>
      <c r="Q384" s="29">
        <f t="shared" ca="1" si="185"/>
        <v>0</v>
      </c>
      <c r="R384" s="29">
        <f t="shared" ca="1" si="210"/>
        <v>3</v>
      </c>
      <c r="S384" s="29">
        <f t="shared" ca="1" si="210"/>
        <v>0</v>
      </c>
      <c r="T384" s="29">
        <f t="shared" ca="1" si="210"/>
        <v>1</v>
      </c>
      <c r="U384" s="29">
        <f t="shared" ca="1" si="210"/>
        <v>0</v>
      </c>
      <c r="V384" s="29">
        <f t="shared" ca="1" si="210"/>
        <v>0</v>
      </c>
      <c r="W384" s="29">
        <f t="shared" ca="1" si="210"/>
        <v>0</v>
      </c>
      <c r="X384" s="29">
        <f t="shared" ca="1" si="210"/>
        <v>0</v>
      </c>
      <c r="Y384" s="29">
        <f t="shared" ca="1" si="210"/>
        <v>0</v>
      </c>
      <c r="Z384" s="29">
        <f t="shared" ca="1" si="210"/>
        <v>0</v>
      </c>
      <c r="AA384" s="29">
        <f t="shared" ca="1" si="210"/>
        <v>2</v>
      </c>
      <c r="AB384" s="29">
        <f t="shared" ca="1" si="210"/>
        <v>0</v>
      </c>
      <c r="AC384" s="29">
        <f t="shared" ca="1" si="210"/>
        <v>0</v>
      </c>
      <c r="AD384" s="29">
        <f t="shared" ca="1" si="210"/>
        <v>0</v>
      </c>
      <c r="AE384" s="29">
        <f t="shared" ca="1" si="210"/>
        <v>0</v>
      </c>
      <c r="AF384" s="29">
        <f t="shared" ca="1" si="210"/>
        <v>0</v>
      </c>
      <c r="AG384" s="29">
        <f t="shared" ca="1" si="209"/>
        <v>0</v>
      </c>
      <c r="AH384" s="29">
        <f t="shared" ca="1" si="209"/>
        <v>0</v>
      </c>
      <c r="AI384" s="29">
        <f t="shared" ca="1" si="209"/>
        <v>1</v>
      </c>
      <c r="AJ384" s="29">
        <f t="shared" ca="1" si="209"/>
        <v>0</v>
      </c>
      <c r="AK384" s="29">
        <f t="shared" ca="1" si="209"/>
        <v>0</v>
      </c>
      <c r="AL384" s="29">
        <f t="shared" ca="1" si="209"/>
        <v>1</v>
      </c>
      <c r="AM384" s="29">
        <f t="shared" ca="1" si="209"/>
        <v>0</v>
      </c>
      <c r="AN384" s="29">
        <f t="shared" ca="1" si="209"/>
        <v>0</v>
      </c>
      <c r="AO384" s="29">
        <f t="shared" ca="1" si="209"/>
        <v>1</v>
      </c>
      <c r="AP384" s="29">
        <f t="shared" ca="1" si="209"/>
        <v>0</v>
      </c>
      <c r="AQ384" s="29">
        <f t="shared" ca="1" si="209"/>
        <v>0</v>
      </c>
      <c r="AR384" s="29">
        <f t="shared" ca="1" si="209"/>
        <v>0</v>
      </c>
      <c r="AS384" s="29">
        <f t="shared" ca="1" si="209"/>
        <v>1</v>
      </c>
      <c r="AT384" s="29">
        <f t="shared" ca="1" si="209"/>
        <v>0</v>
      </c>
      <c r="AU384" s="29">
        <f t="shared" ca="1" si="209"/>
        <v>0</v>
      </c>
      <c r="AV384" s="29">
        <f t="shared" ca="1" si="214"/>
        <v>0</v>
      </c>
      <c r="AW384" s="29">
        <f t="shared" ca="1" si="214"/>
        <v>1</v>
      </c>
      <c r="AX384" s="29">
        <f t="shared" ca="1" si="214"/>
        <v>0</v>
      </c>
      <c r="AY384" s="29">
        <f t="shared" ca="1" si="214"/>
        <v>0</v>
      </c>
      <c r="AZ384" s="29">
        <f t="shared" ca="1" si="214"/>
        <v>1</v>
      </c>
      <c r="BA384" s="29">
        <f t="shared" ca="1" si="214"/>
        <v>0</v>
      </c>
      <c r="BB384" s="29">
        <f t="shared" ca="1" si="214"/>
        <v>0</v>
      </c>
      <c r="BC384" s="29">
        <f t="shared" ca="1" si="214"/>
        <v>0</v>
      </c>
      <c r="BD384" s="29">
        <f t="shared" ca="1" si="214"/>
        <v>3</v>
      </c>
      <c r="BE384" s="29">
        <f t="shared" ca="1" si="214"/>
        <v>0</v>
      </c>
      <c r="BF384" s="29">
        <f t="shared" ca="1" si="214"/>
        <v>0</v>
      </c>
      <c r="BG384" s="29">
        <f t="shared" ca="1" si="214"/>
        <v>0</v>
      </c>
      <c r="BH384" s="29">
        <f t="shared" ca="1" si="214"/>
        <v>0</v>
      </c>
      <c r="BI384" s="29">
        <f t="shared" ca="1" si="214"/>
        <v>0</v>
      </c>
      <c r="BJ384" s="29">
        <f t="shared" ca="1" si="214"/>
        <v>0</v>
      </c>
      <c r="BK384" s="29">
        <f t="shared" ca="1" si="214"/>
        <v>0</v>
      </c>
      <c r="BL384" s="29">
        <f t="shared" ca="1" si="212"/>
        <v>0</v>
      </c>
      <c r="BM384" s="29">
        <f t="shared" ca="1" si="212"/>
        <v>1</v>
      </c>
      <c r="BN384" s="29">
        <f t="shared" ca="1" si="212"/>
        <v>0</v>
      </c>
      <c r="BO384" s="29">
        <f t="shared" ca="1" si="212"/>
        <v>0</v>
      </c>
      <c r="BP384" s="29">
        <f t="shared" ca="1" si="212"/>
        <v>2</v>
      </c>
      <c r="BQ384" s="29">
        <f t="shared" ca="1" si="212"/>
        <v>1</v>
      </c>
      <c r="BR384" s="29">
        <f t="shared" ca="1" si="212"/>
        <v>2</v>
      </c>
      <c r="BS384" s="29">
        <f t="shared" ca="1" si="212"/>
        <v>0</v>
      </c>
      <c r="BT384" s="29">
        <f t="shared" ca="1" si="212"/>
        <v>0</v>
      </c>
      <c r="BU384" s="29">
        <f t="shared" ca="1" si="212"/>
        <v>2</v>
      </c>
      <c r="BV384" s="29">
        <f t="shared" ca="1" si="212"/>
        <v>0</v>
      </c>
      <c r="BW384" s="29">
        <f t="shared" ca="1" si="212"/>
        <v>0</v>
      </c>
      <c r="BX384" s="29">
        <f t="shared" ca="1" si="212"/>
        <v>0</v>
      </c>
      <c r="BY384" s="29">
        <f t="shared" ca="1" si="212"/>
        <v>0</v>
      </c>
      <c r="BZ384" s="29">
        <f t="shared" ca="1" si="212"/>
        <v>0</v>
      </c>
      <c r="CA384" s="29">
        <f t="shared" ca="1" si="208"/>
        <v>1</v>
      </c>
      <c r="CB384" s="29">
        <f t="shared" ca="1" si="208"/>
        <v>1</v>
      </c>
      <c r="CC384" s="29">
        <f t="shared" ca="1" si="208"/>
        <v>0</v>
      </c>
      <c r="CD384" s="29">
        <f t="shared" ca="1" si="208"/>
        <v>0</v>
      </c>
      <c r="CE384" s="29">
        <f t="shared" ca="1" si="208"/>
        <v>0</v>
      </c>
      <c r="CF384" s="29">
        <f t="shared" ca="1" si="208"/>
        <v>0</v>
      </c>
      <c r="CG384" s="29">
        <f t="shared" ca="1" si="208"/>
        <v>0</v>
      </c>
      <c r="CH384" s="29">
        <f t="shared" ca="1" si="208"/>
        <v>0</v>
      </c>
      <c r="CI384" s="29">
        <f t="shared" ca="1" si="208"/>
        <v>0</v>
      </c>
      <c r="CJ384" s="29">
        <f t="shared" ca="1" si="208"/>
        <v>0</v>
      </c>
      <c r="CK384" s="29">
        <f t="shared" ca="1" si="208"/>
        <v>2</v>
      </c>
      <c r="CL384" s="29">
        <f t="shared" ca="1" si="208"/>
        <v>0</v>
      </c>
      <c r="CM384" s="29">
        <f t="shared" ca="1" si="208"/>
        <v>0</v>
      </c>
      <c r="CN384" s="29">
        <f t="shared" ca="1" si="208"/>
        <v>0</v>
      </c>
      <c r="CO384" s="29">
        <f t="shared" ca="1" si="208"/>
        <v>0</v>
      </c>
      <c r="CP384" s="29">
        <f t="shared" ca="1" si="208"/>
        <v>0</v>
      </c>
      <c r="CQ384" s="29">
        <f t="shared" ca="1" si="207"/>
        <v>0</v>
      </c>
      <c r="CR384" s="29">
        <f t="shared" ca="1" si="207"/>
        <v>1</v>
      </c>
      <c r="CS384" s="29">
        <f t="shared" ca="1" si="207"/>
        <v>0</v>
      </c>
      <c r="CT384" s="29">
        <f t="shared" ca="1" si="207"/>
        <v>1</v>
      </c>
      <c r="CU384" s="29">
        <f t="shared" ca="1" si="207"/>
        <v>0</v>
      </c>
      <c r="CV384" s="29">
        <f t="shared" ca="1" si="207"/>
        <v>0</v>
      </c>
      <c r="CW384" s="29">
        <f t="shared" ca="1" si="207"/>
        <v>0</v>
      </c>
      <c r="CX384" s="29">
        <f t="shared" ca="1" si="207"/>
        <v>1</v>
      </c>
      <c r="CY384" s="29">
        <f t="shared" ca="1" si="207"/>
        <v>2</v>
      </c>
      <c r="CZ384" s="29">
        <f t="shared" ca="1" si="207"/>
        <v>0</v>
      </c>
      <c r="DA384" s="29">
        <f t="shared" ca="1" si="207"/>
        <v>0</v>
      </c>
      <c r="DB384" s="29">
        <f t="shared" ca="1" si="207"/>
        <v>0</v>
      </c>
      <c r="DC384" s="29">
        <f t="shared" ca="1" si="207"/>
        <v>0</v>
      </c>
      <c r="DD384" s="29">
        <f t="shared" ca="1" si="207"/>
        <v>0</v>
      </c>
      <c r="DE384" s="29">
        <f t="shared" ca="1" si="207"/>
        <v>0</v>
      </c>
      <c r="DF384" s="29">
        <f t="shared" ca="1" si="213"/>
        <v>0</v>
      </c>
      <c r="DG384" s="29">
        <f t="shared" ca="1" si="213"/>
        <v>0</v>
      </c>
      <c r="DH384" s="29">
        <f t="shared" ca="1" si="213"/>
        <v>1</v>
      </c>
      <c r="DI384" s="29">
        <f t="shared" ca="1" si="213"/>
        <v>0</v>
      </c>
      <c r="DJ384" s="29">
        <f t="shared" ca="1" si="213"/>
        <v>0</v>
      </c>
      <c r="DK384" s="29">
        <f t="shared" ca="1" si="213"/>
        <v>1</v>
      </c>
      <c r="DL384" s="29">
        <f t="shared" ca="1" si="213"/>
        <v>0</v>
      </c>
    </row>
    <row r="385" spans="1:116" ht="14.4" x14ac:dyDescent="0.3">
      <c r="A385" s="31">
        <v>636</v>
      </c>
      <c r="B385" s="28">
        <v>6.35</v>
      </c>
      <c r="C385" s="30">
        <v>5.52</v>
      </c>
      <c r="D385" s="28">
        <v>0.4</v>
      </c>
      <c r="E385" s="34">
        <f t="shared" si="180"/>
        <v>8.0000000000000002E-3</v>
      </c>
      <c r="F385" s="35">
        <f t="shared" si="181"/>
        <v>1.38</v>
      </c>
      <c r="G385" s="34">
        <f t="shared" si="182"/>
        <v>10</v>
      </c>
      <c r="H385" s="33">
        <f t="shared" si="183"/>
        <v>1.3574803149606303</v>
      </c>
      <c r="I385" s="28">
        <f t="shared" si="186"/>
        <v>1562.3000000000009</v>
      </c>
      <c r="J385" s="32">
        <v>0</v>
      </c>
      <c r="K385" s="30">
        <f t="shared" si="184"/>
        <v>10</v>
      </c>
      <c r="L385" s="30"/>
      <c r="M385" s="30"/>
      <c r="N385" s="30"/>
      <c r="O385" s="30"/>
      <c r="Q385" s="29">
        <f t="shared" ca="1" si="185"/>
        <v>0</v>
      </c>
      <c r="R385" s="29">
        <f t="shared" ca="1" si="210"/>
        <v>0</v>
      </c>
      <c r="S385" s="29">
        <f t="shared" ca="1" si="210"/>
        <v>0</v>
      </c>
      <c r="T385" s="29">
        <f t="shared" ca="1" si="210"/>
        <v>0</v>
      </c>
      <c r="U385" s="29">
        <f t="shared" ca="1" si="210"/>
        <v>1</v>
      </c>
      <c r="V385" s="29">
        <f t="shared" ca="1" si="210"/>
        <v>0</v>
      </c>
      <c r="W385" s="29">
        <f t="shared" ca="1" si="210"/>
        <v>1</v>
      </c>
      <c r="X385" s="29">
        <f t="shared" ca="1" si="210"/>
        <v>0</v>
      </c>
      <c r="Y385" s="29">
        <f t="shared" ca="1" si="210"/>
        <v>2</v>
      </c>
      <c r="Z385" s="29">
        <f t="shared" ca="1" si="210"/>
        <v>0</v>
      </c>
      <c r="AA385" s="29">
        <f t="shared" ca="1" si="210"/>
        <v>0</v>
      </c>
      <c r="AB385" s="29">
        <f t="shared" ca="1" si="210"/>
        <v>1</v>
      </c>
      <c r="AC385" s="29">
        <f t="shared" ca="1" si="210"/>
        <v>0</v>
      </c>
      <c r="AD385" s="29">
        <f t="shared" ca="1" si="210"/>
        <v>0</v>
      </c>
      <c r="AE385" s="29">
        <f t="shared" ca="1" si="210"/>
        <v>0</v>
      </c>
      <c r="AF385" s="29">
        <f t="shared" ca="1" si="210"/>
        <v>0</v>
      </c>
      <c r="AG385" s="29">
        <f t="shared" ca="1" si="209"/>
        <v>0</v>
      </c>
      <c r="AH385" s="29">
        <f t="shared" ca="1" si="209"/>
        <v>0</v>
      </c>
      <c r="AI385" s="29">
        <f t="shared" ca="1" si="209"/>
        <v>0</v>
      </c>
      <c r="AJ385" s="29">
        <f t="shared" ca="1" si="209"/>
        <v>0</v>
      </c>
      <c r="AK385" s="29">
        <f t="shared" ca="1" si="209"/>
        <v>0</v>
      </c>
      <c r="AL385" s="29">
        <f t="shared" ca="1" si="209"/>
        <v>0</v>
      </c>
      <c r="AM385" s="29">
        <f t="shared" ca="1" si="209"/>
        <v>0</v>
      </c>
      <c r="AN385" s="29">
        <f t="shared" ca="1" si="209"/>
        <v>0</v>
      </c>
      <c r="AO385" s="29">
        <f t="shared" ca="1" si="209"/>
        <v>1</v>
      </c>
      <c r="AP385" s="29">
        <f t="shared" ca="1" si="209"/>
        <v>1</v>
      </c>
      <c r="AQ385" s="29">
        <f t="shared" ca="1" si="209"/>
        <v>1</v>
      </c>
      <c r="AR385" s="29">
        <f t="shared" ca="1" si="209"/>
        <v>0</v>
      </c>
      <c r="AS385" s="29">
        <f t="shared" ca="1" si="209"/>
        <v>1</v>
      </c>
      <c r="AT385" s="29">
        <f t="shared" ca="1" si="209"/>
        <v>0</v>
      </c>
      <c r="AU385" s="29">
        <f t="shared" ca="1" si="209"/>
        <v>1</v>
      </c>
      <c r="AV385" s="29">
        <f t="shared" ca="1" si="214"/>
        <v>0</v>
      </c>
      <c r="AW385" s="29">
        <f t="shared" ca="1" si="214"/>
        <v>3</v>
      </c>
      <c r="AX385" s="29">
        <f t="shared" ca="1" si="214"/>
        <v>1</v>
      </c>
      <c r="AY385" s="29">
        <f t="shared" ca="1" si="214"/>
        <v>1</v>
      </c>
      <c r="AZ385" s="29">
        <f t="shared" ca="1" si="214"/>
        <v>1</v>
      </c>
      <c r="BA385" s="29">
        <f t="shared" ca="1" si="214"/>
        <v>0</v>
      </c>
      <c r="BB385" s="29">
        <f t="shared" ca="1" si="214"/>
        <v>0</v>
      </c>
      <c r="BC385" s="29">
        <f t="shared" ca="1" si="214"/>
        <v>0</v>
      </c>
      <c r="BD385" s="29">
        <f t="shared" ca="1" si="214"/>
        <v>1</v>
      </c>
      <c r="BE385" s="29">
        <f t="shared" ca="1" si="214"/>
        <v>0</v>
      </c>
      <c r="BF385" s="29">
        <f t="shared" ca="1" si="214"/>
        <v>1</v>
      </c>
      <c r="BG385" s="29">
        <f t="shared" ca="1" si="214"/>
        <v>1</v>
      </c>
      <c r="BH385" s="29">
        <f t="shared" ca="1" si="214"/>
        <v>0</v>
      </c>
      <c r="BI385" s="29">
        <f t="shared" ca="1" si="214"/>
        <v>0</v>
      </c>
      <c r="BJ385" s="29">
        <f t="shared" ca="1" si="214"/>
        <v>0</v>
      </c>
      <c r="BK385" s="29">
        <f t="shared" ca="1" si="214"/>
        <v>1</v>
      </c>
      <c r="BL385" s="29">
        <f t="shared" ca="1" si="212"/>
        <v>1</v>
      </c>
      <c r="BM385" s="29">
        <f t="shared" ca="1" si="212"/>
        <v>1</v>
      </c>
      <c r="BN385" s="29">
        <f t="shared" ca="1" si="212"/>
        <v>0</v>
      </c>
      <c r="BO385" s="29">
        <f t="shared" ca="1" si="212"/>
        <v>0</v>
      </c>
      <c r="BP385" s="29">
        <f t="shared" ca="1" si="212"/>
        <v>0</v>
      </c>
      <c r="BQ385" s="29">
        <f t="shared" ca="1" si="212"/>
        <v>1</v>
      </c>
      <c r="BR385" s="29">
        <f t="shared" ca="1" si="212"/>
        <v>0</v>
      </c>
      <c r="BS385" s="29">
        <f t="shared" ca="1" si="212"/>
        <v>1</v>
      </c>
      <c r="BT385" s="29">
        <f t="shared" ca="1" si="212"/>
        <v>1</v>
      </c>
      <c r="BU385" s="29">
        <f t="shared" ca="1" si="212"/>
        <v>0</v>
      </c>
      <c r="BV385" s="29">
        <f t="shared" ca="1" si="212"/>
        <v>1</v>
      </c>
      <c r="BW385" s="29">
        <f t="shared" ca="1" si="212"/>
        <v>0</v>
      </c>
      <c r="BX385" s="29">
        <f t="shared" ca="1" si="212"/>
        <v>0</v>
      </c>
      <c r="BY385" s="29">
        <f t="shared" ca="1" si="212"/>
        <v>1</v>
      </c>
      <c r="BZ385" s="29">
        <f t="shared" ca="1" si="212"/>
        <v>0</v>
      </c>
      <c r="CA385" s="29">
        <f t="shared" ca="1" si="208"/>
        <v>1</v>
      </c>
      <c r="CB385" s="29">
        <f t="shared" ca="1" si="208"/>
        <v>0</v>
      </c>
      <c r="CC385" s="29">
        <f t="shared" ca="1" si="208"/>
        <v>1</v>
      </c>
      <c r="CD385" s="29">
        <f t="shared" ca="1" si="208"/>
        <v>0</v>
      </c>
      <c r="CE385" s="29">
        <f t="shared" ca="1" si="208"/>
        <v>1</v>
      </c>
      <c r="CF385" s="29">
        <f t="shared" ca="1" si="208"/>
        <v>1</v>
      </c>
      <c r="CG385" s="29">
        <f t="shared" ca="1" si="208"/>
        <v>0</v>
      </c>
      <c r="CH385" s="29">
        <f t="shared" ca="1" si="208"/>
        <v>0</v>
      </c>
      <c r="CI385" s="29">
        <f t="shared" ca="1" si="208"/>
        <v>0</v>
      </c>
      <c r="CJ385" s="29">
        <f t="shared" ca="1" si="208"/>
        <v>0</v>
      </c>
      <c r="CK385" s="29">
        <f t="shared" ca="1" si="208"/>
        <v>1</v>
      </c>
      <c r="CL385" s="29">
        <f t="shared" ca="1" si="208"/>
        <v>0</v>
      </c>
      <c r="CM385" s="29">
        <f t="shared" ca="1" si="208"/>
        <v>0</v>
      </c>
      <c r="CN385" s="29">
        <f t="shared" ca="1" si="208"/>
        <v>0</v>
      </c>
      <c r="CO385" s="29">
        <f t="shared" ca="1" si="208"/>
        <v>0</v>
      </c>
      <c r="CP385" s="29">
        <f t="shared" ca="1" si="208"/>
        <v>1</v>
      </c>
      <c r="CQ385" s="29">
        <f t="shared" ca="1" si="207"/>
        <v>0</v>
      </c>
      <c r="CR385" s="29">
        <f t="shared" ca="1" si="207"/>
        <v>0</v>
      </c>
      <c r="CS385" s="29">
        <f t="shared" ca="1" si="207"/>
        <v>0</v>
      </c>
      <c r="CT385" s="29">
        <f t="shared" ca="1" si="207"/>
        <v>0</v>
      </c>
      <c r="CU385" s="29">
        <f t="shared" ca="1" si="207"/>
        <v>0</v>
      </c>
      <c r="CV385" s="29">
        <f t="shared" ca="1" si="207"/>
        <v>0</v>
      </c>
      <c r="CW385" s="29">
        <f t="shared" ca="1" si="207"/>
        <v>2</v>
      </c>
      <c r="CX385" s="29">
        <f t="shared" ca="1" si="207"/>
        <v>0</v>
      </c>
      <c r="CY385" s="29">
        <f t="shared" ca="1" si="207"/>
        <v>0</v>
      </c>
      <c r="CZ385" s="29">
        <f t="shared" ca="1" si="207"/>
        <v>0</v>
      </c>
      <c r="DA385" s="29">
        <f t="shared" ca="1" si="207"/>
        <v>2</v>
      </c>
      <c r="DB385" s="29">
        <f t="shared" ca="1" si="207"/>
        <v>0</v>
      </c>
      <c r="DC385" s="29">
        <f t="shared" ca="1" si="207"/>
        <v>0</v>
      </c>
      <c r="DD385" s="29">
        <f t="shared" ca="1" si="207"/>
        <v>2</v>
      </c>
      <c r="DE385" s="29">
        <f t="shared" ca="1" si="207"/>
        <v>0</v>
      </c>
      <c r="DF385" s="29">
        <f t="shared" ca="1" si="213"/>
        <v>0</v>
      </c>
      <c r="DG385" s="29">
        <f t="shared" ca="1" si="213"/>
        <v>0</v>
      </c>
      <c r="DH385" s="29">
        <f t="shared" ca="1" si="213"/>
        <v>1</v>
      </c>
      <c r="DI385" s="29">
        <f t="shared" ca="1" si="213"/>
        <v>0</v>
      </c>
      <c r="DJ385" s="29">
        <f t="shared" ca="1" si="213"/>
        <v>0</v>
      </c>
      <c r="DK385" s="29">
        <f t="shared" ca="1" si="213"/>
        <v>0</v>
      </c>
      <c r="DL385" s="29">
        <f t="shared" ca="1" si="213"/>
        <v>0</v>
      </c>
    </row>
    <row r="386" spans="1:116" ht="14.4" x14ac:dyDescent="0.3">
      <c r="A386" s="31">
        <v>578</v>
      </c>
      <c r="B386" s="28">
        <v>3.28</v>
      </c>
      <c r="C386" s="30">
        <v>36.83</v>
      </c>
      <c r="D386" s="28">
        <v>0.54</v>
      </c>
      <c r="E386" s="34">
        <f t="shared" ref="E386:E417" si="215">D386/50</f>
        <v>1.0800000000000001E-2</v>
      </c>
      <c r="F386" s="35">
        <f t="shared" ref="F386:F417" si="216">0.25*C386</f>
        <v>9.2074999999999996</v>
      </c>
      <c r="G386" s="34">
        <f t="shared" ref="G386:G417" si="217">25*D386</f>
        <v>13.5</v>
      </c>
      <c r="H386" s="33">
        <f t="shared" ref="H386:H417" si="218">(G386-F386)/B386</f>
        <v>1.308689024390244</v>
      </c>
      <c r="I386" s="28">
        <f t="shared" si="186"/>
        <v>1565.5800000000008</v>
      </c>
      <c r="J386" s="32">
        <v>0</v>
      </c>
      <c r="K386" s="30">
        <f t="shared" ref="K386:K417" si="219">J386*F386+(1-J386)*G386</f>
        <v>13.5</v>
      </c>
      <c r="L386" s="30"/>
      <c r="M386" s="30"/>
      <c r="N386" s="30"/>
      <c r="O386" s="30"/>
      <c r="Q386" s="29">
        <f t="shared" ref="Q386:Q417" ca="1" si="220">_xlfn.BINOM.INV(50,$E386,RAND())</f>
        <v>0</v>
      </c>
      <c r="R386" s="29">
        <f t="shared" ca="1" si="210"/>
        <v>1</v>
      </c>
      <c r="S386" s="29">
        <f t="shared" ca="1" si="210"/>
        <v>1</v>
      </c>
      <c r="T386" s="29">
        <f t="shared" ca="1" si="210"/>
        <v>0</v>
      </c>
      <c r="U386" s="29">
        <f t="shared" ca="1" si="210"/>
        <v>1</v>
      </c>
      <c r="V386" s="29">
        <f t="shared" ca="1" si="210"/>
        <v>0</v>
      </c>
      <c r="W386" s="29">
        <f t="shared" ca="1" si="210"/>
        <v>0</v>
      </c>
      <c r="X386" s="29">
        <f t="shared" ca="1" si="210"/>
        <v>1</v>
      </c>
      <c r="Y386" s="29">
        <f t="shared" ca="1" si="210"/>
        <v>1</v>
      </c>
      <c r="Z386" s="29">
        <f t="shared" ca="1" si="210"/>
        <v>1</v>
      </c>
      <c r="AA386" s="29">
        <f t="shared" ca="1" si="210"/>
        <v>0</v>
      </c>
      <c r="AB386" s="29">
        <f t="shared" ca="1" si="210"/>
        <v>0</v>
      </c>
      <c r="AC386" s="29">
        <f t="shared" ca="1" si="210"/>
        <v>0</v>
      </c>
      <c r="AD386" s="29">
        <f t="shared" ca="1" si="210"/>
        <v>0</v>
      </c>
      <c r="AE386" s="29">
        <f t="shared" ca="1" si="210"/>
        <v>0</v>
      </c>
      <c r="AF386" s="29">
        <f t="shared" ca="1" si="210"/>
        <v>0</v>
      </c>
      <c r="AG386" s="29">
        <f t="shared" ca="1" si="209"/>
        <v>0</v>
      </c>
      <c r="AH386" s="29">
        <f t="shared" ca="1" si="209"/>
        <v>1</v>
      </c>
      <c r="AI386" s="29">
        <f t="shared" ca="1" si="209"/>
        <v>0</v>
      </c>
      <c r="AJ386" s="29">
        <f t="shared" ca="1" si="209"/>
        <v>2</v>
      </c>
      <c r="AK386" s="29">
        <f t="shared" ca="1" si="209"/>
        <v>0</v>
      </c>
      <c r="AL386" s="29">
        <f t="shared" ca="1" si="209"/>
        <v>1</v>
      </c>
      <c r="AM386" s="29">
        <f t="shared" ca="1" si="209"/>
        <v>0</v>
      </c>
      <c r="AN386" s="29">
        <f t="shared" ca="1" si="209"/>
        <v>0</v>
      </c>
      <c r="AO386" s="29">
        <f t="shared" ca="1" si="209"/>
        <v>1</v>
      </c>
      <c r="AP386" s="29">
        <f t="shared" ca="1" si="209"/>
        <v>0</v>
      </c>
      <c r="AQ386" s="29">
        <f t="shared" ca="1" si="209"/>
        <v>1</v>
      </c>
      <c r="AR386" s="29">
        <f t="shared" ca="1" si="209"/>
        <v>0</v>
      </c>
      <c r="AS386" s="29">
        <f t="shared" ca="1" si="209"/>
        <v>1</v>
      </c>
      <c r="AT386" s="29">
        <f t="shared" ca="1" si="209"/>
        <v>2</v>
      </c>
      <c r="AU386" s="29">
        <f t="shared" ca="1" si="209"/>
        <v>1</v>
      </c>
      <c r="AV386" s="29">
        <f t="shared" ca="1" si="214"/>
        <v>1</v>
      </c>
      <c r="AW386" s="29">
        <f t="shared" ca="1" si="214"/>
        <v>1</v>
      </c>
      <c r="AX386" s="29">
        <f t="shared" ca="1" si="214"/>
        <v>1</v>
      </c>
      <c r="AY386" s="29">
        <f t="shared" ca="1" si="214"/>
        <v>1</v>
      </c>
      <c r="AZ386" s="29">
        <f t="shared" ca="1" si="214"/>
        <v>0</v>
      </c>
      <c r="BA386" s="29">
        <f t="shared" ca="1" si="214"/>
        <v>0</v>
      </c>
      <c r="BB386" s="29">
        <f t="shared" ca="1" si="214"/>
        <v>0</v>
      </c>
      <c r="BC386" s="29">
        <f t="shared" ca="1" si="214"/>
        <v>0</v>
      </c>
      <c r="BD386" s="29">
        <f t="shared" ca="1" si="214"/>
        <v>0</v>
      </c>
      <c r="BE386" s="29">
        <f t="shared" ca="1" si="214"/>
        <v>0</v>
      </c>
      <c r="BF386" s="29">
        <f t="shared" ca="1" si="214"/>
        <v>0</v>
      </c>
      <c r="BG386" s="29">
        <f t="shared" ca="1" si="214"/>
        <v>0</v>
      </c>
      <c r="BH386" s="29">
        <f t="shared" ca="1" si="214"/>
        <v>1</v>
      </c>
      <c r="BI386" s="29">
        <f t="shared" ca="1" si="214"/>
        <v>1</v>
      </c>
      <c r="BJ386" s="29">
        <f t="shared" ca="1" si="214"/>
        <v>0</v>
      </c>
      <c r="BK386" s="29">
        <f t="shared" ca="1" si="214"/>
        <v>2</v>
      </c>
      <c r="BL386" s="29">
        <f t="shared" ca="1" si="212"/>
        <v>0</v>
      </c>
      <c r="BM386" s="29">
        <f t="shared" ca="1" si="212"/>
        <v>0</v>
      </c>
      <c r="BN386" s="29">
        <f t="shared" ca="1" si="212"/>
        <v>1</v>
      </c>
      <c r="BO386" s="29">
        <f t="shared" ca="1" si="212"/>
        <v>1</v>
      </c>
      <c r="BP386" s="29">
        <f t="shared" ca="1" si="212"/>
        <v>2</v>
      </c>
      <c r="BQ386" s="29">
        <f t="shared" ca="1" si="212"/>
        <v>0</v>
      </c>
      <c r="BR386" s="29">
        <f t="shared" ca="1" si="212"/>
        <v>1</v>
      </c>
      <c r="BS386" s="29">
        <f t="shared" ca="1" si="212"/>
        <v>1</v>
      </c>
      <c r="BT386" s="29">
        <f t="shared" ca="1" si="212"/>
        <v>1</v>
      </c>
      <c r="BU386" s="29">
        <f t="shared" ca="1" si="212"/>
        <v>0</v>
      </c>
      <c r="BV386" s="29">
        <f t="shared" ca="1" si="212"/>
        <v>0</v>
      </c>
      <c r="BW386" s="29">
        <f t="shared" ca="1" si="212"/>
        <v>0</v>
      </c>
      <c r="BX386" s="29">
        <f t="shared" ca="1" si="212"/>
        <v>0</v>
      </c>
      <c r="BY386" s="29">
        <f t="shared" ca="1" si="212"/>
        <v>1</v>
      </c>
      <c r="BZ386" s="29">
        <f t="shared" ca="1" si="212"/>
        <v>0</v>
      </c>
      <c r="CA386" s="29">
        <f t="shared" ca="1" si="208"/>
        <v>1</v>
      </c>
      <c r="CB386" s="29">
        <f t="shared" ca="1" si="208"/>
        <v>0</v>
      </c>
      <c r="CC386" s="29">
        <f t="shared" ca="1" si="208"/>
        <v>3</v>
      </c>
      <c r="CD386" s="29">
        <f t="shared" ca="1" si="208"/>
        <v>0</v>
      </c>
      <c r="CE386" s="29">
        <f t="shared" ca="1" si="208"/>
        <v>1</v>
      </c>
      <c r="CF386" s="29">
        <f t="shared" ca="1" si="208"/>
        <v>0</v>
      </c>
      <c r="CG386" s="29">
        <f t="shared" ca="1" si="208"/>
        <v>0</v>
      </c>
      <c r="CH386" s="29">
        <f t="shared" ca="1" si="208"/>
        <v>0</v>
      </c>
      <c r="CI386" s="29">
        <f t="shared" ca="1" si="208"/>
        <v>1</v>
      </c>
      <c r="CJ386" s="29">
        <f t="shared" ca="1" si="208"/>
        <v>1</v>
      </c>
      <c r="CK386" s="29">
        <f t="shared" ca="1" si="208"/>
        <v>1</v>
      </c>
      <c r="CL386" s="29">
        <f t="shared" ca="1" si="208"/>
        <v>0</v>
      </c>
      <c r="CM386" s="29">
        <f t="shared" ca="1" si="208"/>
        <v>0</v>
      </c>
      <c r="CN386" s="29">
        <f t="shared" ca="1" si="208"/>
        <v>1</v>
      </c>
      <c r="CO386" s="29">
        <f t="shared" ca="1" si="208"/>
        <v>0</v>
      </c>
      <c r="CP386" s="29">
        <f t="shared" ca="1" si="208"/>
        <v>3</v>
      </c>
      <c r="CQ386" s="29">
        <f t="shared" ca="1" si="207"/>
        <v>1</v>
      </c>
      <c r="CR386" s="29">
        <f t="shared" ca="1" si="207"/>
        <v>0</v>
      </c>
      <c r="CS386" s="29">
        <f t="shared" ca="1" si="207"/>
        <v>1</v>
      </c>
      <c r="CT386" s="29">
        <f t="shared" ca="1" si="207"/>
        <v>0</v>
      </c>
      <c r="CU386" s="29">
        <f t="shared" ca="1" si="207"/>
        <v>1</v>
      </c>
      <c r="CV386" s="29">
        <f t="shared" ca="1" si="207"/>
        <v>1</v>
      </c>
      <c r="CW386" s="29">
        <f t="shared" ca="1" si="207"/>
        <v>0</v>
      </c>
      <c r="CX386" s="29">
        <f t="shared" ca="1" si="207"/>
        <v>1</v>
      </c>
      <c r="CY386" s="29">
        <f t="shared" ca="1" si="207"/>
        <v>2</v>
      </c>
      <c r="CZ386" s="29">
        <f t="shared" ca="1" si="207"/>
        <v>0</v>
      </c>
      <c r="DA386" s="29">
        <f t="shared" ca="1" si="207"/>
        <v>2</v>
      </c>
      <c r="DB386" s="29">
        <f t="shared" ca="1" si="207"/>
        <v>0</v>
      </c>
      <c r="DC386" s="29">
        <f t="shared" ca="1" si="207"/>
        <v>3</v>
      </c>
      <c r="DD386" s="29">
        <f t="shared" ca="1" si="207"/>
        <v>0</v>
      </c>
      <c r="DE386" s="29">
        <f t="shared" ca="1" si="207"/>
        <v>1</v>
      </c>
      <c r="DF386" s="29">
        <f t="shared" ca="1" si="213"/>
        <v>0</v>
      </c>
      <c r="DG386" s="29">
        <f t="shared" ca="1" si="213"/>
        <v>1</v>
      </c>
      <c r="DH386" s="29">
        <f t="shared" ca="1" si="213"/>
        <v>0</v>
      </c>
      <c r="DI386" s="29">
        <f t="shared" ca="1" si="213"/>
        <v>1</v>
      </c>
      <c r="DJ386" s="29">
        <f t="shared" ca="1" si="213"/>
        <v>1</v>
      </c>
      <c r="DK386" s="29">
        <f t="shared" ca="1" si="213"/>
        <v>1</v>
      </c>
      <c r="DL386" s="29">
        <f t="shared" ca="1" si="213"/>
        <v>0</v>
      </c>
    </row>
    <row r="387" spans="1:116" ht="14.4" x14ac:dyDescent="0.3">
      <c r="A387" s="31">
        <v>96</v>
      </c>
      <c r="B387" s="28">
        <v>0.78</v>
      </c>
      <c r="C387" s="30">
        <v>98.92</v>
      </c>
      <c r="D387" s="28">
        <v>1.03</v>
      </c>
      <c r="E387" s="34">
        <f t="shared" si="215"/>
        <v>2.06E-2</v>
      </c>
      <c r="F387" s="35">
        <f t="shared" si="216"/>
        <v>24.73</v>
      </c>
      <c r="G387" s="34">
        <f t="shared" si="217"/>
        <v>25.75</v>
      </c>
      <c r="H387" s="33">
        <f t="shared" si="218"/>
        <v>1.307692307692307</v>
      </c>
      <c r="I387" s="28">
        <f t="shared" si="186"/>
        <v>1566.3600000000008</v>
      </c>
      <c r="J387" s="32">
        <v>0</v>
      </c>
      <c r="K387" s="30">
        <f t="shared" si="219"/>
        <v>25.75</v>
      </c>
      <c r="L387" s="30"/>
      <c r="M387" s="30"/>
      <c r="N387" s="30"/>
      <c r="O387" s="30"/>
      <c r="Q387" s="29">
        <f t="shared" ca="1" si="220"/>
        <v>1</v>
      </c>
      <c r="R387" s="29">
        <f t="shared" ca="1" si="210"/>
        <v>0</v>
      </c>
      <c r="S387" s="29">
        <f t="shared" ca="1" si="210"/>
        <v>3</v>
      </c>
      <c r="T387" s="29">
        <f t="shared" ca="1" si="210"/>
        <v>0</v>
      </c>
      <c r="U387" s="29">
        <f t="shared" ca="1" si="210"/>
        <v>2</v>
      </c>
      <c r="V387" s="29">
        <f t="shared" ca="1" si="210"/>
        <v>0</v>
      </c>
      <c r="W387" s="29">
        <f t="shared" ca="1" si="210"/>
        <v>3</v>
      </c>
      <c r="X387" s="29">
        <f t="shared" ca="1" si="210"/>
        <v>0</v>
      </c>
      <c r="Y387" s="29">
        <f t="shared" ca="1" si="210"/>
        <v>0</v>
      </c>
      <c r="Z387" s="29">
        <f t="shared" ca="1" si="210"/>
        <v>1</v>
      </c>
      <c r="AA387" s="29">
        <f t="shared" ca="1" si="210"/>
        <v>0</v>
      </c>
      <c r="AB387" s="29">
        <f t="shared" ca="1" si="210"/>
        <v>3</v>
      </c>
      <c r="AC387" s="29">
        <f t="shared" ca="1" si="210"/>
        <v>2</v>
      </c>
      <c r="AD387" s="29">
        <f t="shared" ca="1" si="210"/>
        <v>1</v>
      </c>
      <c r="AE387" s="29">
        <f t="shared" ca="1" si="210"/>
        <v>0</v>
      </c>
      <c r="AF387" s="29">
        <f t="shared" ca="1" si="210"/>
        <v>0</v>
      </c>
      <c r="AG387" s="29">
        <f t="shared" ca="1" si="209"/>
        <v>1</v>
      </c>
      <c r="AH387" s="29">
        <f t="shared" ca="1" si="209"/>
        <v>0</v>
      </c>
      <c r="AI387" s="29">
        <f t="shared" ca="1" si="209"/>
        <v>3</v>
      </c>
      <c r="AJ387" s="29">
        <f t="shared" ca="1" si="209"/>
        <v>2</v>
      </c>
      <c r="AK387" s="29">
        <f t="shared" ca="1" si="209"/>
        <v>0</v>
      </c>
      <c r="AL387" s="29">
        <f t="shared" ca="1" si="209"/>
        <v>2</v>
      </c>
      <c r="AM387" s="29">
        <f t="shared" ca="1" si="209"/>
        <v>0</v>
      </c>
      <c r="AN387" s="29">
        <f t="shared" ca="1" si="209"/>
        <v>2</v>
      </c>
      <c r="AO387" s="29">
        <f t="shared" ca="1" si="209"/>
        <v>1</v>
      </c>
      <c r="AP387" s="29">
        <f t="shared" ca="1" si="209"/>
        <v>0</v>
      </c>
      <c r="AQ387" s="29">
        <f t="shared" ca="1" si="209"/>
        <v>1</v>
      </c>
      <c r="AR387" s="29">
        <f t="shared" ca="1" si="209"/>
        <v>1</v>
      </c>
      <c r="AS387" s="29">
        <f t="shared" ca="1" si="209"/>
        <v>1</v>
      </c>
      <c r="AT387" s="29">
        <f t="shared" ca="1" si="209"/>
        <v>1</v>
      </c>
      <c r="AU387" s="29">
        <f t="shared" ca="1" si="209"/>
        <v>1</v>
      </c>
      <c r="AV387" s="29">
        <f t="shared" ca="1" si="214"/>
        <v>3</v>
      </c>
      <c r="AW387" s="29">
        <f t="shared" ca="1" si="214"/>
        <v>0</v>
      </c>
      <c r="AX387" s="29">
        <f t="shared" ca="1" si="214"/>
        <v>3</v>
      </c>
      <c r="AY387" s="29">
        <f t="shared" ca="1" si="214"/>
        <v>3</v>
      </c>
      <c r="AZ387" s="29">
        <f t="shared" ca="1" si="214"/>
        <v>3</v>
      </c>
      <c r="BA387" s="29">
        <f t="shared" ca="1" si="214"/>
        <v>0</v>
      </c>
      <c r="BB387" s="29">
        <f t="shared" ca="1" si="214"/>
        <v>1</v>
      </c>
      <c r="BC387" s="29">
        <f t="shared" ca="1" si="214"/>
        <v>0</v>
      </c>
      <c r="BD387" s="29">
        <f t="shared" ca="1" si="214"/>
        <v>3</v>
      </c>
      <c r="BE387" s="29">
        <f t="shared" ca="1" si="214"/>
        <v>1</v>
      </c>
      <c r="BF387" s="29">
        <f t="shared" ca="1" si="214"/>
        <v>0</v>
      </c>
      <c r="BG387" s="29">
        <f t="shared" ca="1" si="214"/>
        <v>0</v>
      </c>
      <c r="BH387" s="29">
        <f t="shared" ca="1" si="214"/>
        <v>2</v>
      </c>
      <c r="BI387" s="29">
        <f t="shared" ca="1" si="214"/>
        <v>1</v>
      </c>
      <c r="BJ387" s="29">
        <f t="shared" ca="1" si="214"/>
        <v>2</v>
      </c>
      <c r="BK387" s="29">
        <f t="shared" ca="1" si="214"/>
        <v>0</v>
      </c>
      <c r="BL387" s="29">
        <f t="shared" ca="1" si="212"/>
        <v>2</v>
      </c>
      <c r="BM387" s="29">
        <f t="shared" ca="1" si="212"/>
        <v>2</v>
      </c>
      <c r="BN387" s="29">
        <f t="shared" ca="1" si="212"/>
        <v>1</v>
      </c>
      <c r="BO387" s="29">
        <f t="shared" ca="1" si="212"/>
        <v>0</v>
      </c>
      <c r="BP387" s="29">
        <f t="shared" ca="1" si="212"/>
        <v>1</v>
      </c>
      <c r="BQ387" s="29">
        <f t="shared" ca="1" si="212"/>
        <v>0</v>
      </c>
      <c r="BR387" s="29">
        <f t="shared" ca="1" si="212"/>
        <v>1</v>
      </c>
      <c r="BS387" s="29">
        <f t="shared" ca="1" si="212"/>
        <v>1</v>
      </c>
      <c r="BT387" s="29">
        <f t="shared" ca="1" si="212"/>
        <v>0</v>
      </c>
      <c r="BU387" s="29">
        <f t="shared" ca="1" si="212"/>
        <v>0</v>
      </c>
      <c r="BV387" s="29">
        <f t="shared" ca="1" si="212"/>
        <v>2</v>
      </c>
      <c r="BW387" s="29">
        <f t="shared" ca="1" si="212"/>
        <v>0</v>
      </c>
      <c r="BX387" s="29">
        <f t="shared" ca="1" si="212"/>
        <v>1</v>
      </c>
      <c r="BY387" s="29">
        <f t="shared" ca="1" si="212"/>
        <v>0</v>
      </c>
      <c r="BZ387" s="29">
        <f t="shared" ca="1" si="212"/>
        <v>2</v>
      </c>
      <c r="CA387" s="29">
        <f t="shared" ca="1" si="208"/>
        <v>3</v>
      </c>
      <c r="CB387" s="29">
        <f t="shared" ca="1" si="208"/>
        <v>0</v>
      </c>
      <c r="CC387" s="29">
        <f t="shared" ca="1" si="208"/>
        <v>0</v>
      </c>
      <c r="CD387" s="29">
        <f t="shared" ca="1" si="208"/>
        <v>3</v>
      </c>
      <c r="CE387" s="29">
        <f t="shared" ca="1" si="208"/>
        <v>1</v>
      </c>
      <c r="CF387" s="29">
        <f t="shared" ca="1" si="208"/>
        <v>1</v>
      </c>
      <c r="CG387" s="29">
        <f t="shared" ca="1" si="208"/>
        <v>1</v>
      </c>
      <c r="CH387" s="29">
        <f t="shared" ca="1" si="208"/>
        <v>2</v>
      </c>
      <c r="CI387" s="29">
        <f t="shared" ca="1" si="208"/>
        <v>0</v>
      </c>
      <c r="CJ387" s="29">
        <f t="shared" ca="1" si="208"/>
        <v>1</v>
      </c>
      <c r="CK387" s="29">
        <f t="shared" ca="1" si="208"/>
        <v>0</v>
      </c>
      <c r="CL387" s="29">
        <f t="shared" ca="1" si="208"/>
        <v>0</v>
      </c>
      <c r="CM387" s="29">
        <f t="shared" ca="1" si="208"/>
        <v>2</v>
      </c>
      <c r="CN387" s="29">
        <f t="shared" ca="1" si="208"/>
        <v>3</v>
      </c>
      <c r="CO387" s="29">
        <f t="shared" ca="1" si="208"/>
        <v>0</v>
      </c>
      <c r="CP387" s="29">
        <f t="shared" ca="1" si="208"/>
        <v>1</v>
      </c>
      <c r="CQ387" s="29">
        <f t="shared" ca="1" si="207"/>
        <v>2</v>
      </c>
      <c r="CR387" s="29">
        <f t="shared" ca="1" si="207"/>
        <v>0</v>
      </c>
      <c r="CS387" s="29">
        <f t="shared" ca="1" si="207"/>
        <v>2</v>
      </c>
      <c r="CT387" s="29">
        <f t="shared" ca="1" si="207"/>
        <v>0</v>
      </c>
      <c r="CU387" s="29">
        <f t="shared" ca="1" si="207"/>
        <v>1</v>
      </c>
      <c r="CV387" s="29">
        <f t="shared" ca="1" si="207"/>
        <v>0</v>
      </c>
      <c r="CW387" s="29">
        <f t="shared" ca="1" si="207"/>
        <v>1</v>
      </c>
      <c r="CX387" s="29">
        <f t="shared" ca="1" si="207"/>
        <v>1</v>
      </c>
      <c r="CY387" s="29">
        <f t="shared" ca="1" si="207"/>
        <v>1</v>
      </c>
      <c r="CZ387" s="29">
        <f t="shared" ca="1" si="207"/>
        <v>1</v>
      </c>
      <c r="DA387" s="29">
        <f t="shared" ca="1" si="207"/>
        <v>3</v>
      </c>
      <c r="DB387" s="29">
        <f t="shared" ca="1" si="207"/>
        <v>0</v>
      </c>
      <c r="DC387" s="29">
        <f t="shared" ca="1" si="207"/>
        <v>0</v>
      </c>
      <c r="DD387" s="29">
        <f t="shared" ca="1" si="207"/>
        <v>2</v>
      </c>
      <c r="DE387" s="29">
        <f t="shared" ca="1" si="207"/>
        <v>0</v>
      </c>
      <c r="DF387" s="29">
        <f t="shared" ca="1" si="213"/>
        <v>1</v>
      </c>
      <c r="DG387" s="29">
        <f t="shared" ca="1" si="213"/>
        <v>0</v>
      </c>
      <c r="DH387" s="29">
        <f t="shared" ca="1" si="213"/>
        <v>2</v>
      </c>
      <c r="DI387" s="29">
        <f t="shared" ca="1" si="213"/>
        <v>0</v>
      </c>
      <c r="DJ387" s="29">
        <f t="shared" ca="1" si="213"/>
        <v>1</v>
      </c>
      <c r="DK387" s="29">
        <f t="shared" ca="1" si="213"/>
        <v>1</v>
      </c>
      <c r="DL387" s="29">
        <f t="shared" ca="1" si="213"/>
        <v>1</v>
      </c>
    </row>
    <row r="388" spans="1:116" ht="14.4" x14ac:dyDescent="0.3">
      <c r="A388" s="31">
        <v>276</v>
      </c>
      <c r="B388" s="28">
        <v>1.94</v>
      </c>
      <c r="C388" s="30">
        <v>89.52</v>
      </c>
      <c r="D388" s="28">
        <v>0.99</v>
      </c>
      <c r="E388" s="34">
        <f t="shared" si="215"/>
        <v>1.9799999999999998E-2</v>
      </c>
      <c r="F388" s="35">
        <f t="shared" si="216"/>
        <v>22.38</v>
      </c>
      <c r="G388" s="34">
        <f t="shared" si="217"/>
        <v>24.75</v>
      </c>
      <c r="H388" s="33">
        <f t="shared" si="218"/>
        <v>1.221649484536083</v>
      </c>
      <c r="I388" s="28">
        <f t="shared" ref="I388:I417" si="221">B388+I387</f>
        <v>1568.3000000000009</v>
      </c>
      <c r="J388" s="32">
        <v>0</v>
      </c>
      <c r="K388" s="30">
        <f t="shared" si="219"/>
        <v>24.75</v>
      </c>
      <c r="L388" s="30"/>
      <c r="M388" s="30"/>
      <c r="N388" s="30"/>
      <c r="O388" s="30"/>
      <c r="Q388" s="29">
        <f t="shared" ca="1" si="220"/>
        <v>1</v>
      </c>
      <c r="R388" s="29">
        <f t="shared" ca="1" si="210"/>
        <v>0</v>
      </c>
      <c r="S388" s="29">
        <f t="shared" ca="1" si="210"/>
        <v>2</v>
      </c>
      <c r="T388" s="29">
        <f t="shared" ca="1" si="210"/>
        <v>3</v>
      </c>
      <c r="U388" s="29">
        <f t="shared" ca="1" si="210"/>
        <v>0</v>
      </c>
      <c r="V388" s="29">
        <f t="shared" ca="1" si="210"/>
        <v>2</v>
      </c>
      <c r="W388" s="29">
        <f t="shared" ca="1" si="210"/>
        <v>2</v>
      </c>
      <c r="X388" s="29">
        <f t="shared" ca="1" si="210"/>
        <v>1</v>
      </c>
      <c r="Y388" s="29">
        <f t="shared" ca="1" si="210"/>
        <v>2</v>
      </c>
      <c r="Z388" s="29">
        <f t="shared" ca="1" si="210"/>
        <v>1</v>
      </c>
      <c r="AA388" s="29">
        <f t="shared" ca="1" si="210"/>
        <v>0</v>
      </c>
      <c r="AB388" s="29">
        <f t="shared" ca="1" si="210"/>
        <v>1</v>
      </c>
      <c r="AC388" s="29">
        <f t="shared" ca="1" si="210"/>
        <v>1</v>
      </c>
      <c r="AD388" s="29">
        <f t="shared" ca="1" si="210"/>
        <v>0</v>
      </c>
      <c r="AE388" s="29">
        <f t="shared" ca="1" si="210"/>
        <v>1</v>
      </c>
      <c r="AF388" s="29">
        <f t="shared" ca="1" si="210"/>
        <v>0</v>
      </c>
      <c r="AG388" s="29">
        <f t="shared" ca="1" si="209"/>
        <v>1</v>
      </c>
      <c r="AH388" s="29">
        <f t="shared" ca="1" si="209"/>
        <v>0</v>
      </c>
      <c r="AI388" s="29">
        <f t="shared" ca="1" si="209"/>
        <v>2</v>
      </c>
      <c r="AJ388" s="29">
        <f t="shared" ca="1" si="209"/>
        <v>0</v>
      </c>
      <c r="AK388" s="29">
        <f t="shared" ca="1" si="209"/>
        <v>0</v>
      </c>
      <c r="AL388" s="29">
        <f t="shared" ca="1" si="209"/>
        <v>3</v>
      </c>
      <c r="AM388" s="29">
        <f t="shared" ca="1" si="209"/>
        <v>0</v>
      </c>
      <c r="AN388" s="29">
        <f t="shared" ca="1" si="209"/>
        <v>3</v>
      </c>
      <c r="AO388" s="29">
        <f t="shared" ca="1" si="209"/>
        <v>0</v>
      </c>
      <c r="AP388" s="29">
        <f t="shared" ca="1" si="209"/>
        <v>2</v>
      </c>
      <c r="AQ388" s="29">
        <f t="shared" ca="1" si="209"/>
        <v>2</v>
      </c>
      <c r="AR388" s="29">
        <f t="shared" ca="1" si="209"/>
        <v>1</v>
      </c>
      <c r="AS388" s="29">
        <f t="shared" ca="1" si="209"/>
        <v>1</v>
      </c>
      <c r="AT388" s="29">
        <f t="shared" ca="1" si="209"/>
        <v>1</v>
      </c>
      <c r="AU388" s="29">
        <f t="shared" ca="1" si="209"/>
        <v>2</v>
      </c>
      <c r="AV388" s="29">
        <f t="shared" ca="1" si="214"/>
        <v>1</v>
      </c>
      <c r="AW388" s="29">
        <f t="shared" ca="1" si="214"/>
        <v>0</v>
      </c>
      <c r="AX388" s="29">
        <f t="shared" ca="1" si="214"/>
        <v>2</v>
      </c>
      <c r="AY388" s="29">
        <f t="shared" ca="1" si="214"/>
        <v>0</v>
      </c>
      <c r="AZ388" s="29">
        <f t="shared" ca="1" si="214"/>
        <v>3</v>
      </c>
      <c r="BA388" s="29">
        <f t="shared" ca="1" si="214"/>
        <v>0</v>
      </c>
      <c r="BB388" s="29">
        <f t="shared" ca="1" si="214"/>
        <v>1</v>
      </c>
      <c r="BC388" s="29">
        <f t="shared" ca="1" si="214"/>
        <v>3</v>
      </c>
      <c r="BD388" s="29">
        <f t="shared" ca="1" si="214"/>
        <v>0</v>
      </c>
      <c r="BE388" s="29">
        <f t="shared" ca="1" si="214"/>
        <v>3</v>
      </c>
      <c r="BF388" s="29">
        <f t="shared" ca="1" si="214"/>
        <v>1</v>
      </c>
      <c r="BG388" s="29">
        <f t="shared" ca="1" si="214"/>
        <v>1</v>
      </c>
      <c r="BH388" s="29">
        <f t="shared" ca="1" si="214"/>
        <v>0</v>
      </c>
      <c r="BI388" s="29">
        <f t="shared" ca="1" si="214"/>
        <v>0</v>
      </c>
      <c r="BJ388" s="29">
        <f t="shared" ca="1" si="214"/>
        <v>0</v>
      </c>
      <c r="BK388" s="29">
        <f t="shared" ca="1" si="214"/>
        <v>3</v>
      </c>
      <c r="BL388" s="29">
        <f t="shared" ca="1" si="212"/>
        <v>0</v>
      </c>
      <c r="BM388" s="29">
        <f t="shared" ca="1" si="212"/>
        <v>1</v>
      </c>
      <c r="BN388" s="29">
        <f t="shared" ca="1" si="212"/>
        <v>1</v>
      </c>
      <c r="BO388" s="29">
        <f t="shared" ca="1" si="212"/>
        <v>0</v>
      </c>
      <c r="BP388" s="29">
        <f t="shared" ca="1" si="212"/>
        <v>0</v>
      </c>
      <c r="BQ388" s="29">
        <f t="shared" ca="1" si="212"/>
        <v>0</v>
      </c>
      <c r="BR388" s="29">
        <f t="shared" ca="1" si="212"/>
        <v>0</v>
      </c>
      <c r="BS388" s="29">
        <f t="shared" ca="1" si="212"/>
        <v>1</v>
      </c>
      <c r="BT388" s="29">
        <f t="shared" ca="1" si="212"/>
        <v>1</v>
      </c>
      <c r="BU388" s="29">
        <f t="shared" ca="1" si="212"/>
        <v>2</v>
      </c>
      <c r="BV388" s="29">
        <f t="shared" ca="1" si="212"/>
        <v>2</v>
      </c>
      <c r="BW388" s="29">
        <f t="shared" ca="1" si="212"/>
        <v>0</v>
      </c>
      <c r="BX388" s="29">
        <f t="shared" ca="1" si="212"/>
        <v>0</v>
      </c>
      <c r="BY388" s="29">
        <f t="shared" ca="1" si="212"/>
        <v>2</v>
      </c>
      <c r="BZ388" s="29">
        <f t="shared" ca="1" si="212"/>
        <v>1</v>
      </c>
      <c r="CA388" s="29">
        <f t="shared" ca="1" si="208"/>
        <v>1</v>
      </c>
      <c r="CB388" s="29">
        <f t="shared" ca="1" si="208"/>
        <v>0</v>
      </c>
      <c r="CC388" s="29">
        <f t="shared" ca="1" si="208"/>
        <v>0</v>
      </c>
      <c r="CD388" s="29">
        <f t="shared" ca="1" si="208"/>
        <v>0</v>
      </c>
      <c r="CE388" s="29">
        <f t="shared" ca="1" si="208"/>
        <v>1</v>
      </c>
      <c r="CF388" s="29">
        <f t="shared" ca="1" si="208"/>
        <v>0</v>
      </c>
      <c r="CG388" s="29">
        <f t="shared" ca="1" si="208"/>
        <v>0</v>
      </c>
      <c r="CH388" s="29">
        <f t="shared" ca="1" si="208"/>
        <v>0</v>
      </c>
      <c r="CI388" s="29">
        <f t="shared" ca="1" si="208"/>
        <v>1</v>
      </c>
      <c r="CJ388" s="29">
        <f t="shared" ca="1" si="208"/>
        <v>0</v>
      </c>
      <c r="CK388" s="29">
        <f t="shared" ca="1" si="208"/>
        <v>0</v>
      </c>
      <c r="CL388" s="29">
        <f t="shared" ca="1" si="208"/>
        <v>0</v>
      </c>
      <c r="CM388" s="29">
        <f t="shared" ca="1" si="208"/>
        <v>1</v>
      </c>
      <c r="CN388" s="29">
        <f t="shared" ca="1" si="208"/>
        <v>1</v>
      </c>
      <c r="CO388" s="29">
        <f t="shared" ca="1" si="208"/>
        <v>3</v>
      </c>
      <c r="CP388" s="29">
        <f t="shared" ref="CP388:DE403" ca="1" si="222">_xlfn.BINOM.INV(50,$E388,RAND())</f>
        <v>0</v>
      </c>
      <c r="CQ388" s="29">
        <f t="shared" ca="1" si="222"/>
        <v>0</v>
      </c>
      <c r="CR388" s="29">
        <f t="shared" ca="1" si="222"/>
        <v>2</v>
      </c>
      <c r="CS388" s="29">
        <f t="shared" ca="1" si="222"/>
        <v>1</v>
      </c>
      <c r="CT388" s="29">
        <f t="shared" ca="1" si="222"/>
        <v>1</v>
      </c>
      <c r="CU388" s="29">
        <f t="shared" ca="1" si="222"/>
        <v>3</v>
      </c>
      <c r="CV388" s="29">
        <f t="shared" ca="1" si="222"/>
        <v>0</v>
      </c>
      <c r="CW388" s="29">
        <f t="shared" ca="1" si="222"/>
        <v>1</v>
      </c>
      <c r="CX388" s="29">
        <f t="shared" ca="1" si="222"/>
        <v>2</v>
      </c>
      <c r="CY388" s="29">
        <f t="shared" ca="1" si="222"/>
        <v>1</v>
      </c>
      <c r="CZ388" s="29">
        <f t="shared" ca="1" si="222"/>
        <v>0</v>
      </c>
      <c r="DA388" s="29">
        <f t="shared" ca="1" si="222"/>
        <v>0</v>
      </c>
      <c r="DB388" s="29">
        <f t="shared" ca="1" si="222"/>
        <v>0</v>
      </c>
      <c r="DC388" s="29">
        <f t="shared" ca="1" si="222"/>
        <v>1</v>
      </c>
      <c r="DD388" s="29">
        <f t="shared" ca="1" si="222"/>
        <v>1</v>
      </c>
      <c r="DE388" s="29">
        <f t="shared" ca="1" si="222"/>
        <v>1</v>
      </c>
      <c r="DF388" s="29">
        <f t="shared" ca="1" si="213"/>
        <v>2</v>
      </c>
      <c r="DG388" s="29">
        <f t="shared" ca="1" si="213"/>
        <v>2</v>
      </c>
      <c r="DH388" s="29">
        <f t="shared" ca="1" si="213"/>
        <v>0</v>
      </c>
      <c r="DI388" s="29">
        <f t="shared" ca="1" si="213"/>
        <v>1</v>
      </c>
      <c r="DJ388" s="29">
        <f t="shared" ca="1" si="213"/>
        <v>2</v>
      </c>
      <c r="DK388" s="29">
        <f t="shared" ca="1" si="213"/>
        <v>0</v>
      </c>
      <c r="DL388" s="29">
        <f t="shared" ca="1" si="213"/>
        <v>1</v>
      </c>
    </row>
    <row r="389" spans="1:116" ht="14.4" x14ac:dyDescent="0.3">
      <c r="A389" s="31">
        <v>1022</v>
      </c>
      <c r="B389" s="28">
        <v>3.28</v>
      </c>
      <c r="C389" s="30">
        <v>29.48</v>
      </c>
      <c r="D389" s="28">
        <v>0.43</v>
      </c>
      <c r="E389" s="34">
        <f t="shared" si="215"/>
        <v>8.6E-3</v>
      </c>
      <c r="F389" s="35">
        <f t="shared" si="216"/>
        <v>7.37</v>
      </c>
      <c r="G389" s="34">
        <f t="shared" si="217"/>
        <v>10.75</v>
      </c>
      <c r="H389" s="33">
        <f t="shared" si="218"/>
        <v>1.0304878048780488</v>
      </c>
      <c r="I389" s="28">
        <f t="shared" si="221"/>
        <v>1571.5800000000008</v>
      </c>
      <c r="J389" s="32">
        <v>0</v>
      </c>
      <c r="K389" s="30">
        <f t="shared" si="219"/>
        <v>10.75</v>
      </c>
      <c r="L389" s="30"/>
      <c r="M389" s="30"/>
      <c r="N389" s="30"/>
      <c r="O389" s="30"/>
      <c r="Q389" s="29">
        <f t="shared" ca="1" si="220"/>
        <v>0</v>
      </c>
      <c r="R389" s="29">
        <f t="shared" ca="1" si="210"/>
        <v>0</v>
      </c>
      <c r="S389" s="29">
        <f t="shared" ca="1" si="210"/>
        <v>2</v>
      </c>
      <c r="T389" s="29">
        <f t="shared" ca="1" si="210"/>
        <v>0</v>
      </c>
      <c r="U389" s="29">
        <f t="shared" ca="1" si="210"/>
        <v>0</v>
      </c>
      <c r="V389" s="29">
        <f t="shared" ca="1" si="210"/>
        <v>2</v>
      </c>
      <c r="W389" s="29">
        <f t="shared" ca="1" si="210"/>
        <v>1</v>
      </c>
      <c r="X389" s="29">
        <f t="shared" ca="1" si="210"/>
        <v>1</v>
      </c>
      <c r="Y389" s="29">
        <f t="shared" ca="1" si="210"/>
        <v>0</v>
      </c>
      <c r="Z389" s="29">
        <f t="shared" ca="1" si="210"/>
        <v>0</v>
      </c>
      <c r="AA389" s="29">
        <f t="shared" ca="1" si="210"/>
        <v>0</v>
      </c>
      <c r="AB389" s="29">
        <f t="shared" ca="1" si="210"/>
        <v>2</v>
      </c>
      <c r="AC389" s="29">
        <f t="shared" ca="1" si="210"/>
        <v>0</v>
      </c>
      <c r="AD389" s="29">
        <f t="shared" ca="1" si="210"/>
        <v>0</v>
      </c>
      <c r="AE389" s="29">
        <f t="shared" ca="1" si="210"/>
        <v>1</v>
      </c>
      <c r="AF389" s="29">
        <f t="shared" ca="1" si="210"/>
        <v>2</v>
      </c>
      <c r="AG389" s="29">
        <f t="shared" ca="1" si="209"/>
        <v>0</v>
      </c>
      <c r="AH389" s="29">
        <f t="shared" ca="1" si="209"/>
        <v>0</v>
      </c>
      <c r="AI389" s="29">
        <f t="shared" ca="1" si="209"/>
        <v>0</v>
      </c>
      <c r="AJ389" s="29">
        <f t="shared" ca="1" si="209"/>
        <v>0</v>
      </c>
      <c r="AK389" s="29">
        <f t="shared" ca="1" si="209"/>
        <v>1</v>
      </c>
      <c r="AL389" s="29">
        <f t="shared" ca="1" si="209"/>
        <v>0</v>
      </c>
      <c r="AM389" s="29">
        <f t="shared" ca="1" si="209"/>
        <v>0</v>
      </c>
      <c r="AN389" s="29">
        <f t="shared" ca="1" si="209"/>
        <v>1</v>
      </c>
      <c r="AO389" s="29">
        <f t="shared" ca="1" si="209"/>
        <v>0</v>
      </c>
      <c r="AP389" s="29">
        <f t="shared" ca="1" si="209"/>
        <v>0</v>
      </c>
      <c r="AQ389" s="29">
        <f t="shared" ca="1" si="209"/>
        <v>0</v>
      </c>
      <c r="AR389" s="29">
        <f t="shared" ca="1" si="209"/>
        <v>0</v>
      </c>
      <c r="AS389" s="29">
        <f t="shared" ca="1" si="209"/>
        <v>1</v>
      </c>
      <c r="AT389" s="29">
        <f t="shared" ca="1" si="209"/>
        <v>0</v>
      </c>
      <c r="AU389" s="29">
        <f t="shared" ca="1" si="209"/>
        <v>1</v>
      </c>
      <c r="AV389" s="29">
        <f t="shared" ca="1" si="214"/>
        <v>0</v>
      </c>
      <c r="AW389" s="29">
        <f t="shared" ca="1" si="214"/>
        <v>1</v>
      </c>
      <c r="AX389" s="29">
        <f t="shared" ca="1" si="214"/>
        <v>1</v>
      </c>
      <c r="AY389" s="29">
        <f t="shared" ca="1" si="214"/>
        <v>0</v>
      </c>
      <c r="AZ389" s="29">
        <f t="shared" ca="1" si="214"/>
        <v>1</v>
      </c>
      <c r="BA389" s="29">
        <f t="shared" ca="1" si="214"/>
        <v>0</v>
      </c>
      <c r="BB389" s="29">
        <f t="shared" ca="1" si="214"/>
        <v>2</v>
      </c>
      <c r="BC389" s="29">
        <f t="shared" ca="1" si="214"/>
        <v>2</v>
      </c>
      <c r="BD389" s="29">
        <f t="shared" ca="1" si="214"/>
        <v>0</v>
      </c>
      <c r="BE389" s="29">
        <f t="shared" ca="1" si="214"/>
        <v>1</v>
      </c>
      <c r="BF389" s="29">
        <f t="shared" ca="1" si="214"/>
        <v>0</v>
      </c>
      <c r="BG389" s="29">
        <f t="shared" ca="1" si="214"/>
        <v>1</v>
      </c>
      <c r="BH389" s="29">
        <f t="shared" ca="1" si="214"/>
        <v>0</v>
      </c>
      <c r="BI389" s="29">
        <f t="shared" ca="1" si="214"/>
        <v>0</v>
      </c>
      <c r="BJ389" s="29">
        <f t="shared" ca="1" si="214"/>
        <v>0</v>
      </c>
      <c r="BK389" s="29">
        <f t="shared" ca="1" si="214"/>
        <v>0</v>
      </c>
      <c r="BL389" s="29">
        <f t="shared" ca="1" si="212"/>
        <v>1</v>
      </c>
      <c r="BM389" s="29">
        <f t="shared" ca="1" si="212"/>
        <v>0</v>
      </c>
      <c r="BN389" s="29">
        <f t="shared" ca="1" si="212"/>
        <v>0</v>
      </c>
      <c r="BO389" s="29">
        <f t="shared" ca="1" si="212"/>
        <v>1</v>
      </c>
      <c r="BP389" s="29">
        <f t="shared" ca="1" si="212"/>
        <v>0</v>
      </c>
      <c r="BQ389" s="29">
        <f t="shared" ca="1" si="212"/>
        <v>0</v>
      </c>
      <c r="BR389" s="29">
        <f t="shared" ca="1" si="212"/>
        <v>0</v>
      </c>
      <c r="BS389" s="29">
        <f t="shared" ca="1" si="212"/>
        <v>0</v>
      </c>
      <c r="BT389" s="29">
        <f t="shared" ca="1" si="212"/>
        <v>0</v>
      </c>
      <c r="BU389" s="29">
        <f t="shared" ca="1" si="212"/>
        <v>1</v>
      </c>
      <c r="BV389" s="29">
        <f t="shared" ca="1" si="212"/>
        <v>0</v>
      </c>
      <c r="BW389" s="29">
        <f t="shared" ca="1" si="212"/>
        <v>2</v>
      </c>
      <c r="BX389" s="29">
        <f t="shared" ca="1" si="212"/>
        <v>0</v>
      </c>
      <c r="BY389" s="29">
        <f t="shared" ca="1" si="212"/>
        <v>1</v>
      </c>
      <c r="BZ389" s="29">
        <f t="shared" ca="1" si="212"/>
        <v>0</v>
      </c>
      <c r="CA389" s="29">
        <f t="shared" ref="CA389:CP404" ca="1" si="223">_xlfn.BINOM.INV(50,$E389,RAND())</f>
        <v>0</v>
      </c>
      <c r="CB389" s="29">
        <f t="shared" ca="1" si="223"/>
        <v>0</v>
      </c>
      <c r="CC389" s="29">
        <f t="shared" ca="1" si="223"/>
        <v>1</v>
      </c>
      <c r="CD389" s="29">
        <f t="shared" ca="1" si="223"/>
        <v>0</v>
      </c>
      <c r="CE389" s="29">
        <f t="shared" ca="1" si="223"/>
        <v>0</v>
      </c>
      <c r="CF389" s="29">
        <f t="shared" ca="1" si="223"/>
        <v>1</v>
      </c>
      <c r="CG389" s="29">
        <f t="shared" ca="1" si="223"/>
        <v>0</v>
      </c>
      <c r="CH389" s="29">
        <f t="shared" ca="1" si="223"/>
        <v>0</v>
      </c>
      <c r="CI389" s="29">
        <f t="shared" ca="1" si="223"/>
        <v>1</v>
      </c>
      <c r="CJ389" s="29">
        <f t="shared" ca="1" si="223"/>
        <v>0</v>
      </c>
      <c r="CK389" s="29">
        <f t="shared" ca="1" si="223"/>
        <v>1</v>
      </c>
      <c r="CL389" s="29">
        <f t="shared" ca="1" si="223"/>
        <v>2</v>
      </c>
      <c r="CM389" s="29">
        <f t="shared" ca="1" si="223"/>
        <v>0</v>
      </c>
      <c r="CN389" s="29">
        <f t="shared" ca="1" si="223"/>
        <v>0</v>
      </c>
      <c r="CO389" s="29">
        <f t="shared" ca="1" si="223"/>
        <v>0</v>
      </c>
      <c r="CP389" s="29">
        <f t="shared" ca="1" si="223"/>
        <v>0</v>
      </c>
      <c r="CQ389" s="29">
        <f t="shared" ca="1" si="222"/>
        <v>0</v>
      </c>
      <c r="CR389" s="29">
        <f t="shared" ca="1" si="222"/>
        <v>1</v>
      </c>
      <c r="CS389" s="29">
        <f t="shared" ca="1" si="222"/>
        <v>1</v>
      </c>
      <c r="CT389" s="29">
        <f t="shared" ca="1" si="222"/>
        <v>1</v>
      </c>
      <c r="CU389" s="29">
        <f t="shared" ca="1" si="222"/>
        <v>0</v>
      </c>
      <c r="CV389" s="29">
        <f t="shared" ca="1" si="222"/>
        <v>0</v>
      </c>
      <c r="CW389" s="29">
        <f t="shared" ca="1" si="222"/>
        <v>0</v>
      </c>
      <c r="CX389" s="29">
        <f t="shared" ca="1" si="222"/>
        <v>1</v>
      </c>
      <c r="CY389" s="29">
        <f t="shared" ca="1" si="222"/>
        <v>0</v>
      </c>
      <c r="CZ389" s="29">
        <f t="shared" ca="1" si="222"/>
        <v>0</v>
      </c>
      <c r="DA389" s="29">
        <f t="shared" ca="1" si="222"/>
        <v>0</v>
      </c>
      <c r="DB389" s="29">
        <f t="shared" ca="1" si="222"/>
        <v>1</v>
      </c>
      <c r="DC389" s="29">
        <f t="shared" ca="1" si="222"/>
        <v>1</v>
      </c>
      <c r="DD389" s="29">
        <f t="shared" ca="1" si="222"/>
        <v>2</v>
      </c>
      <c r="DE389" s="29">
        <f t="shared" ca="1" si="222"/>
        <v>1</v>
      </c>
      <c r="DF389" s="29">
        <f t="shared" ca="1" si="213"/>
        <v>0</v>
      </c>
      <c r="DG389" s="29">
        <f t="shared" ca="1" si="213"/>
        <v>0</v>
      </c>
      <c r="DH389" s="29">
        <f t="shared" ca="1" si="213"/>
        <v>0</v>
      </c>
      <c r="DI389" s="29">
        <f t="shared" ca="1" si="213"/>
        <v>2</v>
      </c>
      <c r="DJ389" s="29">
        <f t="shared" ca="1" si="213"/>
        <v>1</v>
      </c>
      <c r="DK389" s="29">
        <f t="shared" ca="1" si="213"/>
        <v>1</v>
      </c>
      <c r="DL389" s="29">
        <f t="shared" ca="1" si="213"/>
        <v>0</v>
      </c>
    </row>
    <row r="390" spans="1:116" ht="14.4" x14ac:dyDescent="0.3">
      <c r="A390" s="31">
        <v>987</v>
      </c>
      <c r="B390" s="28">
        <v>2.71</v>
      </c>
      <c r="C390" s="30">
        <v>75.23</v>
      </c>
      <c r="D390" s="28">
        <v>0.86</v>
      </c>
      <c r="E390" s="34">
        <f t="shared" si="215"/>
        <v>1.72E-2</v>
      </c>
      <c r="F390" s="35">
        <f t="shared" si="216"/>
        <v>18.807500000000001</v>
      </c>
      <c r="G390" s="34">
        <f t="shared" si="217"/>
        <v>21.5</v>
      </c>
      <c r="H390" s="33">
        <f t="shared" si="218"/>
        <v>0.99354243542435394</v>
      </c>
      <c r="I390" s="28">
        <f t="shared" si="221"/>
        <v>1574.2900000000009</v>
      </c>
      <c r="J390" s="32">
        <v>0</v>
      </c>
      <c r="K390" s="30">
        <f t="shared" si="219"/>
        <v>21.5</v>
      </c>
      <c r="L390" s="30"/>
      <c r="M390" s="30"/>
      <c r="N390" s="30"/>
      <c r="O390" s="30"/>
      <c r="Q390" s="29">
        <f t="shared" ca="1" si="220"/>
        <v>3</v>
      </c>
      <c r="R390" s="29">
        <f t="shared" ca="1" si="210"/>
        <v>0</v>
      </c>
      <c r="S390" s="29">
        <f t="shared" ca="1" si="210"/>
        <v>0</v>
      </c>
      <c r="T390" s="29">
        <f t="shared" ca="1" si="210"/>
        <v>0</v>
      </c>
      <c r="U390" s="29">
        <f t="shared" ca="1" si="210"/>
        <v>1</v>
      </c>
      <c r="V390" s="29">
        <f t="shared" ca="1" si="210"/>
        <v>0</v>
      </c>
      <c r="W390" s="29">
        <f t="shared" ca="1" si="210"/>
        <v>2</v>
      </c>
      <c r="X390" s="29">
        <f t="shared" ca="1" si="210"/>
        <v>0</v>
      </c>
      <c r="Y390" s="29">
        <f t="shared" ca="1" si="210"/>
        <v>1</v>
      </c>
      <c r="Z390" s="29">
        <f t="shared" ca="1" si="210"/>
        <v>1</v>
      </c>
      <c r="AA390" s="29">
        <f t="shared" ca="1" si="210"/>
        <v>0</v>
      </c>
      <c r="AB390" s="29">
        <f t="shared" ca="1" si="210"/>
        <v>0</v>
      </c>
      <c r="AC390" s="29">
        <f t="shared" ca="1" si="210"/>
        <v>1</v>
      </c>
      <c r="AD390" s="29">
        <f t="shared" ca="1" si="210"/>
        <v>1</v>
      </c>
      <c r="AE390" s="29">
        <f t="shared" ca="1" si="210"/>
        <v>1</v>
      </c>
      <c r="AF390" s="29">
        <f t="shared" ca="1" si="210"/>
        <v>0</v>
      </c>
      <c r="AG390" s="29">
        <f t="shared" ca="1" si="209"/>
        <v>2</v>
      </c>
      <c r="AH390" s="29">
        <f t="shared" ca="1" si="209"/>
        <v>0</v>
      </c>
      <c r="AI390" s="29">
        <f t="shared" ca="1" si="209"/>
        <v>1</v>
      </c>
      <c r="AJ390" s="29">
        <f t="shared" ca="1" si="209"/>
        <v>1</v>
      </c>
      <c r="AK390" s="29">
        <f t="shared" ca="1" si="209"/>
        <v>1</v>
      </c>
      <c r="AL390" s="29">
        <f t="shared" ca="1" si="209"/>
        <v>1</v>
      </c>
      <c r="AM390" s="29">
        <f t="shared" ca="1" si="209"/>
        <v>0</v>
      </c>
      <c r="AN390" s="29">
        <f t="shared" ca="1" si="209"/>
        <v>0</v>
      </c>
      <c r="AO390" s="29">
        <f t="shared" ca="1" si="209"/>
        <v>2</v>
      </c>
      <c r="AP390" s="29">
        <f t="shared" ca="1" si="209"/>
        <v>0</v>
      </c>
      <c r="AQ390" s="29">
        <f t="shared" ca="1" si="209"/>
        <v>1</v>
      </c>
      <c r="AR390" s="29">
        <f t="shared" ca="1" si="209"/>
        <v>1</v>
      </c>
      <c r="AS390" s="29">
        <f t="shared" ca="1" si="209"/>
        <v>1</v>
      </c>
      <c r="AT390" s="29">
        <f t="shared" ca="1" si="209"/>
        <v>1</v>
      </c>
      <c r="AU390" s="29">
        <f t="shared" ca="1" si="209"/>
        <v>2</v>
      </c>
      <c r="AV390" s="29">
        <f t="shared" ca="1" si="214"/>
        <v>0</v>
      </c>
      <c r="AW390" s="29">
        <f t="shared" ca="1" si="214"/>
        <v>0</v>
      </c>
      <c r="AX390" s="29">
        <f t="shared" ca="1" si="214"/>
        <v>1</v>
      </c>
      <c r="AY390" s="29">
        <f t="shared" ca="1" si="214"/>
        <v>1</v>
      </c>
      <c r="AZ390" s="29">
        <f t="shared" ca="1" si="214"/>
        <v>1</v>
      </c>
      <c r="BA390" s="29">
        <f t="shared" ca="1" si="214"/>
        <v>0</v>
      </c>
      <c r="BB390" s="29">
        <f t="shared" ca="1" si="214"/>
        <v>1</v>
      </c>
      <c r="BC390" s="29">
        <f t="shared" ca="1" si="214"/>
        <v>2</v>
      </c>
      <c r="BD390" s="29">
        <f t="shared" ca="1" si="214"/>
        <v>0</v>
      </c>
      <c r="BE390" s="29">
        <f t="shared" ca="1" si="214"/>
        <v>1</v>
      </c>
      <c r="BF390" s="29">
        <f t="shared" ca="1" si="214"/>
        <v>2</v>
      </c>
      <c r="BG390" s="29">
        <f t="shared" ca="1" si="214"/>
        <v>0</v>
      </c>
      <c r="BH390" s="29">
        <f t="shared" ca="1" si="214"/>
        <v>0</v>
      </c>
      <c r="BI390" s="29">
        <f t="shared" ca="1" si="214"/>
        <v>2</v>
      </c>
      <c r="BJ390" s="29">
        <f t="shared" ca="1" si="214"/>
        <v>0</v>
      </c>
      <c r="BK390" s="29">
        <f t="shared" ca="1" si="214"/>
        <v>1</v>
      </c>
      <c r="BL390" s="29">
        <f t="shared" ca="1" si="212"/>
        <v>2</v>
      </c>
      <c r="BM390" s="29">
        <f t="shared" ca="1" si="212"/>
        <v>1</v>
      </c>
      <c r="BN390" s="29">
        <f t="shared" ca="1" si="212"/>
        <v>2</v>
      </c>
      <c r="BO390" s="29">
        <f t="shared" ca="1" si="212"/>
        <v>1</v>
      </c>
      <c r="BP390" s="29">
        <f t="shared" ca="1" si="212"/>
        <v>1</v>
      </c>
      <c r="BQ390" s="29">
        <f t="shared" ca="1" si="212"/>
        <v>0</v>
      </c>
      <c r="BR390" s="29">
        <f t="shared" ca="1" si="212"/>
        <v>1</v>
      </c>
      <c r="BS390" s="29">
        <f t="shared" ca="1" si="212"/>
        <v>1</v>
      </c>
      <c r="BT390" s="29">
        <f t="shared" ca="1" si="212"/>
        <v>1</v>
      </c>
      <c r="BU390" s="29">
        <f t="shared" ca="1" si="212"/>
        <v>1</v>
      </c>
      <c r="BV390" s="29">
        <f t="shared" ca="1" si="212"/>
        <v>1</v>
      </c>
      <c r="BW390" s="29">
        <f t="shared" ca="1" si="212"/>
        <v>0</v>
      </c>
      <c r="BX390" s="29">
        <f t="shared" ca="1" si="212"/>
        <v>2</v>
      </c>
      <c r="BY390" s="29">
        <f t="shared" ca="1" si="212"/>
        <v>0</v>
      </c>
      <c r="BZ390" s="29">
        <f t="shared" ca="1" si="212"/>
        <v>3</v>
      </c>
      <c r="CA390" s="29">
        <f t="shared" ca="1" si="223"/>
        <v>0</v>
      </c>
      <c r="CB390" s="29">
        <f t="shared" ca="1" si="223"/>
        <v>0</v>
      </c>
      <c r="CC390" s="29">
        <f t="shared" ca="1" si="223"/>
        <v>1</v>
      </c>
      <c r="CD390" s="29">
        <f t="shared" ca="1" si="223"/>
        <v>2</v>
      </c>
      <c r="CE390" s="29">
        <f t="shared" ca="1" si="223"/>
        <v>0</v>
      </c>
      <c r="CF390" s="29">
        <f t="shared" ca="1" si="223"/>
        <v>1</v>
      </c>
      <c r="CG390" s="29">
        <f t="shared" ca="1" si="223"/>
        <v>0</v>
      </c>
      <c r="CH390" s="29">
        <f t="shared" ca="1" si="223"/>
        <v>0</v>
      </c>
      <c r="CI390" s="29">
        <f t="shared" ca="1" si="223"/>
        <v>0</v>
      </c>
      <c r="CJ390" s="29">
        <f t="shared" ca="1" si="223"/>
        <v>0</v>
      </c>
      <c r="CK390" s="29">
        <f t="shared" ca="1" si="223"/>
        <v>0</v>
      </c>
      <c r="CL390" s="29">
        <f t="shared" ca="1" si="223"/>
        <v>1</v>
      </c>
      <c r="CM390" s="29">
        <f t="shared" ca="1" si="223"/>
        <v>1</v>
      </c>
      <c r="CN390" s="29">
        <f t="shared" ca="1" si="223"/>
        <v>0</v>
      </c>
      <c r="CO390" s="29">
        <f t="shared" ca="1" si="223"/>
        <v>2</v>
      </c>
      <c r="CP390" s="29">
        <f t="shared" ca="1" si="223"/>
        <v>1</v>
      </c>
      <c r="CQ390" s="29">
        <f t="shared" ca="1" si="222"/>
        <v>1</v>
      </c>
      <c r="CR390" s="29">
        <f t="shared" ca="1" si="222"/>
        <v>0</v>
      </c>
      <c r="CS390" s="29">
        <f t="shared" ca="1" si="222"/>
        <v>1</v>
      </c>
      <c r="CT390" s="29">
        <f t="shared" ca="1" si="222"/>
        <v>2</v>
      </c>
      <c r="CU390" s="29">
        <f t="shared" ca="1" si="222"/>
        <v>1</v>
      </c>
      <c r="CV390" s="29">
        <f t="shared" ca="1" si="222"/>
        <v>0</v>
      </c>
      <c r="CW390" s="29">
        <f t="shared" ca="1" si="222"/>
        <v>1</v>
      </c>
      <c r="CX390" s="29">
        <f t="shared" ca="1" si="222"/>
        <v>0</v>
      </c>
      <c r="CY390" s="29">
        <f t="shared" ca="1" si="222"/>
        <v>0</v>
      </c>
      <c r="CZ390" s="29">
        <f t="shared" ca="1" si="222"/>
        <v>1</v>
      </c>
      <c r="DA390" s="29">
        <f t="shared" ca="1" si="222"/>
        <v>0</v>
      </c>
      <c r="DB390" s="29">
        <f t="shared" ca="1" si="222"/>
        <v>0</v>
      </c>
      <c r="DC390" s="29">
        <f t="shared" ca="1" si="222"/>
        <v>2</v>
      </c>
      <c r="DD390" s="29">
        <f t="shared" ca="1" si="222"/>
        <v>1</v>
      </c>
      <c r="DE390" s="29">
        <f t="shared" ca="1" si="222"/>
        <v>1</v>
      </c>
      <c r="DF390" s="29">
        <f t="shared" ca="1" si="213"/>
        <v>0</v>
      </c>
      <c r="DG390" s="29">
        <f t="shared" ca="1" si="213"/>
        <v>3</v>
      </c>
      <c r="DH390" s="29">
        <f t="shared" ca="1" si="213"/>
        <v>2</v>
      </c>
      <c r="DI390" s="29">
        <f t="shared" ca="1" si="213"/>
        <v>1</v>
      </c>
      <c r="DJ390" s="29">
        <f t="shared" ca="1" si="213"/>
        <v>0</v>
      </c>
      <c r="DK390" s="29">
        <f t="shared" ca="1" si="213"/>
        <v>1</v>
      </c>
      <c r="DL390" s="29">
        <f t="shared" ca="1" si="213"/>
        <v>0</v>
      </c>
    </row>
    <row r="391" spans="1:116" ht="14.4" x14ac:dyDescent="0.3">
      <c r="A391" s="31">
        <v>207</v>
      </c>
      <c r="B391" s="28">
        <v>2.4900000000000002</v>
      </c>
      <c r="C391" s="30">
        <v>49.63</v>
      </c>
      <c r="D391" s="28">
        <v>0.57999999999999996</v>
      </c>
      <c r="E391" s="34">
        <f t="shared" si="215"/>
        <v>1.1599999999999999E-2</v>
      </c>
      <c r="F391" s="35">
        <f t="shared" si="216"/>
        <v>12.407500000000001</v>
      </c>
      <c r="G391" s="34">
        <f t="shared" si="217"/>
        <v>14.499999999999998</v>
      </c>
      <c r="H391" s="33">
        <f t="shared" si="218"/>
        <v>0.84036144578313143</v>
      </c>
      <c r="I391" s="28">
        <f t="shared" si="221"/>
        <v>1576.7800000000009</v>
      </c>
      <c r="J391" s="32">
        <v>0</v>
      </c>
      <c r="K391" s="30">
        <f t="shared" si="219"/>
        <v>14.499999999999998</v>
      </c>
      <c r="L391" s="30"/>
      <c r="M391" s="30"/>
      <c r="N391" s="30"/>
      <c r="O391" s="30"/>
      <c r="Q391" s="29">
        <f t="shared" ca="1" si="220"/>
        <v>0</v>
      </c>
      <c r="R391" s="29">
        <f t="shared" ca="1" si="210"/>
        <v>1</v>
      </c>
      <c r="S391" s="29">
        <f t="shared" ca="1" si="210"/>
        <v>0</v>
      </c>
      <c r="T391" s="29">
        <f t="shared" ca="1" si="210"/>
        <v>0</v>
      </c>
      <c r="U391" s="29">
        <f t="shared" ca="1" si="210"/>
        <v>0</v>
      </c>
      <c r="V391" s="29">
        <f t="shared" ca="1" si="210"/>
        <v>1</v>
      </c>
      <c r="W391" s="29">
        <f t="shared" ca="1" si="210"/>
        <v>2</v>
      </c>
      <c r="X391" s="29">
        <f t="shared" ca="1" si="210"/>
        <v>3</v>
      </c>
      <c r="Y391" s="29">
        <f t="shared" ca="1" si="210"/>
        <v>1</v>
      </c>
      <c r="Z391" s="29">
        <f t="shared" ca="1" si="210"/>
        <v>0</v>
      </c>
      <c r="AA391" s="29">
        <f t="shared" ca="1" si="210"/>
        <v>0</v>
      </c>
      <c r="AB391" s="29">
        <f t="shared" ca="1" si="210"/>
        <v>0</v>
      </c>
      <c r="AC391" s="29">
        <f t="shared" ca="1" si="210"/>
        <v>1</v>
      </c>
      <c r="AD391" s="29">
        <f t="shared" ca="1" si="210"/>
        <v>0</v>
      </c>
      <c r="AE391" s="29">
        <f t="shared" ca="1" si="210"/>
        <v>0</v>
      </c>
      <c r="AF391" s="29">
        <f t="shared" ca="1" si="210"/>
        <v>1</v>
      </c>
      <c r="AG391" s="29">
        <f t="shared" ca="1" si="209"/>
        <v>2</v>
      </c>
      <c r="AH391" s="29">
        <f t="shared" ca="1" si="209"/>
        <v>0</v>
      </c>
      <c r="AI391" s="29">
        <f t="shared" ca="1" si="209"/>
        <v>0</v>
      </c>
      <c r="AJ391" s="29">
        <f t="shared" ca="1" si="209"/>
        <v>3</v>
      </c>
      <c r="AK391" s="29">
        <f t="shared" ca="1" si="209"/>
        <v>0</v>
      </c>
      <c r="AL391" s="29">
        <f t="shared" ca="1" si="209"/>
        <v>1</v>
      </c>
      <c r="AM391" s="29">
        <f t="shared" ca="1" si="209"/>
        <v>0</v>
      </c>
      <c r="AN391" s="29">
        <f t="shared" ca="1" si="209"/>
        <v>0</v>
      </c>
      <c r="AO391" s="29">
        <f t="shared" ca="1" si="209"/>
        <v>0</v>
      </c>
      <c r="AP391" s="29">
        <f t="shared" ca="1" si="209"/>
        <v>0</v>
      </c>
      <c r="AQ391" s="29">
        <f t="shared" ca="1" si="209"/>
        <v>2</v>
      </c>
      <c r="AR391" s="29">
        <f t="shared" ca="1" si="209"/>
        <v>1</v>
      </c>
      <c r="AS391" s="29">
        <f t="shared" ca="1" si="209"/>
        <v>2</v>
      </c>
      <c r="AT391" s="29">
        <f t="shared" ca="1" si="209"/>
        <v>0</v>
      </c>
      <c r="AU391" s="29">
        <f t="shared" ca="1" si="209"/>
        <v>3</v>
      </c>
      <c r="AV391" s="29">
        <f t="shared" ca="1" si="214"/>
        <v>0</v>
      </c>
      <c r="AW391" s="29">
        <f t="shared" ca="1" si="214"/>
        <v>0</v>
      </c>
      <c r="AX391" s="29">
        <f t="shared" ca="1" si="214"/>
        <v>0</v>
      </c>
      <c r="AY391" s="29">
        <f t="shared" ca="1" si="214"/>
        <v>0</v>
      </c>
      <c r="AZ391" s="29">
        <f t="shared" ca="1" si="214"/>
        <v>2</v>
      </c>
      <c r="BA391" s="29">
        <f t="shared" ca="1" si="214"/>
        <v>1</v>
      </c>
      <c r="BB391" s="29">
        <f t="shared" ca="1" si="214"/>
        <v>0</v>
      </c>
      <c r="BC391" s="29">
        <f t="shared" ca="1" si="214"/>
        <v>0</v>
      </c>
      <c r="BD391" s="29">
        <f t="shared" ca="1" si="214"/>
        <v>1</v>
      </c>
      <c r="BE391" s="29">
        <f t="shared" ca="1" si="214"/>
        <v>0</v>
      </c>
      <c r="BF391" s="29">
        <f t="shared" ca="1" si="214"/>
        <v>1</v>
      </c>
      <c r="BG391" s="29">
        <f t="shared" ca="1" si="214"/>
        <v>1</v>
      </c>
      <c r="BH391" s="29">
        <f t="shared" ca="1" si="214"/>
        <v>0</v>
      </c>
      <c r="BI391" s="29">
        <f t="shared" ca="1" si="214"/>
        <v>0</v>
      </c>
      <c r="BJ391" s="29">
        <f t="shared" ca="1" si="214"/>
        <v>1</v>
      </c>
      <c r="BK391" s="29">
        <f t="shared" ca="1" si="214"/>
        <v>2</v>
      </c>
      <c r="BL391" s="29">
        <f t="shared" ca="1" si="212"/>
        <v>1</v>
      </c>
      <c r="BM391" s="29">
        <f t="shared" ca="1" si="212"/>
        <v>0</v>
      </c>
      <c r="BN391" s="29">
        <f t="shared" ca="1" si="212"/>
        <v>1</v>
      </c>
      <c r="BO391" s="29">
        <f t="shared" ca="1" si="212"/>
        <v>0</v>
      </c>
      <c r="BP391" s="29">
        <f t="shared" ca="1" si="212"/>
        <v>2</v>
      </c>
      <c r="BQ391" s="29">
        <f t="shared" ca="1" si="212"/>
        <v>1</v>
      </c>
      <c r="BR391" s="29">
        <f t="shared" ca="1" si="212"/>
        <v>1</v>
      </c>
      <c r="BS391" s="29">
        <f t="shared" ca="1" si="212"/>
        <v>0</v>
      </c>
      <c r="BT391" s="29">
        <f t="shared" ca="1" si="212"/>
        <v>0</v>
      </c>
      <c r="BU391" s="29">
        <f t="shared" ca="1" si="212"/>
        <v>0</v>
      </c>
      <c r="BV391" s="29">
        <f t="shared" ca="1" si="212"/>
        <v>1</v>
      </c>
      <c r="BW391" s="29">
        <f t="shared" ca="1" si="212"/>
        <v>0</v>
      </c>
      <c r="BX391" s="29">
        <f t="shared" ca="1" si="212"/>
        <v>0</v>
      </c>
      <c r="BY391" s="29">
        <f t="shared" ca="1" si="212"/>
        <v>1</v>
      </c>
      <c r="BZ391" s="29">
        <f t="shared" ca="1" si="212"/>
        <v>1</v>
      </c>
      <c r="CA391" s="29">
        <f t="shared" ca="1" si="223"/>
        <v>0</v>
      </c>
      <c r="CB391" s="29">
        <f t="shared" ca="1" si="223"/>
        <v>0</v>
      </c>
      <c r="CC391" s="29">
        <f t="shared" ca="1" si="223"/>
        <v>0</v>
      </c>
      <c r="CD391" s="29">
        <f t="shared" ca="1" si="223"/>
        <v>1</v>
      </c>
      <c r="CE391" s="29">
        <f t="shared" ca="1" si="223"/>
        <v>3</v>
      </c>
      <c r="CF391" s="29">
        <f t="shared" ca="1" si="223"/>
        <v>0</v>
      </c>
      <c r="CG391" s="29">
        <f t="shared" ca="1" si="223"/>
        <v>2</v>
      </c>
      <c r="CH391" s="29">
        <f t="shared" ca="1" si="223"/>
        <v>2</v>
      </c>
      <c r="CI391" s="29">
        <f t="shared" ca="1" si="223"/>
        <v>0</v>
      </c>
      <c r="CJ391" s="29">
        <f t="shared" ca="1" si="223"/>
        <v>0</v>
      </c>
      <c r="CK391" s="29">
        <f t="shared" ca="1" si="223"/>
        <v>1</v>
      </c>
      <c r="CL391" s="29">
        <f t="shared" ca="1" si="223"/>
        <v>0</v>
      </c>
      <c r="CM391" s="29">
        <f t="shared" ca="1" si="223"/>
        <v>0</v>
      </c>
      <c r="CN391" s="29">
        <f t="shared" ca="1" si="223"/>
        <v>0</v>
      </c>
      <c r="CO391" s="29">
        <f t="shared" ca="1" si="223"/>
        <v>2</v>
      </c>
      <c r="CP391" s="29">
        <f t="shared" ca="1" si="223"/>
        <v>0</v>
      </c>
      <c r="CQ391" s="29">
        <f t="shared" ca="1" si="222"/>
        <v>0</v>
      </c>
      <c r="CR391" s="29">
        <f t="shared" ca="1" si="222"/>
        <v>0</v>
      </c>
      <c r="CS391" s="29">
        <f t="shared" ca="1" si="222"/>
        <v>0</v>
      </c>
      <c r="CT391" s="29">
        <f t="shared" ca="1" si="222"/>
        <v>1</v>
      </c>
      <c r="CU391" s="29">
        <f t="shared" ca="1" si="222"/>
        <v>0</v>
      </c>
      <c r="CV391" s="29">
        <f t="shared" ca="1" si="222"/>
        <v>1</v>
      </c>
      <c r="CW391" s="29">
        <f t="shared" ca="1" si="222"/>
        <v>1</v>
      </c>
      <c r="CX391" s="29">
        <f t="shared" ca="1" si="222"/>
        <v>1</v>
      </c>
      <c r="CY391" s="29">
        <f t="shared" ca="1" si="222"/>
        <v>0</v>
      </c>
      <c r="CZ391" s="29">
        <f t="shared" ca="1" si="222"/>
        <v>1</v>
      </c>
      <c r="DA391" s="29">
        <f t="shared" ca="1" si="222"/>
        <v>2</v>
      </c>
      <c r="DB391" s="29">
        <f t="shared" ca="1" si="222"/>
        <v>0</v>
      </c>
      <c r="DC391" s="29">
        <f t="shared" ca="1" si="222"/>
        <v>0</v>
      </c>
      <c r="DD391" s="29">
        <f t="shared" ca="1" si="222"/>
        <v>1</v>
      </c>
      <c r="DE391" s="29">
        <f t="shared" ca="1" si="222"/>
        <v>0</v>
      </c>
      <c r="DF391" s="29">
        <f t="shared" ca="1" si="213"/>
        <v>0</v>
      </c>
      <c r="DG391" s="29">
        <f t="shared" ca="1" si="213"/>
        <v>0</v>
      </c>
      <c r="DH391" s="29">
        <f t="shared" ca="1" si="213"/>
        <v>1</v>
      </c>
      <c r="DI391" s="29">
        <f t="shared" ca="1" si="213"/>
        <v>1</v>
      </c>
      <c r="DJ391" s="29">
        <f t="shared" ca="1" si="213"/>
        <v>1</v>
      </c>
      <c r="DK391" s="29">
        <f t="shared" ca="1" si="213"/>
        <v>0</v>
      </c>
      <c r="DL391" s="29">
        <f t="shared" ca="1" si="213"/>
        <v>2</v>
      </c>
    </row>
    <row r="392" spans="1:116" ht="14.4" x14ac:dyDescent="0.3">
      <c r="A392" s="31">
        <v>1098</v>
      </c>
      <c r="B392" s="28">
        <v>2.94</v>
      </c>
      <c r="C392" s="30">
        <v>74.040000000000006</v>
      </c>
      <c r="D392" s="28">
        <v>0.8</v>
      </c>
      <c r="E392" s="34">
        <f t="shared" si="215"/>
        <v>1.6E-2</v>
      </c>
      <c r="F392" s="35">
        <f t="shared" si="216"/>
        <v>18.510000000000002</v>
      </c>
      <c r="G392" s="34">
        <f t="shared" si="217"/>
        <v>20</v>
      </c>
      <c r="H392" s="33">
        <f t="shared" si="218"/>
        <v>0.50680272108843483</v>
      </c>
      <c r="I392" s="28">
        <f t="shared" si="221"/>
        <v>1579.7200000000009</v>
      </c>
      <c r="J392" s="32">
        <v>0</v>
      </c>
      <c r="K392" s="30">
        <f t="shared" si="219"/>
        <v>20</v>
      </c>
      <c r="L392" s="30"/>
      <c r="M392" s="30"/>
      <c r="N392" s="30"/>
      <c r="O392" s="30"/>
      <c r="Q392" s="29">
        <f t="shared" ca="1" si="220"/>
        <v>0</v>
      </c>
      <c r="R392" s="29">
        <f t="shared" ca="1" si="210"/>
        <v>3</v>
      </c>
      <c r="S392" s="29">
        <f t="shared" ca="1" si="210"/>
        <v>0</v>
      </c>
      <c r="T392" s="29">
        <f t="shared" ca="1" si="210"/>
        <v>2</v>
      </c>
      <c r="U392" s="29">
        <f t="shared" ca="1" si="210"/>
        <v>0</v>
      </c>
      <c r="V392" s="29">
        <f t="shared" ca="1" si="210"/>
        <v>0</v>
      </c>
      <c r="W392" s="29">
        <f t="shared" ca="1" si="210"/>
        <v>1</v>
      </c>
      <c r="X392" s="29">
        <f t="shared" ca="1" si="210"/>
        <v>0</v>
      </c>
      <c r="Y392" s="29">
        <f t="shared" ca="1" si="210"/>
        <v>0</v>
      </c>
      <c r="Z392" s="29">
        <f t="shared" ca="1" si="210"/>
        <v>0</v>
      </c>
      <c r="AA392" s="29">
        <f t="shared" ca="1" si="210"/>
        <v>0</v>
      </c>
      <c r="AB392" s="29">
        <f t="shared" ca="1" si="210"/>
        <v>0</v>
      </c>
      <c r="AC392" s="29">
        <f t="shared" ca="1" si="210"/>
        <v>0</v>
      </c>
      <c r="AD392" s="29">
        <f t="shared" ca="1" si="210"/>
        <v>0</v>
      </c>
      <c r="AE392" s="29">
        <f t="shared" ca="1" si="210"/>
        <v>0</v>
      </c>
      <c r="AF392" s="29">
        <f t="shared" ca="1" si="210"/>
        <v>2</v>
      </c>
      <c r="AG392" s="29">
        <f t="shared" ca="1" si="209"/>
        <v>0</v>
      </c>
      <c r="AH392" s="29">
        <f t="shared" ca="1" si="209"/>
        <v>1</v>
      </c>
      <c r="AI392" s="29">
        <f t="shared" ca="1" si="209"/>
        <v>1</v>
      </c>
      <c r="AJ392" s="29">
        <f t="shared" ca="1" si="209"/>
        <v>0</v>
      </c>
      <c r="AK392" s="29">
        <f t="shared" ca="1" si="209"/>
        <v>1</v>
      </c>
      <c r="AL392" s="29">
        <f t="shared" ca="1" si="209"/>
        <v>1</v>
      </c>
      <c r="AM392" s="29">
        <f t="shared" ca="1" si="209"/>
        <v>1</v>
      </c>
      <c r="AN392" s="29">
        <f t="shared" ca="1" si="209"/>
        <v>0</v>
      </c>
      <c r="AO392" s="29">
        <f t="shared" ca="1" si="209"/>
        <v>2</v>
      </c>
      <c r="AP392" s="29">
        <f t="shared" ca="1" si="209"/>
        <v>0</v>
      </c>
      <c r="AQ392" s="29">
        <f t="shared" ca="1" si="209"/>
        <v>1</v>
      </c>
      <c r="AR392" s="29">
        <f t="shared" ca="1" si="209"/>
        <v>0</v>
      </c>
      <c r="AS392" s="29">
        <f t="shared" ca="1" si="209"/>
        <v>0</v>
      </c>
      <c r="AT392" s="29">
        <f t="shared" ca="1" si="209"/>
        <v>0</v>
      </c>
      <c r="AU392" s="29">
        <f t="shared" ca="1" si="209"/>
        <v>0</v>
      </c>
      <c r="AV392" s="29">
        <f t="shared" ca="1" si="214"/>
        <v>0</v>
      </c>
      <c r="AW392" s="29">
        <f t="shared" ca="1" si="214"/>
        <v>3</v>
      </c>
      <c r="AX392" s="29">
        <f t="shared" ca="1" si="214"/>
        <v>1</v>
      </c>
      <c r="AY392" s="29">
        <f t="shared" ca="1" si="214"/>
        <v>1</v>
      </c>
      <c r="AZ392" s="29">
        <f t="shared" ca="1" si="214"/>
        <v>0</v>
      </c>
      <c r="BA392" s="29">
        <f t="shared" ca="1" si="214"/>
        <v>1</v>
      </c>
      <c r="BB392" s="29">
        <f t="shared" ca="1" si="214"/>
        <v>0</v>
      </c>
      <c r="BC392" s="29">
        <f t="shared" ca="1" si="214"/>
        <v>3</v>
      </c>
      <c r="BD392" s="29">
        <f t="shared" ca="1" si="214"/>
        <v>2</v>
      </c>
      <c r="BE392" s="29">
        <f t="shared" ca="1" si="214"/>
        <v>1</v>
      </c>
      <c r="BF392" s="29">
        <f t="shared" ca="1" si="214"/>
        <v>1</v>
      </c>
      <c r="BG392" s="29">
        <f t="shared" ca="1" si="214"/>
        <v>0</v>
      </c>
      <c r="BH392" s="29">
        <f t="shared" ca="1" si="214"/>
        <v>1</v>
      </c>
      <c r="BI392" s="29">
        <f t="shared" ca="1" si="214"/>
        <v>1</v>
      </c>
      <c r="BJ392" s="29">
        <f t="shared" ca="1" si="214"/>
        <v>1</v>
      </c>
      <c r="BK392" s="29">
        <f t="shared" ca="1" si="214"/>
        <v>1</v>
      </c>
      <c r="BL392" s="29">
        <f t="shared" ca="1" si="212"/>
        <v>0</v>
      </c>
      <c r="BM392" s="29">
        <f t="shared" ca="1" si="212"/>
        <v>1</v>
      </c>
      <c r="BN392" s="29">
        <f t="shared" ca="1" si="212"/>
        <v>1</v>
      </c>
      <c r="BO392" s="29">
        <f t="shared" ca="1" si="212"/>
        <v>0</v>
      </c>
      <c r="BP392" s="29">
        <f t="shared" ca="1" si="212"/>
        <v>2</v>
      </c>
      <c r="BQ392" s="29">
        <f t="shared" ca="1" si="212"/>
        <v>1</v>
      </c>
      <c r="BR392" s="29">
        <f t="shared" ca="1" si="212"/>
        <v>0</v>
      </c>
      <c r="BS392" s="29">
        <f t="shared" ca="1" si="212"/>
        <v>1</v>
      </c>
      <c r="BT392" s="29">
        <f t="shared" ca="1" si="212"/>
        <v>2</v>
      </c>
      <c r="BU392" s="29">
        <f t="shared" ca="1" si="212"/>
        <v>0</v>
      </c>
      <c r="BV392" s="29">
        <f t="shared" ca="1" si="212"/>
        <v>1</v>
      </c>
      <c r="BW392" s="29">
        <f t="shared" ca="1" si="212"/>
        <v>0</v>
      </c>
      <c r="BX392" s="29">
        <f t="shared" ca="1" si="212"/>
        <v>0</v>
      </c>
      <c r="BY392" s="29">
        <f t="shared" ca="1" si="212"/>
        <v>1</v>
      </c>
      <c r="BZ392" s="29">
        <f t="shared" ca="1" si="212"/>
        <v>0</v>
      </c>
      <c r="CA392" s="29">
        <f t="shared" ca="1" si="223"/>
        <v>1</v>
      </c>
      <c r="CB392" s="29">
        <f t="shared" ca="1" si="223"/>
        <v>1</v>
      </c>
      <c r="CC392" s="29">
        <f t="shared" ca="1" si="223"/>
        <v>0</v>
      </c>
      <c r="CD392" s="29">
        <f t="shared" ca="1" si="223"/>
        <v>1</v>
      </c>
      <c r="CE392" s="29">
        <f t="shared" ca="1" si="223"/>
        <v>0</v>
      </c>
      <c r="CF392" s="29">
        <f t="shared" ca="1" si="223"/>
        <v>0</v>
      </c>
      <c r="CG392" s="29">
        <f t="shared" ca="1" si="223"/>
        <v>0</v>
      </c>
      <c r="CH392" s="29">
        <f t="shared" ca="1" si="223"/>
        <v>1</v>
      </c>
      <c r="CI392" s="29">
        <f t="shared" ca="1" si="223"/>
        <v>2</v>
      </c>
      <c r="CJ392" s="29">
        <f t="shared" ca="1" si="223"/>
        <v>1</v>
      </c>
      <c r="CK392" s="29">
        <f t="shared" ca="1" si="223"/>
        <v>0</v>
      </c>
      <c r="CL392" s="29">
        <f t="shared" ca="1" si="223"/>
        <v>2</v>
      </c>
      <c r="CM392" s="29">
        <f t="shared" ca="1" si="223"/>
        <v>1</v>
      </c>
      <c r="CN392" s="29">
        <f t="shared" ca="1" si="223"/>
        <v>0</v>
      </c>
      <c r="CO392" s="29">
        <f t="shared" ca="1" si="223"/>
        <v>0</v>
      </c>
      <c r="CP392" s="29">
        <f t="shared" ca="1" si="223"/>
        <v>0</v>
      </c>
      <c r="CQ392" s="29">
        <f t="shared" ca="1" si="222"/>
        <v>0</v>
      </c>
      <c r="CR392" s="29">
        <f t="shared" ca="1" si="222"/>
        <v>0</v>
      </c>
      <c r="CS392" s="29">
        <f t="shared" ca="1" si="222"/>
        <v>0</v>
      </c>
      <c r="CT392" s="29">
        <f t="shared" ca="1" si="222"/>
        <v>1</v>
      </c>
      <c r="CU392" s="29">
        <f t="shared" ca="1" si="222"/>
        <v>2</v>
      </c>
      <c r="CV392" s="29">
        <f t="shared" ca="1" si="222"/>
        <v>1</v>
      </c>
      <c r="CW392" s="29">
        <f t="shared" ca="1" si="222"/>
        <v>1</v>
      </c>
      <c r="CX392" s="29">
        <f t="shared" ca="1" si="222"/>
        <v>2</v>
      </c>
      <c r="CY392" s="29">
        <f t="shared" ca="1" si="222"/>
        <v>0</v>
      </c>
      <c r="CZ392" s="29">
        <f t="shared" ca="1" si="222"/>
        <v>1</v>
      </c>
      <c r="DA392" s="29">
        <f t="shared" ca="1" si="222"/>
        <v>1</v>
      </c>
      <c r="DB392" s="29">
        <f t="shared" ca="1" si="222"/>
        <v>1</v>
      </c>
      <c r="DC392" s="29">
        <f t="shared" ca="1" si="222"/>
        <v>0</v>
      </c>
      <c r="DD392" s="29">
        <f t="shared" ca="1" si="222"/>
        <v>1</v>
      </c>
      <c r="DE392" s="29">
        <f t="shared" ca="1" si="222"/>
        <v>0</v>
      </c>
      <c r="DF392" s="29">
        <f t="shared" ca="1" si="213"/>
        <v>2</v>
      </c>
      <c r="DG392" s="29">
        <f t="shared" ca="1" si="213"/>
        <v>0</v>
      </c>
      <c r="DH392" s="29">
        <f t="shared" ca="1" si="213"/>
        <v>0</v>
      </c>
      <c r="DI392" s="29">
        <f t="shared" ca="1" si="213"/>
        <v>0</v>
      </c>
      <c r="DJ392" s="29">
        <f t="shared" ca="1" si="213"/>
        <v>1</v>
      </c>
      <c r="DK392" s="29">
        <f t="shared" ca="1" si="213"/>
        <v>3</v>
      </c>
      <c r="DL392" s="29">
        <f t="shared" ca="1" si="213"/>
        <v>0</v>
      </c>
    </row>
    <row r="393" spans="1:116" ht="14.4" x14ac:dyDescent="0.3">
      <c r="A393" s="31">
        <v>418</v>
      </c>
      <c r="B393" s="28">
        <v>0.9</v>
      </c>
      <c r="C393" s="30">
        <v>39.619999999999997</v>
      </c>
      <c r="D393" s="28">
        <v>0.41</v>
      </c>
      <c r="E393" s="34">
        <f t="shared" si="215"/>
        <v>8.199999999999999E-3</v>
      </c>
      <c r="F393" s="35">
        <f t="shared" si="216"/>
        <v>9.9049999999999994</v>
      </c>
      <c r="G393" s="34">
        <f t="shared" si="217"/>
        <v>10.25</v>
      </c>
      <c r="H393" s="33">
        <f t="shared" si="218"/>
        <v>0.38333333333333403</v>
      </c>
      <c r="I393" s="28">
        <f t="shared" si="221"/>
        <v>1580.620000000001</v>
      </c>
      <c r="J393" s="32">
        <v>0</v>
      </c>
      <c r="K393" s="30">
        <f t="shared" si="219"/>
        <v>10.25</v>
      </c>
      <c r="L393" s="30"/>
      <c r="M393" s="30"/>
      <c r="N393" s="30"/>
      <c r="O393" s="30"/>
      <c r="Q393" s="29">
        <f t="shared" ca="1" si="220"/>
        <v>0</v>
      </c>
      <c r="R393" s="29">
        <f t="shared" ca="1" si="210"/>
        <v>0</v>
      </c>
      <c r="S393" s="29">
        <f t="shared" ca="1" si="210"/>
        <v>0</v>
      </c>
      <c r="T393" s="29">
        <f t="shared" ca="1" si="210"/>
        <v>1</v>
      </c>
      <c r="U393" s="29">
        <f t="shared" ca="1" si="210"/>
        <v>0</v>
      </c>
      <c r="V393" s="29">
        <f t="shared" ca="1" si="210"/>
        <v>0</v>
      </c>
      <c r="W393" s="29">
        <f t="shared" ca="1" si="210"/>
        <v>0</v>
      </c>
      <c r="X393" s="29">
        <f t="shared" ca="1" si="210"/>
        <v>1</v>
      </c>
      <c r="Y393" s="29">
        <f t="shared" ca="1" si="210"/>
        <v>0</v>
      </c>
      <c r="Z393" s="29">
        <f t="shared" ca="1" si="210"/>
        <v>0</v>
      </c>
      <c r="AA393" s="29">
        <f t="shared" ca="1" si="210"/>
        <v>0</v>
      </c>
      <c r="AB393" s="29">
        <f t="shared" ca="1" si="210"/>
        <v>0</v>
      </c>
      <c r="AC393" s="29">
        <f t="shared" ca="1" si="210"/>
        <v>1</v>
      </c>
      <c r="AD393" s="29">
        <f t="shared" ca="1" si="210"/>
        <v>0</v>
      </c>
      <c r="AE393" s="29">
        <f t="shared" ca="1" si="210"/>
        <v>0</v>
      </c>
      <c r="AF393" s="29">
        <f t="shared" ref="AF393:AU408" ca="1" si="224">_xlfn.BINOM.INV(50,$E393,RAND())</f>
        <v>0</v>
      </c>
      <c r="AG393" s="29">
        <f t="shared" ca="1" si="224"/>
        <v>1</v>
      </c>
      <c r="AH393" s="29">
        <f t="shared" ca="1" si="224"/>
        <v>0</v>
      </c>
      <c r="AI393" s="29">
        <f t="shared" ca="1" si="224"/>
        <v>0</v>
      </c>
      <c r="AJ393" s="29">
        <f t="shared" ca="1" si="224"/>
        <v>1</v>
      </c>
      <c r="AK393" s="29">
        <f t="shared" ca="1" si="224"/>
        <v>1</v>
      </c>
      <c r="AL393" s="29">
        <f t="shared" ca="1" si="224"/>
        <v>1</v>
      </c>
      <c r="AM393" s="29">
        <f t="shared" ca="1" si="224"/>
        <v>0</v>
      </c>
      <c r="AN393" s="29">
        <f t="shared" ca="1" si="224"/>
        <v>0</v>
      </c>
      <c r="AO393" s="29">
        <f t="shared" ca="1" si="224"/>
        <v>1</v>
      </c>
      <c r="AP393" s="29">
        <f t="shared" ca="1" si="224"/>
        <v>0</v>
      </c>
      <c r="AQ393" s="29">
        <f t="shared" ca="1" si="224"/>
        <v>0</v>
      </c>
      <c r="AR393" s="29">
        <f t="shared" ca="1" si="224"/>
        <v>1</v>
      </c>
      <c r="AS393" s="29">
        <f t="shared" ca="1" si="224"/>
        <v>0</v>
      </c>
      <c r="AT393" s="29">
        <f t="shared" ca="1" si="224"/>
        <v>2</v>
      </c>
      <c r="AU393" s="29">
        <f t="shared" ca="1" si="224"/>
        <v>1</v>
      </c>
      <c r="AV393" s="29">
        <f t="shared" ca="1" si="214"/>
        <v>0</v>
      </c>
      <c r="AW393" s="29">
        <f t="shared" ca="1" si="214"/>
        <v>0</v>
      </c>
      <c r="AX393" s="29">
        <f t="shared" ca="1" si="214"/>
        <v>0</v>
      </c>
      <c r="AY393" s="29">
        <f t="shared" ca="1" si="214"/>
        <v>0</v>
      </c>
      <c r="AZ393" s="29">
        <f t="shared" ca="1" si="214"/>
        <v>2</v>
      </c>
      <c r="BA393" s="29">
        <f t="shared" ca="1" si="214"/>
        <v>0</v>
      </c>
      <c r="BB393" s="29">
        <f t="shared" ca="1" si="214"/>
        <v>1</v>
      </c>
      <c r="BC393" s="29">
        <f t="shared" ca="1" si="214"/>
        <v>1</v>
      </c>
      <c r="BD393" s="29">
        <f t="shared" ca="1" si="214"/>
        <v>0</v>
      </c>
      <c r="BE393" s="29">
        <f t="shared" ca="1" si="214"/>
        <v>1</v>
      </c>
      <c r="BF393" s="29">
        <f t="shared" ca="1" si="214"/>
        <v>0</v>
      </c>
      <c r="BG393" s="29">
        <f t="shared" ca="1" si="214"/>
        <v>0</v>
      </c>
      <c r="BH393" s="29">
        <f t="shared" ca="1" si="214"/>
        <v>0</v>
      </c>
      <c r="BI393" s="29">
        <f t="shared" ca="1" si="214"/>
        <v>0</v>
      </c>
      <c r="BJ393" s="29">
        <f t="shared" ca="1" si="214"/>
        <v>0</v>
      </c>
      <c r="BK393" s="29">
        <f t="shared" ca="1" si="214"/>
        <v>0</v>
      </c>
      <c r="BL393" s="29">
        <f t="shared" ca="1" si="212"/>
        <v>1</v>
      </c>
      <c r="BM393" s="29">
        <f t="shared" ca="1" si="212"/>
        <v>0</v>
      </c>
      <c r="BN393" s="29">
        <f t="shared" ca="1" si="212"/>
        <v>0</v>
      </c>
      <c r="BO393" s="29">
        <f t="shared" ca="1" si="212"/>
        <v>0</v>
      </c>
      <c r="BP393" s="29">
        <f t="shared" ca="1" si="212"/>
        <v>0</v>
      </c>
      <c r="BQ393" s="29">
        <f t="shared" ca="1" si="212"/>
        <v>0</v>
      </c>
      <c r="BR393" s="29">
        <f t="shared" ca="1" si="212"/>
        <v>1</v>
      </c>
      <c r="BS393" s="29">
        <f t="shared" ca="1" si="212"/>
        <v>1</v>
      </c>
      <c r="BT393" s="29">
        <f t="shared" ca="1" si="212"/>
        <v>0</v>
      </c>
      <c r="BU393" s="29">
        <f t="shared" ca="1" si="212"/>
        <v>0</v>
      </c>
      <c r="BV393" s="29">
        <f t="shared" ca="1" si="212"/>
        <v>1</v>
      </c>
      <c r="BW393" s="29">
        <f t="shared" ca="1" si="212"/>
        <v>0</v>
      </c>
      <c r="BX393" s="29">
        <f t="shared" ca="1" si="212"/>
        <v>0</v>
      </c>
      <c r="BY393" s="29">
        <f t="shared" ca="1" si="212"/>
        <v>0</v>
      </c>
      <c r="BZ393" s="29">
        <f t="shared" ca="1" si="212"/>
        <v>1</v>
      </c>
      <c r="CA393" s="29">
        <f t="shared" ca="1" si="223"/>
        <v>0</v>
      </c>
      <c r="CB393" s="29">
        <f t="shared" ca="1" si="223"/>
        <v>0</v>
      </c>
      <c r="CC393" s="29">
        <f t="shared" ca="1" si="223"/>
        <v>1</v>
      </c>
      <c r="CD393" s="29">
        <f t="shared" ca="1" si="223"/>
        <v>0</v>
      </c>
      <c r="CE393" s="29">
        <f t="shared" ca="1" si="223"/>
        <v>0</v>
      </c>
      <c r="CF393" s="29">
        <f t="shared" ca="1" si="223"/>
        <v>1</v>
      </c>
      <c r="CG393" s="29">
        <f t="shared" ca="1" si="223"/>
        <v>1</v>
      </c>
      <c r="CH393" s="29">
        <f t="shared" ca="1" si="223"/>
        <v>0</v>
      </c>
      <c r="CI393" s="29">
        <f t="shared" ca="1" si="223"/>
        <v>2</v>
      </c>
      <c r="CJ393" s="29">
        <f t="shared" ca="1" si="223"/>
        <v>1</v>
      </c>
      <c r="CK393" s="29">
        <f t="shared" ca="1" si="223"/>
        <v>1</v>
      </c>
      <c r="CL393" s="29">
        <f t="shared" ca="1" si="223"/>
        <v>0</v>
      </c>
      <c r="CM393" s="29">
        <f t="shared" ca="1" si="223"/>
        <v>2</v>
      </c>
      <c r="CN393" s="29">
        <f t="shared" ca="1" si="223"/>
        <v>1</v>
      </c>
      <c r="CO393" s="29">
        <f t="shared" ca="1" si="223"/>
        <v>0</v>
      </c>
      <c r="CP393" s="29">
        <f t="shared" ca="1" si="223"/>
        <v>0</v>
      </c>
      <c r="CQ393" s="29">
        <f t="shared" ca="1" si="222"/>
        <v>0</v>
      </c>
      <c r="CR393" s="29">
        <f t="shared" ca="1" si="222"/>
        <v>0</v>
      </c>
      <c r="CS393" s="29">
        <f t="shared" ca="1" si="222"/>
        <v>1</v>
      </c>
      <c r="CT393" s="29">
        <f t="shared" ca="1" si="222"/>
        <v>0</v>
      </c>
      <c r="CU393" s="29">
        <f t="shared" ca="1" si="222"/>
        <v>0</v>
      </c>
      <c r="CV393" s="29">
        <f t="shared" ca="1" si="222"/>
        <v>0</v>
      </c>
      <c r="CW393" s="29">
        <f t="shared" ca="1" si="222"/>
        <v>3</v>
      </c>
      <c r="CX393" s="29">
        <f t="shared" ca="1" si="222"/>
        <v>0</v>
      </c>
      <c r="CY393" s="29">
        <f t="shared" ca="1" si="222"/>
        <v>0</v>
      </c>
      <c r="CZ393" s="29">
        <f t="shared" ca="1" si="222"/>
        <v>0</v>
      </c>
      <c r="DA393" s="29">
        <f t="shared" ca="1" si="222"/>
        <v>1</v>
      </c>
      <c r="DB393" s="29">
        <f t="shared" ca="1" si="222"/>
        <v>0</v>
      </c>
      <c r="DC393" s="29">
        <f t="shared" ca="1" si="222"/>
        <v>0</v>
      </c>
      <c r="DD393" s="29">
        <f t="shared" ca="1" si="222"/>
        <v>2</v>
      </c>
      <c r="DE393" s="29">
        <f t="shared" ca="1" si="222"/>
        <v>1</v>
      </c>
      <c r="DF393" s="29">
        <f t="shared" ca="1" si="213"/>
        <v>0</v>
      </c>
      <c r="DG393" s="29">
        <f t="shared" ca="1" si="213"/>
        <v>2</v>
      </c>
      <c r="DH393" s="29">
        <f t="shared" ca="1" si="213"/>
        <v>1</v>
      </c>
      <c r="DI393" s="29">
        <f t="shared" ca="1" si="213"/>
        <v>0</v>
      </c>
      <c r="DJ393" s="29">
        <f t="shared" ca="1" si="213"/>
        <v>1</v>
      </c>
      <c r="DK393" s="29">
        <f t="shared" ca="1" si="213"/>
        <v>0</v>
      </c>
      <c r="DL393" s="29">
        <f t="shared" ca="1" si="213"/>
        <v>0</v>
      </c>
    </row>
    <row r="394" spans="1:116" ht="14.4" x14ac:dyDescent="0.3">
      <c r="A394" s="31">
        <v>31</v>
      </c>
      <c r="B394" s="28">
        <v>3.02</v>
      </c>
      <c r="C394" s="30">
        <v>75.739999999999995</v>
      </c>
      <c r="D394" s="28">
        <v>0.75</v>
      </c>
      <c r="E394" s="34">
        <f t="shared" si="215"/>
        <v>1.4999999999999999E-2</v>
      </c>
      <c r="F394" s="35">
        <f t="shared" si="216"/>
        <v>18.934999999999999</v>
      </c>
      <c r="G394" s="34">
        <f t="shared" si="217"/>
        <v>18.75</v>
      </c>
      <c r="H394" s="33">
        <f t="shared" si="218"/>
        <v>-6.1258278145694942E-2</v>
      </c>
      <c r="I394" s="28">
        <f t="shared" si="221"/>
        <v>1583.640000000001</v>
      </c>
      <c r="J394" s="32">
        <v>0</v>
      </c>
      <c r="K394" s="30">
        <f t="shared" si="219"/>
        <v>18.75</v>
      </c>
      <c r="L394" s="30"/>
      <c r="M394" s="30"/>
      <c r="N394" s="30"/>
      <c r="O394" s="30"/>
      <c r="Q394" s="29">
        <f t="shared" ca="1" si="220"/>
        <v>2</v>
      </c>
      <c r="R394" s="29">
        <f t="shared" ref="R394:AF409" ca="1" si="225">_xlfn.BINOM.INV(50,$E394,RAND())</f>
        <v>0</v>
      </c>
      <c r="S394" s="29">
        <f t="shared" ca="1" si="225"/>
        <v>0</v>
      </c>
      <c r="T394" s="29">
        <f t="shared" ca="1" si="225"/>
        <v>2</v>
      </c>
      <c r="U394" s="29">
        <f t="shared" ca="1" si="225"/>
        <v>0</v>
      </c>
      <c r="V394" s="29">
        <f t="shared" ca="1" si="225"/>
        <v>1</v>
      </c>
      <c r="W394" s="29">
        <f t="shared" ca="1" si="225"/>
        <v>1</v>
      </c>
      <c r="X394" s="29">
        <f t="shared" ca="1" si="225"/>
        <v>0</v>
      </c>
      <c r="Y394" s="29">
        <f t="shared" ca="1" si="225"/>
        <v>0</v>
      </c>
      <c r="Z394" s="29">
        <f t="shared" ca="1" si="225"/>
        <v>0</v>
      </c>
      <c r="AA394" s="29">
        <f t="shared" ca="1" si="225"/>
        <v>2</v>
      </c>
      <c r="AB394" s="29">
        <f t="shared" ca="1" si="225"/>
        <v>1</v>
      </c>
      <c r="AC394" s="29">
        <f t="shared" ca="1" si="225"/>
        <v>0</v>
      </c>
      <c r="AD394" s="29">
        <f t="shared" ca="1" si="225"/>
        <v>1</v>
      </c>
      <c r="AE394" s="29">
        <f t="shared" ca="1" si="225"/>
        <v>1</v>
      </c>
      <c r="AF394" s="29">
        <f t="shared" ca="1" si="225"/>
        <v>0</v>
      </c>
      <c r="AG394" s="29">
        <f t="shared" ca="1" si="224"/>
        <v>1</v>
      </c>
      <c r="AH394" s="29">
        <f t="shared" ca="1" si="224"/>
        <v>1</v>
      </c>
      <c r="AI394" s="29">
        <f t="shared" ca="1" si="224"/>
        <v>0</v>
      </c>
      <c r="AJ394" s="29">
        <f t="shared" ca="1" si="224"/>
        <v>3</v>
      </c>
      <c r="AK394" s="29">
        <f t="shared" ca="1" si="224"/>
        <v>0</v>
      </c>
      <c r="AL394" s="29">
        <f t="shared" ca="1" si="224"/>
        <v>0</v>
      </c>
      <c r="AM394" s="29">
        <f t="shared" ca="1" si="224"/>
        <v>0</v>
      </c>
      <c r="AN394" s="29">
        <f t="shared" ca="1" si="224"/>
        <v>0</v>
      </c>
      <c r="AO394" s="29">
        <f t="shared" ca="1" si="224"/>
        <v>1</v>
      </c>
      <c r="AP394" s="29">
        <f t="shared" ca="1" si="224"/>
        <v>0</v>
      </c>
      <c r="AQ394" s="29">
        <f t="shared" ca="1" si="224"/>
        <v>0</v>
      </c>
      <c r="AR394" s="29">
        <f t="shared" ca="1" si="224"/>
        <v>0</v>
      </c>
      <c r="AS394" s="29">
        <f t="shared" ca="1" si="224"/>
        <v>0</v>
      </c>
      <c r="AT394" s="29">
        <f t="shared" ca="1" si="224"/>
        <v>0</v>
      </c>
      <c r="AU394" s="29">
        <f t="shared" ca="1" si="224"/>
        <v>0</v>
      </c>
      <c r="AV394" s="29">
        <f t="shared" ca="1" si="214"/>
        <v>1</v>
      </c>
      <c r="AW394" s="29">
        <f t="shared" ca="1" si="214"/>
        <v>1</v>
      </c>
      <c r="AX394" s="29">
        <f t="shared" ca="1" si="214"/>
        <v>0</v>
      </c>
      <c r="AY394" s="29">
        <f t="shared" ca="1" si="214"/>
        <v>0</v>
      </c>
      <c r="AZ394" s="29">
        <f t="shared" ca="1" si="214"/>
        <v>2</v>
      </c>
      <c r="BA394" s="29">
        <f t="shared" ca="1" si="214"/>
        <v>2</v>
      </c>
      <c r="BB394" s="29">
        <f t="shared" ca="1" si="214"/>
        <v>1</v>
      </c>
      <c r="BC394" s="29">
        <f t="shared" ca="1" si="214"/>
        <v>0</v>
      </c>
      <c r="BD394" s="29">
        <f t="shared" ca="1" si="214"/>
        <v>2</v>
      </c>
      <c r="BE394" s="29">
        <f t="shared" ca="1" si="214"/>
        <v>2</v>
      </c>
      <c r="BF394" s="29">
        <f t="shared" ca="1" si="214"/>
        <v>0</v>
      </c>
      <c r="BG394" s="29">
        <f t="shared" ca="1" si="214"/>
        <v>1</v>
      </c>
      <c r="BH394" s="29">
        <f t="shared" ca="1" si="214"/>
        <v>0</v>
      </c>
      <c r="BI394" s="29">
        <f t="shared" ca="1" si="214"/>
        <v>1</v>
      </c>
      <c r="BJ394" s="29">
        <f t="shared" ca="1" si="214"/>
        <v>0</v>
      </c>
      <c r="BK394" s="29">
        <f t="shared" ca="1" si="214"/>
        <v>2</v>
      </c>
      <c r="BL394" s="29">
        <f t="shared" ca="1" si="212"/>
        <v>0</v>
      </c>
      <c r="BM394" s="29">
        <f t="shared" ca="1" si="212"/>
        <v>0</v>
      </c>
      <c r="BN394" s="29">
        <f t="shared" ca="1" si="212"/>
        <v>1</v>
      </c>
      <c r="BO394" s="29">
        <f t="shared" ca="1" si="212"/>
        <v>1</v>
      </c>
      <c r="BP394" s="29">
        <f t="shared" ca="1" si="212"/>
        <v>1</v>
      </c>
      <c r="BQ394" s="29">
        <f t="shared" ca="1" si="212"/>
        <v>0</v>
      </c>
      <c r="BR394" s="29">
        <f t="shared" ca="1" si="212"/>
        <v>1</v>
      </c>
      <c r="BS394" s="29">
        <f t="shared" ca="1" si="212"/>
        <v>1</v>
      </c>
      <c r="BT394" s="29">
        <f t="shared" ca="1" si="212"/>
        <v>0</v>
      </c>
      <c r="BU394" s="29">
        <f t="shared" ca="1" si="212"/>
        <v>1</v>
      </c>
      <c r="BV394" s="29">
        <f t="shared" ca="1" si="212"/>
        <v>3</v>
      </c>
      <c r="BW394" s="29">
        <f t="shared" ca="1" si="212"/>
        <v>2</v>
      </c>
      <c r="BX394" s="29">
        <f t="shared" ca="1" si="212"/>
        <v>1</v>
      </c>
      <c r="BY394" s="29">
        <f t="shared" ca="1" si="212"/>
        <v>1</v>
      </c>
      <c r="BZ394" s="29">
        <f t="shared" ca="1" si="212"/>
        <v>1</v>
      </c>
      <c r="CA394" s="29">
        <f t="shared" ca="1" si="223"/>
        <v>0</v>
      </c>
      <c r="CB394" s="29">
        <f t="shared" ca="1" si="223"/>
        <v>0</v>
      </c>
      <c r="CC394" s="29">
        <f t="shared" ca="1" si="223"/>
        <v>1</v>
      </c>
      <c r="CD394" s="29">
        <f t="shared" ca="1" si="223"/>
        <v>0</v>
      </c>
      <c r="CE394" s="29">
        <f t="shared" ca="1" si="223"/>
        <v>0</v>
      </c>
      <c r="CF394" s="29">
        <f t="shared" ca="1" si="223"/>
        <v>1</v>
      </c>
      <c r="CG394" s="29">
        <f t="shared" ca="1" si="223"/>
        <v>1</v>
      </c>
      <c r="CH394" s="29">
        <f t="shared" ca="1" si="223"/>
        <v>0</v>
      </c>
      <c r="CI394" s="29">
        <f t="shared" ca="1" si="223"/>
        <v>0</v>
      </c>
      <c r="CJ394" s="29">
        <f t="shared" ca="1" si="223"/>
        <v>2</v>
      </c>
      <c r="CK394" s="29">
        <f t="shared" ca="1" si="223"/>
        <v>1</v>
      </c>
      <c r="CL394" s="29">
        <f t="shared" ca="1" si="223"/>
        <v>0</v>
      </c>
      <c r="CM394" s="29">
        <f t="shared" ca="1" si="223"/>
        <v>1</v>
      </c>
      <c r="CN394" s="29">
        <f t="shared" ca="1" si="223"/>
        <v>0</v>
      </c>
      <c r="CO394" s="29">
        <f t="shared" ca="1" si="223"/>
        <v>0</v>
      </c>
      <c r="CP394" s="29">
        <f t="shared" ca="1" si="223"/>
        <v>0</v>
      </c>
      <c r="CQ394" s="29">
        <f t="shared" ca="1" si="222"/>
        <v>0</v>
      </c>
      <c r="CR394" s="29">
        <f t="shared" ca="1" si="222"/>
        <v>2</v>
      </c>
      <c r="CS394" s="29">
        <f t="shared" ca="1" si="222"/>
        <v>0</v>
      </c>
      <c r="CT394" s="29">
        <f t="shared" ca="1" si="222"/>
        <v>1</v>
      </c>
      <c r="CU394" s="29">
        <f t="shared" ca="1" si="222"/>
        <v>0</v>
      </c>
      <c r="CV394" s="29">
        <f t="shared" ca="1" si="222"/>
        <v>0</v>
      </c>
      <c r="CW394" s="29">
        <f t="shared" ca="1" si="222"/>
        <v>1</v>
      </c>
      <c r="CX394" s="29">
        <f t="shared" ca="1" si="222"/>
        <v>1</v>
      </c>
      <c r="CY394" s="29">
        <f t="shared" ca="1" si="222"/>
        <v>1</v>
      </c>
      <c r="CZ394" s="29">
        <f t="shared" ca="1" si="222"/>
        <v>0</v>
      </c>
      <c r="DA394" s="29">
        <f t="shared" ca="1" si="222"/>
        <v>1</v>
      </c>
      <c r="DB394" s="29">
        <f t="shared" ca="1" si="222"/>
        <v>0</v>
      </c>
      <c r="DC394" s="29">
        <f t="shared" ca="1" si="222"/>
        <v>0</v>
      </c>
      <c r="DD394" s="29">
        <f t="shared" ca="1" si="222"/>
        <v>2</v>
      </c>
      <c r="DE394" s="29">
        <f t="shared" ca="1" si="222"/>
        <v>0</v>
      </c>
      <c r="DF394" s="29">
        <f t="shared" ca="1" si="213"/>
        <v>0</v>
      </c>
      <c r="DG394" s="29">
        <f t="shared" ca="1" si="213"/>
        <v>1</v>
      </c>
      <c r="DH394" s="29">
        <f t="shared" ca="1" si="213"/>
        <v>0</v>
      </c>
      <c r="DI394" s="29">
        <f t="shared" ca="1" si="213"/>
        <v>1</v>
      </c>
      <c r="DJ394" s="29">
        <f t="shared" ca="1" si="213"/>
        <v>1</v>
      </c>
      <c r="DK394" s="29">
        <f t="shared" ca="1" si="213"/>
        <v>1</v>
      </c>
      <c r="DL394" s="29">
        <f t="shared" ca="1" si="213"/>
        <v>0</v>
      </c>
    </row>
    <row r="395" spans="1:116" ht="14.4" x14ac:dyDescent="0.3">
      <c r="A395" s="31">
        <v>766</v>
      </c>
      <c r="B395" s="28">
        <v>2.84</v>
      </c>
      <c r="C395" s="30">
        <v>56.39</v>
      </c>
      <c r="D395" s="28">
        <v>0.54</v>
      </c>
      <c r="E395" s="34">
        <f t="shared" si="215"/>
        <v>1.0800000000000001E-2</v>
      </c>
      <c r="F395" s="35">
        <f t="shared" si="216"/>
        <v>14.0975</v>
      </c>
      <c r="G395" s="34">
        <f t="shared" si="217"/>
        <v>13.5</v>
      </c>
      <c r="H395" s="33">
        <f t="shared" si="218"/>
        <v>-0.21038732394366202</v>
      </c>
      <c r="I395" s="28">
        <f t="shared" si="221"/>
        <v>1586.4800000000009</v>
      </c>
      <c r="J395" s="32">
        <v>0</v>
      </c>
      <c r="K395" s="30">
        <f t="shared" si="219"/>
        <v>13.5</v>
      </c>
      <c r="L395" s="30"/>
      <c r="M395" s="30"/>
      <c r="N395" s="30"/>
      <c r="O395" s="30"/>
      <c r="Q395" s="29">
        <f t="shared" ca="1" si="220"/>
        <v>0</v>
      </c>
      <c r="R395" s="29">
        <f t="shared" ca="1" si="225"/>
        <v>0</v>
      </c>
      <c r="S395" s="29">
        <f t="shared" ca="1" si="225"/>
        <v>0</v>
      </c>
      <c r="T395" s="29">
        <f t="shared" ca="1" si="225"/>
        <v>0</v>
      </c>
      <c r="U395" s="29">
        <f t="shared" ca="1" si="225"/>
        <v>0</v>
      </c>
      <c r="V395" s="29">
        <f t="shared" ca="1" si="225"/>
        <v>0</v>
      </c>
      <c r="W395" s="29">
        <f t="shared" ca="1" si="225"/>
        <v>1</v>
      </c>
      <c r="X395" s="29">
        <f t="shared" ca="1" si="225"/>
        <v>0</v>
      </c>
      <c r="Y395" s="29">
        <f t="shared" ca="1" si="225"/>
        <v>1</v>
      </c>
      <c r="Z395" s="29">
        <f t="shared" ca="1" si="225"/>
        <v>0</v>
      </c>
      <c r="AA395" s="29">
        <f t="shared" ca="1" si="225"/>
        <v>1</v>
      </c>
      <c r="AB395" s="29">
        <f t="shared" ca="1" si="225"/>
        <v>1</v>
      </c>
      <c r="AC395" s="29">
        <f t="shared" ca="1" si="225"/>
        <v>1</v>
      </c>
      <c r="AD395" s="29">
        <f t="shared" ca="1" si="225"/>
        <v>0</v>
      </c>
      <c r="AE395" s="29">
        <f t="shared" ca="1" si="225"/>
        <v>0</v>
      </c>
      <c r="AF395" s="29">
        <f t="shared" ca="1" si="225"/>
        <v>1</v>
      </c>
      <c r="AG395" s="29">
        <f t="shared" ca="1" si="224"/>
        <v>0</v>
      </c>
      <c r="AH395" s="29">
        <f t="shared" ca="1" si="224"/>
        <v>1</v>
      </c>
      <c r="AI395" s="29">
        <f t="shared" ca="1" si="224"/>
        <v>1</v>
      </c>
      <c r="AJ395" s="29">
        <f t="shared" ca="1" si="224"/>
        <v>2</v>
      </c>
      <c r="AK395" s="29">
        <f t="shared" ca="1" si="224"/>
        <v>0</v>
      </c>
      <c r="AL395" s="29">
        <f t="shared" ca="1" si="224"/>
        <v>2</v>
      </c>
      <c r="AM395" s="29">
        <f t="shared" ca="1" si="224"/>
        <v>1</v>
      </c>
      <c r="AN395" s="29">
        <f t="shared" ca="1" si="224"/>
        <v>0</v>
      </c>
      <c r="AO395" s="29">
        <f t="shared" ca="1" si="224"/>
        <v>1</v>
      </c>
      <c r="AP395" s="29">
        <f t="shared" ca="1" si="224"/>
        <v>2</v>
      </c>
      <c r="AQ395" s="29">
        <f t="shared" ca="1" si="224"/>
        <v>2</v>
      </c>
      <c r="AR395" s="29">
        <f t="shared" ca="1" si="224"/>
        <v>1</v>
      </c>
      <c r="AS395" s="29">
        <f t="shared" ca="1" si="224"/>
        <v>0</v>
      </c>
      <c r="AT395" s="29">
        <f t="shared" ca="1" si="224"/>
        <v>1</v>
      </c>
      <c r="AU395" s="29">
        <f t="shared" ca="1" si="224"/>
        <v>0</v>
      </c>
      <c r="AV395" s="29">
        <f t="shared" ca="1" si="214"/>
        <v>0</v>
      </c>
      <c r="AW395" s="29">
        <f t="shared" ca="1" si="214"/>
        <v>0</v>
      </c>
      <c r="AX395" s="29">
        <f t="shared" ca="1" si="214"/>
        <v>0</v>
      </c>
      <c r="AY395" s="29">
        <f t="shared" ca="1" si="214"/>
        <v>0</v>
      </c>
      <c r="AZ395" s="29">
        <f t="shared" ca="1" si="214"/>
        <v>0</v>
      </c>
      <c r="BA395" s="29">
        <f t="shared" ca="1" si="214"/>
        <v>0</v>
      </c>
      <c r="BB395" s="29">
        <f t="shared" ca="1" si="214"/>
        <v>0</v>
      </c>
      <c r="BC395" s="29">
        <f t="shared" ca="1" si="214"/>
        <v>1</v>
      </c>
      <c r="BD395" s="29">
        <f t="shared" ca="1" si="214"/>
        <v>0</v>
      </c>
      <c r="BE395" s="29">
        <f t="shared" ca="1" si="214"/>
        <v>1</v>
      </c>
      <c r="BF395" s="29">
        <f t="shared" ca="1" si="214"/>
        <v>0</v>
      </c>
      <c r="BG395" s="29">
        <f t="shared" ca="1" si="214"/>
        <v>0</v>
      </c>
      <c r="BH395" s="29">
        <f t="shared" ca="1" si="214"/>
        <v>0</v>
      </c>
      <c r="BI395" s="29">
        <f t="shared" ca="1" si="214"/>
        <v>0</v>
      </c>
      <c r="BJ395" s="29">
        <f t="shared" ca="1" si="214"/>
        <v>1</v>
      </c>
      <c r="BK395" s="29">
        <f t="shared" ca="1" si="214"/>
        <v>0</v>
      </c>
      <c r="BL395" s="29">
        <f t="shared" ca="1" si="212"/>
        <v>1</v>
      </c>
      <c r="BM395" s="29">
        <f t="shared" ca="1" si="212"/>
        <v>0</v>
      </c>
      <c r="BN395" s="29">
        <f t="shared" ca="1" si="212"/>
        <v>1</v>
      </c>
      <c r="BO395" s="29">
        <f t="shared" ca="1" si="212"/>
        <v>1</v>
      </c>
      <c r="BP395" s="29">
        <f t="shared" ca="1" si="212"/>
        <v>0</v>
      </c>
      <c r="BQ395" s="29">
        <f t="shared" ca="1" si="212"/>
        <v>0</v>
      </c>
      <c r="BR395" s="29">
        <f t="shared" ca="1" si="212"/>
        <v>1</v>
      </c>
      <c r="BS395" s="29">
        <f t="shared" ca="1" si="212"/>
        <v>0</v>
      </c>
      <c r="BT395" s="29">
        <f t="shared" ca="1" si="212"/>
        <v>2</v>
      </c>
      <c r="BU395" s="29">
        <f t="shared" ca="1" si="212"/>
        <v>0</v>
      </c>
      <c r="BV395" s="29">
        <f t="shared" ca="1" si="212"/>
        <v>1</v>
      </c>
      <c r="BW395" s="29">
        <f t="shared" ca="1" si="212"/>
        <v>2</v>
      </c>
      <c r="BX395" s="29">
        <f t="shared" ca="1" si="212"/>
        <v>0</v>
      </c>
      <c r="BY395" s="29">
        <f t="shared" ca="1" si="212"/>
        <v>0</v>
      </c>
      <c r="BZ395" s="29">
        <f t="shared" ca="1" si="212"/>
        <v>3</v>
      </c>
      <c r="CA395" s="29">
        <f t="shared" ca="1" si="223"/>
        <v>2</v>
      </c>
      <c r="CB395" s="29">
        <f t="shared" ca="1" si="223"/>
        <v>0</v>
      </c>
      <c r="CC395" s="29">
        <f t="shared" ca="1" si="223"/>
        <v>0</v>
      </c>
      <c r="CD395" s="29">
        <f t="shared" ca="1" si="223"/>
        <v>0</v>
      </c>
      <c r="CE395" s="29">
        <f t="shared" ca="1" si="223"/>
        <v>0</v>
      </c>
      <c r="CF395" s="29">
        <f t="shared" ca="1" si="223"/>
        <v>1</v>
      </c>
      <c r="CG395" s="29">
        <f t="shared" ca="1" si="223"/>
        <v>0</v>
      </c>
      <c r="CH395" s="29">
        <f t="shared" ca="1" si="223"/>
        <v>1</v>
      </c>
      <c r="CI395" s="29">
        <f t="shared" ca="1" si="223"/>
        <v>1</v>
      </c>
      <c r="CJ395" s="29">
        <f t="shared" ca="1" si="223"/>
        <v>0</v>
      </c>
      <c r="CK395" s="29">
        <f t="shared" ca="1" si="223"/>
        <v>0</v>
      </c>
      <c r="CL395" s="29">
        <f t="shared" ca="1" si="223"/>
        <v>1</v>
      </c>
      <c r="CM395" s="29">
        <f t="shared" ca="1" si="223"/>
        <v>0</v>
      </c>
      <c r="CN395" s="29">
        <f t="shared" ca="1" si="223"/>
        <v>0</v>
      </c>
      <c r="CO395" s="29">
        <f t="shared" ca="1" si="223"/>
        <v>1</v>
      </c>
      <c r="CP395" s="29">
        <f t="shared" ca="1" si="223"/>
        <v>3</v>
      </c>
      <c r="CQ395" s="29">
        <f t="shared" ca="1" si="222"/>
        <v>0</v>
      </c>
      <c r="CR395" s="29">
        <f t="shared" ca="1" si="222"/>
        <v>0</v>
      </c>
      <c r="CS395" s="29">
        <f t="shared" ca="1" si="222"/>
        <v>1</v>
      </c>
      <c r="CT395" s="29">
        <f t="shared" ca="1" si="222"/>
        <v>1</v>
      </c>
      <c r="CU395" s="29">
        <f t="shared" ca="1" si="222"/>
        <v>2</v>
      </c>
      <c r="CV395" s="29">
        <f t="shared" ca="1" si="222"/>
        <v>1</v>
      </c>
      <c r="CW395" s="29">
        <f t="shared" ca="1" si="222"/>
        <v>1</v>
      </c>
      <c r="CX395" s="29">
        <f t="shared" ca="1" si="222"/>
        <v>1</v>
      </c>
      <c r="CY395" s="29">
        <f t="shared" ca="1" si="222"/>
        <v>0</v>
      </c>
      <c r="CZ395" s="29">
        <f t="shared" ca="1" si="222"/>
        <v>1</v>
      </c>
      <c r="DA395" s="29">
        <f t="shared" ca="1" si="222"/>
        <v>0</v>
      </c>
      <c r="DB395" s="29">
        <f t="shared" ca="1" si="222"/>
        <v>0</v>
      </c>
      <c r="DC395" s="29">
        <f t="shared" ca="1" si="222"/>
        <v>0</v>
      </c>
      <c r="DD395" s="29">
        <f t="shared" ca="1" si="222"/>
        <v>1</v>
      </c>
      <c r="DE395" s="29">
        <f t="shared" ca="1" si="222"/>
        <v>1</v>
      </c>
      <c r="DF395" s="29">
        <f t="shared" ca="1" si="213"/>
        <v>2</v>
      </c>
      <c r="DG395" s="29">
        <f t="shared" ca="1" si="213"/>
        <v>0</v>
      </c>
      <c r="DH395" s="29">
        <f t="shared" ca="1" si="213"/>
        <v>0</v>
      </c>
      <c r="DI395" s="29">
        <f t="shared" ca="1" si="213"/>
        <v>0</v>
      </c>
      <c r="DJ395" s="29">
        <f t="shared" ca="1" si="213"/>
        <v>2</v>
      </c>
      <c r="DK395" s="29">
        <f t="shared" ca="1" si="213"/>
        <v>2</v>
      </c>
      <c r="DL395" s="29">
        <f t="shared" ca="1" si="213"/>
        <v>1</v>
      </c>
    </row>
    <row r="396" spans="1:116" ht="14.4" x14ac:dyDescent="0.3">
      <c r="A396" s="31">
        <v>1091</v>
      </c>
      <c r="B396" s="28">
        <v>1.84</v>
      </c>
      <c r="C396" s="30">
        <v>88.95</v>
      </c>
      <c r="D396" s="28">
        <v>0.87</v>
      </c>
      <c r="E396" s="34">
        <f t="shared" si="215"/>
        <v>1.7399999999999999E-2</v>
      </c>
      <c r="F396" s="35">
        <f t="shared" si="216"/>
        <v>22.237500000000001</v>
      </c>
      <c r="G396" s="34">
        <f t="shared" si="217"/>
        <v>21.75</v>
      </c>
      <c r="H396" s="33">
        <f t="shared" si="218"/>
        <v>-0.26494565217391342</v>
      </c>
      <c r="I396" s="28">
        <f t="shared" si="221"/>
        <v>1588.3200000000008</v>
      </c>
      <c r="J396" s="32">
        <v>0</v>
      </c>
      <c r="K396" s="30">
        <f t="shared" si="219"/>
        <v>21.75</v>
      </c>
      <c r="L396" s="30"/>
      <c r="M396" s="30"/>
      <c r="N396" s="30"/>
      <c r="O396" s="30"/>
      <c r="Q396" s="29">
        <f t="shared" ca="1" si="220"/>
        <v>3</v>
      </c>
      <c r="R396" s="29">
        <f t="shared" ca="1" si="225"/>
        <v>2</v>
      </c>
      <c r="S396" s="29">
        <f t="shared" ca="1" si="225"/>
        <v>1</v>
      </c>
      <c r="T396" s="29">
        <f t="shared" ca="1" si="225"/>
        <v>2</v>
      </c>
      <c r="U396" s="29">
        <f t="shared" ca="1" si="225"/>
        <v>0</v>
      </c>
      <c r="V396" s="29">
        <f t="shared" ca="1" si="225"/>
        <v>1</v>
      </c>
      <c r="W396" s="29">
        <f t="shared" ca="1" si="225"/>
        <v>0</v>
      </c>
      <c r="X396" s="29">
        <f t="shared" ca="1" si="225"/>
        <v>2</v>
      </c>
      <c r="Y396" s="29">
        <f t="shared" ca="1" si="225"/>
        <v>2</v>
      </c>
      <c r="Z396" s="29">
        <f t="shared" ca="1" si="225"/>
        <v>2</v>
      </c>
      <c r="AA396" s="29">
        <f t="shared" ca="1" si="225"/>
        <v>2</v>
      </c>
      <c r="AB396" s="29">
        <f t="shared" ca="1" si="225"/>
        <v>2</v>
      </c>
      <c r="AC396" s="29">
        <f t="shared" ca="1" si="225"/>
        <v>1</v>
      </c>
      <c r="AD396" s="29">
        <f t="shared" ca="1" si="225"/>
        <v>1</v>
      </c>
      <c r="AE396" s="29">
        <f t="shared" ca="1" si="225"/>
        <v>2</v>
      </c>
      <c r="AF396" s="29">
        <f t="shared" ca="1" si="225"/>
        <v>0</v>
      </c>
      <c r="AG396" s="29">
        <f t="shared" ca="1" si="224"/>
        <v>1</v>
      </c>
      <c r="AH396" s="29">
        <f t="shared" ca="1" si="224"/>
        <v>0</v>
      </c>
      <c r="AI396" s="29">
        <f t="shared" ca="1" si="224"/>
        <v>3</v>
      </c>
      <c r="AJ396" s="29">
        <f t="shared" ca="1" si="224"/>
        <v>0</v>
      </c>
      <c r="AK396" s="29">
        <f t="shared" ca="1" si="224"/>
        <v>1</v>
      </c>
      <c r="AL396" s="29">
        <f t="shared" ca="1" si="224"/>
        <v>1</v>
      </c>
      <c r="AM396" s="29">
        <f t="shared" ca="1" si="224"/>
        <v>2</v>
      </c>
      <c r="AN396" s="29">
        <f t="shared" ca="1" si="224"/>
        <v>2</v>
      </c>
      <c r="AO396" s="29">
        <f t="shared" ca="1" si="224"/>
        <v>0</v>
      </c>
      <c r="AP396" s="29">
        <f t="shared" ca="1" si="224"/>
        <v>0</v>
      </c>
      <c r="AQ396" s="29">
        <f t="shared" ca="1" si="224"/>
        <v>0</v>
      </c>
      <c r="AR396" s="29">
        <f t="shared" ca="1" si="224"/>
        <v>0</v>
      </c>
      <c r="AS396" s="29">
        <f t="shared" ca="1" si="224"/>
        <v>2</v>
      </c>
      <c r="AT396" s="29">
        <f t="shared" ca="1" si="224"/>
        <v>0</v>
      </c>
      <c r="AU396" s="29">
        <f t="shared" ca="1" si="224"/>
        <v>1</v>
      </c>
      <c r="AV396" s="29">
        <f t="shared" ca="1" si="214"/>
        <v>4</v>
      </c>
      <c r="AW396" s="29">
        <f t="shared" ca="1" si="214"/>
        <v>0</v>
      </c>
      <c r="AX396" s="29">
        <f t="shared" ca="1" si="214"/>
        <v>2</v>
      </c>
      <c r="AY396" s="29">
        <f t="shared" ca="1" si="214"/>
        <v>0</v>
      </c>
      <c r="AZ396" s="29">
        <f t="shared" ca="1" si="214"/>
        <v>1</v>
      </c>
      <c r="BA396" s="29">
        <f t="shared" ca="1" si="214"/>
        <v>0</v>
      </c>
      <c r="BB396" s="29">
        <f t="shared" ca="1" si="214"/>
        <v>1</v>
      </c>
      <c r="BC396" s="29">
        <f t="shared" ca="1" si="214"/>
        <v>1</v>
      </c>
      <c r="BD396" s="29">
        <f t="shared" ca="1" si="214"/>
        <v>0</v>
      </c>
      <c r="BE396" s="29">
        <f t="shared" ca="1" si="214"/>
        <v>1</v>
      </c>
      <c r="BF396" s="29">
        <f t="shared" ca="1" si="214"/>
        <v>2</v>
      </c>
      <c r="BG396" s="29">
        <f t="shared" ca="1" si="214"/>
        <v>1</v>
      </c>
      <c r="BH396" s="29">
        <f t="shared" ca="1" si="214"/>
        <v>2</v>
      </c>
      <c r="BI396" s="29">
        <f t="shared" ca="1" si="214"/>
        <v>2</v>
      </c>
      <c r="BJ396" s="29">
        <f t="shared" ca="1" si="214"/>
        <v>1</v>
      </c>
      <c r="BK396" s="29">
        <f t="shared" ref="BK396:BZ411" ca="1" si="226">_xlfn.BINOM.INV(50,$E396,RAND())</f>
        <v>1</v>
      </c>
      <c r="BL396" s="29">
        <f t="shared" ca="1" si="226"/>
        <v>1</v>
      </c>
      <c r="BM396" s="29">
        <f t="shared" ca="1" si="226"/>
        <v>1</v>
      </c>
      <c r="BN396" s="29">
        <f t="shared" ca="1" si="226"/>
        <v>0</v>
      </c>
      <c r="BO396" s="29">
        <f t="shared" ca="1" si="226"/>
        <v>2</v>
      </c>
      <c r="BP396" s="29">
        <f t="shared" ca="1" si="226"/>
        <v>2</v>
      </c>
      <c r="BQ396" s="29">
        <f t="shared" ca="1" si="226"/>
        <v>0</v>
      </c>
      <c r="BR396" s="29">
        <f t="shared" ca="1" si="226"/>
        <v>1</v>
      </c>
      <c r="BS396" s="29">
        <f t="shared" ca="1" si="226"/>
        <v>1</v>
      </c>
      <c r="BT396" s="29">
        <f t="shared" ca="1" si="226"/>
        <v>0</v>
      </c>
      <c r="BU396" s="29">
        <f t="shared" ca="1" si="226"/>
        <v>4</v>
      </c>
      <c r="BV396" s="29">
        <f t="shared" ca="1" si="226"/>
        <v>1</v>
      </c>
      <c r="BW396" s="29">
        <f t="shared" ca="1" si="226"/>
        <v>1</v>
      </c>
      <c r="BX396" s="29">
        <f t="shared" ca="1" si="226"/>
        <v>1</v>
      </c>
      <c r="BY396" s="29">
        <f t="shared" ca="1" si="226"/>
        <v>1</v>
      </c>
      <c r="BZ396" s="29">
        <f t="shared" ca="1" si="226"/>
        <v>0</v>
      </c>
      <c r="CA396" s="29">
        <f t="shared" ca="1" si="223"/>
        <v>1</v>
      </c>
      <c r="CB396" s="29">
        <f t="shared" ca="1" si="223"/>
        <v>0</v>
      </c>
      <c r="CC396" s="29">
        <f t="shared" ca="1" si="223"/>
        <v>3</v>
      </c>
      <c r="CD396" s="29">
        <f t="shared" ca="1" si="223"/>
        <v>1</v>
      </c>
      <c r="CE396" s="29">
        <f t="shared" ca="1" si="223"/>
        <v>0</v>
      </c>
      <c r="CF396" s="29">
        <f t="shared" ca="1" si="223"/>
        <v>1</v>
      </c>
      <c r="CG396" s="29">
        <f t="shared" ca="1" si="223"/>
        <v>0</v>
      </c>
      <c r="CH396" s="29">
        <f t="shared" ca="1" si="223"/>
        <v>3</v>
      </c>
      <c r="CI396" s="29">
        <f t="shared" ca="1" si="223"/>
        <v>1</v>
      </c>
      <c r="CJ396" s="29">
        <f t="shared" ca="1" si="223"/>
        <v>0</v>
      </c>
      <c r="CK396" s="29">
        <f t="shared" ca="1" si="223"/>
        <v>2</v>
      </c>
      <c r="CL396" s="29">
        <f t="shared" ca="1" si="223"/>
        <v>0</v>
      </c>
      <c r="CM396" s="29">
        <f t="shared" ca="1" si="223"/>
        <v>0</v>
      </c>
      <c r="CN396" s="29">
        <f t="shared" ca="1" si="223"/>
        <v>1</v>
      </c>
      <c r="CO396" s="29">
        <f t="shared" ca="1" si="223"/>
        <v>1</v>
      </c>
      <c r="CP396" s="29">
        <f t="shared" ca="1" si="223"/>
        <v>0</v>
      </c>
      <c r="CQ396" s="29">
        <f t="shared" ca="1" si="222"/>
        <v>0</v>
      </c>
      <c r="CR396" s="29">
        <f t="shared" ca="1" si="222"/>
        <v>0</v>
      </c>
      <c r="CS396" s="29">
        <f t="shared" ca="1" si="222"/>
        <v>0</v>
      </c>
      <c r="CT396" s="29">
        <f t="shared" ca="1" si="222"/>
        <v>0</v>
      </c>
      <c r="CU396" s="29">
        <f t="shared" ca="1" si="222"/>
        <v>0</v>
      </c>
      <c r="CV396" s="29">
        <f t="shared" ca="1" si="222"/>
        <v>1</v>
      </c>
      <c r="CW396" s="29">
        <f t="shared" ca="1" si="222"/>
        <v>1</v>
      </c>
      <c r="CX396" s="29">
        <f t="shared" ca="1" si="222"/>
        <v>0</v>
      </c>
      <c r="CY396" s="29">
        <f t="shared" ca="1" si="222"/>
        <v>1</v>
      </c>
      <c r="CZ396" s="29">
        <f t="shared" ca="1" si="222"/>
        <v>1</v>
      </c>
      <c r="DA396" s="29">
        <f t="shared" ca="1" si="222"/>
        <v>0</v>
      </c>
      <c r="DB396" s="29">
        <f t="shared" ca="1" si="222"/>
        <v>0</v>
      </c>
      <c r="DC396" s="29">
        <f t="shared" ca="1" si="222"/>
        <v>1</v>
      </c>
      <c r="DD396" s="29">
        <f t="shared" ca="1" si="222"/>
        <v>0</v>
      </c>
      <c r="DE396" s="29">
        <f t="shared" ca="1" si="222"/>
        <v>1</v>
      </c>
      <c r="DF396" s="29">
        <f t="shared" ca="1" si="213"/>
        <v>1</v>
      </c>
      <c r="DG396" s="29">
        <f t="shared" ca="1" si="213"/>
        <v>0</v>
      </c>
      <c r="DH396" s="29">
        <f t="shared" ca="1" si="213"/>
        <v>0</v>
      </c>
      <c r="DI396" s="29">
        <f t="shared" ca="1" si="213"/>
        <v>2</v>
      </c>
      <c r="DJ396" s="29">
        <f t="shared" ca="1" si="213"/>
        <v>0</v>
      </c>
      <c r="DK396" s="29">
        <f t="shared" ca="1" si="213"/>
        <v>1</v>
      </c>
      <c r="DL396" s="29">
        <f t="shared" ca="1" si="213"/>
        <v>0</v>
      </c>
    </row>
    <row r="397" spans="1:116" ht="14.4" x14ac:dyDescent="0.3">
      <c r="A397" s="31">
        <v>127</v>
      </c>
      <c r="B397" s="28">
        <v>1.0900000000000001</v>
      </c>
      <c r="C397" s="30">
        <v>94.27</v>
      </c>
      <c r="D397" s="28">
        <v>0.89</v>
      </c>
      <c r="E397" s="34">
        <f t="shared" si="215"/>
        <v>1.78E-2</v>
      </c>
      <c r="F397" s="35">
        <f t="shared" si="216"/>
        <v>23.567499999999999</v>
      </c>
      <c r="G397" s="34">
        <f t="shared" si="217"/>
        <v>22.25</v>
      </c>
      <c r="H397" s="33">
        <f t="shared" si="218"/>
        <v>-1.2087155963302743</v>
      </c>
      <c r="I397" s="28">
        <f t="shared" si="221"/>
        <v>1589.4100000000008</v>
      </c>
      <c r="J397" s="32">
        <v>0</v>
      </c>
      <c r="K397" s="30">
        <f t="shared" si="219"/>
        <v>22.25</v>
      </c>
      <c r="L397" s="30"/>
      <c r="M397" s="30"/>
      <c r="N397" s="30"/>
      <c r="O397" s="30"/>
      <c r="Q397" s="29">
        <f t="shared" ca="1" si="220"/>
        <v>3</v>
      </c>
      <c r="R397" s="29">
        <f t="shared" ca="1" si="225"/>
        <v>1</v>
      </c>
      <c r="S397" s="29">
        <f t="shared" ca="1" si="225"/>
        <v>2</v>
      </c>
      <c r="T397" s="29">
        <f t="shared" ca="1" si="225"/>
        <v>1</v>
      </c>
      <c r="U397" s="29">
        <f t="shared" ca="1" si="225"/>
        <v>0</v>
      </c>
      <c r="V397" s="29">
        <f t="shared" ca="1" si="225"/>
        <v>2</v>
      </c>
      <c r="W397" s="29">
        <f t="shared" ca="1" si="225"/>
        <v>0</v>
      </c>
      <c r="X397" s="29">
        <f t="shared" ca="1" si="225"/>
        <v>2</v>
      </c>
      <c r="Y397" s="29">
        <f t="shared" ca="1" si="225"/>
        <v>1</v>
      </c>
      <c r="Z397" s="29">
        <f t="shared" ca="1" si="225"/>
        <v>0</v>
      </c>
      <c r="AA397" s="29">
        <f t="shared" ca="1" si="225"/>
        <v>1</v>
      </c>
      <c r="AB397" s="29">
        <f t="shared" ca="1" si="225"/>
        <v>2</v>
      </c>
      <c r="AC397" s="29">
        <f t="shared" ca="1" si="225"/>
        <v>0</v>
      </c>
      <c r="AD397" s="29">
        <f t="shared" ca="1" si="225"/>
        <v>3</v>
      </c>
      <c r="AE397" s="29">
        <f t="shared" ca="1" si="225"/>
        <v>0</v>
      </c>
      <c r="AF397" s="29">
        <f t="shared" ca="1" si="225"/>
        <v>2</v>
      </c>
      <c r="AG397" s="29">
        <f t="shared" ca="1" si="224"/>
        <v>3</v>
      </c>
      <c r="AH397" s="29">
        <f t="shared" ca="1" si="224"/>
        <v>2</v>
      </c>
      <c r="AI397" s="29">
        <f t="shared" ca="1" si="224"/>
        <v>1</v>
      </c>
      <c r="AJ397" s="29">
        <f t="shared" ca="1" si="224"/>
        <v>0</v>
      </c>
      <c r="AK397" s="29">
        <f t="shared" ca="1" si="224"/>
        <v>1</v>
      </c>
      <c r="AL397" s="29">
        <f t="shared" ca="1" si="224"/>
        <v>0</v>
      </c>
      <c r="AM397" s="29">
        <f t="shared" ca="1" si="224"/>
        <v>0</v>
      </c>
      <c r="AN397" s="29">
        <f t="shared" ca="1" si="224"/>
        <v>3</v>
      </c>
      <c r="AO397" s="29">
        <f t="shared" ca="1" si="224"/>
        <v>0</v>
      </c>
      <c r="AP397" s="29">
        <f t="shared" ca="1" si="224"/>
        <v>3</v>
      </c>
      <c r="AQ397" s="29">
        <f t="shared" ca="1" si="224"/>
        <v>1</v>
      </c>
      <c r="AR397" s="29">
        <f t="shared" ca="1" si="224"/>
        <v>0</v>
      </c>
      <c r="AS397" s="29">
        <f t="shared" ca="1" si="224"/>
        <v>0</v>
      </c>
      <c r="AT397" s="29">
        <f t="shared" ca="1" si="224"/>
        <v>1</v>
      </c>
      <c r="AU397" s="29">
        <f t="shared" ca="1" si="224"/>
        <v>0</v>
      </c>
      <c r="AV397" s="29">
        <f t="shared" ref="AV397:BK412" ca="1" si="227">_xlfn.BINOM.INV(50,$E397,RAND())</f>
        <v>2</v>
      </c>
      <c r="AW397" s="29">
        <f t="shared" ca="1" si="227"/>
        <v>0</v>
      </c>
      <c r="AX397" s="29">
        <f t="shared" ca="1" si="227"/>
        <v>0</v>
      </c>
      <c r="AY397" s="29">
        <f t="shared" ca="1" si="227"/>
        <v>1</v>
      </c>
      <c r="AZ397" s="29">
        <f t="shared" ca="1" si="227"/>
        <v>0</v>
      </c>
      <c r="BA397" s="29">
        <f t="shared" ca="1" si="227"/>
        <v>3</v>
      </c>
      <c r="BB397" s="29">
        <f t="shared" ca="1" si="227"/>
        <v>1</v>
      </c>
      <c r="BC397" s="29">
        <f t="shared" ca="1" si="227"/>
        <v>0</v>
      </c>
      <c r="BD397" s="29">
        <f t="shared" ca="1" si="227"/>
        <v>2</v>
      </c>
      <c r="BE397" s="29">
        <f t="shared" ca="1" si="227"/>
        <v>1</v>
      </c>
      <c r="BF397" s="29">
        <f t="shared" ca="1" si="227"/>
        <v>0</v>
      </c>
      <c r="BG397" s="29">
        <f t="shared" ca="1" si="227"/>
        <v>0</v>
      </c>
      <c r="BH397" s="29">
        <f t="shared" ca="1" si="227"/>
        <v>1</v>
      </c>
      <c r="BI397" s="29">
        <f t="shared" ca="1" si="227"/>
        <v>0</v>
      </c>
      <c r="BJ397" s="29">
        <f t="shared" ca="1" si="227"/>
        <v>2</v>
      </c>
      <c r="BK397" s="29">
        <f t="shared" ca="1" si="227"/>
        <v>1</v>
      </c>
      <c r="BL397" s="29">
        <f t="shared" ca="1" si="226"/>
        <v>1</v>
      </c>
      <c r="BM397" s="29">
        <f t="shared" ca="1" si="226"/>
        <v>1</v>
      </c>
      <c r="BN397" s="29">
        <f t="shared" ca="1" si="226"/>
        <v>1</v>
      </c>
      <c r="BO397" s="29">
        <f t="shared" ca="1" si="226"/>
        <v>0</v>
      </c>
      <c r="BP397" s="29">
        <f t="shared" ca="1" si="226"/>
        <v>0</v>
      </c>
      <c r="BQ397" s="29">
        <f t="shared" ca="1" si="226"/>
        <v>0</v>
      </c>
      <c r="BR397" s="29">
        <f t="shared" ca="1" si="226"/>
        <v>0</v>
      </c>
      <c r="BS397" s="29">
        <f t="shared" ca="1" si="226"/>
        <v>0</v>
      </c>
      <c r="BT397" s="29">
        <f t="shared" ca="1" si="226"/>
        <v>1</v>
      </c>
      <c r="BU397" s="29">
        <f t="shared" ca="1" si="226"/>
        <v>1</v>
      </c>
      <c r="BV397" s="29">
        <f t="shared" ca="1" si="226"/>
        <v>0</v>
      </c>
      <c r="BW397" s="29">
        <f t="shared" ca="1" si="226"/>
        <v>3</v>
      </c>
      <c r="BX397" s="29">
        <f t="shared" ca="1" si="226"/>
        <v>1</v>
      </c>
      <c r="BY397" s="29">
        <f t="shared" ca="1" si="226"/>
        <v>1</v>
      </c>
      <c r="BZ397" s="29">
        <f t="shared" ca="1" si="226"/>
        <v>1</v>
      </c>
      <c r="CA397" s="29">
        <f t="shared" ca="1" si="223"/>
        <v>0</v>
      </c>
      <c r="CB397" s="29">
        <f t="shared" ca="1" si="223"/>
        <v>3</v>
      </c>
      <c r="CC397" s="29">
        <f t="shared" ca="1" si="223"/>
        <v>1</v>
      </c>
      <c r="CD397" s="29">
        <f t="shared" ca="1" si="223"/>
        <v>1</v>
      </c>
      <c r="CE397" s="29">
        <f t="shared" ca="1" si="223"/>
        <v>0</v>
      </c>
      <c r="CF397" s="29">
        <f t="shared" ca="1" si="223"/>
        <v>3</v>
      </c>
      <c r="CG397" s="29">
        <f t="shared" ca="1" si="223"/>
        <v>0</v>
      </c>
      <c r="CH397" s="29">
        <f t="shared" ca="1" si="223"/>
        <v>1</v>
      </c>
      <c r="CI397" s="29">
        <f t="shared" ca="1" si="223"/>
        <v>1</v>
      </c>
      <c r="CJ397" s="29">
        <f t="shared" ca="1" si="223"/>
        <v>0</v>
      </c>
      <c r="CK397" s="29">
        <f t="shared" ca="1" si="223"/>
        <v>0</v>
      </c>
      <c r="CL397" s="29">
        <f t="shared" ca="1" si="223"/>
        <v>0</v>
      </c>
      <c r="CM397" s="29">
        <f t="shared" ca="1" si="223"/>
        <v>1</v>
      </c>
      <c r="CN397" s="29">
        <f t="shared" ca="1" si="223"/>
        <v>1</v>
      </c>
      <c r="CO397" s="29">
        <f t="shared" ca="1" si="223"/>
        <v>1</v>
      </c>
      <c r="CP397" s="29">
        <f t="shared" ca="1" si="223"/>
        <v>0</v>
      </c>
      <c r="CQ397" s="29">
        <f t="shared" ca="1" si="222"/>
        <v>0</v>
      </c>
      <c r="CR397" s="29">
        <f t="shared" ca="1" si="222"/>
        <v>1</v>
      </c>
      <c r="CS397" s="29">
        <f t="shared" ca="1" si="222"/>
        <v>1</v>
      </c>
      <c r="CT397" s="29">
        <f t="shared" ca="1" si="222"/>
        <v>3</v>
      </c>
      <c r="CU397" s="29">
        <f t="shared" ca="1" si="222"/>
        <v>0</v>
      </c>
      <c r="CV397" s="29">
        <f t="shared" ca="1" si="222"/>
        <v>1</v>
      </c>
      <c r="CW397" s="29">
        <f t="shared" ca="1" si="222"/>
        <v>0</v>
      </c>
      <c r="CX397" s="29">
        <f t="shared" ca="1" si="222"/>
        <v>2</v>
      </c>
      <c r="CY397" s="29">
        <f t="shared" ca="1" si="222"/>
        <v>0</v>
      </c>
      <c r="CZ397" s="29">
        <f t="shared" ca="1" si="222"/>
        <v>1</v>
      </c>
      <c r="DA397" s="29">
        <f t="shared" ca="1" si="222"/>
        <v>2</v>
      </c>
      <c r="DB397" s="29">
        <f t="shared" ca="1" si="222"/>
        <v>0</v>
      </c>
      <c r="DC397" s="29">
        <f t="shared" ca="1" si="222"/>
        <v>1</v>
      </c>
      <c r="DD397" s="29">
        <f t="shared" ca="1" si="222"/>
        <v>0</v>
      </c>
      <c r="DE397" s="29">
        <f t="shared" ca="1" si="222"/>
        <v>1</v>
      </c>
      <c r="DF397" s="29">
        <f t="shared" ca="1" si="213"/>
        <v>2</v>
      </c>
      <c r="DG397" s="29">
        <f t="shared" ca="1" si="213"/>
        <v>1</v>
      </c>
      <c r="DH397" s="29">
        <f t="shared" ca="1" si="213"/>
        <v>0</v>
      </c>
      <c r="DI397" s="29">
        <f t="shared" ca="1" si="213"/>
        <v>1</v>
      </c>
      <c r="DJ397" s="29">
        <f t="shared" ca="1" si="213"/>
        <v>2</v>
      </c>
      <c r="DK397" s="29">
        <f t="shared" ca="1" si="213"/>
        <v>0</v>
      </c>
      <c r="DL397" s="29">
        <f t="shared" ca="1" si="213"/>
        <v>0</v>
      </c>
    </row>
    <row r="398" spans="1:116" ht="14.4" x14ac:dyDescent="0.3">
      <c r="A398" s="31">
        <v>81</v>
      </c>
      <c r="B398" s="28">
        <v>1.6</v>
      </c>
      <c r="C398" s="30">
        <v>47.27</v>
      </c>
      <c r="D398" s="28">
        <v>0.36</v>
      </c>
      <c r="E398" s="34">
        <f t="shared" si="215"/>
        <v>7.1999999999999998E-3</v>
      </c>
      <c r="F398" s="35">
        <f t="shared" si="216"/>
        <v>11.817500000000001</v>
      </c>
      <c r="G398" s="34">
        <f t="shared" si="217"/>
        <v>9</v>
      </c>
      <c r="H398" s="33">
        <f t="shared" si="218"/>
        <v>-1.7609375000000005</v>
      </c>
      <c r="I398" s="28">
        <f t="shared" si="221"/>
        <v>1591.0100000000007</v>
      </c>
      <c r="J398" s="32">
        <v>0</v>
      </c>
      <c r="K398" s="30">
        <f t="shared" si="219"/>
        <v>9</v>
      </c>
      <c r="L398" s="30"/>
      <c r="M398" s="30"/>
      <c r="N398" s="30"/>
      <c r="O398" s="30"/>
      <c r="Q398" s="29">
        <f t="shared" ca="1" si="220"/>
        <v>0</v>
      </c>
      <c r="R398" s="29">
        <f t="shared" ca="1" si="225"/>
        <v>0</v>
      </c>
      <c r="S398" s="29">
        <f t="shared" ca="1" si="225"/>
        <v>0</v>
      </c>
      <c r="T398" s="29">
        <f t="shared" ca="1" si="225"/>
        <v>1</v>
      </c>
      <c r="U398" s="29">
        <f t="shared" ca="1" si="225"/>
        <v>0</v>
      </c>
      <c r="V398" s="29">
        <f t="shared" ca="1" si="225"/>
        <v>0</v>
      </c>
      <c r="W398" s="29">
        <f t="shared" ca="1" si="225"/>
        <v>1</v>
      </c>
      <c r="X398" s="29">
        <f t="shared" ca="1" si="225"/>
        <v>0</v>
      </c>
      <c r="Y398" s="29">
        <f t="shared" ca="1" si="225"/>
        <v>0</v>
      </c>
      <c r="Z398" s="29">
        <f t="shared" ca="1" si="225"/>
        <v>0</v>
      </c>
      <c r="AA398" s="29">
        <f t="shared" ca="1" si="225"/>
        <v>1</v>
      </c>
      <c r="AB398" s="29">
        <f t="shared" ca="1" si="225"/>
        <v>0</v>
      </c>
      <c r="AC398" s="29">
        <f t="shared" ca="1" si="225"/>
        <v>0</v>
      </c>
      <c r="AD398" s="29">
        <f t="shared" ca="1" si="225"/>
        <v>1</v>
      </c>
      <c r="AE398" s="29">
        <f t="shared" ca="1" si="225"/>
        <v>0</v>
      </c>
      <c r="AF398" s="29">
        <f t="shared" ca="1" si="225"/>
        <v>0</v>
      </c>
      <c r="AG398" s="29">
        <f t="shared" ca="1" si="224"/>
        <v>0</v>
      </c>
      <c r="AH398" s="29">
        <f t="shared" ca="1" si="224"/>
        <v>0</v>
      </c>
      <c r="AI398" s="29">
        <f t="shared" ca="1" si="224"/>
        <v>0</v>
      </c>
      <c r="AJ398" s="29">
        <f t="shared" ca="1" si="224"/>
        <v>0</v>
      </c>
      <c r="AK398" s="29">
        <f t="shared" ca="1" si="224"/>
        <v>0</v>
      </c>
      <c r="AL398" s="29">
        <f t="shared" ca="1" si="224"/>
        <v>0</v>
      </c>
      <c r="AM398" s="29">
        <f t="shared" ca="1" si="224"/>
        <v>0</v>
      </c>
      <c r="AN398" s="29">
        <f t="shared" ca="1" si="224"/>
        <v>0</v>
      </c>
      <c r="AO398" s="29">
        <f t="shared" ca="1" si="224"/>
        <v>1</v>
      </c>
      <c r="AP398" s="29">
        <f t="shared" ca="1" si="224"/>
        <v>0</v>
      </c>
      <c r="AQ398" s="29">
        <f t="shared" ca="1" si="224"/>
        <v>0</v>
      </c>
      <c r="AR398" s="29">
        <f t="shared" ca="1" si="224"/>
        <v>0</v>
      </c>
      <c r="AS398" s="29">
        <f t="shared" ca="1" si="224"/>
        <v>1</v>
      </c>
      <c r="AT398" s="29">
        <f t="shared" ca="1" si="224"/>
        <v>0</v>
      </c>
      <c r="AU398" s="29">
        <f t="shared" ca="1" si="224"/>
        <v>0</v>
      </c>
      <c r="AV398" s="29">
        <f t="shared" ca="1" si="227"/>
        <v>0</v>
      </c>
      <c r="AW398" s="29">
        <f t="shared" ca="1" si="227"/>
        <v>0</v>
      </c>
      <c r="AX398" s="29">
        <f t="shared" ca="1" si="227"/>
        <v>0</v>
      </c>
      <c r="AY398" s="29">
        <f t="shared" ca="1" si="227"/>
        <v>0</v>
      </c>
      <c r="AZ398" s="29">
        <f t="shared" ca="1" si="227"/>
        <v>0</v>
      </c>
      <c r="BA398" s="29">
        <f t="shared" ca="1" si="227"/>
        <v>0</v>
      </c>
      <c r="BB398" s="29">
        <f t="shared" ca="1" si="227"/>
        <v>0</v>
      </c>
      <c r="BC398" s="29">
        <f t="shared" ca="1" si="227"/>
        <v>0</v>
      </c>
      <c r="BD398" s="29">
        <f t="shared" ca="1" si="227"/>
        <v>1</v>
      </c>
      <c r="BE398" s="29">
        <f t="shared" ca="1" si="227"/>
        <v>0</v>
      </c>
      <c r="BF398" s="29">
        <f t="shared" ca="1" si="227"/>
        <v>0</v>
      </c>
      <c r="BG398" s="29">
        <f t="shared" ca="1" si="227"/>
        <v>0</v>
      </c>
      <c r="BH398" s="29">
        <f t="shared" ca="1" si="227"/>
        <v>0</v>
      </c>
      <c r="BI398" s="29">
        <f t="shared" ca="1" si="227"/>
        <v>1</v>
      </c>
      <c r="BJ398" s="29">
        <f t="shared" ca="1" si="227"/>
        <v>1</v>
      </c>
      <c r="BK398" s="29">
        <f t="shared" ca="1" si="227"/>
        <v>1</v>
      </c>
      <c r="BL398" s="29">
        <f t="shared" ca="1" si="226"/>
        <v>0</v>
      </c>
      <c r="BM398" s="29">
        <f t="shared" ca="1" si="226"/>
        <v>0</v>
      </c>
      <c r="BN398" s="29">
        <f t="shared" ca="1" si="226"/>
        <v>0</v>
      </c>
      <c r="BO398" s="29">
        <f t="shared" ca="1" si="226"/>
        <v>0</v>
      </c>
      <c r="BP398" s="29">
        <f t="shared" ca="1" si="226"/>
        <v>0</v>
      </c>
      <c r="BQ398" s="29">
        <f t="shared" ca="1" si="226"/>
        <v>0</v>
      </c>
      <c r="BR398" s="29">
        <f t="shared" ca="1" si="226"/>
        <v>0</v>
      </c>
      <c r="BS398" s="29">
        <f t="shared" ca="1" si="226"/>
        <v>1</v>
      </c>
      <c r="BT398" s="29">
        <f t="shared" ca="1" si="226"/>
        <v>0</v>
      </c>
      <c r="BU398" s="29">
        <f t="shared" ca="1" si="226"/>
        <v>0</v>
      </c>
      <c r="BV398" s="29">
        <f t="shared" ca="1" si="226"/>
        <v>0</v>
      </c>
      <c r="BW398" s="29">
        <f t="shared" ca="1" si="226"/>
        <v>0</v>
      </c>
      <c r="BX398" s="29">
        <f t="shared" ca="1" si="226"/>
        <v>0</v>
      </c>
      <c r="BY398" s="29">
        <f t="shared" ca="1" si="226"/>
        <v>0</v>
      </c>
      <c r="BZ398" s="29">
        <f t="shared" ca="1" si="226"/>
        <v>1</v>
      </c>
      <c r="CA398" s="29">
        <f t="shared" ca="1" si="223"/>
        <v>1</v>
      </c>
      <c r="CB398" s="29">
        <f t="shared" ca="1" si="223"/>
        <v>0</v>
      </c>
      <c r="CC398" s="29">
        <f t="shared" ca="1" si="223"/>
        <v>0</v>
      </c>
      <c r="CD398" s="29">
        <f t="shared" ca="1" si="223"/>
        <v>0</v>
      </c>
      <c r="CE398" s="29">
        <f t="shared" ca="1" si="223"/>
        <v>1</v>
      </c>
      <c r="CF398" s="29">
        <f t="shared" ca="1" si="223"/>
        <v>1</v>
      </c>
      <c r="CG398" s="29">
        <f t="shared" ca="1" si="223"/>
        <v>0</v>
      </c>
      <c r="CH398" s="29">
        <f t="shared" ca="1" si="223"/>
        <v>0</v>
      </c>
      <c r="CI398" s="29">
        <f t="shared" ca="1" si="223"/>
        <v>1</v>
      </c>
      <c r="CJ398" s="29">
        <f t="shared" ca="1" si="223"/>
        <v>0</v>
      </c>
      <c r="CK398" s="29">
        <f t="shared" ca="1" si="223"/>
        <v>0</v>
      </c>
      <c r="CL398" s="29">
        <f t="shared" ca="1" si="223"/>
        <v>0</v>
      </c>
      <c r="CM398" s="29">
        <f t="shared" ca="1" si="223"/>
        <v>0</v>
      </c>
      <c r="CN398" s="29">
        <f t="shared" ca="1" si="223"/>
        <v>1</v>
      </c>
      <c r="CO398" s="29">
        <f t="shared" ca="1" si="223"/>
        <v>0</v>
      </c>
      <c r="CP398" s="29">
        <f t="shared" ca="1" si="223"/>
        <v>0</v>
      </c>
      <c r="CQ398" s="29">
        <f t="shared" ca="1" si="222"/>
        <v>0</v>
      </c>
      <c r="CR398" s="29">
        <f t="shared" ca="1" si="222"/>
        <v>1</v>
      </c>
      <c r="CS398" s="29">
        <f t="shared" ca="1" si="222"/>
        <v>0</v>
      </c>
      <c r="CT398" s="29">
        <f t="shared" ca="1" si="222"/>
        <v>1</v>
      </c>
      <c r="CU398" s="29">
        <f t="shared" ca="1" si="222"/>
        <v>1</v>
      </c>
      <c r="CV398" s="29">
        <f t="shared" ca="1" si="222"/>
        <v>1</v>
      </c>
      <c r="CW398" s="29">
        <f t="shared" ca="1" si="222"/>
        <v>0</v>
      </c>
      <c r="CX398" s="29">
        <f t="shared" ca="1" si="222"/>
        <v>0</v>
      </c>
      <c r="CY398" s="29">
        <f t="shared" ca="1" si="222"/>
        <v>1</v>
      </c>
      <c r="CZ398" s="29">
        <f t="shared" ca="1" si="222"/>
        <v>0</v>
      </c>
      <c r="DA398" s="29">
        <f t="shared" ca="1" si="222"/>
        <v>0</v>
      </c>
      <c r="DB398" s="29">
        <f t="shared" ca="1" si="222"/>
        <v>0</v>
      </c>
      <c r="DC398" s="29">
        <f t="shared" ca="1" si="222"/>
        <v>0</v>
      </c>
      <c r="DD398" s="29">
        <f t="shared" ca="1" si="222"/>
        <v>0</v>
      </c>
      <c r="DE398" s="29">
        <f t="shared" ca="1" si="222"/>
        <v>0</v>
      </c>
      <c r="DF398" s="29">
        <f t="shared" ca="1" si="213"/>
        <v>0</v>
      </c>
      <c r="DG398" s="29">
        <f t="shared" ca="1" si="213"/>
        <v>1</v>
      </c>
      <c r="DH398" s="29">
        <f t="shared" ca="1" si="213"/>
        <v>0</v>
      </c>
      <c r="DI398" s="29">
        <f t="shared" ca="1" si="213"/>
        <v>0</v>
      </c>
      <c r="DJ398" s="29">
        <f t="shared" ca="1" si="213"/>
        <v>2</v>
      </c>
      <c r="DK398" s="29">
        <f t="shared" ca="1" si="213"/>
        <v>0</v>
      </c>
      <c r="DL398" s="29">
        <f t="shared" ca="1" si="213"/>
        <v>0</v>
      </c>
    </row>
    <row r="399" spans="1:116" ht="14.4" x14ac:dyDescent="0.3">
      <c r="A399" s="31">
        <v>258</v>
      </c>
      <c r="B399" s="28">
        <v>2.4900000000000002</v>
      </c>
      <c r="C399" s="30">
        <v>75.930000000000007</v>
      </c>
      <c r="D399" s="28">
        <v>0.56000000000000005</v>
      </c>
      <c r="E399" s="34">
        <f t="shared" si="215"/>
        <v>1.1200000000000002E-2</v>
      </c>
      <c r="F399" s="35">
        <f t="shared" si="216"/>
        <v>18.982500000000002</v>
      </c>
      <c r="G399" s="34">
        <f t="shared" si="217"/>
        <v>14.000000000000002</v>
      </c>
      <c r="H399" s="33">
        <f t="shared" si="218"/>
        <v>-2.001004016064257</v>
      </c>
      <c r="I399" s="28">
        <f t="shared" si="221"/>
        <v>1593.5000000000007</v>
      </c>
      <c r="J399" s="32">
        <v>0</v>
      </c>
      <c r="K399" s="30">
        <f t="shared" si="219"/>
        <v>14.000000000000002</v>
      </c>
      <c r="L399" s="30"/>
      <c r="M399" s="30"/>
      <c r="N399" s="30"/>
      <c r="O399" s="30"/>
      <c r="Q399" s="29">
        <f t="shared" ca="1" si="220"/>
        <v>2</v>
      </c>
      <c r="R399" s="29">
        <f t="shared" ca="1" si="225"/>
        <v>0</v>
      </c>
      <c r="S399" s="29">
        <f t="shared" ca="1" si="225"/>
        <v>2</v>
      </c>
      <c r="T399" s="29">
        <f t="shared" ca="1" si="225"/>
        <v>0</v>
      </c>
      <c r="U399" s="29">
        <f t="shared" ca="1" si="225"/>
        <v>0</v>
      </c>
      <c r="V399" s="29">
        <f t="shared" ca="1" si="225"/>
        <v>1</v>
      </c>
      <c r="W399" s="29">
        <f t="shared" ca="1" si="225"/>
        <v>0</v>
      </c>
      <c r="X399" s="29">
        <f t="shared" ca="1" si="225"/>
        <v>1</v>
      </c>
      <c r="Y399" s="29">
        <f t="shared" ca="1" si="225"/>
        <v>2</v>
      </c>
      <c r="Z399" s="29">
        <f t="shared" ca="1" si="225"/>
        <v>3</v>
      </c>
      <c r="AA399" s="29">
        <f t="shared" ca="1" si="225"/>
        <v>0</v>
      </c>
      <c r="AB399" s="29">
        <f t="shared" ca="1" si="225"/>
        <v>0</v>
      </c>
      <c r="AC399" s="29">
        <f t="shared" ca="1" si="225"/>
        <v>0</v>
      </c>
      <c r="AD399" s="29">
        <f t="shared" ca="1" si="225"/>
        <v>0</v>
      </c>
      <c r="AE399" s="29">
        <f t="shared" ca="1" si="225"/>
        <v>1</v>
      </c>
      <c r="AF399" s="29">
        <f t="shared" ca="1" si="225"/>
        <v>1</v>
      </c>
      <c r="AG399" s="29">
        <f t="shared" ca="1" si="224"/>
        <v>1</v>
      </c>
      <c r="AH399" s="29">
        <f t="shared" ca="1" si="224"/>
        <v>1</v>
      </c>
      <c r="AI399" s="29">
        <f t="shared" ca="1" si="224"/>
        <v>0</v>
      </c>
      <c r="AJ399" s="29">
        <f t="shared" ca="1" si="224"/>
        <v>1</v>
      </c>
      <c r="AK399" s="29">
        <f t="shared" ca="1" si="224"/>
        <v>0</v>
      </c>
      <c r="AL399" s="29">
        <f t="shared" ca="1" si="224"/>
        <v>0</v>
      </c>
      <c r="AM399" s="29">
        <f t="shared" ca="1" si="224"/>
        <v>2</v>
      </c>
      <c r="AN399" s="29">
        <f t="shared" ca="1" si="224"/>
        <v>1</v>
      </c>
      <c r="AO399" s="29">
        <f t="shared" ca="1" si="224"/>
        <v>0</v>
      </c>
      <c r="AP399" s="29">
        <f t="shared" ca="1" si="224"/>
        <v>0</v>
      </c>
      <c r="AQ399" s="29">
        <f t="shared" ca="1" si="224"/>
        <v>2</v>
      </c>
      <c r="AR399" s="29">
        <f t="shared" ca="1" si="224"/>
        <v>0</v>
      </c>
      <c r="AS399" s="29">
        <f t="shared" ca="1" si="224"/>
        <v>1</v>
      </c>
      <c r="AT399" s="29">
        <f t="shared" ca="1" si="224"/>
        <v>0</v>
      </c>
      <c r="AU399" s="29">
        <f t="shared" ca="1" si="224"/>
        <v>0</v>
      </c>
      <c r="AV399" s="29">
        <f t="shared" ca="1" si="227"/>
        <v>1</v>
      </c>
      <c r="AW399" s="29">
        <f t="shared" ca="1" si="227"/>
        <v>0</v>
      </c>
      <c r="AX399" s="29">
        <f t="shared" ca="1" si="227"/>
        <v>0</v>
      </c>
      <c r="AY399" s="29">
        <f t="shared" ca="1" si="227"/>
        <v>0</v>
      </c>
      <c r="AZ399" s="29">
        <f t="shared" ca="1" si="227"/>
        <v>0</v>
      </c>
      <c r="BA399" s="29">
        <f t="shared" ca="1" si="227"/>
        <v>1</v>
      </c>
      <c r="BB399" s="29">
        <f t="shared" ca="1" si="227"/>
        <v>0</v>
      </c>
      <c r="BC399" s="29">
        <f t="shared" ca="1" si="227"/>
        <v>1</v>
      </c>
      <c r="BD399" s="29">
        <f t="shared" ca="1" si="227"/>
        <v>0</v>
      </c>
      <c r="BE399" s="29">
        <f t="shared" ca="1" si="227"/>
        <v>2</v>
      </c>
      <c r="BF399" s="29">
        <f t="shared" ca="1" si="227"/>
        <v>1</v>
      </c>
      <c r="BG399" s="29">
        <f t="shared" ca="1" si="227"/>
        <v>1</v>
      </c>
      <c r="BH399" s="29">
        <f t="shared" ca="1" si="227"/>
        <v>1</v>
      </c>
      <c r="BI399" s="29">
        <f t="shared" ca="1" si="227"/>
        <v>1</v>
      </c>
      <c r="BJ399" s="29">
        <f t="shared" ca="1" si="227"/>
        <v>1</v>
      </c>
      <c r="BK399" s="29">
        <f t="shared" ca="1" si="227"/>
        <v>0</v>
      </c>
      <c r="BL399" s="29">
        <f t="shared" ca="1" si="226"/>
        <v>1</v>
      </c>
      <c r="BM399" s="29">
        <f t="shared" ca="1" si="226"/>
        <v>0</v>
      </c>
      <c r="BN399" s="29">
        <f t="shared" ca="1" si="226"/>
        <v>0</v>
      </c>
      <c r="BO399" s="29">
        <f t="shared" ca="1" si="226"/>
        <v>1</v>
      </c>
      <c r="BP399" s="29">
        <f t="shared" ca="1" si="226"/>
        <v>1</v>
      </c>
      <c r="BQ399" s="29">
        <f t="shared" ca="1" si="226"/>
        <v>2</v>
      </c>
      <c r="BR399" s="29">
        <f t="shared" ca="1" si="226"/>
        <v>0</v>
      </c>
      <c r="BS399" s="29">
        <f t="shared" ca="1" si="226"/>
        <v>3</v>
      </c>
      <c r="BT399" s="29">
        <f t="shared" ca="1" si="226"/>
        <v>1</v>
      </c>
      <c r="BU399" s="29">
        <f t="shared" ca="1" si="226"/>
        <v>1</v>
      </c>
      <c r="BV399" s="29">
        <f t="shared" ca="1" si="226"/>
        <v>0</v>
      </c>
      <c r="BW399" s="29">
        <f t="shared" ca="1" si="226"/>
        <v>0</v>
      </c>
      <c r="BX399" s="29">
        <f t="shared" ca="1" si="226"/>
        <v>0</v>
      </c>
      <c r="BY399" s="29">
        <f t="shared" ca="1" si="226"/>
        <v>0</v>
      </c>
      <c r="BZ399" s="29">
        <f t="shared" ca="1" si="226"/>
        <v>1</v>
      </c>
      <c r="CA399" s="29">
        <f t="shared" ca="1" si="223"/>
        <v>1</v>
      </c>
      <c r="CB399" s="29">
        <f t="shared" ca="1" si="223"/>
        <v>0</v>
      </c>
      <c r="CC399" s="29">
        <f t="shared" ca="1" si="223"/>
        <v>0</v>
      </c>
      <c r="CD399" s="29">
        <f t="shared" ca="1" si="223"/>
        <v>1</v>
      </c>
      <c r="CE399" s="29">
        <f t="shared" ca="1" si="223"/>
        <v>0</v>
      </c>
      <c r="CF399" s="29">
        <f t="shared" ca="1" si="223"/>
        <v>0</v>
      </c>
      <c r="CG399" s="29">
        <f t="shared" ca="1" si="223"/>
        <v>2</v>
      </c>
      <c r="CH399" s="29">
        <f t="shared" ca="1" si="223"/>
        <v>0</v>
      </c>
      <c r="CI399" s="29">
        <f t="shared" ca="1" si="223"/>
        <v>0</v>
      </c>
      <c r="CJ399" s="29">
        <f t="shared" ca="1" si="223"/>
        <v>2</v>
      </c>
      <c r="CK399" s="29">
        <f t="shared" ca="1" si="223"/>
        <v>0</v>
      </c>
      <c r="CL399" s="29">
        <f t="shared" ca="1" si="223"/>
        <v>2</v>
      </c>
      <c r="CM399" s="29">
        <f t="shared" ca="1" si="223"/>
        <v>0</v>
      </c>
      <c r="CN399" s="29">
        <f t="shared" ca="1" si="223"/>
        <v>0</v>
      </c>
      <c r="CO399" s="29">
        <f t="shared" ca="1" si="223"/>
        <v>0</v>
      </c>
      <c r="CP399" s="29">
        <f t="shared" ca="1" si="223"/>
        <v>2</v>
      </c>
      <c r="CQ399" s="29">
        <f t="shared" ca="1" si="222"/>
        <v>0</v>
      </c>
      <c r="CR399" s="29">
        <f t="shared" ca="1" si="222"/>
        <v>0</v>
      </c>
      <c r="CS399" s="29">
        <f t="shared" ca="1" si="222"/>
        <v>0</v>
      </c>
      <c r="CT399" s="29">
        <f t="shared" ca="1" si="222"/>
        <v>1</v>
      </c>
      <c r="CU399" s="29">
        <f t="shared" ca="1" si="222"/>
        <v>0</v>
      </c>
      <c r="CV399" s="29">
        <f t="shared" ca="1" si="222"/>
        <v>0</v>
      </c>
      <c r="CW399" s="29">
        <f t="shared" ca="1" si="222"/>
        <v>1</v>
      </c>
      <c r="CX399" s="29">
        <f t="shared" ca="1" si="222"/>
        <v>0</v>
      </c>
      <c r="CY399" s="29">
        <f t="shared" ca="1" si="222"/>
        <v>0</v>
      </c>
      <c r="CZ399" s="29">
        <f t="shared" ca="1" si="222"/>
        <v>0</v>
      </c>
      <c r="DA399" s="29">
        <f t="shared" ca="1" si="222"/>
        <v>2</v>
      </c>
      <c r="DB399" s="29">
        <f t="shared" ca="1" si="222"/>
        <v>0</v>
      </c>
      <c r="DC399" s="29">
        <f t="shared" ca="1" si="222"/>
        <v>1</v>
      </c>
      <c r="DD399" s="29">
        <f t="shared" ca="1" si="222"/>
        <v>3</v>
      </c>
      <c r="DE399" s="29">
        <f t="shared" ca="1" si="222"/>
        <v>0</v>
      </c>
      <c r="DF399" s="29">
        <f t="shared" ca="1" si="213"/>
        <v>1</v>
      </c>
      <c r="DG399" s="29">
        <f t="shared" ca="1" si="213"/>
        <v>1</v>
      </c>
      <c r="DH399" s="29">
        <f t="shared" ca="1" si="213"/>
        <v>2</v>
      </c>
      <c r="DI399" s="29">
        <f t="shared" ca="1" si="213"/>
        <v>0</v>
      </c>
      <c r="DJ399" s="29">
        <f t="shared" ca="1" si="213"/>
        <v>1</v>
      </c>
      <c r="DK399" s="29">
        <f t="shared" ca="1" si="213"/>
        <v>0</v>
      </c>
      <c r="DL399" s="29">
        <f t="shared" ca="1" si="213"/>
        <v>2</v>
      </c>
    </row>
    <row r="400" spans="1:116" ht="14.4" x14ac:dyDescent="0.3">
      <c r="A400" s="31">
        <v>1018</v>
      </c>
      <c r="B400" s="28">
        <v>2.2200000000000002</v>
      </c>
      <c r="C400" s="30">
        <v>79.040000000000006</v>
      </c>
      <c r="D400" s="28">
        <v>0.61</v>
      </c>
      <c r="E400" s="34">
        <f t="shared" si="215"/>
        <v>1.2199999999999999E-2</v>
      </c>
      <c r="F400" s="35">
        <f t="shared" si="216"/>
        <v>19.760000000000002</v>
      </c>
      <c r="G400" s="34">
        <f t="shared" si="217"/>
        <v>15.25</v>
      </c>
      <c r="H400" s="33">
        <f t="shared" si="218"/>
        <v>-2.0315315315315319</v>
      </c>
      <c r="I400" s="28">
        <f t="shared" si="221"/>
        <v>1595.7200000000007</v>
      </c>
      <c r="J400" s="32">
        <v>0</v>
      </c>
      <c r="K400" s="30">
        <f t="shared" si="219"/>
        <v>15.25</v>
      </c>
      <c r="L400" s="30"/>
      <c r="M400" s="30"/>
      <c r="N400" s="30"/>
      <c r="O400" s="30"/>
      <c r="Q400" s="29">
        <f t="shared" ca="1" si="220"/>
        <v>0</v>
      </c>
      <c r="R400" s="29">
        <f t="shared" ca="1" si="225"/>
        <v>0</v>
      </c>
      <c r="S400" s="29">
        <f t="shared" ca="1" si="225"/>
        <v>0</v>
      </c>
      <c r="T400" s="29">
        <f t="shared" ca="1" si="225"/>
        <v>0</v>
      </c>
      <c r="U400" s="29">
        <f t="shared" ca="1" si="225"/>
        <v>0</v>
      </c>
      <c r="V400" s="29">
        <f t="shared" ca="1" si="225"/>
        <v>1</v>
      </c>
      <c r="W400" s="29">
        <f t="shared" ca="1" si="225"/>
        <v>0</v>
      </c>
      <c r="X400" s="29">
        <f t="shared" ca="1" si="225"/>
        <v>0</v>
      </c>
      <c r="Y400" s="29">
        <f t="shared" ca="1" si="225"/>
        <v>1</v>
      </c>
      <c r="Z400" s="29">
        <f t="shared" ca="1" si="225"/>
        <v>0</v>
      </c>
      <c r="AA400" s="29">
        <f t="shared" ca="1" si="225"/>
        <v>0</v>
      </c>
      <c r="AB400" s="29">
        <f t="shared" ca="1" si="225"/>
        <v>0</v>
      </c>
      <c r="AC400" s="29">
        <f t="shared" ca="1" si="225"/>
        <v>0</v>
      </c>
      <c r="AD400" s="29">
        <f t="shared" ca="1" si="225"/>
        <v>0</v>
      </c>
      <c r="AE400" s="29">
        <f t="shared" ca="1" si="225"/>
        <v>0</v>
      </c>
      <c r="AF400" s="29">
        <f t="shared" ca="1" si="225"/>
        <v>1</v>
      </c>
      <c r="AG400" s="29">
        <f t="shared" ca="1" si="224"/>
        <v>0</v>
      </c>
      <c r="AH400" s="29">
        <f t="shared" ca="1" si="224"/>
        <v>0</v>
      </c>
      <c r="AI400" s="29">
        <f t="shared" ca="1" si="224"/>
        <v>0</v>
      </c>
      <c r="AJ400" s="29">
        <f t="shared" ca="1" si="224"/>
        <v>0</v>
      </c>
      <c r="AK400" s="29">
        <f t="shared" ca="1" si="224"/>
        <v>1</v>
      </c>
      <c r="AL400" s="29">
        <f t="shared" ca="1" si="224"/>
        <v>1</v>
      </c>
      <c r="AM400" s="29">
        <f t="shared" ca="1" si="224"/>
        <v>0</v>
      </c>
      <c r="AN400" s="29">
        <f t="shared" ca="1" si="224"/>
        <v>0</v>
      </c>
      <c r="AO400" s="29">
        <f t="shared" ca="1" si="224"/>
        <v>1</v>
      </c>
      <c r="AP400" s="29">
        <f t="shared" ca="1" si="224"/>
        <v>0</v>
      </c>
      <c r="AQ400" s="29">
        <f t="shared" ca="1" si="224"/>
        <v>1</v>
      </c>
      <c r="AR400" s="29">
        <f t="shared" ca="1" si="224"/>
        <v>0</v>
      </c>
      <c r="AS400" s="29">
        <f t="shared" ca="1" si="224"/>
        <v>1</v>
      </c>
      <c r="AT400" s="29">
        <f t="shared" ca="1" si="224"/>
        <v>1</v>
      </c>
      <c r="AU400" s="29">
        <f t="shared" ca="1" si="224"/>
        <v>0</v>
      </c>
      <c r="AV400" s="29">
        <f t="shared" ca="1" si="227"/>
        <v>0</v>
      </c>
      <c r="AW400" s="29">
        <f t="shared" ca="1" si="227"/>
        <v>3</v>
      </c>
      <c r="AX400" s="29">
        <f t="shared" ca="1" si="227"/>
        <v>1</v>
      </c>
      <c r="AY400" s="29">
        <f t="shared" ca="1" si="227"/>
        <v>1</v>
      </c>
      <c r="AZ400" s="29">
        <f t="shared" ca="1" si="227"/>
        <v>0</v>
      </c>
      <c r="BA400" s="29">
        <f t="shared" ca="1" si="227"/>
        <v>0</v>
      </c>
      <c r="BB400" s="29">
        <f t="shared" ca="1" si="227"/>
        <v>2</v>
      </c>
      <c r="BC400" s="29">
        <f t="shared" ca="1" si="227"/>
        <v>0</v>
      </c>
      <c r="BD400" s="29">
        <f t="shared" ca="1" si="227"/>
        <v>0</v>
      </c>
      <c r="BE400" s="29">
        <f t="shared" ca="1" si="227"/>
        <v>1</v>
      </c>
      <c r="BF400" s="29">
        <f t="shared" ca="1" si="227"/>
        <v>0</v>
      </c>
      <c r="BG400" s="29">
        <f t="shared" ca="1" si="227"/>
        <v>0</v>
      </c>
      <c r="BH400" s="29">
        <f t="shared" ca="1" si="227"/>
        <v>2</v>
      </c>
      <c r="BI400" s="29">
        <f t="shared" ca="1" si="227"/>
        <v>1</v>
      </c>
      <c r="BJ400" s="29">
        <f t="shared" ca="1" si="227"/>
        <v>0</v>
      </c>
      <c r="BK400" s="29">
        <f t="shared" ca="1" si="227"/>
        <v>2</v>
      </c>
      <c r="BL400" s="29">
        <f t="shared" ca="1" si="226"/>
        <v>0</v>
      </c>
      <c r="BM400" s="29">
        <f t="shared" ca="1" si="226"/>
        <v>2</v>
      </c>
      <c r="BN400" s="29">
        <f t="shared" ca="1" si="226"/>
        <v>0</v>
      </c>
      <c r="BO400" s="29">
        <f t="shared" ca="1" si="226"/>
        <v>1</v>
      </c>
      <c r="BP400" s="29">
        <f t="shared" ca="1" si="226"/>
        <v>0</v>
      </c>
      <c r="BQ400" s="29">
        <f t="shared" ca="1" si="226"/>
        <v>1</v>
      </c>
      <c r="BR400" s="29">
        <f t="shared" ca="1" si="226"/>
        <v>0</v>
      </c>
      <c r="BS400" s="29">
        <f t="shared" ca="1" si="226"/>
        <v>0</v>
      </c>
      <c r="BT400" s="29">
        <f t="shared" ca="1" si="226"/>
        <v>1</v>
      </c>
      <c r="BU400" s="29">
        <f t="shared" ca="1" si="226"/>
        <v>0</v>
      </c>
      <c r="BV400" s="29">
        <f t="shared" ca="1" si="226"/>
        <v>0</v>
      </c>
      <c r="BW400" s="29">
        <f t="shared" ca="1" si="226"/>
        <v>2</v>
      </c>
      <c r="BX400" s="29">
        <f t="shared" ca="1" si="226"/>
        <v>1</v>
      </c>
      <c r="BY400" s="29">
        <f t="shared" ca="1" si="226"/>
        <v>2</v>
      </c>
      <c r="BZ400" s="29">
        <f t="shared" ca="1" si="226"/>
        <v>0</v>
      </c>
      <c r="CA400" s="29">
        <f t="shared" ca="1" si="223"/>
        <v>2</v>
      </c>
      <c r="CB400" s="29">
        <f t="shared" ca="1" si="223"/>
        <v>0</v>
      </c>
      <c r="CC400" s="29">
        <f t="shared" ca="1" si="223"/>
        <v>1</v>
      </c>
      <c r="CD400" s="29">
        <f t="shared" ca="1" si="223"/>
        <v>1</v>
      </c>
      <c r="CE400" s="29">
        <f t="shared" ca="1" si="223"/>
        <v>2</v>
      </c>
      <c r="CF400" s="29">
        <f t="shared" ca="1" si="223"/>
        <v>0</v>
      </c>
      <c r="CG400" s="29">
        <f t="shared" ca="1" si="223"/>
        <v>0</v>
      </c>
      <c r="CH400" s="29">
        <f t="shared" ca="1" si="223"/>
        <v>0</v>
      </c>
      <c r="CI400" s="29">
        <f t="shared" ca="1" si="223"/>
        <v>1</v>
      </c>
      <c r="CJ400" s="29">
        <f t="shared" ca="1" si="223"/>
        <v>0</v>
      </c>
      <c r="CK400" s="29">
        <f t="shared" ca="1" si="223"/>
        <v>1</v>
      </c>
      <c r="CL400" s="29">
        <f t="shared" ca="1" si="223"/>
        <v>0</v>
      </c>
      <c r="CM400" s="29">
        <f t="shared" ca="1" si="223"/>
        <v>0</v>
      </c>
      <c r="CN400" s="29">
        <f t="shared" ca="1" si="223"/>
        <v>0</v>
      </c>
      <c r="CO400" s="29">
        <f t="shared" ca="1" si="223"/>
        <v>0</v>
      </c>
      <c r="CP400" s="29">
        <f t="shared" ca="1" si="223"/>
        <v>0</v>
      </c>
      <c r="CQ400" s="29">
        <f t="shared" ca="1" si="222"/>
        <v>1</v>
      </c>
      <c r="CR400" s="29">
        <f t="shared" ca="1" si="222"/>
        <v>1</v>
      </c>
      <c r="CS400" s="29">
        <f t="shared" ca="1" si="222"/>
        <v>1</v>
      </c>
      <c r="CT400" s="29">
        <f t="shared" ca="1" si="222"/>
        <v>1</v>
      </c>
      <c r="CU400" s="29">
        <f t="shared" ca="1" si="222"/>
        <v>0</v>
      </c>
      <c r="CV400" s="29">
        <f t="shared" ca="1" si="222"/>
        <v>0</v>
      </c>
      <c r="CW400" s="29">
        <f t="shared" ca="1" si="222"/>
        <v>1</v>
      </c>
      <c r="CX400" s="29">
        <f t="shared" ca="1" si="222"/>
        <v>2</v>
      </c>
      <c r="CY400" s="29">
        <f t="shared" ca="1" si="222"/>
        <v>0</v>
      </c>
      <c r="CZ400" s="29">
        <f t="shared" ca="1" si="222"/>
        <v>1</v>
      </c>
      <c r="DA400" s="29">
        <f t="shared" ca="1" si="222"/>
        <v>0</v>
      </c>
      <c r="DB400" s="29">
        <f t="shared" ca="1" si="222"/>
        <v>0</v>
      </c>
      <c r="DC400" s="29">
        <f t="shared" ca="1" si="222"/>
        <v>1</v>
      </c>
      <c r="DD400" s="29">
        <f t="shared" ca="1" si="222"/>
        <v>1</v>
      </c>
      <c r="DE400" s="29">
        <f t="shared" ca="1" si="222"/>
        <v>0</v>
      </c>
      <c r="DF400" s="29">
        <f t="shared" ca="1" si="213"/>
        <v>1</v>
      </c>
      <c r="DG400" s="29">
        <f t="shared" ca="1" si="213"/>
        <v>1</v>
      </c>
      <c r="DH400" s="29">
        <f t="shared" ca="1" si="213"/>
        <v>2</v>
      </c>
      <c r="DI400" s="29">
        <f t="shared" ca="1" si="213"/>
        <v>1</v>
      </c>
      <c r="DJ400" s="29">
        <f t="shared" ca="1" si="213"/>
        <v>1</v>
      </c>
      <c r="DK400" s="29">
        <f t="shared" ca="1" si="213"/>
        <v>1</v>
      </c>
      <c r="DL400" s="29">
        <f t="shared" ca="1" si="213"/>
        <v>0</v>
      </c>
    </row>
    <row r="401" spans="1:116" ht="14.4" x14ac:dyDescent="0.3">
      <c r="A401" s="31">
        <v>949</v>
      </c>
      <c r="B401" s="28">
        <v>3.26</v>
      </c>
      <c r="C401" s="30">
        <v>82.43</v>
      </c>
      <c r="D401" s="28">
        <v>0.54</v>
      </c>
      <c r="E401" s="34">
        <f t="shared" si="215"/>
        <v>1.0800000000000001E-2</v>
      </c>
      <c r="F401" s="35">
        <f t="shared" si="216"/>
        <v>20.607500000000002</v>
      </c>
      <c r="G401" s="34">
        <f t="shared" si="217"/>
        <v>13.5</v>
      </c>
      <c r="H401" s="33">
        <f t="shared" si="218"/>
        <v>-2.1802147239263809</v>
      </c>
      <c r="I401" s="28">
        <f t="shared" si="221"/>
        <v>1598.9800000000007</v>
      </c>
      <c r="J401" s="32">
        <v>0</v>
      </c>
      <c r="K401" s="30">
        <f t="shared" si="219"/>
        <v>13.5</v>
      </c>
      <c r="L401" s="30"/>
      <c r="M401" s="30"/>
      <c r="N401" s="30"/>
      <c r="O401" s="30"/>
      <c r="Q401" s="29">
        <f t="shared" ca="1" si="220"/>
        <v>0</v>
      </c>
      <c r="R401" s="29">
        <f t="shared" ca="1" si="225"/>
        <v>0</v>
      </c>
      <c r="S401" s="29">
        <f t="shared" ca="1" si="225"/>
        <v>0</v>
      </c>
      <c r="T401" s="29">
        <f t="shared" ca="1" si="225"/>
        <v>0</v>
      </c>
      <c r="U401" s="29">
        <f t="shared" ca="1" si="225"/>
        <v>2</v>
      </c>
      <c r="V401" s="29">
        <f t="shared" ca="1" si="225"/>
        <v>1</v>
      </c>
      <c r="W401" s="29">
        <f t="shared" ca="1" si="225"/>
        <v>0</v>
      </c>
      <c r="X401" s="29">
        <f t="shared" ca="1" si="225"/>
        <v>0</v>
      </c>
      <c r="Y401" s="29">
        <f t="shared" ca="1" si="225"/>
        <v>1</v>
      </c>
      <c r="Z401" s="29">
        <f t="shared" ca="1" si="225"/>
        <v>0</v>
      </c>
      <c r="AA401" s="29">
        <f t="shared" ca="1" si="225"/>
        <v>0</v>
      </c>
      <c r="AB401" s="29">
        <f t="shared" ca="1" si="225"/>
        <v>0</v>
      </c>
      <c r="AC401" s="29">
        <f t="shared" ca="1" si="225"/>
        <v>0</v>
      </c>
      <c r="AD401" s="29">
        <f t="shared" ca="1" si="225"/>
        <v>1</v>
      </c>
      <c r="AE401" s="29">
        <f t="shared" ca="1" si="225"/>
        <v>1</v>
      </c>
      <c r="AF401" s="29">
        <f t="shared" ca="1" si="225"/>
        <v>0</v>
      </c>
      <c r="AG401" s="29">
        <f t="shared" ca="1" si="224"/>
        <v>1</v>
      </c>
      <c r="AH401" s="29">
        <f t="shared" ca="1" si="224"/>
        <v>0</v>
      </c>
      <c r="AI401" s="29">
        <f t="shared" ca="1" si="224"/>
        <v>1</v>
      </c>
      <c r="AJ401" s="29">
        <f t="shared" ca="1" si="224"/>
        <v>0</v>
      </c>
      <c r="AK401" s="29">
        <f t="shared" ca="1" si="224"/>
        <v>0</v>
      </c>
      <c r="AL401" s="29">
        <f t="shared" ca="1" si="224"/>
        <v>1</v>
      </c>
      <c r="AM401" s="29">
        <f t="shared" ca="1" si="224"/>
        <v>0</v>
      </c>
      <c r="AN401" s="29">
        <f t="shared" ca="1" si="224"/>
        <v>1</v>
      </c>
      <c r="AO401" s="29">
        <f t="shared" ca="1" si="224"/>
        <v>0</v>
      </c>
      <c r="AP401" s="29">
        <f t="shared" ca="1" si="224"/>
        <v>0</v>
      </c>
      <c r="AQ401" s="29">
        <f t="shared" ca="1" si="224"/>
        <v>1</v>
      </c>
      <c r="AR401" s="29">
        <f t="shared" ca="1" si="224"/>
        <v>1</v>
      </c>
      <c r="AS401" s="29">
        <f t="shared" ca="1" si="224"/>
        <v>1</v>
      </c>
      <c r="AT401" s="29">
        <f t="shared" ca="1" si="224"/>
        <v>2</v>
      </c>
      <c r="AU401" s="29">
        <f t="shared" ca="1" si="224"/>
        <v>0</v>
      </c>
      <c r="AV401" s="29">
        <f t="shared" ca="1" si="227"/>
        <v>0</v>
      </c>
      <c r="AW401" s="29">
        <f t="shared" ca="1" si="227"/>
        <v>1</v>
      </c>
      <c r="AX401" s="29">
        <f t="shared" ca="1" si="227"/>
        <v>0</v>
      </c>
      <c r="AY401" s="29">
        <f t="shared" ca="1" si="227"/>
        <v>0</v>
      </c>
      <c r="AZ401" s="29">
        <f t="shared" ca="1" si="227"/>
        <v>1</v>
      </c>
      <c r="BA401" s="29">
        <f t="shared" ca="1" si="227"/>
        <v>1</v>
      </c>
      <c r="BB401" s="29">
        <f t="shared" ca="1" si="227"/>
        <v>2</v>
      </c>
      <c r="BC401" s="29">
        <f t="shared" ca="1" si="227"/>
        <v>0</v>
      </c>
      <c r="BD401" s="29">
        <f t="shared" ca="1" si="227"/>
        <v>0</v>
      </c>
      <c r="BE401" s="29">
        <f t="shared" ca="1" si="227"/>
        <v>0</v>
      </c>
      <c r="BF401" s="29">
        <f t="shared" ca="1" si="227"/>
        <v>0</v>
      </c>
      <c r="BG401" s="29">
        <f t="shared" ca="1" si="227"/>
        <v>0</v>
      </c>
      <c r="BH401" s="29">
        <f t="shared" ca="1" si="227"/>
        <v>2</v>
      </c>
      <c r="BI401" s="29">
        <f t="shared" ca="1" si="227"/>
        <v>0</v>
      </c>
      <c r="BJ401" s="29">
        <f t="shared" ca="1" si="227"/>
        <v>1</v>
      </c>
      <c r="BK401" s="29">
        <f t="shared" ca="1" si="227"/>
        <v>1</v>
      </c>
      <c r="BL401" s="29">
        <f t="shared" ca="1" si="226"/>
        <v>0</v>
      </c>
      <c r="BM401" s="29">
        <f t="shared" ca="1" si="226"/>
        <v>0</v>
      </c>
      <c r="BN401" s="29">
        <f t="shared" ca="1" si="226"/>
        <v>2</v>
      </c>
      <c r="BO401" s="29">
        <f t="shared" ca="1" si="226"/>
        <v>0</v>
      </c>
      <c r="BP401" s="29">
        <f t="shared" ca="1" si="226"/>
        <v>1</v>
      </c>
      <c r="BQ401" s="29">
        <f t="shared" ca="1" si="226"/>
        <v>0</v>
      </c>
      <c r="BR401" s="29">
        <f t="shared" ca="1" si="226"/>
        <v>0</v>
      </c>
      <c r="BS401" s="29">
        <f t="shared" ca="1" si="226"/>
        <v>0</v>
      </c>
      <c r="BT401" s="29">
        <f t="shared" ca="1" si="226"/>
        <v>0</v>
      </c>
      <c r="BU401" s="29">
        <f t="shared" ca="1" si="226"/>
        <v>1</v>
      </c>
      <c r="BV401" s="29">
        <f t="shared" ca="1" si="226"/>
        <v>0</v>
      </c>
      <c r="BW401" s="29">
        <f t="shared" ca="1" si="226"/>
        <v>1</v>
      </c>
      <c r="BX401" s="29">
        <f t="shared" ca="1" si="226"/>
        <v>1</v>
      </c>
      <c r="BY401" s="29">
        <f t="shared" ca="1" si="226"/>
        <v>1</v>
      </c>
      <c r="BZ401" s="29">
        <f t="shared" ca="1" si="226"/>
        <v>0</v>
      </c>
      <c r="CA401" s="29">
        <f t="shared" ca="1" si="223"/>
        <v>1</v>
      </c>
      <c r="CB401" s="29">
        <f t="shared" ca="1" si="223"/>
        <v>1</v>
      </c>
      <c r="CC401" s="29">
        <f t="shared" ca="1" si="223"/>
        <v>0</v>
      </c>
      <c r="CD401" s="29">
        <f t="shared" ca="1" si="223"/>
        <v>0</v>
      </c>
      <c r="CE401" s="29">
        <f t="shared" ca="1" si="223"/>
        <v>1</v>
      </c>
      <c r="CF401" s="29">
        <f t="shared" ca="1" si="223"/>
        <v>1</v>
      </c>
      <c r="CG401" s="29">
        <f t="shared" ca="1" si="223"/>
        <v>0</v>
      </c>
      <c r="CH401" s="29">
        <f t="shared" ca="1" si="223"/>
        <v>0</v>
      </c>
      <c r="CI401" s="29">
        <f t="shared" ca="1" si="223"/>
        <v>1</v>
      </c>
      <c r="CJ401" s="29">
        <f t="shared" ca="1" si="223"/>
        <v>1</v>
      </c>
      <c r="CK401" s="29">
        <f t="shared" ca="1" si="223"/>
        <v>0</v>
      </c>
      <c r="CL401" s="29">
        <f t="shared" ca="1" si="223"/>
        <v>0</v>
      </c>
      <c r="CM401" s="29">
        <f t="shared" ca="1" si="223"/>
        <v>1</v>
      </c>
      <c r="CN401" s="29">
        <f t="shared" ca="1" si="223"/>
        <v>2</v>
      </c>
      <c r="CO401" s="29">
        <f t="shared" ca="1" si="223"/>
        <v>0</v>
      </c>
      <c r="CP401" s="29">
        <f t="shared" ca="1" si="223"/>
        <v>0</v>
      </c>
      <c r="CQ401" s="29">
        <f t="shared" ca="1" si="222"/>
        <v>2</v>
      </c>
      <c r="CR401" s="29">
        <f t="shared" ca="1" si="222"/>
        <v>0</v>
      </c>
      <c r="CS401" s="29">
        <f t="shared" ca="1" si="222"/>
        <v>0</v>
      </c>
      <c r="CT401" s="29">
        <f t="shared" ca="1" si="222"/>
        <v>0</v>
      </c>
      <c r="CU401" s="29">
        <f t="shared" ca="1" si="222"/>
        <v>1</v>
      </c>
      <c r="CV401" s="29">
        <f t="shared" ca="1" si="222"/>
        <v>0</v>
      </c>
      <c r="CW401" s="29">
        <f t="shared" ca="1" si="222"/>
        <v>1</v>
      </c>
      <c r="CX401" s="29">
        <f t="shared" ca="1" si="222"/>
        <v>0</v>
      </c>
      <c r="CY401" s="29">
        <f t="shared" ca="1" si="222"/>
        <v>0</v>
      </c>
      <c r="CZ401" s="29">
        <f t="shared" ca="1" si="222"/>
        <v>0</v>
      </c>
      <c r="DA401" s="29">
        <f t="shared" ca="1" si="222"/>
        <v>1</v>
      </c>
      <c r="DB401" s="29">
        <f t="shared" ca="1" si="222"/>
        <v>1</v>
      </c>
      <c r="DC401" s="29">
        <f t="shared" ca="1" si="222"/>
        <v>1</v>
      </c>
      <c r="DD401" s="29">
        <f t="shared" ca="1" si="222"/>
        <v>0</v>
      </c>
      <c r="DE401" s="29">
        <f t="shared" ca="1" si="222"/>
        <v>2</v>
      </c>
      <c r="DF401" s="29">
        <f t="shared" ca="1" si="213"/>
        <v>0</v>
      </c>
      <c r="DG401" s="29">
        <f t="shared" ca="1" si="213"/>
        <v>0</v>
      </c>
      <c r="DH401" s="29">
        <f t="shared" ca="1" si="213"/>
        <v>0</v>
      </c>
      <c r="DI401" s="29">
        <f t="shared" ca="1" si="213"/>
        <v>0</v>
      </c>
      <c r="DJ401" s="29">
        <f t="shared" ca="1" si="213"/>
        <v>0</v>
      </c>
      <c r="DK401" s="29">
        <f t="shared" ca="1" si="213"/>
        <v>0</v>
      </c>
      <c r="DL401" s="29">
        <f t="shared" ca="1" si="213"/>
        <v>1</v>
      </c>
    </row>
    <row r="402" spans="1:116" ht="14.4" x14ac:dyDescent="0.3">
      <c r="A402" s="31">
        <v>350</v>
      </c>
      <c r="B402" s="28">
        <v>1.66</v>
      </c>
      <c r="C402" s="30">
        <v>81.83</v>
      </c>
      <c r="D402" s="28">
        <v>0.67</v>
      </c>
      <c r="E402" s="34">
        <f t="shared" si="215"/>
        <v>1.34E-2</v>
      </c>
      <c r="F402" s="35">
        <f t="shared" si="216"/>
        <v>20.4575</v>
      </c>
      <c r="G402" s="34">
        <f t="shared" si="217"/>
        <v>16.75</v>
      </c>
      <c r="H402" s="33">
        <f t="shared" si="218"/>
        <v>-2.2334337349397591</v>
      </c>
      <c r="I402" s="28">
        <f t="shared" si="221"/>
        <v>1600.6400000000008</v>
      </c>
      <c r="J402" s="32">
        <v>0</v>
      </c>
      <c r="K402" s="30">
        <f t="shared" si="219"/>
        <v>16.75</v>
      </c>
      <c r="L402" s="30"/>
      <c r="M402" s="30"/>
      <c r="N402" s="30"/>
      <c r="O402" s="30"/>
      <c r="Q402" s="29">
        <f t="shared" ca="1" si="220"/>
        <v>1</v>
      </c>
      <c r="R402" s="29">
        <f t="shared" ca="1" si="225"/>
        <v>0</v>
      </c>
      <c r="S402" s="29">
        <f t="shared" ca="1" si="225"/>
        <v>0</v>
      </c>
      <c r="T402" s="29">
        <f t="shared" ca="1" si="225"/>
        <v>0</v>
      </c>
      <c r="U402" s="29">
        <f t="shared" ca="1" si="225"/>
        <v>0</v>
      </c>
      <c r="V402" s="29">
        <f t="shared" ca="1" si="225"/>
        <v>2</v>
      </c>
      <c r="W402" s="29">
        <f t="shared" ca="1" si="225"/>
        <v>0</v>
      </c>
      <c r="X402" s="29">
        <f t="shared" ca="1" si="225"/>
        <v>1</v>
      </c>
      <c r="Y402" s="29">
        <f t="shared" ca="1" si="225"/>
        <v>0</v>
      </c>
      <c r="Z402" s="29">
        <f t="shared" ca="1" si="225"/>
        <v>2</v>
      </c>
      <c r="AA402" s="29">
        <f t="shared" ca="1" si="225"/>
        <v>2</v>
      </c>
      <c r="AB402" s="29">
        <f t="shared" ca="1" si="225"/>
        <v>1</v>
      </c>
      <c r="AC402" s="29">
        <f t="shared" ca="1" si="225"/>
        <v>1</v>
      </c>
      <c r="AD402" s="29">
        <f t="shared" ca="1" si="225"/>
        <v>0</v>
      </c>
      <c r="AE402" s="29">
        <f t="shared" ca="1" si="225"/>
        <v>0</v>
      </c>
      <c r="AF402" s="29">
        <f t="shared" ca="1" si="225"/>
        <v>1</v>
      </c>
      <c r="AG402" s="29">
        <f t="shared" ca="1" si="224"/>
        <v>0</v>
      </c>
      <c r="AH402" s="29">
        <f t="shared" ca="1" si="224"/>
        <v>1</v>
      </c>
      <c r="AI402" s="29">
        <f t="shared" ca="1" si="224"/>
        <v>2</v>
      </c>
      <c r="AJ402" s="29">
        <f t="shared" ca="1" si="224"/>
        <v>3</v>
      </c>
      <c r="AK402" s="29">
        <f t="shared" ca="1" si="224"/>
        <v>0</v>
      </c>
      <c r="AL402" s="29">
        <f t="shared" ca="1" si="224"/>
        <v>2</v>
      </c>
      <c r="AM402" s="29">
        <f t="shared" ca="1" si="224"/>
        <v>2</v>
      </c>
      <c r="AN402" s="29">
        <f t="shared" ca="1" si="224"/>
        <v>0</v>
      </c>
      <c r="AO402" s="29">
        <f t="shared" ca="1" si="224"/>
        <v>0</v>
      </c>
      <c r="AP402" s="29">
        <f t="shared" ca="1" si="224"/>
        <v>0</v>
      </c>
      <c r="AQ402" s="29">
        <f t="shared" ca="1" si="224"/>
        <v>1</v>
      </c>
      <c r="AR402" s="29">
        <f t="shared" ca="1" si="224"/>
        <v>0</v>
      </c>
      <c r="AS402" s="29">
        <f t="shared" ca="1" si="224"/>
        <v>0</v>
      </c>
      <c r="AT402" s="29">
        <f t="shared" ca="1" si="224"/>
        <v>0</v>
      </c>
      <c r="AU402" s="29">
        <f t="shared" ca="1" si="224"/>
        <v>0</v>
      </c>
      <c r="AV402" s="29">
        <f t="shared" ca="1" si="227"/>
        <v>2</v>
      </c>
      <c r="AW402" s="29">
        <f t="shared" ca="1" si="227"/>
        <v>0</v>
      </c>
      <c r="AX402" s="29">
        <f t="shared" ca="1" si="227"/>
        <v>0</v>
      </c>
      <c r="AY402" s="29">
        <f t="shared" ca="1" si="227"/>
        <v>0</v>
      </c>
      <c r="AZ402" s="29">
        <f t="shared" ca="1" si="227"/>
        <v>2</v>
      </c>
      <c r="BA402" s="29">
        <f t="shared" ca="1" si="227"/>
        <v>0</v>
      </c>
      <c r="BB402" s="29">
        <f t="shared" ca="1" si="227"/>
        <v>0</v>
      </c>
      <c r="BC402" s="29">
        <f t="shared" ca="1" si="227"/>
        <v>2</v>
      </c>
      <c r="BD402" s="29">
        <f t="shared" ca="1" si="227"/>
        <v>1</v>
      </c>
      <c r="BE402" s="29">
        <f t="shared" ca="1" si="227"/>
        <v>1</v>
      </c>
      <c r="BF402" s="29">
        <f t="shared" ca="1" si="227"/>
        <v>3</v>
      </c>
      <c r="BG402" s="29">
        <f t="shared" ca="1" si="227"/>
        <v>0</v>
      </c>
      <c r="BH402" s="29">
        <f t="shared" ca="1" si="227"/>
        <v>0</v>
      </c>
      <c r="BI402" s="29">
        <f t="shared" ca="1" si="227"/>
        <v>2</v>
      </c>
      <c r="BJ402" s="29">
        <f t="shared" ca="1" si="227"/>
        <v>0</v>
      </c>
      <c r="BK402" s="29">
        <f t="shared" ca="1" si="227"/>
        <v>0</v>
      </c>
      <c r="BL402" s="29">
        <f t="shared" ca="1" si="226"/>
        <v>2</v>
      </c>
      <c r="BM402" s="29">
        <f t="shared" ca="1" si="226"/>
        <v>0</v>
      </c>
      <c r="BN402" s="29">
        <f t="shared" ca="1" si="226"/>
        <v>2</v>
      </c>
      <c r="BO402" s="29">
        <f t="shared" ca="1" si="226"/>
        <v>1</v>
      </c>
      <c r="BP402" s="29">
        <f t="shared" ca="1" si="226"/>
        <v>1</v>
      </c>
      <c r="BQ402" s="29">
        <f t="shared" ca="1" si="226"/>
        <v>0</v>
      </c>
      <c r="BR402" s="29">
        <f t="shared" ca="1" si="226"/>
        <v>2</v>
      </c>
      <c r="BS402" s="29">
        <f t="shared" ca="1" si="226"/>
        <v>1</v>
      </c>
      <c r="BT402" s="29">
        <f t="shared" ca="1" si="226"/>
        <v>0</v>
      </c>
      <c r="BU402" s="29">
        <f t="shared" ca="1" si="226"/>
        <v>0</v>
      </c>
      <c r="BV402" s="29">
        <f t="shared" ca="1" si="226"/>
        <v>0</v>
      </c>
      <c r="BW402" s="29">
        <f t="shared" ca="1" si="226"/>
        <v>0</v>
      </c>
      <c r="BX402" s="29">
        <f t="shared" ca="1" si="226"/>
        <v>1</v>
      </c>
      <c r="BY402" s="29">
        <f t="shared" ca="1" si="226"/>
        <v>2</v>
      </c>
      <c r="BZ402" s="29">
        <f t="shared" ca="1" si="226"/>
        <v>2</v>
      </c>
      <c r="CA402" s="29">
        <f t="shared" ca="1" si="223"/>
        <v>0</v>
      </c>
      <c r="CB402" s="29">
        <f t="shared" ca="1" si="223"/>
        <v>0</v>
      </c>
      <c r="CC402" s="29">
        <f t="shared" ca="1" si="223"/>
        <v>1</v>
      </c>
      <c r="CD402" s="29">
        <f t="shared" ca="1" si="223"/>
        <v>0</v>
      </c>
      <c r="CE402" s="29">
        <f t="shared" ca="1" si="223"/>
        <v>1</v>
      </c>
      <c r="CF402" s="29">
        <f t="shared" ca="1" si="223"/>
        <v>0</v>
      </c>
      <c r="CG402" s="29">
        <f t="shared" ca="1" si="223"/>
        <v>1</v>
      </c>
      <c r="CH402" s="29">
        <f t="shared" ca="1" si="223"/>
        <v>0</v>
      </c>
      <c r="CI402" s="29">
        <f t="shared" ca="1" si="223"/>
        <v>0</v>
      </c>
      <c r="CJ402" s="29">
        <f t="shared" ca="1" si="223"/>
        <v>0</v>
      </c>
      <c r="CK402" s="29">
        <f t="shared" ca="1" si="223"/>
        <v>1</v>
      </c>
      <c r="CL402" s="29">
        <f t="shared" ca="1" si="223"/>
        <v>1</v>
      </c>
      <c r="CM402" s="29">
        <f t="shared" ca="1" si="223"/>
        <v>2</v>
      </c>
      <c r="CN402" s="29">
        <f t="shared" ca="1" si="223"/>
        <v>0</v>
      </c>
      <c r="CO402" s="29">
        <f t="shared" ca="1" si="223"/>
        <v>0</v>
      </c>
      <c r="CP402" s="29">
        <f t="shared" ca="1" si="223"/>
        <v>2</v>
      </c>
      <c r="CQ402" s="29">
        <f t="shared" ca="1" si="222"/>
        <v>1</v>
      </c>
      <c r="CR402" s="29">
        <f t="shared" ca="1" si="222"/>
        <v>2</v>
      </c>
      <c r="CS402" s="29">
        <f t="shared" ca="1" si="222"/>
        <v>0</v>
      </c>
      <c r="CT402" s="29">
        <f t="shared" ca="1" si="222"/>
        <v>1</v>
      </c>
      <c r="CU402" s="29">
        <f t="shared" ca="1" si="222"/>
        <v>0</v>
      </c>
      <c r="CV402" s="29">
        <f t="shared" ca="1" si="222"/>
        <v>0</v>
      </c>
      <c r="CW402" s="29">
        <f t="shared" ca="1" si="222"/>
        <v>0</v>
      </c>
      <c r="CX402" s="29">
        <f t="shared" ca="1" si="222"/>
        <v>1</v>
      </c>
      <c r="CY402" s="29">
        <f t="shared" ca="1" si="222"/>
        <v>0</v>
      </c>
      <c r="CZ402" s="29">
        <f t="shared" ca="1" si="222"/>
        <v>1</v>
      </c>
      <c r="DA402" s="29">
        <f t="shared" ca="1" si="222"/>
        <v>1</v>
      </c>
      <c r="DB402" s="29">
        <f t="shared" ca="1" si="222"/>
        <v>3</v>
      </c>
      <c r="DC402" s="29">
        <f t="shared" ca="1" si="222"/>
        <v>1</v>
      </c>
      <c r="DD402" s="29">
        <f t="shared" ca="1" si="222"/>
        <v>1</v>
      </c>
      <c r="DE402" s="29">
        <f t="shared" ca="1" si="222"/>
        <v>1</v>
      </c>
      <c r="DF402" s="29">
        <f t="shared" ca="1" si="213"/>
        <v>1</v>
      </c>
      <c r="DG402" s="29">
        <f t="shared" ca="1" si="213"/>
        <v>0</v>
      </c>
      <c r="DH402" s="29">
        <f t="shared" ca="1" si="213"/>
        <v>0</v>
      </c>
      <c r="DI402" s="29">
        <f t="shared" ca="1" si="213"/>
        <v>1</v>
      </c>
      <c r="DJ402" s="29">
        <f t="shared" ca="1" si="213"/>
        <v>0</v>
      </c>
      <c r="DK402" s="29">
        <f t="shared" ca="1" si="213"/>
        <v>0</v>
      </c>
      <c r="DL402" s="29">
        <f t="shared" ca="1" si="213"/>
        <v>1</v>
      </c>
    </row>
    <row r="403" spans="1:116" ht="14.4" x14ac:dyDescent="0.3">
      <c r="A403" s="31">
        <v>261</v>
      </c>
      <c r="B403" s="28">
        <v>2.67</v>
      </c>
      <c r="C403" s="30">
        <v>79.959999999999994</v>
      </c>
      <c r="D403" s="28">
        <v>0.55000000000000004</v>
      </c>
      <c r="E403" s="34">
        <f t="shared" si="215"/>
        <v>1.1000000000000001E-2</v>
      </c>
      <c r="F403" s="35">
        <f t="shared" si="216"/>
        <v>19.989999999999998</v>
      </c>
      <c r="G403" s="34">
        <f t="shared" si="217"/>
        <v>13.750000000000002</v>
      </c>
      <c r="H403" s="33">
        <f t="shared" si="218"/>
        <v>-2.3370786516853919</v>
      </c>
      <c r="I403" s="28">
        <f t="shared" si="221"/>
        <v>1603.3100000000009</v>
      </c>
      <c r="J403" s="32">
        <v>0</v>
      </c>
      <c r="K403" s="30">
        <f t="shared" si="219"/>
        <v>13.750000000000002</v>
      </c>
      <c r="L403" s="30"/>
      <c r="M403" s="30"/>
      <c r="N403" s="30"/>
      <c r="O403" s="30"/>
      <c r="Q403" s="29">
        <f t="shared" ca="1" si="220"/>
        <v>1</v>
      </c>
      <c r="R403" s="29">
        <f t="shared" ca="1" si="225"/>
        <v>0</v>
      </c>
      <c r="S403" s="29">
        <f t="shared" ca="1" si="225"/>
        <v>1</v>
      </c>
      <c r="T403" s="29">
        <f t="shared" ca="1" si="225"/>
        <v>0</v>
      </c>
      <c r="U403" s="29">
        <f t="shared" ca="1" si="225"/>
        <v>0</v>
      </c>
      <c r="V403" s="29">
        <f t="shared" ca="1" si="225"/>
        <v>1</v>
      </c>
      <c r="W403" s="29">
        <f t="shared" ca="1" si="225"/>
        <v>1</v>
      </c>
      <c r="X403" s="29">
        <f t="shared" ca="1" si="225"/>
        <v>0</v>
      </c>
      <c r="Y403" s="29">
        <f t="shared" ca="1" si="225"/>
        <v>0</v>
      </c>
      <c r="Z403" s="29">
        <f t="shared" ca="1" si="225"/>
        <v>0</v>
      </c>
      <c r="AA403" s="29">
        <f t="shared" ca="1" si="225"/>
        <v>1</v>
      </c>
      <c r="AB403" s="29">
        <f t="shared" ca="1" si="225"/>
        <v>0</v>
      </c>
      <c r="AC403" s="29">
        <f t="shared" ca="1" si="225"/>
        <v>0</v>
      </c>
      <c r="AD403" s="29">
        <f t="shared" ca="1" si="225"/>
        <v>1</v>
      </c>
      <c r="AE403" s="29">
        <f t="shared" ca="1" si="225"/>
        <v>1</v>
      </c>
      <c r="AF403" s="29">
        <f t="shared" ca="1" si="225"/>
        <v>1</v>
      </c>
      <c r="AG403" s="29">
        <f t="shared" ca="1" si="224"/>
        <v>0</v>
      </c>
      <c r="AH403" s="29">
        <f t="shared" ca="1" si="224"/>
        <v>1</v>
      </c>
      <c r="AI403" s="29">
        <f t="shared" ca="1" si="224"/>
        <v>1</v>
      </c>
      <c r="AJ403" s="29">
        <f t="shared" ca="1" si="224"/>
        <v>0</v>
      </c>
      <c r="AK403" s="29">
        <f t="shared" ca="1" si="224"/>
        <v>1</v>
      </c>
      <c r="AL403" s="29">
        <f t="shared" ca="1" si="224"/>
        <v>1</v>
      </c>
      <c r="AM403" s="29">
        <f t="shared" ca="1" si="224"/>
        <v>0</v>
      </c>
      <c r="AN403" s="29">
        <f t="shared" ca="1" si="224"/>
        <v>1</v>
      </c>
      <c r="AO403" s="29">
        <f t="shared" ca="1" si="224"/>
        <v>1</v>
      </c>
      <c r="AP403" s="29">
        <f t="shared" ca="1" si="224"/>
        <v>0</v>
      </c>
      <c r="AQ403" s="29">
        <f t="shared" ca="1" si="224"/>
        <v>1</v>
      </c>
      <c r="AR403" s="29">
        <f t="shared" ca="1" si="224"/>
        <v>1</v>
      </c>
      <c r="AS403" s="29">
        <f t="shared" ca="1" si="224"/>
        <v>0</v>
      </c>
      <c r="AT403" s="29">
        <f t="shared" ca="1" si="224"/>
        <v>0</v>
      </c>
      <c r="AU403" s="29">
        <f t="shared" ca="1" si="224"/>
        <v>1</v>
      </c>
      <c r="AV403" s="29">
        <f t="shared" ca="1" si="227"/>
        <v>0</v>
      </c>
      <c r="AW403" s="29">
        <f t="shared" ca="1" si="227"/>
        <v>1</v>
      </c>
      <c r="AX403" s="29">
        <f t="shared" ca="1" si="227"/>
        <v>0</v>
      </c>
      <c r="AY403" s="29">
        <f t="shared" ca="1" si="227"/>
        <v>0</v>
      </c>
      <c r="AZ403" s="29">
        <f t="shared" ca="1" si="227"/>
        <v>0</v>
      </c>
      <c r="BA403" s="29">
        <f t="shared" ca="1" si="227"/>
        <v>1</v>
      </c>
      <c r="BB403" s="29">
        <f t="shared" ca="1" si="227"/>
        <v>2</v>
      </c>
      <c r="BC403" s="29">
        <f t="shared" ca="1" si="227"/>
        <v>2</v>
      </c>
      <c r="BD403" s="29">
        <f t="shared" ca="1" si="227"/>
        <v>0</v>
      </c>
      <c r="BE403" s="29">
        <f t="shared" ca="1" si="227"/>
        <v>0</v>
      </c>
      <c r="BF403" s="29">
        <f t="shared" ca="1" si="227"/>
        <v>0</v>
      </c>
      <c r="BG403" s="29">
        <f t="shared" ca="1" si="227"/>
        <v>2</v>
      </c>
      <c r="BH403" s="29">
        <f t="shared" ca="1" si="227"/>
        <v>1</v>
      </c>
      <c r="BI403" s="29">
        <f t="shared" ca="1" si="227"/>
        <v>0</v>
      </c>
      <c r="BJ403" s="29">
        <f t="shared" ca="1" si="227"/>
        <v>1</v>
      </c>
      <c r="BK403" s="29">
        <f t="shared" ca="1" si="227"/>
        <v>1</v>
      </c>
      <c r="BL403" s="29">
        <f t="shared" ca="1" si="226"/>
        <v>0</v>
      </c>
      <c r="BM403" s="29">
        <f t="shared" ca="1" si="226"/>
        <v>0</v>
      </c>
      <c r="BN403" s="29">
        <f t="shared" ca="1" si="226"/>
        <v>1</v>
      </c>
      <c r="BO403" s="29">
        <f t="shared" ca="1" si="226"/>
        <v>0</v>
      </c>
      <c r="BP403" s="29">
        <f t="shared" ca="1" si="226"/>
        <v>0</v>
      </c>
      <c r="BQ403" s="29">
        <f t="shared" ca="1" si="226"/>
        <v>0</v>
      </c>
      <c r="BR403" s="29">
        <f t="shared" ca="1" si="226"/>
        <v>0</v>
      </c>
      <c r="BS403" s="29">
        <f t="shared" ca="1" si="226"/>
        <v>0</v>
      </c>
      <c r="BT403" s="29">
        <f t="shared" ca="1" si="226"/>
        <v>0</v>
      </c>
      <c r="BU403" s="29">
        <f t="shared" ca="1" si="226"/>
        <v>2</v>
      </c>
      <c r="BV403" s="29">
        <f t="shared" ca="1" si="226"/>
        <v>2</v>
      </c>
      <c r="BW403" s="29">
        <f t="shared" ca="1" si="226"/>
        <v>0</v>
      </c>
      <c r="BX403" s="29">
        <f t="shared" ca="1" si="226"/>
        <v>1</v>
      </c>
      <c r="BY403" s="29">
        <f t="shared" ca="1" si="226"/>
        <v>0</v>
      </c>
      <c r="BZ403" s="29">
        <f t="shared" ca="1" si="226"/>
        <v>1</v>
      </c>
      <c r="CA403" s="29">
        <f t="shared" ca="1" si="223"/>
        <v>1</v>
      </c>
      <c r="CB403" s="29">
        <f t="shared" ca="1" si="223"/>
        <v>1</v>
      </c>
      <c r="CC403" s="29">
        <f t="shared" ca="1" si="223"/>
        <v>2</v>
      </c>
      <c r="CD403" s="29">
        <f t="shared" ca="1" si="223"/>
        <v>0</v>
      </c>
      <c r="CE403" s="29">
        <f t="shared" ca="1" si="223"/>
        <v>0</v>
      </c>
      <c r="CF403" s="29">
        <f t="shared" ca="1" si="223"/>
        <v>3</v>
      </c>
      <c r="CG403" s="29">
        <f t="shared" ca="1" si="223"/>
        <v>0</v>
      </c>
      <c r="CH403" s="29">
        <f t="shared" ca="1" si="223"/>
        <v>2</v>
      </c>
      <c r="CI403" s="29">
        <f t="shared" ca="1" si="223"/>
        <v>0</v>
      </c>
      <c r="CJ403" s="29">
        <f t="shared" ca="1" si="223"/>
        <v>2</v>
      </c>
      <c r="CK403" s="29">
        <f t="shared" ca="1" si="223"/>
        <v>0</v>
      </c>
      <c r="CL403" s="29">
        <f t="shared" ca="1" si="223"/>
        <v>2</v>
      </c>
      <c r="CM403" s="29">
        <f t="shared" ca="1" si="223"/>
        <v>0</v>
      </c>
      <c r="CN403" s="29">
        <f t="shared" ca="1" si="223"/>
        <v>1</v>
      </c>
      <c r="CO403" s="29">
        <f t="shared" ca="1" si="223"/>
        <v>1</v>
      </c>
      <c r="CP403" s="29">
        <f t="shared" ca="1" si="223"/>
        <v>0</v>
      </c>
      <c r="CQ403" s="29">
        <f t="shared" ca="1" si="222"/>
        <v>0</v>
      </c>
      <c r="CR403" s="29">
        <f t="shared" ca="1" si="222"/>
        <v>0</v>
      </c>
      <c r="CS403" s="29">
        <f t="shared" ca="1" si="222"/>
        <v>0</v>
      </c>
      <c r="CT403" s="29">
        <f t="shared" ca="1" si="222"/>
        <v>0</v>
      </c>
      <c r="CU403" s="29">
        <f t="shared" ca="1" si="222"/>
        <v>0</v>
      </c>
      <c r="CV403" s="29">
        <f t="shared" ca="1" si="222"/>
        <v>0</v>
      </c>
      <c r="CW403" s="29">
        <f t="shared" ca="1" si="222"/>
        <v>1</v>
      </c>
      <c r="CX403" s="29">
        <f t="shared" ca="1" si="222"/>
        <v>1</v>
      </c>
      <c r="CY403" s="29">
        <f t="shared" ca="1" si="222"/>
        <v>2</v>
      </c>
      <c r="CZ403" s="29">
        <f t="shared" ca="1" si="222"/>
        <v>0</v>
      </c>
      <c r="DA403" s="29">
        <f t="shared" ca="1" si="222"/>
        <v>0</v>
      </c>
      <c r="DB403" s="29">
        <f t="shared" ca="1" si="222"/>
        <v>1</v>
      </c>
      <c r="DC403" s="29">
        <f t="shared" ca="1" si="222"/>
        <v>1</v>
      </c>
      <c r="DD403" s="29">
        <f t="shared" ca="1" si="222"/>
        <v>2</v>
      </c>
      <c r="DE403" s="29">
        <f t="shared" ca="1" si="222"/>
        <v>1</v>
      </c>
      <c r="DF403" s="29">
        <f t="shared" ca="1" si="213"/>
        <v>0</v>
      </c>
      <c r="DG403" s="29">
        <f t="shared" ca="1" si="213"/>
        <v>1</v>
      </c>
      <c r="DH403" s="29">
        <f t="shared" ca="1" si="213"/>
        <v>0</v>
      </c>
      <c r="DI403" s="29">
        <f t="shared" ca="1" si="213"/>
        <v>0</v>
      </c>
      <c r="DJ403" s="29">
        <f t="shared" ca="1" si="213"/>
        <v>0</v>
      </c>
      <c r="DK403" s="29">
        <f t="shared" ca="1" si="213"/>
        <v>1</v>
      </c>
      <c r="DL403" s="29">
        <f t="shared" ca="1" si="213"/>
        <v>3</v>
      </c>
    </row>
    <row r="404" spans="1:116" ht="14.4" x14ac:dyDescent="0.3">
      <c r="A404" s="31">
        <v>305</v>
      </c>
      <c r="B404" s="28">
        <v>1.66</v>
      </c>
      <c r="C404" s="30">
        <v>71.3</v>
      </c>
      <c r="D404" s="28">
        <v>0.55000000000000004</v>
      </c>
      <c r="E404" s="34">
        <f t="shared" si="215"/>
        <v>1.1000000000000001E-2</v>
      </c>
      <c r="F404" s="35">
        <f t="shared" si="216"/>
        <v>17.824999999999999</v>
      </c>
      <c r="G404" s="34">
        <f t="shared" si="217"/>
        <v>13.750000000000002</v>
      </c>
      <c r="H404" s="33">
        <f t="shared" si="218"/>
        <v>-2.4548192771084323</v>
      </c>
      <c r="I404" s="28">
        <f t="shared" si="221"/>
        <v>1604.9700000000009</v>
      </c>
      <c r="J404" s="32">
        <v>0</v>
      </c>
      <c r="K404" s="30">
        <f t="shared" si="219"/>
        <v>13.750000000000002</v>
      </c>
      <c r="L404" s="30"/>
      <c r="M404" s="30"/>
      <c r="N404" s="30"/>
      <c r="O404" s="30"/>
      <c r="Q404" s="29">
        <f t="shared" ca="1" si="220"/>
        <v>2</v>
      </c>
      <c r="R404" s="29">
        <f t="shared" ca="1" si="225"/>
        <v>0</v>
      </c>
      <c r="S404" s="29">
        <f t="shared" ca="1" si="225"/>
        <v>0</v>
      </c>
      <c r="T404" s="29">
        <f t="shared" ca="1" si="225"/>
        <v>0</v>
      </c>
      <c r="U404" s="29">
        <f t="shared" ca="1" si="225"/>
        <v>0</v>
      </c>
      <c r="V404" s="29">
        <f t="shared" ca="1" si="225"/>
        <v>1</v>
      </c>
      <c r="W404" s="29">
        <f t="shared" ca="1" si="225"/>
        <v>2</v>
      </c>
      <c r="X404" s="29">
        <f t="shared" ca="1" si="225"/>
        <v>1</v>
      </c>
      <c r="Y404" s="29">
        <f t="shared" ca="1" si="225"/>
        <v>1</v>
      </c>
      <c r="Z404" s="29">
        <f t="shared" ca="1" si="225"/>
        <v>0</v>
      </c>
      <c r="AA404" s="29">
        <f t="shared" ca="1" si="225"/>
        <v>1</v>
      </c>
      <c r="AB404" s="29">
        <f t="shared" ca="1" si="225"/>
        <v>0</v>
      </c>
      <c r="AC404" s="29">
        <f t="shared" ca="1" si="225"/>
        <v>1</v>
      </c>
      <c r="AD404" s="29">
        <f t="shared" ca="1" si="225"/>
        <v>0</v>
      </c>
      <c r="AE404" s="29">
        <f t="shared" ca="1" si="225"/>
        <v>1</v>
      </c>
      <c r="AF404" s="29">
        <f t="shared" ca="1" si="225"/>
        <v>1</v>
      </c>
      <c r="AG404" s="29">
        <f t="shared" ca="1" si="224"/>
        <v>1</v>
      </c>
      <c r="AH404" s="29">
        <f t="shared" ca="1" si="224"/>
        <v>0</v>
      </c>
      <c r="AI404" s="29">
        <f t="shared" ca="1" si="224"/>
        <v>0</v>
      </c>
      <c r="AJ404" s="29">
        <f t="shared" ca="1" si="224"/>
        <v>1</v>
      </c>
      <c r="AK404" s="29">
        <f t="shared" ca="1" si="224"/>
        <v>2</v>
      </c>
      <c r="AL404" s="29">
        <f t="shared" ca="1" si="224"/>
        <v>0</v>
      </c>
      <c r="AM404" s="29">
        <f t="shared" ca="1" si="224"/>
        <v>2</v>
      </c>
      <c r="AN404" s="29">
        <f t="shared" ca="1" si="224"/>
        <v>0</v>
      </c>
      <c r="AO404" s="29">
        <f t="shared" ca="1" si="224"/>
        <v>1</v>
      </c>
      <c r="AP404" s="29">
        <f t="shared" ca="1" si="224"/>
        <v>1</v>
      </c>
      <c r="AQ404" s="29">
        <f t="shared" ca="1" si="224"/>
        <v>1</v>
      </c>
      <c r="AR404" s="29">
        <f t="shared" ca="1" si="224"/>
        <v>1</v>
      </c>
      <c r="AS404" s="29">
        <f t="shared" ca="1" si="224"/>
        <v>1</v>
      </c>
      <c r="AT404" s="29">
        <f t="shared" ca="1" si="224"/>
        <v>1</v>
      </c>
      <c r="AU404" s="29">
        <f t="shared" ca="1" si="224"/>
        <v>0</v>
      </c>
      <c r="AV404" s="29">
        <f t="shared" ca="1" si="227"/>
        <v>0</v>
      </c>
      <c r="AW404" s="29">
        <f t="shared" ca="1" si="227"/>
        <v>0</v>
      </c>
      <c r="AX404" s="29">
        <f t="shared" ca="1" si="227"/>
        <v>0</v>
      </c>
      <c r="AY404" s="29">
        <f t="shared" ca="1" si="227"/>
        <v>0</v>
      </c>
      <c r="AZ404" s="29">
        <f t="shared" ca="1" si="227"/>
        <v>1</v>
      </c>
      <c r="BA404" s="29">
        <f t="shared" ca="1" si="227"/>
        <v>1</v>
      </c>
      <c r="BB404" s="29">
        <f t="shared" ca="1" si="227"/>
        <v>0</v>
      </c>
      <c r="BC404" s="29">
        <f t="shared" ca="1" si="227"/>
        <v>0</v>
      </c>
      <c r="BD404" s="29">
        <f t="shared" ca="1" si="227"/>
        <v>0</v>
      </c>
      <c r="BE404" s="29">
        <f t="shared" ca="1" si="227"/>
        <v>1</v>
      </c>
      <c r="BF404" s="29">
        <f t="shared" ca="1" si="227"/>
        <v>0</v>
      </c>
      <c r="BG404" s="29">
        <f t="shared" ca="1" si="227"/>
        <v>1</v>
      </c>
      <c r="BH404" s="29">
        <f t="shared" ca="1" si="227"/>
        <v>0</v>
      </c>
      <c r="BI404" s="29">
        <f t="shared" ca="1" si="227"/>
        <v>0</v>
      </c>
      <c r="BJ404" s="29">
        <f t="shared" ca="1" si="227"/>
        <v>0</v>
      </c>
      <c r="BK404" s="29">
        <f t="shared" ca="1" si="227"/>
        <v>2</v>
      </c>
      <c r="BL404" s="29">
        <f t="shared" ca="1" si="226"/>
        <v>0</v>
      </c>
      <c r="BM404" s="29">
        <f t="shared" ca="1" si="226"/>
        <v>1</v>
      </c>
      <c r="BN404" s="29">
        <f t="shared" ca="1" si="226"/>
        <v>0</v>
      </c>
      <c r="BO404" s="29">
        <f t="shared" ca="1" si="226"/>
        <v>0</v>
      </c>
      <c r="BP404" s="29">
        <f t="shared" ca="1" si="226"/>
        <v>1</v>
      </c>
      <c r="BQ404" s="29">
        <f t="shared" ca="1" si="226"/>
        <v>1</v>
      </c>
      <c r="BR404" s="29">
        <f t="shared" ca="1" si="226"/>
        <v>0</v>
      </c>
      <c r="BS404" s="29">
        <f t="shared" ca="1" si="226"/>
        <v>1</v>
      </c>
      <c r="BT404" s="29">
        <f t="shared" ca="1" si="226"/>
        <v>1</v>
      </c>
      <c r="BU404" s="29">
        <f t="shared" ca="1" si="226"/>
        <v>2</v>
      </c>
      <c r="BV404" s="29">
        <f t="shared" ca="1" si="226"/>
        <v>0</v>
      </c>
      <c r="BW404" s="29">
        <f t="shared" ca="1" si="226"/>
        <v>0</v>
      </c>
      <c r="BX404" s="29">
        <f t="shared" ca="1" si="226"/>
        <v>0</v>
      </c>
      <c r="BY404" s="29">
        <f t="shared" ca="1" si="226"/>
        <v>1</v>
      </c>
      <c r="BZ404" s="29">
        <f t="shared" ca="1" si="226"/>
        <v>1</v>
      </c>
      <c r="CA404" s="29">
        <f t="shared" ca="1" si="223"/>
        <v>2</v>
      </c>
      <c r="CB404" s="29">
        <f t="shared" ca="1" si="223"/>
        <v>0</v>
      </c>
      <c r="CC404" s="29">
        <f t="shared" ca="1" si="223"/>
        <v>0</v>
      </c>
      <c r="CD404" s="29">
        <f t="shared" ca="1" si="223"/>
        <v>0</v>
      </c>
      <c r="CE404" s="29">
        <f t="shared" ca="1" si="223"/>
        <v>2</v>
      </c>
      <c r="CF404" s="29">
        <f t="shared" ca="1" si="223"/>
        <v>0</v>
      </c>
      <c r="CG404" s="29">
        <f t="shared" ca="1" si="223"/>
        <v>0</v>
      </c>
      <c r="CH404" s="29">
        <f t="shared" ca="1" si="223"/>
        <v>1</v>
      </c>
      <c r="CI404" s="29">
        <f t="shared" ca="1" si="223"/>
        <v>0</v>
      </c>
      <c r="CJ404" s="29">
        <f t="shared" ca="1" si="223"/>
        <v>0</v>
      </c>
      <c r="CK404" s="29">
        <f t="shared" ca="1" si="223"/>
        <v>1</v>
      </c>
      <c r="CL404" s="29">
        <f t="shared" ca="1" si="223"/>
        <v>0</v>
      </c>
      <c r="CM404" s="29">
        <f t="shared" ca="1" si="223"/>
        <v>1</v>
      </c>
      <c r="CN404" s="29">
        <f t="shared" ca="1" si="223"/>
        <v>3</v>
      </c>
      <c r="CO404" s="29">
        <f t="shared" ca="1" si="223"/>
        <v>0</v>
      </c>
      <c r="CP404" s="29">
        <f t="shared" ref="CP404:DE417" ca="1" si="228">_xlfn.BINOM.INV(50,$E404,RAND())</f>
        <v>1</v>
      </c>
      <c r="CQ404" s="29">
        <f t="shared" ca="1" si="228"/>
        <v>1</v>
      </c>
      <c r="CR404" s="29">
        <f t="shared" ca="1" si="228"/>
        <v>0</v>
      </c>
      <c r="CS404" s="29">
        <f t="shared" ca="1" si="228"/>
        <v>0</v>
      </c>
      <c r="CT404" s="29">
        <f t="shared" ca="1" si="228"/>
        <v>0</v>
      </c>
      <c r="CU404" s="29">
        <f t="shared" ca="1" si="228"/>
        <v>0</v>
      </c>
      <c r="CV404" s="29">
        <f t="shared" ca="1" si="228"/>
        <v>0</v>
      </c>
      <c r="CW404" s="29">
        <f t="shared" ca="1" si="228"/>
        <v>0</v>
      </c>
      <c r="CX404" s="29">
        <f t="shared" ca="1" si="228"/>
        <v>2</v>
      </c>
      <c r="CY404" s="29">
        <f t="shared" ca="1" si="228"/>
        <v>1</v>
      </c>
      <c r="CZ404" s="29">
        <f t="shared" ca="1" si="228"/>
        <v>1</v>
      </c>
      <c r="DA404" s="29">
        <f t="shared" ca="1" si="228"/>
        <v>0</v>
      </c>
      <c r="DB404" s="29">
        <f t="shared" ca="1" si="228"/>
        <v>2</v>
      </c>
      <c r="DC404" s="29">
        <f t="shared" ca="1" si="228"/>
        <v>1</v>
      </c>
      <c r="DD404" s="29">
        <f t="shared" ca="1" si="228"/>
        <v>1</v>
      </c>
      <c r="DE404" s="29">
        <f t="shared" ca="1" si="228"/>
        <v>1</v>
      </c>
      <c r="DF404" s="29">
        <f t="shared" ca="1" si="213"/>
        <v>0</v>
      </c>
      <c r="DG404" s="29">
        <f t="shared" ca="1" si="213"/>
        <v>1</v>
      </c>
      <c r="DH404" s="29">
        <f t="shared" ca="1" si="213"/>
        <v>1</v>
      </c>
      <c r="DI404" s="29">
        <f t="shared" ca="1" si="213"/>
        <v>0</v>
      </c>
      <c r="DJ404" s="29">
        <f t="shared" ca="1" si="213"/>
        <v>2</v>
      </c>
      <c r="DK404" s="29">
        <f t="shared" ca="1" si="213"/>
        <v>0</v>
      </c>
      <c r="DL404" s="29">
        <f t="shared" ca="1" si="213"/>
        <v>3</v>
      </c>
    </row>
    <row r="405" spans="1:116" ht="14.4" x14ac:dyDescent="0.3">
      <c r="A405" s="31">
        <v>369</v>
      </c>
      <c r="B405" s="28">
        <v>2.23</v>
      </c>
      <c r="C405" s="30">
        <v>84.15</v>
      </c>
      <c r="D405" s="28">
        <v>0.61</v>
      </c>
      <c r="E405" s="34">
        <f t="shared" si="215"/>
        <v>1.2199999999999999E-2</v>
      </c>
      <c r="F405" s="35">
        <f t="shared" si="216"/>
        <v>21.037500000000001</v>
      </c>
      <c r="G405" s="34">
        <f t="shared" si="217"/>
        <v>15.25</v>
      </c>
      <c r="H405" s="33">
        <f t="shared" si="218"/>
        <v>-2.5952914798206286</v>
      </c>
      <c r="I405" s="28">
        <f t="shared" si="221"/>
        <v>1607.200000000001</v>
      </c>
      <c r="J405" s="32">
        <v>0</v>
      </c>
      <c r="K405" s="30">
        <f t="shared" si="219"/>
        <v>15.25</v>
      </c>
      <c r="L405" s="30"/>
      <c r="M405" s="30"/>
      <c r="N405" s="30"/>
      <c r="O405" s="30"/>
      <c r="Q405" s="29">
        <f t="shared" ca="1" si="220"/>
        <v>0</v>
      </c>
      <c r="R405" s="29">
        <f t="shared" ca="1" si="225"/>
        <v>1</v>
      </c>
      <c r="S405" s="29">
        <f t="shared" ca="1" si="225"/>
        <v>0</v>
      </c>
      <c r="T405" s="29">
        <f t="shared" ca="1" si="225"/>
        <v>0</v>
      </c>
      <c r="U405" s="29">
        <f t="shared" ca="1" si="225"/>
        <v>2</v>
      </c>
      <c r="V405" s="29">
        <f t="shared" ca="1" si="225"/>
        <v>0</v>
      </c>
      <c r="W405" s="29">
        <f t="shared" ca="1" si="225"/>
        <v>3</v>
      </c>
      <c r="X405" s="29">
        <f t="shared" ca="1" si="225"/>
        <v>1</v>
      </c>
      <c r="Y405" s="29">
        <f t="shared" ca="1" si="225"/>
        <v>0</v>
      </c>
      <c r="Z405" s="29">
        <f t="shared" ca="1" si="225"/>
        <v>0</v>
      </c>
      <c r="AA405" s="29">
        <f t="shared" ca="1" si="225"/>
        <v>1</v>
      </c>
      <c r="AB405" s="29">
        <f t="shared" ca="1" si="225"/>
        <v>0</v>
      </c>
      <c r="AC405" s="29">
        <f t="shared" ca="1" si="225"/>
        <v>0</v>
      </c>
      <c r="AD405" s="29">
        <f t="shared" ca="1" si="225"/>
        <v>0</v>
      </c>
      <c r="AE405" s="29">
        <f t="shared" ca="1" si="225"/>
        <v>0</v>
      </c>
      <c r="AF405" s="29">
        <f t="shared" ca="1" si="225"/>
        <v>0</v>
      </c>
      <c r="AG405" s="29">
        <f t="shared" ca="1" si="224"/>
        <v>2</v>
      </c>
      <c r="AH405" s="29">
        <f t="shared" ca="1" si="224"/>
        <v>0</v>
      </c>
      <c r="AI405" s="29">
        <f t="shared" ca="1" si="224"/>
        <v>0</v>
      </c>
      <c r="AJ405" s="29">
        <f t="shared" ca="1" si="224"/>
        <v>0</v>
      </c>
      <c r="AK405" s="29">
        <f t="shared" ca="1" si="224"/>
        <v>0</v>
      </c>
      <c r="AL405" s="29">
        <f t="shared" ca="1" si="224"/>
        <v>1</v>
      </c>
      <c r="AM405" s="29">
        <f t="shared" ca="1" si="224"/>
        <v>1</v>
      </c>
      <c r="AN405" s="29">
        <f t="shared" ca="1" si="224"/>
        <v>0</v>
      </c>
      <c r="AO405" s="29">
        <f t="shared" ca="1" si="224"/>
        <v>0</v>
      </c>
      <c r="AP405" s="29">
        <f t="shared" ca="1" si="224"/>
        <v>1</v>
      </c>
      <c r="AQ405" s="29">
        <f t="shared" ca="1" si="224"/>
        <v>1</v>
      </c>
      <c r="AR405" s="29">
        <f t="shared" ca="1" si="224"/>
        <v>1</v>
      </c>
      <c r="AS405" s="29">
        <f t="shared" ca="1" si="224"/>
        <v>1</v>
      </c>
      <c r="AT405" s="29">
        <f t="shared" ca="1" si="224"/>
        <v>0</v>
      </c>
      <c r="AU405" s="29">
        <f t="shared" ca="1" si="224"/>
        <v>0</v>
      </c>
      <c r="AV405" s="29">
        <f t="shared" ca="1" si="227"/>
        <v>2</v>
      </c>
      <c r="AW405" s="29">
        <f t="shared" ca="1" si="227"/>
        <v>1</v>
      </c>
      <c r="AX405" s="29">
        <f t="shared" ca="1" si="227"/>
        <v>0</v>
      </c>
      <c r="AY405" s="29">
        <f t="shared" ca="1" si="227"/>
        <v>0</v>
      </c>
      <c r="AZ405" s="29">
        <f t="shared" ca="1" si="227"/>
        <v>1</v>
      </c>
      <c r="BA405" s="29">
        <f t="shared" ca="1" si="227"/>
        <v>1</v>
      </c>
      <c r="BB405" s="29">
        <f t="shared" ca="1" si="227"/>
        <v>0</v>
      </c>
      <c r="BC405" s="29">
        <f t="shared" ca="1" si="227"/>
        <v>0</v>
      </c>
      <c r="BD405" s="29">
        <f t="shared" ca="1" si="227"/>
        <v>1</v>
      </c>
      <c r="BE405" s="29">
        <f t="shared" ca="1" si="227"/>
        <v>0</v>
      </c>
      <c r="BF405" s="29">
        <f t="shared" ca="1" si="227"/>
        <v>0</v>
      </c>
      <c r="BG405" s="29">
        <f t="shared" ca="1" si="227"/>
        <v>1</v>
      </c>
      <c r="BH405" s="29">
        <f t="shared" ca="1" si="227"/>
        <v>3</v>
      </c>
      <c r="BI405" s="29">
        <f t="shared" ca="1" si="227"/>
        <v>1</v>
      </c>
      <c r="BJ405" s="29">
        <f t="shared" ca="1" si="227"/>
        <v>0</v>
      </c>
      <c r="BK405" s="29">
        <f t="shared" ca="1" si="227"/>
        <v>1</v>
      </c>
      <c r="BL405" s="29">
        <f t="shared" ca="1" si="226"/>
        <v>0</v>
      </c>
      <c r="BM405" s="29">
        <f t="shared" ca="1" si="226"/>
        <v>1</v>
      </c>
      <c r="BN405" s="29">
        <f t="shared" ca="1" si="226"/>
        <v>0</v>
      </c>
      <c r="BO405" s="29">
        <f t="shared" ca="1" si="226"/>
        <v>1</v>
      </c>
      <c r="BP405" s="29">
        <f t="shared" ca="1" si="226"/>
        <v>1</v>
      </c>
      <c r="BQ405" s="29">
        <f t="shared" ca="1" si="226"/>
        <v>1</v>
      </c>
      <c r="BR405" s="29">
        <f t="shared" ca="1" si="226"/>
        <v>1</v>
      </c>
      <c r="BS405" s="29">
        <f t="shared" ca="1" si="226"/>
        <v>1</v>
      </c>
      <c r="BT405" s="29">
        <f t="shared" ca="1" si="226"/>
        <v>0</v>
      </c>
      <c r="BU405" s="29">
        <f t="shared" ca="1" si="226"/>
        <v>0</v>
      </c>
      <c r="BV405" s="29">
        <f t="shared" ca="1" si="226"/>
        <v>0</v>
      </c>
      <c r="BW405" s="29">
        <f t="shared" ca="1" si="226"/>
        <v>1</v>
      </c>
      <c r="BX405" s="29">
        <f t="shared" ca="1" si="226"/>
        <v>1</v>
      </c>
      <c r="BY405" s="29">
        <f t="shared" ca="1" si="226"/>
        <v>0</v>
      </c>
      <c r="BZ405" s="29">
        <f t="shared" ca="1" si="226"/>
        <v>0</v>
      </c>
      <c r="CA405" s="29">
        <f t="shared" ref="CA405:CP417" ca="1" si="229">_xlfn.BINOM.INV(50,$E405,RAND())</f>
        <v>0</v>
      </c>
      <c r="CB405" s="29">
        <f t="shared" ca="1" si="229"/>
        <v>1</v>
      </c>
      <c r="CC405" s="29">
        <f t="shared" ca="1" si="229"/>
        <v>1</v>
      </c>
      <c r="CD405" s="29">
        <f t="shared" ca="1" si="229"/>
        <v>0</v>
      </c>
      <c r="CE405" s="29">
        <f t="shared" ca="1" si="229"/>
        <v>0</v>
      </c>
      <c r="CF405" s="29">
        <f t="shared" ca="1" si="229"/>
        <v>0</v>
      </c>
      <c r="CG405" s="29">
        <f t="shared" ca="1" si="229"/>
        <v>2</v>
      </c>
      <c r="CH405" s="29">
        <f t="shared" ca="1" si="229"/>
        <v>0</v>
      </c>
      <c r="CI405" s="29">
        <f t="shared" ca="1" si="229"/>
        <v>0</v>
      </c>
      <c r="CJ405" s="29">
        <f t="shared" ca="1" si="229"/>
        <v>1</v>
      </c>
      <c r="CK405" s="29">
        <f t="shared" ca="1" si="229"/>
        <v>0</v>
      </c>
      <c r="CL405" s="29">
        <f t="shared" ca="1" si="229"/>
        <v>0</v>
      </c>
      <c r="CM405" s="29">
        <f t="shared" ca="1" si="229"/>
        <v>1</v>
      </c>
      <c r="CN405" s="29">
        <f t="shared" ca="1" si="229"/>
        <v>1</v>
      </c>
      <c r="CO405" s="29">
        <f t="shared" ca="1" si="229"/>
        <v>0</v>
      </c>
      <c r="CP405" s="29">
        <f t="shared" ca="1" si="229"/>
        <v>0</v>
      </c>
      <c r="CQ405" s="29">
        <f t="shared" ca="1" si="228"/>
        <v>2</v>
      </c>
      <c r="CR405" s="29">
        <f t="shared" ca="1" si="228"/>
        <v>0</v>
      </c>
      <c r="CS405" s="29">
        <f t="shared" ca="1" si="228"/>
        <v>2</v>
      </c>
      <c r="CT405" s="29">
        <f t="shared" ca="1" si="228"/>
        <v>1</v>
      </c>
      <c r="CU405" s="29">
        <f t="shared" ca="1" si="228"/>
        <v>0</v>
      </c>
      <c r="CV405" s="29">
        <f t="shared" ca="1" si="228"/>
        <v>1</v>
      </c>
      <c r="CW405" s="29">
        <f t="shared" ca="1" si="228"/>
        <v>1</v>
      </c>
      <c r="CX405" s="29">
        <f t="shared" ca="1" si="228"/>
        <v>0</v>
      </c>
      <c r="CY405" s="29">
        <f t="shared" ca="1" si="228"/>
        <v>2</v>
      </c>
      <c r="CZ405" s="29">
        <f t="shared" ca="1" si="228"/>
        <v>0</v>
      </c>
      <c r="DA405" s="29">
        <f t="shared" ca="1" si="228"/>
        <v>1</v>
      </c>
      <c r="DB405" s="29">
        <f t="shared" ca="1" si="228"/>
        <v>0</v>
      </c>
      <c r="DC405" s="29">
        <f t="shared" ca="1" si="228"/>
        <v>1</v>
      </c>
      <c r="DD405" s="29">
        <f t="shared" ca="1" si="228"/>
        <v>0</v>
      </c>
      <c r="DE405" s="29">
        <f t="shared" ca="1" si="228"/>
        <v>0</v>
      </c>
      <c r="DF405" s="29">
        <f t="shared" ca="1" si="213"/>
        <v>1</v>
      </c>
      <c r="DG405" s="29">
        <f t="shared" ca="1" si="213"/>
        <v>1</v>
      </c>
      <c r="DH405" s="29">
        <f t="shared" ca="1" si="213"/>
        <v>2</v>
      </c>
      <c r="DI405" s="29">
        <f t="shared" ca="1" si="213"/>
        <v>0</v>
      </c>
      <c r="DJ405" s="29">
        <f t="shared" ca="1" si="213"/>
        <v>1</v>
      </c>
      <c r="DK405" s="29">
        <f t="shared" ca="1" si="213"/>
        <v>0</v>
      </c>
      <c r="DL405" s="29">
        <f t="shared" ca="1" si="213"/>
        <v>0</v>
      </c>
    </row>
    <row r="406" spans="1:116" ht="14.4" x14ac:dyDescent="0.3">
      <c r="A406" s="31">
        <v>91</v>
      </c>
      <c r="B406" s="28">
        <v>0.72</v>
      </c>
      <c r="C406" s="30">
        <v>48.11</v>
      </c>
      <c r="D406" s="28">
        <v>0.4</v>
      </c>
      <c r="E406" s="34">
        <f t="shared" si="215"/>
        <v>8.0000000000000002E-3</v>
      </c>
      <c r="F406" s="35">
        <f t="shared" si="216"/>
        <v>12.0275</v>
      </c>
      <c r="G406" s="34">
        <f t="shared" si="217"/>
        <v>10</v>
      </c>
      <c r="H406" s="33">
        <f t="shared" si="218"/>
        <v>-2.8159722222222223</v>
      </c>
      <c r="I406" s="28">
        <f t="shared" si="221"/>
        <v>1607.920000000001</v>
      </c>
      <c r="J406" s="32">
        <v>0</v>
      </c>
      <c r="K406" s="30">
        <f t="shared" si="219"/>
        <v>10</v>
      </c>
      <c r="L406" s="30"/>
      <c r="M406" s="30"/>
      <c r="N406" s="30"/>
      <c r="O406" s="30"/>
      <c r="Q406" s="29">
        <f t="shared" ca="1" si="220"/>
        <v>0</v>
      </c>
      <c r="R406" s="29">
        <f t="shared" ca="1" si="225"/>
        <v>0</v>
      </c>
      <c r="S406" s="29">
        <f t="shared" ca="1" si="225"/>
        <v>0</v>
      </c>
      <c r="T406" s="29">
        <f t="shared" ca="1" si="225"/>
        <v>0</v>
      </c>
      <c r="U406" s="29">
        <f t="shared" ca="1" si="225"/>
        <v>0</v>
      </c>
      <c r="V406" s="29">
        <f t="shared" ca="1" si="225"/>
        <v>1</v>
      </c>
      <c r="W406" s="29">
        <f t="shared" ca="1" si="225"/>
        <v>0</v>
      </c>
      <c r="X406" s="29">
        <f t="shared" ca="1" si="225"/>
        <v>0</v>
      </c>
      <c r="Y406" s="29">
        <f t="shared" ca="1" si="225"/>
        <v>1</v>
      </c>
      <c r="Z406" s="29">
        <f t="shared" ca="1" si="225"/>
        <v>1</v>
      </c>
      <c r="AA406" s="29">
        <f t="shared" ca="1" si="225"/>
        <v>1</v>
      </c>
      <c r="AB406" s="29">
        <f t="shared" ca="1" si="225"/>
        <v>0</v>
      </c>
      <c r="AC406" s="29">
        <f t="shared" ca="1" si="225"/>
        <v>0</v>
      </c>
      <c r="AD406" s="29">
        <f t="shared" ca="1" si="225"/>
        <v>0</v>
      </c>
      <c r="AE406" s="29">
        <f t="shared" ca="1" si="225"/>
        <v>2</v>
      </c>
      <c r="AF406" s="29">
        <f t="shared" ca="1" si="225"/>
        <v>0</v>
      </c>
      <c r="AG406" s="29">
        <f t="shared" ca="1" si="224"/>
        <v>0</v>
      </c>
      <c r="AH406" s="29">
        <f t="shared" ca="1" si="224"/>
        <v>0</v>
      </c>
      <c r="AI406" s="29">
        <f t="shared" ca="1" si="224"/>
        <v>0</v>
      </c>
      <c r="AJ406" s="29">
        <f t="shared" ca="1" si="224"/>
        <v>0</v>
      </c>
      <c r="AK406" s="29">
        <f t="shared" ca="1" si="224"/>
        <v>0</v>
      </c>
      <c r="AL406" s="29">
        <f t="shared" ca="1" si="224"/>
        <v>0</v>
      </c>
      <c r="AM406" s="29">
        <f t="shared" ca="1" si="224"/>
        <v>0</v>
      </c>
      <c r="AN406" s="29">
        <f t="shared" ca="1" si="224"/>
        <v>0</v>
      </c>
      <c r="AO406" s="29">
        <f t="shared" ca="1" si="224"/>
        <v>0</v>
      </c>
      <c r="AP406" s="29">
        <f t="shared" ca="1" si="224"/>
        <v>1</v>
      </c>
      <c r="AQ406" s="29">
        <f t="shared" ca="1" si="224"/>
        <v>1</v>
      </c>
      <c r="AR406" s="29">
        <f t="shared" ca="1" si="224"/>
        <v>1</v>
      </c>
      <c r="AS406" s="29">
        <f t="shared" ca="1" si="224"/>
        <v>1</v>
      </c>
      <c r="AT406" s="29">
        <f t="shared" ca="1" si="224"/>
        <v>1</v>
      </c>
      <c r="AU406" s="29">
        <f t="shared" ca="1" si="224"/>
        <v>2</v>
      </c>
      <c r="AV406" s="29">
        <f t="shared" ca="1" si="227"/>
        <v>3</v>
      </c>
      <c r="AW406" s="29">
        <f t="shared" ca="1" si="227"/>
        <v>1</v>
      </c>
      <c r="AX406" s="29">
        <f t="shared" ca="1" si="227"/>
        <v>0</v>
      </c>
      <c r="AY406" s="29">
        <f t="shared" ca="1" si="227"/>
        <v>0</v>
      </c>
      <c r="AZ406" s="29">
        <f t="shared" ca="1" si="227"/>
        <v>0</v>
      </c>
      <c r="BA406" s="29">
        <f t="shared" ca="1" si="227"/>
        <v>0</v>
      </c>
      <c r="BB406" s="29">
        <f t="shared" ca="1" si="227"/>
        <v>0</v>
      </c>
      <c r="BC406" s="29">
        <f t="shared" ca="1" si="227"/>
        <v>0</v>
      </c>
      <c r="BD406" s="29">
        <f t="shared" ca="1" si="227"/>
        <v>0</v>
      </c>
      <c r="BE406" s="29">
        <f t="shared" ca="1" si="227"/>
        <v>0</v>
      </c>
      <c r="BF406" s="29">
        <f t="shared" ca="1" si="227"/>
        <v>1</v>
      </c>
      <c r="BG406" s="29">
        <f t="shared" ca="1" si="227"/>
        <v>0</v>
      </c>
      <c r="BH406" s="29">
        <f t="shared" ca="1" si="227"/>
        <v>0</v>
      </c>
      <c r="BI406" s="29">
        <f t="shared" ca="1" si="227"/>
        <v>1</v>
      </c>
      <c r="BJ406" s="29">
        <f t="shared" ca="1" si="227"/>
        <v>0</v>
      </c>
      <c r="BK406" s="29">
        <f t="shared" ca="1" si="227"/>
        <v>0</v>
      </c>
      <c r="BL406" s="29">
        <f t="shared" ca="1" si="226"/>
        <v>1</v>
      </c>
      <c r="BM406" s="29">
        <f t="shared" ca="1" si="226"/>
        <v>0</v>
      </c>
      <c r="BN406" s="29">
        <f t="shared" ca="1" si="226"/>
        <v>0</v>
      </c>
      <c r="BO406" s="29">
        <f t="shared" ca="1" si="226"/>
        <v>0</v>
      </c>
      <c r="BP406" s="29">
        <f t="shared" ca="1" si="226"/>
        <v>0</v>
      </c>
      <c r="BQ406" s="29">
        <f t="shared" ca="1" si="226"/>
        <v>0</v>
      </c>
      <c r="BR406" s="29">
        <f t="shared" ca="1" si="226"/>
        <v>0</v>
      </c>
      <c r="BS406" s="29">
        <f t="shared" ca="1" si="226"/>
        <v>0</v>
      </c>
      <c r="BT406" s="29">
        <f t="shared" ca="1" si="226"/>
        <v>0</v>
      </c>
      <c r="BU406" s="29">
        <f t="shared" ca="1" si="226"/>
        <v>0</v>
      </c>
      <c r="BV406" s="29">
        <f t="shared" ca="1" si="226"/>
        <v>0</v>
      </c>
      <c r="BW406" s="29">
        <f t="shared" ca="1" si="226"/>
        <v>0</v>
      </c>
      <c r="BX406" s="29">
        <f t="shared" ca="1" si="226"/>
        <v>0</v>
      </c>
      <c r="BY406" s="29">
        <f t="shared" ca="1" si="226"/>
        <v>0</v>
      </c>
      <c r="BZ406" s="29">
        <f t="shared" ca="1" si="226"/>
        <v>1</v>
      </c>
      <c r="CA406" s="29">
        <f t="shared" ca="1" si="229"/>
        <v>2</v>
      </c>
      <c r="CB406" s="29">
        <f t="shared" ca="1" si="229"/>
        <v>0</v>
      </c>
      <c r="CC406" s="29">
        <f t="shared" ca="1" si="229"/>
        <v>2</v>
      </c>
      <c r="CD406" s="29">
        <f t="shared" ca="1" si="229"/>
        <v>1</v>
      </c>
      <c r="CE406" s="29">
        <f t="shared" ca="1" si="229"/>
        <v>0</v>
      </c>
      <c r="CF406" s="29">
        <f t="shared" ca="1" si="229"/>
        <v>1</v>
      </c>
      <c r="CG406" s="29">
        <f t="shared" ca="1" si="229"/>
        <v>0</v>
      </c>
      <c r="CH406" s="29">
        <f t="shared" ca="1" si="229"/>
        <v>0</v>
      </c>
      <c r="CI406" s="29">
        <f t="shared" ca="1" si="229"/>
        <v>0</v>
      </c>
      <c r="CJ406" s="29">
        <f t="shared" ca="1" si="229"/>
        <v>0</v>
      </c>
      <c r="CK406" s="29">
        <f t="shared" ca="1" si="229"/>
        <v>1</v>
      </c>
      <c r="CL406" s="29">
        <f t="shared" ca="1" si="229"/>
        <v>0</v>
      </c>
      <c r="CM406" s="29">
        <f t="shared" ca="1" si="229"/>
        <v>0</v>
      </c>
      <c r="CN406" s="29">
        <f t="shared" ca="1" si="229"/>
        <v>0</v>
      </c>
      <c r="CO406" s="29">
        <f t="shared" ca="1" si="229"/>
        <v>0</v>
      </c>
      <c r="CP406" s="29">
        <f t="shared" ca="1" si="229"/>
        <v>0</v>
      </c>
      <c r="CQ406" s="29">
        <f t="shared" ca="1" si="228"/>
        <v>0</v>
      </c>
      <c r="CR406" s="29">
        <f t="shared" ca="1" si="228"/>
        <v>2</v>
      </c>
      <c r="CS406" s="29">
        <f t="shared" ca="1" si="228"/>
        <v>0</v>
      </c>
      <c r="CT406" s="29">
        <f t="shared" ca="1" si="228"/>
        <v>0</v>
      </c>
      <c r="CU406" s="29">
        <f t="shared" ca="1" si="228"/>
        <v>0</v>
      </c>
      <c r="CV406" s="29">
        <f t="shared" ca="1" si="228"/>
        <v>0</v>
      </c>
      <c r="CW406" s="29">
        <f t="shared" ca="1" si="228"/>
        <v>0</v>
      </c>
      <c r="CX406" s="29">
        <f t="shared" ca="1" si="228"/>
        <v>0</v>
      </c>
      <c r="CY406" s="29">
        <f t="shared" ca="1" si="228"/>
        <v>1</v>
      </c>
      <c r="CZ406" s="29">
        <f t="shared" ca="1" si="228"/>
        <v>0</v>
      </c>
      <c r="DA406" s="29">
        <f t="shared" ca="1" si="228"/>
        <v>0</v>
      </c>
      <c r="DB406" s="29">
        <f t="shared" ca="1" si="228"/>
        <v>0</v>
      </c>
      <c r="DC406" s="29">
        <f t="shared" ca="1" si="228"/>
        <v>0</v>
      </c>
      <c r="DD406" s="29">
        <f t="shared" ca="1" si="228"/>
        <v>1</v>
      </c>
      <c r="DE406" s="29">
        <f t="shared" ca="1" si="228"/>
        <v>0</v>
      </c>
      <c r="DF406" s="29">
        <f t="shared" ca="1" si="213"/>
        <v>0</v>
      </c>
      <c r="DG406" s="29">
        <f t="shared" ca="1" si="213"/>
        <v>0</v>
      </c>
      <c r="DH406" s="29">
        <f t="shared" ca="1" si="213"/>
        <v>0</v>
      </c>
      <c r="DI406" s="29">
        <f t="shared" ca="1" si="213"/>
        <v>0</v>
      </c>
      <c r="DJ406" s="29">
        <f t="shared" ca="1" si="213"/>
        <v>0</v>
      </c>
      <c r="DK406" s="29">
        <f t="shared" ca="1" si="213"/>
        <v>0</v>
      </c>
      <c r="DL406" s="29">
        <f t="shared" ca="1" si="213"/>
        <v>1</v>
      </c>
    </row>
    <row r="407" spans="1:116" ht="14.4" x14ac:dyDescent="0.3">
      <c r="A407" s="31">
        <v>453</v>
      </c>
      <c r="B407" s="28">
        <v>3.14</v>
      </c>
      <c r="C407" s="30">
        <v>89</v>
      </c>
      <c r="D407" s="28">
        <v>0.45</v>
      </c>
      <c r="E407" s="34">
        <f t="shared" si="215"/>
        <v>9.0000000000000011E-3</v>
      </c>
      <c r="F407" s="35">
        <f t="shared" si="216"/>
        <v>22.25</v>
      </c>
      <c r="G407" s="34">
        <f t="shared" si="217"/>
        <v>11.25</v>
      </c>
      <c r="H407" s="33">
        <f t="shared" si="218"/>
        <v>-3.5031847133757958</v>
      </c>
      <c r="I407" s="28">
        <f t="shared" si="221"/>
        <v>1611.0600000000011</v>
      </c>
      <c r="J407" s="32">
        <v>0</v>
      </c>
      <c r="K407" s="30">
        <f t="shared" si="219"/>
        <v>11.25</v>
      </c>
      <c r="L407" s="30"/>
      <c r="M407" s="30"/>
      <c r="N407" s="30"/>
      <c r="O407" s="30"/>
      <c r="Q407" s="29">
        <f t="shared" ca="1" si="220"/>
        <v>0</v>
      </c>
      <c r="R407" s="29">
        <f t="shared" ca="1" si="225"/>
        <v>0</v>
      </c>
      <c r="S407" s="29">
        <f t="shared" ca="1" si="225"/>
        <v>0</v>
      </c>
      <c r="T407" s="29">
        <f t="shared" ca="1" si="225"/>
        <v>0</v>
      </c>
      <c r="U407" s="29">
        <f t="shared" ca="1" si="225"/>
        <v>3</v>
      </c>
      <c r="V407" s="29">
        <f t="shared" ca="1" si="225"/>
        <v>0</v>
      </c>
      <c r="W407" s="29">
        <f t="shared" ca="1" si="225"/>
        <v>0</v>
      </c>
      <c r="X407" s="29">
        <f t="shared" ca="1" si="225"/>
        <v>1</v>
      </c>
      <c r="Y407" s="29">
        <f t="shared" ca="1" si="225"/>
        <v>2</v>
      </c>
      <c r="Z407" s="29">
        <f t="shared" ca="1" si="225"/>
        <v>0</v>
      </c>
      <c r="AA407" s="29">
        <f t="shared" ca="1" si="225"/>
        <v>0</v>
      </c>
      <c r="AB407" s="29">
        <f t="shared" ca="1" si="225"/>
        <v>2</v>
      </c>
      <c r="AC407" s="29">
        <f t="shared" ca="1" si="225"/>
        <v>0</v>
      </c>
      <c r="AD407" s="29">
        <f t="shared" ca="1" si="225"/>
        <v>0</v>
      </c>
      <c r="AE407" s="29">
        <f t="shared" ca="1" si="225"/>
        <v>1</v>
      </c>
      <c r="AF407" s="29">
        <f t="shared" ca="1" si="225"/>
        <v>0</v>
      </c>
      <c r="AG407" s="29">
        <f t="shared" ca="1" si="224"/>
        <v>0</v>
      </c>
      <c r="AH407" s="29">
        <f t="shared" ca="1" si="224"/>
        <v>0</v>
      </c>
      <c r="AI407" s="29">
        <f t="shared" ca="1" si="224"/>
        <v>0</v>
      </c>
      <c r="AJ407" s="29">
        <f t="shared" ca="1" si="224"/>
        <v>0</v>
      </c>
      <c r="AK407" s="29">
        <f t="shared" ca="1" si="224"/>
        <v>2</v>
      </c>
      <c r="AL407" s="29">
        <f t="shared" ca="1" si="224"/>
        <v>0</v>
      </c>
      <c r="AM407" s="29">
        <f t="shared" ca="1" si="224"/>
        <v>0</v>
      </c>
      <c r="AN407" s="29">
        <f t="shared" ca="1" si="224"/>
        <v>1</v>
      </c>
      <c r="AO407" s="29">
        <f t="shared" ca="1" si="224"/>
        <v>1</v>
      </c>
      <c r="AP407" s="29">
        <f t="shared" ca="1" si="224"/>
        <v>1</v>
      </c>
      <c r="AQ407" s="29">
        <f t="shared" ca="1" si="224"/>
        <v>0</v>
      </c>
      <c r="AR407" s="29">
        <f t="shared" ca="1" si="224"/>
        <v>1</v>
      </c>
      <c r="AS407" s="29">
        <f t="shared" ca="1" si="224"/>
        <v>0</v>
      </c>
      <c r="AT407" s="29">
        <f t="shared" ca="1" si="224"/>
        <v>0</v>
      </c>
      <c r="AU407" s="29">
        <f t="shared" ca="1" si="224"/>
        <v>0</v>
      </c>
      <c r="AV407" s="29">
        <f t="shared" ca="1" si="227"/>
        <v>0</v>
      </c>
      <c r="AW407" s="29">
        <f t="shared" ca="1" si="227"/>
        <v>1</v>
      </c>
      <c r="AX407" s="29">
        <f t="shared" ca="1" si="227"/>
        <v>1</v>
      </c>
      <c r="AY407" s="29">
        <f t="shared" ca="1" si="227"/>
        <v>1</v>
      </c>
      <c r="AZ407" s="29">
        <f t="shared" ca="1" si="227"/>
        <v>0</v>
      </c>
      <c r="BA407" s="29">
        <f t="shared" ca="1" si="227"/>
        <v>0</v>
      </c>
      <c r="BB407" s="29">
        <f t="shared" ca="1" si="227"/>
        <v>0</v>
      </c>
      <c r="BC407" s="29">
        <f t="shared" ca="1" si="227"/>
        <v>1</v>
      </c>
      <c r="BD407" s="29">
        <f t="shared" ca="1" si="227"/>
        <v>0</v>
      </c>
      <c r="BE407" s="29">
        <f t="shared" ca="1" si="227"/>
        <v>0</v>
      </c>
      <c r="BF407" s="29">
        <f t="shared" ca="1" si="227"/>
        <v>1</v>
      </c>
      <c r="BG407" s="29">
        <f t="shared" ca="1" si="227"/>
        <v>0</v>
      </c>
      <c r="BH407" s="29">
        <f t="shared" ca="1" si="227"/>
        <v>0</v>
      </c>
      <c r="BI407" s="29">
        <f t="shared" ca="1" si="227"/>
        <v>1</v>
      </c>
      <c r="BJ407" s="29">
        <f t="shared" ca="1" si="227"/>
        <v>1</v>
      </c>
      <c r="BK407" s="29">
        <f t="shared" ca="1" si="227"/>
        <v>2</v>
      </c>
      <c r="BL407" s="29">
        <f t="shared" ca="1" si="226"/>
        <v>0</v>
      </c>
      <c r="BM407" s="29">
        <f t="shared" ca="1" si="226"/>
        <v>0</v>
      </c>
      <c r="BN407" s="29">
        <f t="shared" ca="1" si="226"/>
        <v>0</v>
      </c>
      <c r="BO407" s="29">
        <f t="shared" ca="1" si="226"/>
        <v>1</v>
      </c>
      <c r="BP407" s="29">
        <f t="shared" ca="1" si="226"/>
        <v>0</v>
      </c>
      <c r="BQ407" s="29">
        <f t="shared" ca="1" si="226"/>
        <v>1</v>
      </c>
      <c r="BR407" s="29">
        <f t="shared" ca="1" si="226"/>
        <v>0</v>
      </c>
      <c r="BS407" s="29">
        <f t="shared" ca="1" si="226"/>
        <v>1</v>
      </c>
      <c r="BT407" s="29">
        <f t="shared" ca="1" si="226"/>
        <v>0</v>
      </c>
      <c r="BU407" s="29">
        <f t="shared" ca="1" si="226"/>
        <v>1</v>
      </c>
      <c r="BV407" s="29">
        <f t="shared" ca="1" si="226"/>
        <v>0</v>
      </c>
      <c r="BW407" s="29">
        <f t="shared" ca="1" si="226"/>
        <v>2</v>
      </c>
      <c r="BX407" s="29">
        <f t="shared" ca="1" si="226"/>
        <v>1</v>
      </c>
      <c r="BY407" s="29">
        <f t="shared" ca="1" si="226"/>
        <v>1</v>
      </c>
      <c r="BZ407" s="29">
        <f t="shared" ca="1" si="226"/>
        <v>1</v>
      </c>
      <c r="CA407" s="29">
        <f t="shared" ca="1" si="229"/>
        <v>0</v>
      </c>
      <c r="CB407" s="29">
        <f t="shared" ca="1" si="229"/>
        <v>1</v>
      </c>
      <c r="CC407" s="29">
        <f t="shared" ca="1" si="229"/>
        <v>0</v>
      </c>
      <c r="CD407" s="29">
        <f t="shared" ca="1" si="229"/>
        <v>1</v>
      </c>
      <c r="CE407" s="29">
        <f t="shared" ca="1" si="229"/>
        <v>1</v>
      </c>
      <c r="CF407" s="29">
        <f t="shared" ca="1" si="229"/>
        <v>0</v>
      </c>
      <c r="CG407" s="29">
        <f t="shared" ca="1" si="229"/>
        <v>1</v>
      </c>
      <c r="CH407" s="29">
        <f t="shared" ca="1" si="229"/>
        <v>0</v>
      </c>
      <c r="CI407" s="29">
        <f t="shared" ca="1" si="229"/>
        <v>0</v>
      </c>
      <c r="CJ407" s="29">
        <f t="shared" ca="1" si="229"/>
        <v>0</v>
      </c>
      <c r="CK407" s="29">
        <f t="shared" ca="1" si="229"/>
        <v>0</v>
      </c>
      <c r="CL407" s="29">
        <f t="shared" ca="1" si="229"/>
        <v>0</v>
      </c>
      <c r="CM407" s="29">
        <f t="shared" ca="1" si="229"/>
        <v>0</v>
      </c>
      <c r="CN407" s="29">
        <f t="shared" ca="1" si="229"/>
        <v>1</v>
      </c>
      <c r="CO407" s="29">
        <f t="shared" ca="1" si="229"/>
        <v>1</v>
      </c>
      <c r="CP407" s="29">
        <f t="shared" ca="1" si="229"/>
        <v>0</v>
      </c>
      <c r="CQ407" s="29">
        <f t="shared" ca="1" si="228"/>
        <v>1</v>
      </c>
      <c r="CR407" s="29">
        <f t="shared" ca="1" si="228"/>
        <v>2</v>
      </c>
      <c r="CS407" s="29">
        <f t="shared" ca="1" si="228"/>
        <v>0</v>
      </c>
      <c r="CT407" s="29">
        <f t="shared" ca="1" si="228"/>
        <v>0</v>
      </c>
      <c r="CU407" s="29">
        <f t="shared" ca="1" si="228"/>
        <v>2</v>
      </c>
      <c r="CV407" s="29">
        <f t="shared" ca="1" si="228"/>
        <v>0</v>
      </c>
      <c r="CW407" s="29">
        <f t="shared" ca="1" si="228"/>
        <v>0</v>
      </c>
      <c r="CX407" s="29">
        <f t="shared" ca="1" si="228"/>
        <v>1</v>
      </c>
      <c r="CY407" s="29">
        <f t="shared" ca="1" si="228"/>
        <v>1</v>
      </c>
      <c r="CZ407" s="29">
        <f t="shared" ca="1" si="228"/>
        <v>0</v>
      </c>
      <c r="DA407" s="29">
        <f t="shared" ca="1" si="228"/>
        <v>1</v>
      </c>
      <c r="DB407" s="29">
        <f t="shared" ca="1" si="228"/>
        <v>1</v>
      </c>
      <c r="DC407" s="29">
        <f t="shared" ca="1" si="228"/>
        <v>0</v>
      </c>
      <c r="DD407" s="29">
        <f t="shared" ca="1" si="228"/>
        <v>0</v>
      </c>
      <c r="DE407" s="29">
        <f t="shared" ca="1" si="228"/>
        <v>1</v>
      </c>
      <c r="DF407" s="29">
        <f t="shared" ca="1" si="213"/>
        <v>0</v>
      </c>
      <c r="DG407" s="29">
        <f t="shared" ca="1" si="213"/>
        <v>0</v>
      </c>
      <c r="DH407" s="29">
        <f t="shared" ca="1" si="213"/>
        <v>2</v>
      </c>
      <c r="DI407" s="29">
        <f t="shared" ca="1" si="213"/>
        <v>1</v>
      </c>
      <c r="DJ407" s="29">
        <f t="shared" ca="1" si="213"/>
        <v>0</v>
      </c>
      <c r="DK407" s="29">
        <f t="shared" ca="1" si="213"/>
        <v>2</v>
      </c>
      <c r="DL407" s="29">
        <f t="shared" ca="1" si="213"/>
        <v>1</v>
      </c>
    </row>
    <row r="408" spans="1:116" ht="14.4" x14ac:dyDescent="0.3">
      <c r="A408" s="31">
        <v>415</v>
      </c>
      <c r="B408" s="28">
        <v>2.38</v>
      </c>
      <c r="C408" s="30">
        <v>85.29</v>
      </c>
      <c r="D408" s="28">
        <v>0.43</v>
      </c>
      <c r="E408" s="34">
        <f t="shared" si="215"/>
        <v>8.6E-3</v>
      </c>
      <c r="F408" s="35">
        <f t="shared" si="216"/>
        <v>21.322500000000002</v>
      </c>
      <c r="G408" s="34">
        <f t="shared" si="217"/>
        <v>10.75</v>
      </c>
      <c r="H408" s="33">
        <f t="shared" si="218"/>
        <v>-4.4422268907563032</v>
      </c>
      <c r="I408" s="28">
        <f t="shared" si="221"/>
        <v>1613.4400000000012</v>
      </c>
      <c r="J408" s="32">
        <v>0</v>
      </c>
      <c r="K408" s="30">
        <f t="shared" si="219"/>
        <v>10.75</v>
      </c>
      <c r="L408" s="30"/>
      <c r="M408" s="30"/>
      <c r="N408" s="30"/>
      <c r="O408" s="30"/>
      <c r="Q408" s="29">
        <f t="shared" ca="1" si="220"/>
        <v>2</v>
      </c>
      <c r="R408" s="29">
        <f t="shared" ca="1" si="225"/>
        <v>0</v>
      </c>
      <c r="S408" s="29">
        <f t="shared" ca="1" si="225"/>
        <v>0</v>
      </c>
      <c r="T408" s="29">
        <f t="shared" ca="1" si="225"/>
        <v>0</v>
      </c>
      <c r="U408" s="29">
        <f t="shared" ca="1" si="225"/>
        <v>1</v>
      </c>
      <c r="V408" s="29">
        <f t="shared" ca="1" si="225"/>
        <v>0</v>
      </c>
      <c r="W408" s="29">
        <f t="shared" ca="1" si="225"/>
        <v>0</v>
      </c>
      <c r="X408" s="29">
        <f t="shared" ca="1" si="225"/>
        <v>1</v>
      </c>
      <c r="Y408" s="29">
        <f t="shared" ca="1" si="225"/>
        <v>0</v>
      </c>
      <c r="Z408" s="29">
        <f t="shared" ca="1" si="225"/>
        <v>1</v>
      </c>
      <c r="AA408" s="29">
        <f t="shared" ca="1" si="225"/>
        <v>0</v>
      </c>
      <c r="AB408" s="29">
        <f t="shared" ca="1" si="225"/>
        <v>1</v>
      </c>
      <c r="AC408" s="29">
        <f t="shared" ca="1" si="225"/>
        <v>0</v>
      </c>
      <c r="AD408" s="29">
        <f t="shared" ca="1" si="225"/>
        <v>1</v>
      </c>
      <c r="AE408" s="29">
        <f t="shared" ca="1" si="225"/>
        <v>1</v>
      </c>
      <c r="AF408" s="29">
        <f t="shared" ca="1" si="225"/>
        <v>1</v>
      </c>
      <c r="AG408" s="29">
        <f t="shared" ca="1" si="224"/>
        <v>0</v>
      </c>
      <c r="AH408" s="29">
        <f t="shared" ca="1" si="224"/>
        <v>0</v>
      </c>
      <c r="AI408" s="29">
        <f t="shared" ca="1" si="224"/>
        <v>0</v>
      </c>
      <c r="AJ408" s="29">
        <f t="shared" ca="1" si="224"/>
        <v>0</v>
      </c>
      <c r="AK408" s="29">
        <f t="shared" ca="1" si="224"/>
        <v>0</v>
      </c>
      <c r="AL408" s="29">
        <f t="shared" ca="1" si="224"/>
        <v>0</v>
      </c>
      <c r="AM408" s="29">
        <f t="shared" ca="1" si="224"/>
        <v>0</v>
      </c>
      <c r="AN408" s="29">
        <f t="shared" ca="1" si="224"/>
        <v>0</v>
      </c>
      <c r="AO408" s="29">
        <f t="shared" ca="1" si="224"/>
        <v>1</v>
      </c>
      <c r="AP408" s="29">
        <f t="shared" ca="1" si="224"/>
        <v>1</v>
      </c>
      <c r="AQ408" s="29">
        <f t="shared" ca="1" si="224"/>
        <v>0</v>
      </c>
      <c r="AR408" s="29">
        <f t="shared" ca="1" si="224"/>
        <v>2</v>
      </c>
      <c r="AS408" s="29">
        <f t="shared" ca="1" si="224"/>
        <v>1</v>
      </c>
      <c r="AT408" s="29">
        <f t="shared" ca="1" si="224"/>
        <v>0</v>
      </c>
      <c r="AU408" s="29">
        <f t="shared" ca="1" si="224"/>
        <v>1</v>
      </c>
      <c r="AV408" s="29">
        <f t="shared" ca="1" si="227"/>
        <v>0</v>
      </c>
      <c r="AW408" s="29">
        <f t="shared" ca="1" si="227"/>
        <v>0</v>
      </c>
      <c r="AX408" s="29">
        <f t="shared" ca="1" si="227"/>
        <v>0</v>
      </c>
      <c r="AY408" s="29">
        <f t="shared" ca="1" si="227"/>
        <v>0</v>
      </c>
      <c r="AZ408" s="29">
        <f t="shared" ca="1" si="227"/>
        <v>0</v>
      </c>
      <c r="BA408" s="29">
        <f t="shared" ca="1" si="227"/>
        <v>0</v>
      </c>
      <c r="BB408" s="29">
        <f t="shared" ca="1" si="227"/>
        <v>0</v>
      </c>
      <c r="BC408" s="29">
        <f t="shared" ca="1" si="227"/>
        <v>1</v>
      </c>
      <c r="BD408" s="29">
        <f t="shared" ca="1" si="227"/>
        <v>0</v>
      </c>
      <c r="BE408" s="29">
        <f t="shared" ca="1" si="227"/>
        <v>1</v>
      </c>
      <c r="BF408" s="29">
        <f t="shared" ca="1" si="227"/>
        <v>0</v>
      </c>
      <c r="BG408" s="29">
        <f t="shared" ca="1" si="227"/>
        <v>0</v>
      </c>
      <c r="BH408" s="29">
        <f t="shared" ca="1" si="227"/>
        <v>0</v>
      </c>
      <c r="BI408" s="29">
        <f t="shared" ca="1" si="227"/>
        <v>0</v>
      </c>
      <c r="BJ408" s="29">
        <f t="shared" ca="1" si="227"/>
        <v>1</v>
      </c>
      <c r="BK408" s="29">
        <f t="shared" ca="1" si="227"/>
        <v>0</v>
      </c>
      <c r="BL408" s="29">
        <f t="shared" ca="1" si="226"/>
        <v>0</v>
      </c>
      <c r="BM408" s="29">
        <f t="shared" ca="1" si="226"/>
        <v>1</v>
      </c>
      <c r="BN408" s="29">
        <f t="shared" ca="1" si="226"/>
        <v>0</v>
      </c>
      <c r="BO408" s="29">
        <f t="shared" ca="1" si="226"/>
        <v>0</v>
      </c>
      <c r="BP408" s="29">
        <f t="shared" ca="1" si="226"/>
        <v>0</v>
      </c>
      <c r="BQ408" s="29">
        <f t="shared" ca="1" si="226"/>
        <v>0</v>
      </c>
      <c r="BR408" s="29">
        <f t="shared" ca="1" si="226"/>
        <v>1</v>
      </c>
      <c r="BS408" s="29">
        <f t="shared" ca="1" si="226"/>
        <v>0</v>
      </c>
      <c r="BT408" s="29">
        <f t="shared" ca="1" si="226"/>
        <v>0</v>
      </c>
      <c r="BU408" s="29">
        <f t="shared" ca="1" si="226"/>
        <v>1</v>
      </c>
      <c r="BV408" s="29">
        <f t="shared" ca="1" si="226"/>
        <v>0</v>
      </c>
      <c r="BW408" s="29">
        <f t="shared" ca="1" si="226"/>
        <v>0</v>
      </c>
      <c r="BX408" s="29">
        <f t="shared" ca="1" si="226"/>
        <v>0</v>
      </c>
      <c r="BY408" s="29">
        <f t="shared" ca="1" si="226"/>
        <v>0</v>
      </c>
      <c r="BZ408" s="29">
        <f t="shared" ca="1" si="226"/>
        <v>1</v>
      </c>
      <c r="CA408" s="29">
        <f t="shared" ca="1" si="229"/>
        <v>1</v>
      </c>
      <c r="CB408" s="29">
        <f t="shared" ca="1" si="229"/>
        <v>0</v>
      </c>
      <c r="CC408" s="29">
        <f t="shared" ca="1" si="229"/>
        <v>1</v>
      </c>
      <c r="CD408" s="29">
        <f t="shared" ca="1" si="229"/>
        <v>0</v>
      </c>
      <c r="CE408" s="29">
        <f t="shared" ca="1" si="229"/>
        <v>3</v>
      </c>
      <c r="CF408" s="29">
        <f t="shared" ca="1" si="229"/>
        <v>1</v>
      </c>
      <c r="CG408" s="29">
        <f t="shared" ca="1" si="229"/>
        <v>0</v>
      </c>
      <c r="CH408" s="29">
        <f t="shared" ca="1" si="229"/>
        <v>0</v>
      </c>
      <c r="CI408" s="29">
        <f t="shared" ca="1" si="229"/>
        <v>1</v>
      </c>
      <c r="CJ408" s="29">
        <f t="shared" ca="1" si="229"/>
        <v>1</v>
      </c>
      <c r="CK408" s="29">
        <f t="shared" ca="1" si="229"/>
        <v>1</v>
      </c>
      <c r="CL408" s="29">
        <f t="shared" ca="1" si="229"/>
        <v>2</v>
      </c>
      <c r="CM408" s="29">
        <f t="shared" ca="1" si="229"/>
        <v>2</v>
      </c>
      <c r="CN408" s="29">
        <f t="shared" ca="1" si="229"/>
        <v>1</v>
      </c>
      <c r="CO408" s="29">
        <f t="shared" ca="1" si="229"/>
        <v>0</v>
      </c>
      <c r="CP408" s="29">
        <f t="shared" ca="1" si="229"/>
        <v>0</v>
      </c>
      <c r="CQ408" s="29">
        <f t="shared" ca="1" si="228"/>
        <v>1</v>
      </c>
      <c r="CR408" s="29">
        <f t="shared" ca="1" si="228"/>
        <v>0</v>
      </c>
      <c r="CS408" s="29">
        <f t="shared" ca="1" si="228"/>
        <v>0</v>
      </c>
      <c r="CT408" s="29">
        <f t="shared" ca="1" si="228"/>
        <v>0</v>
      </c>
      <c r="CU408" s="29">
        <f t="shared" ca="1" si="228"/>
        <v>1</v>
      </c>
      <c r="CV408" s="29">
        <f t="shared" ca="1" si="228"/>
        <v>0</v>
      </c>
      <c r="CW408" s="29">
        <f t="shared" ca="1" si="228"/>
        <v>0</v>
      </c>
      <c r="CX408" s="29">
        <f t="shared" ca="1" si="228"/>
        <v>0</v>
      </c>
      <c r="CY408" s="29">
        <f t="shared" ca="1" si="228"/>
        <v>0</v>
      </c>
      <c r="CZ408" s="29">
        <f t="shared" ca="1" si="228"/>
        <v>0</v>
      </c>
      <c r="DA408" s="29">
        <f t="shared" ca="1" si="228"/>
        <v>0</v>
      </c>
      <c r="DB408" s="29">
        <f t="shared" ca="1" si="228"/>
        <v>0</v>
      </c>
      <c r="DC408" s="29">
        <f t="shared" ca="1" si="228"/>
        <v>0</v>
      </c>
      <c r="DD408" s="29">
        <f t="shared" ca="1" si="228"/>
        <v>0</v>
      </c>
      <c r="DE408" s="29">
        <f t="shared" ca="1" si="228"/>
        <v>1</v>
      </c>
      <c r="DF408" s="29">
        <f t="shared" ca="1" si="213"/>
        <v>0</v>
      </c>
      <c r="DG408" s="29">
        <f t="shared" ca="1" si="213"/>
        <v>1</v>
      </c>
      <c r="DH408" s="29">
        <f t="shared" ca="1" si="213"/>
        <v>0</v>
      </c>
      <c r="DI408" s="29">
        <f t="shared" ca="1" si="213"/>
        <v>2</v>
      </c>
      <c r="DJ408" s="29">
        <f t="shared" ca="1" si="213"/>
        <v>1</v>
      </c>
      <c r="DK408" s="29">
        <f t="shared" ca="1" si="213"/>
        <v>1</v>
      </c>
      <c r="DL408" s="29">
        <f t="shared" ca="1" si="213"/>
        <v>1</v>
      </c>
    </row>
    <row r="409" spans="1:116" ht="14.4" x14ac:dyDescent="0.3">
      <c r="A409" s="31">
        <v>1044</v>
      </c>
      <c r="B409" s="28">
        <v>2.87</v>
      </c>
      <c r="C409" s="30">
        <v>93.16</v>
      </c>
      <c r="D409" s="28">
        <v>0.41</v>
      </c>
      <c r="E409" s="34">
        <f t="shared" si="215"/>
        <v>8.199999999999999E-3</v>
      </c>
      <c r="F409" s="35">
        <f t="shared" si="216"/>
        <v>23.29</v>
      </c>
      <c r="G409" s="34">
        <f t="shared" si="217"/>
        <v>10.25</v>
      </c>
      <c r="H409" s="33">
        <f t="shared" si="218"/>
        <v>-4.5435540069686411</v>
      </c>
      <c r="I409" s="28">
        <f t="shared" si="221"/>
        <v>1616.3100000000011</v>
      </c>
      <c r="J409" s="32">
        <v>0</v>
      </c>
      <c r="K409" s="30">
        <f t="shared" si="219"/>
        <v>10.25</v>
      </c>
      <c r="L409" s="30"/>
      <c r="M409" s="30"/>
      <c r="N409" s="30"/>
      <c r="O409" s="30"/>
      <c r="Q409" s="29">
        <f t="shared" ca="1" si="220"/>
        <v>3</v>
      </c>
      <c r="R409" s="29">
        <f t="shared" ca="1" si="225"/>
        <v>1</v>
      </c>
      <c r="S409" s="29">
        <f t="shared" ca="1" si="225"/>
        <v>2</v>
      </c>
      <c r="T409" s="29">
        <f t="shared" ca="1" si="225"/>
        <v>0</v>
      </c>
      <c r="U409" s="29">
        <f t="shared" ca="1" si="225"/>
        <v>0</v>
      </c>
      <c r="V409" s="29">
        <f t="shared" ca="1" si="225"/>
        <v>0</v>
      </c>
      <c r="W409" s="29">
        <f t="shared" ca="1" si="225"/>
        <v>1</v>
      </c>
      <c r="X409" s="29">
        <f t="shared" ca="1" si="225"/>
        <v>1</v>
      </c>
      <c r="Y409" s="29">
        <f t="shared" ca="1" si="225"/>
        <v>1</v>
      </c>
      <c r="Z409" s="29">
        <f t="shared" ca="1" si="225"/>
        <v>0</v>
      </c>
      <c r="AA409" s="29">
        <f t="shared" ca="1" si="225"/>
        <v>0</v>
      </c>
      <c r="AB409" s="29">
        <f t="shared" ca="1" si="225"/>
        <v>0</v>
      </c>
      <c r="AC409" s="29">
        <f t="shared" ca="1" si="225"/>
        <v>0</v>
      </c>
      <c r="AD409" s="29">
        <f t="shared" ca="1" si="225"/>
        <v>0</v>
      </c>
      <c r="AE409" s="29">
        <f t="shared" ca="1" si="225"/>
        <v>0</v>
      </c>
      <c r="AF409" s="29">
        <f t="shared" ref="AF409:AU417" ca="1" si="230">_xlfn.BINOM.INV(50,$E409,RAND())</f>
        <v>0</v>
      </c>
      <c r="AG409" s="29">
        <f t="shared" ca="1" si="230"/>
        <v>0</v>
      </c>
      <c r="AH409" s="29">
        <f t="shared" ca="1" si="230"/>
        <v>0</v>
      </c>
      <c r="AI409" s="29">
        <f t="shared" ca="1" si="230"/>
        <v>0</v>
      </c>
      <c r="AJ409" s="29">
        <f t="shared" ca="1" si="230"/>
        <v>2</v>
      </c>
      <c r="AK409" s="29">
        <f t="shared" ca="1" si="230"/>
        <v>0</v>
      </c>
      <c r="AL409" s="29">
        <f t="shared" ca="1" si="230"/>
        <v>2</v>
      </c>
      <c r="AM409" s="29">
        <f t="shared" ca="1" si="230"/>
        <v>0</v>
      </c>
      <c r="AN409" s="29">
        <f t="shared" ca="1" si="230"/>
        <v>0</v>
      </c>
      <c r="AO409" s="29">
        <f t="shared" ca="1" si="230"/>
        <v>1</v>
      </c>
      <c r="AP409" s="29">
        <f t="shared" ca="1" si="230"/>
        <v>1</v>
      </c>
      <c r="AQ409" s="29">
        <f t="shared" ca="1" si="230"/>
        <v>0</v>
      </c>
      <c r="AR409" s="29">
        <f t="shared" ca="1" si="230"/>
        <v>1</v>
      </c>
      <c r="AS409" s="29">
        <f t="shared" ca="1" si="230"/>
        <v>1</v>
      </c>
      <c r="AT409" s="29">
        <f t="shared" ca="1" si="230"/>
        <v>1</v>
      </c>
      <c r="AU409" s="29">
        <f t="shared" ca="1" si="230"/>
        <v>0</v>
      </c>
      <c r="AV409" s="29">
        <f t="shared" ca="1" si="227"/>
        <v>0</v>
      </c>
      <c r="AW409" s="29">
        <f t="shared" ca="1" si="227"/>
        <v>3</v>
      </c>
      <c r="AX409" s="29">
        <f t="shared" ca="1" si="227"/>
        <v>1</v>
      </c>
      <c r="AY409" s="29">
        <f t="shared" ca="1" si="227"/>
        <v>0</v>
      </c>
      <c r="AZ409" s="29">
        <f t="shared" ca="1" si="227"/>
        <v>0</v>
      </c>
      <c r="BA409" s="29">
        <f t="shared" ca="1" si="227"/>
        <v>0</v>
      </c>
      <c r="BB409" s="29">
        <f t="shared" ca="1" si="227"/>
        <v>0</v>
      </c>
      <c r="BC409" s="29">
        <f t="shared" ca="1" si="227"/>
        <v>1</v>
      </c>
      <c r="BD409" s="29">
        <f t="shared" ca="1" si="227"/>
        <v>0</v>
      </c>
      <c r="BE409" s="29">
        <f t="shared" ca="1" si="227"/>
        <v>0</v>
      </c>
      <c r="BF409" s="29">
        <f t="shared" ca="1" si="227"/>
        <v>0</v>
      </c>
      <c r="BG409" s="29">
        <f t="shared" ca="1" si="227"/>
        <v>0</v>
      </c>
      <c r="BH409" s="29">
        <f t="shared" ca="1" si="227"/>
        <v>0</v>
      </c>
      <c r="BI409" s="29">
        <f t="shared" ca="1" si="227"/>
        <v>0</v>
      </c>
      <c r="BJ409" s="29">
        <f t="shared" ca="1" si="227"/>
        <v>0</v>
      </c>
      <c r="BK409" s="29">
        <f t="shared" ca="1" si="227"/>
        <v>0</v>
      </c>
      <c r="BL409" s="29">
        <f t="shared" ca="1" si="226"/>
        <v>1</v>
      </c>
      <c r="BM409" s="29">
        <f t="shared" ca="1" si="226"/>
        <v>0</v>
      </c>
      <c r="BN409" s="29">
        <f t="shared" ca="1" si="226"/>
        <v>0</v>
      </c>
      <c r="BO409" s="29">
        <f t="shared" ca="1" si="226"/>
        <v>0</v>
      </c>
      <c r="BP409" s="29">
        <f t="shared" ca="1" si="226"/>
        <v>1</v>
      </c>
      <c r="BQ409" s="29">
        <f t="shared" ca="1" si="226"/>
        <v>1</v>
      </c>
      <c r="BR409" s="29">
        <f t="shared" ca="1" si="226"/>
        <v>0</v>
      </c>
      <c r="BS409" s="29">
        <f t="shared" ca="1" si="226"/>
        <v>0</v>
      </c>
      <c r="BT409" s="29">
        <f t="shared" ca="1" si="226"/>
        <v>1</v>
      </c>
      <c r="BU409" s="29">
        <f t="shared" ca="1" si="226"/>
        <v>0</v>
      </c>
      <c r="BV409" s="29">
        <f t="shared" ca="1" si="226"/>
        <v>1</v>
      </c>
      <c r="BW409" s="29">
        <f t="shared" ca="1" si="226"/>
        <v>0</v>
      </c>
      <c r="BX409" s="29">
        <f t="shared" ca="1" si="226"/>
        <v>2</v>
      </c>
      <c r="BY409" s="29">
        <f t="shared" ca="1" si="226"/>
        <v>0</v>
      </c>
      <c r="BZ409" s="29">
        <f t="shared" ca="1" si="226"/>
        <v>0</v>
      </c>
      <c r="CA409" s="29">
        <f t="shared" ca="1" si="229"/>
        <v>0</v>
      </c>
      <c r="CB409" s="29">
        <f t="shared" ca="1" si="229"/>
        <v>2</v>
      </c>
      <c r="CC409" s="29">
        <f t="shared" ca="1" si="229"/>
        <v>0</v>
      </c>
      <c r="CD409" s="29">
        <f t="shared" ca="1" si="229"/>
        <v>0</v>
      </c>
      <c r="CE409" s="29">
        <f t="shared" ca="1" si="229"/>
        <v>0</v>
      </c>
      <c r="CF409" s="29">
        <f t="shared" ca="1" si="229"/>
        <v>0</v>
      </c>
      <c r="CG409" s="29">
        <f t="shared" ca="1" si="229"/>
        <v>0</v>
      </c>
      <c r="CH409" s="29">
        <f t="shared" ca="1" si="229"/>
        <v>1</v>
      </c>
      <c r="CI409" s="29">
        <f t="shared" ca="1" si="229"/>
        <v>0</v>
      </c>
      <c r="CJ409" s="29">
        <f t="shared" ca="1" si="229"/>
        <v>0</v>
      </c>
      <c r="CK409" s="29">
        <f t="shared" ca="1" si="229"/>
        <v>1</v>
      </c>
      <c r="CL409" s="29">
        <f t="shared" ca="1" si="229"/>
        <v>1</v>
      </c>
      <c r="CM409" s="29">
        <f t="shared" ca="1" si="229"/>
        <v>0</v>
      </c>
      <c r="CN409" s="29">
        <f t="shared" ca="1" si="229"/>
        <v>0</v>
      </c>
      <c r="CO409" s="29">
        <f t="shared" ca="1" si="229"/>
        <v>0</v>
      </c>
      <c r="CP409" s="29">
        <f t="shared" ca="1" si="229"/>
        <v>1</v>
      </c>
      <c r="CQ409" s="29">
        <f t="shared" ca="1" si="228"/>
        <v>0</v>
      </c>
      <c r="CR409" s="29">
        <f t="shared" ca="1" si="228"/>
        <v>1</v>
      </c>
      <c r="CS409" s="29">
        <f t="shared" ca="1" si="228"/>
        <v>2</v>
      </c>
      <c r="CT409" s="29">
        <f t="shared" ca="1" si="228"/>
        <v>1</v>
      </c>
      <c r="CU409" s="29">
        <f t="shared" ca="1" si="228"/>
        <v>0</v>
      </c>
      <c r="CV409" s="29">
        <f t="shared" ca="1" si="228"/>
        <v>0</v>
      </c>
      <c r="CW409" s="29">
        <f t="shared" ca="1" si="228"/>
        <v>3</v>
      </c>
      <c r="CX409" s="29">
        <f t="shared" ca="1" si="228"/>
        <v>1</v>
      </c>
      <c r="CY409" s="29">
        <f t="shared" ca="1" si="228"/>
        <v>2</v>
      </c>
      <c r="CZ409" s="29">
        <f t="shared" ca="1" si="228"/>
        <v>0</v>
      </c>
      <c r="DA409" s="29">
        <f t="shared" ca="1" si="228"/>
        <v>0</v>
      </c>
      <c r="DB409" s="29">
        <f t="shared" ca="1" si="228"/>
        <v>1</v>
      </c>
      <c r="DC409" s="29">
        <f t="shared" ca="1" si="228"/>
        <v>0</v>
      </c>
      <c r="DD409" s="29">
        <f t="shared" ca="1" si="228"/>
        <v>0</v>
      </c>
      <c r="DE409" s="29">
        <f t="shared" ca="1" si="228"/>
        <v>0</v>
      </c>
      <c r="DF409" s="29">
        <f t="shared" ca="1" si="213"/>
        <v>0</v>
      </c>
      <c r="DG409" s="29">
        <f t="shared" ca="1" si="213"/>
        <v>0</v>
      </c>
      <c r="DH409" s="29">
        <f t="shared" ca="1" si="213"/>
        <v>0</v>
      </c>
      <c r="DI409" s="29">
        <f t="shared" ca="1" si="213"/>
        <v>2</v>
      </c>
      <c r="DJ409" s="29">
        <f t="shared" ca="1" si="213"/>
        <v>0</v>
      </c>
      <c r="DK409" s="29">
        <f t="shared" ca="1" si="213"/>
        <v>2</v>
      </c>
      <c r="DL409" s="29">
        <f t="shared" ca="1" si="213"/>
        <v>0</v>
      </c>
    </row>
    <row r="410" spans="1:116" ht="14.4" x14ac:dyDescent="0.3">
      <c r="A410" s="31">
        <v>982</v>
      </c>
      <c r="B410" s="28">
        <v>1.39</v>
      </c>
      <c r="C410" s="30">
        <v>91.15</v>
      </c>
      <c r="D410" s="28">
        <v>0.57999999999999996</v>
      </c>
      <c r="E410" s="34">
        <f t="shared" si="215"/>
        <v>1.1599999999999999E-2</v>
      </c>
      <c r="F410" s="35">
        <f t="shared" si="216"/>
        <v>22.787500000000001</v>
      </c>
      <c r="G410" s="34">
        <f t="shared" si="217"/>
        <v>14.499999999999998</v>
      </c>
      <c r="H410" s="33">
        <f t="shared" si="218"/>
        <v>-5.9622302158273408</v>
      </c>
      <c r="I410" s="28">
        <f t="shared" si="221"/>
        <v>1617.7000000000012</v>
      </c>
      <c r="J410" s="32">
        <v>0</v>
      </c>
      <c r="K410" s="30">
        <f t="shared" si="219"/>
        <v>14.499999999999998</v>
      </c>
      <c r="L410" s="30"/>
      <c r="M410" s="30"/>
      <c r="N410" s="30"/>
      <c r="O410" s="30"/>
      <c r="Q410" s="29">
        <f t="shared" ca="1" si="220"/>
        <v>0</v>
      </c>
      <c r="R410" s="29">
        <f t="shared" ref="R410:AF417" ca="1" si="231">_xlfn.BINOM.INV(50,$E410,RAND())</f>
        <v>0</v>
      </c>
      <c r="S410" s="29">
        <f t="shared" ca="1" si="231"/>
        <v>1</v>
      </c>
      <c r="T410" s="29">
        <f t="shared" ca="1" si="231"/>
        <v>2</v>
      </c>
      <c r="U410" s="29">
        <f t="shared" ca="1" si="231"/>
        <v>0</v>
      </c>
      <c r="V410" s="29">
        <f t="shared" ca="1" si="231"/>
        <v>0</v>
      </c>
      <c r="W410" s="29">
        <f t="shared" ca="1" si="231"/>
        <v>0</v>
      </c>
      <c r="X410" s="29">
        <f t="shared" ca="1" si="231"/>
        <v>1</v>
      </c>
      <c r="Y410" s="29">
        <f t="shared" ca="1" si="231"/>
        <v>0</v>
      </c>
      <c r="Z410" s="29">
        <f t="shared" ca="1" si="231"/>
        <v>0</v>
      </c>
      <c r="AA410" s="29">
        <f t="shared" ca="1" si="231"/>
        <v>0</v>
      </c>
      <c r="AB410" s="29">
        <f t="shared" ca="1" si="231"/>
        <v>2</v>
      </c>
      <c r="AC410" s="29">
        <f t="shared" ca="1" si="231"/>
        <v>0</v>
      </c>
      <c r="AD410" s="29">
        <f t="shared" ca="1" si="231"/>
        <v>1</v>
      </c>
      <c r="AE410" s="29">
        <f t="shared" ca="1" si="231"/>
        <v>0</v>
      </c>
      <c r="AF410" s="29">
        <f t="shared" ca="1" si="231"/>
        <v>0</v>
      </c>
      <c r="AG410" s="29">
        <f t="shared" ca="1" si="230"/>
        <v>2</v>
      </c>
      <c r="AH410" s="29">
        <f t="shared" ca="1" si="230"/>
        <v>0</v>
      </c>
      <c r="AI410" s="29">
        <f t="shared" ca="1" si="230"/>
        <v>0</v>
      </c>
      <c r="AJ410" s="29">
        <f t="shared" ca="1" si="230"/>
        <v>0</v>
      </c>
      <c r="AK410" s="29">
        <f t="shared" ca="1" si="230"/>
        <v>0</v>
      </c>
      <c r="AL410" s="29">
        <f t="shared" ca="1" si="230"/>
        <v>1</v>
      </c>
      <c r="AM410" s="29">
        <f t="shared" ca="1" si="230"/>
        <v>2</v>
      </c>
      <c r="AN410" s="29">
        <f t="shared" ca="1" si="230"/>
        <v>0</v>
      </c>
      <c r="AO410" s="29">
        <f t="shared" ca="1" si="230"/>
        <v>0</v>
      </c>
      <c r="AP410" s="29">
        <f t="shared" ca="1" si="230"/>
        <v>0</v>
      </c>
      <c r="AQ410" s="29">
        <f t="shared" ca="1" si="230"/>
        <v>1</v>
      </c>
      <c r="AR410" s="29">
        <f t="shared" ca="1" si="230"/>
        <v>1</v>
      </c>
      <c r="AS410" s="29">
        <f t="shared" ca="1" si="230"/>
        <v>0</v>
      </c>
      <c r="AT410" s="29">
        <f t="shared" ca="1" si="230"/>
        <v>0</v>
      </c>
      <c r="AU410" s="29">
        <f t="shared" ca="1" si="230"/>
        <v>0</v>
      </c>
      <c r="AV410" s="29">
        <f t="shared" ca="1" si="227"/>
        <v>1</v>
      </c>
      <c r="AW410" s="29">
        <f t="shared" ca="1" si="227"/>
        <v>0</v>
      </c>
      <c r="AX410" s="29">
        <f t="shared" ca="1" si="227"/>
        <v>2</v>
      </c>
      <c r="AY410" s="29">
        <f t="shared" ca="1" si="227"/>
        <v>0</v>
      </c>
      <c r="AZ410" s="29">
        <f t="shared" ca="1" si="227"/>
        <v>0</v>
      </c>
      <c r="BA410" s="29">
        <f t="shared" ca="1" si="227"/>
        <v>0</v>
      </c>
      <c r="BB410" s="29">
        <f t="shared" ca="1" si="227"/>
        <v>0</v>
      </c>
      <c r="BC410" s="29">
        <f t="shared" ca="1" si="227"/>
        <v>0</v>
      </c>
      <c r="BD410" s="29">
        <f t="shared" ca="1" si="227"/>
        <v>1</v>
      </c>
      <c r="BE410" s="29">
        <f t="shared" ca="1" si="227"/>
        <v>1</v>
      </c>
      <c r="BF410" s="29">
        <f t="shared" ca="1" si="227"/>
        <v>0</v>
      </c>
      <c r="BG410" s="29">
        <f t="shared" ca="1" si="227"/>
        <v>1</v>
      </c>
      <c r="BH410" s="29">
        <f t="shared" ca="1" si="227"/>
        <v>0</v>
      </c>
      <c r="BI410" s="29">
        <f t="shared" ca="1" si="227"/>
        <v>1</v>
      </c>
      <c r="BJ410" s="29">
        <f t="shared" ca="1" si="227"/>
        <v>0</v>
      </c>
      <c r="BK410" s="29">
        <f t="shared" ca="1" si="227"/>
        <v>2</v>
      </c>
      <c r="BL410" s="29">
        <f t="shared" ca="1" si="226"/>
        <v>1</v>
      </c>
      <c r="BM410" s="29">
        <f t="shared" ca="1" si="226"/>
        <v>0</v>
      </c>
      <c r="BN410" s="29">
        <f t="shared" ca="1" si="226"/>
        <v>1</v>
      </c>
      <c r="BO410" s="29">
        <f t="shared" ca="1" si="226"/>
        <v>1</v>
      </c>
      <c r="BP410" s="29">
        <f t="shared" ca="1" si="226"/>
        <v>0</v>
      </c>
      <c r="BQ410" s="29">
        <f t="shared" ca="1" si="226"/>
        <v>0</v>
      </c>
      <c r="BR410" s="29">
        <f t="shared" ca="1" si="226"/>
        <v>0</v>
      </c>
      <c r="BS410" s="29">
        <f t="shared" ca="1" si="226"/>
        <v>1</v>
      </c>
      <c r="BT410" s="29">
        <f t="shared" ca="1" si="226"/>
        <v>0</v>
      </c>
      <c r="BU410" s="29">
        <f t="shared" ca="1" si="226"/>
        <v>0</v>
      </c>
      <c r="BV410" s="29">
        <f t="shared" ca="1" si="226"/>
        <v>0</v>
      </c>
      <c r="BW410" s="29">
        <f t="shared" ca="1" si="226"/>
        <v>1</v>
      </c>
      <c r="BX410" s="29">
        <f t="shared" ca="1" si="226"/>
        <v>0</v>
      </c>
      <c r="BY410" s="29">
        <f t="shared" ca="1" si="226"/>
        <v>0</v>
      </c>
      <c r="BZ410" s="29">
        <f t="shared" ca="1" si="226"/>
        <v>1</v>
      </c>
      <c r="CA410" s="29">
        <f t="shared" ca="1" si="229"/>
        <v>0</v>
      </c>
      <c r="CB410" s="29">
        <f t="shared" ca="1" si="229"/>
        <v>0</v>
      </c>
      <c r="CC410" s="29">
        <f t="shared" ca="1" si="229"/>
        <v>1</v>
      </c>
      <c r="CD410" s="29">
        <f t="shared" ca="1" si="229"/>
        <v>1</v>
      </c>
      <c r="CE410" s="29">
        <f t="shared" ca="1" si="229"/>
        <v>2</v>
      </c>
      <c r="CF410" s="29">
        <f t="shared" ca="1" si="229"/>
        <v>1</v>
      </c>
      <c r="CG410" s="29">
        <f t="shared" ca="1" si="229"/>
        <v>1</v>
      </c>
      <c r="CH410" s="29">
        <f t="shared" ca="1" si="229"/>
        <v>1</v>
      </c>
      <c r="CI410" s="29">
        <f t="shared" ca="1" si="229"/>
        <v>0</v>
      </c>
      <c r="CJ410" s="29">
        <f t="shared" ca="1" si="229"/>
        <v>0</v>
      </c>
      <c r="CK410" s="29">
        <f t="shared" ca="1" si="229"/>
        <v>0</v>
      </c>
      <c r="CL410" s="29">
        <f t="shared" ca="1" si="229"/>
        <v>0</v>
      </c>
      <c r="CM410" s="29">
        <f t="shared" ca="1" si="229"/>
        <v>1</v>
      </c>
      <c r="CN410" s="29">
        <f t="shared" ca="1" si="229"/>
        <v>1</v>
      </c>
      <c r="CO410" s="29">
        <f t="shared" ca="1" si="229"/>
        <v>1</v>
      </c>
      <c r="CP410" s="29">
        <f t="shared" ca="1" si="229"/>
        <v>0</v>
      </c>
      <c r="CQ410" s="29">
        <f t="shared" ca="1" si="228"/>
        <v>0</v>
      </c>
      <c r="CR410" s="29">
        <f t="shared" ca="1" si="228"/>
        <v>0</v>
      </c>
      <c r="CS410" s="29">
        <f t="shared" ca="1" si="228"/>
        <v>0</v>
      </c>
      <c r="CT410" s="29">
        <f t="shared" ca="1" si="228"/>
        <v>0</v>
      </c>
      <c r="CU410" s="29">
        <f t="shared" ca="1" si="228"/>
        <v>0</v>
      </c>
      <c r="CV410" s="29">
        <f t="shared" ca="1" si="228"/>
        <v>1</v>
      </c>
      <c r="CW410" s="29">
        <f t="shared" ca="1" si="228"/>
        <v>1</v>
      </c>
      <c r="CX410" s="29">
        <f t="shared" ca="1" si="228"/>
        <v>1</v>
      </c>
      <c r="CY410" s="29">
        <f t="shared" ca="1" si="228"/>
        <v>2</v>
      </c>
      <c r="CZ410" s="29">
        <f t="shared" ca="1" si="228"/>
        <v>1</v>
      </c>
      <c r="DA410" s="29">
        <f t="shared" ca="1" si="228"/>
        <v>1</v>
      </c>
      <c r="DB410" s="29">
        <f t="shared" ca="1" si="228"/>
        <v>1</v>
      </c>
      <c r="DC410" s="29">
        <f t="shared" ca="1" si="228"/>
        <v>2</v>
      </c>
      <c r="DD410" s="29">
        <f t="shared" ca="1" si="228"/>
        <v>1</v>
      </c>
      <c r="DE410" s="29">
        <f t="shared" ca="1" si="228"/>
        <v>2</v>
      </c>
      <c r="DF410" s="29">
        <f t="shared" ca="1" si="213"/>
        <v>0</v>
      </c>
      <c r="DG410" s="29">
        <f t="shared" ca="1" si="213"/>
        <v>1</v>
      </c>
      <c r="DH410" s="29">
        <f t="shared" ca="1" si="213"/>
        <v>0</v>
      </c>
      <c r="DI410" s="29">
        <f t="shared" ca="1" si="213"/>
        <v>0</v>
      </c>
      <c r="DJ410" s="29">
        <f t="shared" ca="1" si="213"/>
        <v>0</v>
      </c>
      <c r="DK410" s="29">
        <f t="shared" ca="1" si="213"/>
        <v>0</v>
      </c>
      <c r="DL410" s="29">
        <f t="shared" ca="1" si="213"/>
        <v>0</v>
      </c>
    </row>
    <row r="411" spans="1:116" ht="14.4" x14ac:dyDescent="0.3">
      <c r="A411" s="31">
        <v>718</v>
      </c>
      <c r="B411" s="28">
        <v>0.7</v>
      </c>
      <c r="C411" s="30">
        <v>48.2</v>
      </c>
      <c r="D411" s="28">
        <v>0.31</v>
      </c>
      <c r="E411" s="34">
        <f t="shared" si="215"/>
        <v>6.1999999999999998E-3</v>
      </c>
      <c r="F411" s="35">
        <f t="shared" si="216"/>
        <v>12.05</v>
      </c>
      <c r="G411" s="34">
        <f t="shared" si="217"/>
        <v>7.75</v>
      </c>
      <c r="H411" s="33">
        <f t="shared" si="218"/>
        <v>-6.1428571428571441</v>
      </c>
      <c r="I411" s="28">
        <f t="shared" si="221"/>
        <v>1618.4000000000012</v>
      </c>
      <c r="J411" s="32">
        <v>0</v>
      </c>
      <c r="K411" s="30">
        <f t="shared" si="219"/>
        <v>7.75</v>
      </c>
      <c r="L411" s="30"/>
      <c r="M411" s="30"/>
      <c r="N411" s="30"/>
      <c r="O411" s="30"/>
      <c r="Q411" s="29">
        <f t="shared" ca="1" si="220"/>
        <v>0</v>
      </c>
      <c r="R411" s="29">
        <f t="shared" ca="1" si="231"/>
        <v>0</v>
      </c>
      <c r="S411" s="29">
        <f t="shared" ca="1" si="231"/>
        <v>0</v>
      </c>
      <c r="T411" s="29">
        <f t="shared" ca="1" si="231"/>
        <v>0</v>
      </c>
      <c r="U411" s="29">
        <f t="shared" ca="1" si="231"/>
        <v>0</v>
      </c>
      <c r="V411" s="29">
        <f t="shared" ca="1" si="231"/>
        <v>1</v>
      </c>
      <c r="W411" s="29">
        <f t="shared" ca="1" si="231"/>
        <v>0</v>
      </c>
      <c r="X411" s="29">
        <f t="shared" ca="1" si="231"/>
        <v>0</v>
      </c>
      <c r="Y411" s="29">
        <f t="shared" ca="1" si="231"/>
        <v>0</v>
      </c>
      <c r="Z411" s="29">
        <f t="shared" ca="1" si="231"/>
        <v>2</v>
      </c>
      <c r="AA411" s="29">
        <f t="shared" ca="1" si="231"/>
        <v>0</v>
      </c>
      <c r="AB411" s="29">
        <f t="shared" ca="1" si="231"/>
        <v>0</v>
      </c>
      <c r="AC411" s="29">
        <f t="shared" ca="1" si="231"/>
        <v>0</v>
      </c>
      <c r="AD411" s="29">
        <f t="shared" ca="1" si="231"/>
        <v>0</v>
      </c>
      <c r="AE411" s="29">
        <f t="shared" ca="1" si="231"/>
        <v>0</v>
      </c>
      <c r="AF411" s="29">
        <f t="shared" ca="1" si="231"/>
        <v>1</v>
      </c>
      <c r="AG411" s="29">
        <f t="shared" ca="1" si="230"/>
        <v>0</v>
      </c>
      <c r="AH411" s="29">
        <f t="shared" ca="1" si="230"/>
        <v>2</v>
      </c>
      <c r="AI411" s="29">
        <f t="shared" ca="1" si="230"/>
        <v>0</v>
      </c>
      <c r="AJ411" s="29">
        <f t="shared" ca="1" si="230"/>
        <v>0</v>
      </c>
      <c r="AK411" s="29">
        <f t="shared" ca="1" si="230"/>
        <v>0</v>
      </c>
      <c r="AL411" s="29">
        <f t="shared" ca="1" si="230"/>
        <v>0</v>
      </c>
      <c r="AM411" s="29">
        <f t="shared" ca="1" si="230"/>
        <v>1</v>
      </c>
      <c r="AN411" s="29">
        <f t="shared" ca="1" si="230"/>
        <v>1</v>
      </c>
      <c r="AO411" s="29">
        <f t="shared" ca="1" si="230"/>
        <v>0</v>
      </c>
      <c r="AP411" s="29">
        <f t="shared" ca="1" si="230"/>
        <v>0</v>
      </c>
      <c r="AQ411" s="29">
        <f t="shared" ca="1" si="230"/>
        <v>0</v>
      </c>
      <c r="AR411" s="29">
        <f t="shared" ca="1" si="230"/>
        <v>0</v>
      </c>
      <c r="AS411" s="29">
        <f t="shared" ca="1" si="230"/>
        <v>1</v>
      </c>
      <c r="AT411" s="29">
        <f t="shared" ca="1" si="230"/>
        <v>0</v>
      </c>
      <c r="AU411" s="29">
        <f t="shared" ca="1" si="230"/>
        <v>0</v>
      </c>
      <c r="AV411" s="29">
        <f t="shared" ca="1" si="227"/>
        <v>0</v>
      </c>
      <c r="AW411" s="29">
        <f t="shared" ca="1" si="227"/>
        <v>0</v>
      </c>
      <c r="AX411" s="29">
        <f t="shared" ca="1" si="227"/>
        <v>0</v>
      </c>
      <c r="AY411" s="29">
        <f t="shared" ca="1" si="227"/>
        <v>0</v>
      </c>
      <c r="AZ411" s="29">
        <f t="shared" ca="1" si="227"/>
        <v>1</v>
      </c>
      <c r="BA411" s="29">
        <f t="shared" ca="1" si="227"/>
        <v>0</v>
      </c>
      <c r="BB411" s="29">
        <f t="shared" ca="1" si="227"/>
        <v>0</v>
      </c>
      <c r="BC411" s="29">
        <f t="shared" ca="1" si="227"/>
        <v>1</v>
      </c>
      <c r="BD411" s="29">
        <f t="shared" ca="1" si="227"/>
        <v>1</v>
      </c>
      <c r="BE411" s="29">
        <f t="shared" ca="1" si="227"/>
        <v>0</v>
      </c>
      <c r="BF411" s="29">
        <f t="shared" ca="1" si="227"/>
        <v>0</v>
      </c>
      <c r="BG411" s="29">
        <f t="shared" ca="1" si="227"/>
        <v>0</v>
      </c>
      <c r="BH411" s="29">
        <f t="shared" ca="1" si="227"/>
        <v>0</v>
      </c>
      <c r="BI411" s="29">
        <f t="shared" ca="1" si="227"/>
        <v>0</v>
      </c>
      <c r="BJ411" s="29">
        <f t="shared" ca="1" si="227"/>
        <v>0</v>
      </c>
      <c r="BK411" s="29">
        <f t="shared" ca="1" si="227"/>
        <v>0</v>
      </c>
      <c r="BL411" s="29">
        <f t="shared" ca="1" si="226"/>
        <v>0</v>
      </c>
      <c r="BM411" s="29">
        <f t="shared" ca="1" si="226"/>
        <v>0</v>
      </c>
      <c r="BN411" s="29">
        <f t="shared" ca="1" si="226"/>
        <v>0</v>
      </c>
      <c r="BO411" s="29">
        <f t="shared" ca="1" si="226"/>
        <v>0</v>
      </c>
      <c r="BP411" s="29">
        <f t="shared" ca="1" si="226"/>
        <v>0</v>
      </c>
      <c r="BQ411" s="29">
        <f t="shared" ca="1" si="226"/>
        <v>1</v>
      </c>
      <c r="BR411" s="29">
        <f t="shared" ca="1" si="226"/>
        <v>0</v>
      </c>
      <c r="BS411" s="29">
        <f t="shared" ca="1" si="226"/>
        <v>0</v>
      </c>
      <c r="BT411" s="29">
        <f t="shared" ca="1" si="226"/>
        <v>0</v>
      </c>
      <c r="BU411" s="29">
        <f t="shared" ca="1" si="226"/>
        <v>0</v>
      </c>
      <c r="BV411" s="29">
        <f t="shared" ca="1" si="226"/>
        <v>0</v>
      </c>
      <c r="BW411" s="29">
        <f t="shared" ca="1" si="226"/>
        <v>1</v>
      </c>
      <c r="BX411" s="29">
        <f t="shared" ca="1" si="226"/>
        <v>0</v>
      </c>
      <c r="BY411" s="29">
        <f t="shared" ca="1" si="226"/>
        <v>0</v>
      </c>
      <c r="BZ411" s="29">
        <f t="shared" ca="1" si="226"/>
        <v>0</v>
      </c>
      <c r="CA411" s="29">
        <f t="shared" ca="1" si="229"/>
        <v>0</v>
      </c>
      <c r="CB411" s="29">
        <f t="shared" ca="1" si="229"/>
        <v>0</v>
      </c>
      <c r="CC411" s="29">
        <f t="shared" ca="1" si="229"/>
        <v>0</v>
      </c>
      <c r="CD411" s="29">
        <f t="shared" ca="1" si="229"/>
        <v>0</v>
      </c>
      <c r="CE411" s="29">
        <f t="shared" ca="1" si="229"/>
        <v>0</v>
      </c>
      <c r="CF411" s="29">
        <f t="shared" ca="1" si="229"/>
        <v>0</v>
      </c>
      <c r="CG411" s="29">
        <f t="shared" ca="1" si="229"/>
        <v>0</v>
      </c>
      <c r="CH411" s="29">
        <f t="shared" ca="1" si="229"/>
        <v>0</v>
      </c>
      <c r="CI411" s="29">
        <f t="shared" ca="1" si="229"/>
        <v>1</v>
      </c>
      <c r="CJ411" s="29">
        <f t="shared" ca="1" si="229"/>
        <v>0</v>
      </c>
      <c r="CK411" s="29">
        <f t="shared" ca="1" si="229"/>
        <v>2</v>
      </c>
      <c r="CL411" s="29">
        <f t="shared" ca="1" si="229"/>
        <v>1</v>
      </c>
      <c r="CM411" s="29">
        <f t="shared" ca="1" si="229"/>
        <v>0</v>
      </c>
      <c r="CN411" s="29">
        <f t="shared" ca="1" si="229"/>
        <v>0</v>
      </c>
      <c r="CO411" s="29">
        <f t="shared" ca="1" si="229"/>
        <v>0</v>
      </c>
      <c r="CP411" s="29">
        <f t="shared" ca="1" si="229"/>
        <v>0</v>
      </c>
      <c r="CQ411" s="29">
        <f t="shared" ca="1" si="228"/>
        <v>0</v>
      </c>
      <c r="CR411" s="29">
        <f t="shared" ca="1" si="228"/>
        <v>0</v>
      </c>
      <c r="CS411" s="29">
        <f t="shared" ca="1" si="228"/>
        <v>0</v>
      </c>
      <c r="CT411" s="29">
        <f t="shared" ca="1" si="228"/>
        <v>1</v>
      </c>
      <c r="CU411" s="29">
        <f t="shared" ca="1" si="228"/>
        <v>0</v>
      </c>
      <c r="CV411" s="29">
        <f t="shared" ca="1" si="228"/>
        <v>1</v>
      </c>
      <c r="CW411" s="29">
        <f t="shared" ca="1" si="228"/>
        <v>0</v>
      </c>
      <c r="CX411" s="29">
        <f t="shared" ca="1" si="228"/>
        <v>1</v>
      </c>
      <c r="CY411" s="29">
        <f t="shared" ca="1" si="228"/>
        <v>0</v>
      </c>
      <c r="CZ411" s="29">
        <f t="shared" ca="1" si="228"/>
        <v>0</v>
      </c>
      <c r="DA411" s="29">
        <f t="shared" ca="1" si="228"/>
        <v>1</v>
      </c>
      <c r="DB411" s="29">
        <f t="shared" ca="1" si="228"/>
        <v>1</v>
      </c>
      <c r="DC411" s="29">
        <f t="shared" ca="1" si="228"/>
        <v>1</v>
      </c>
      <c r="DD411" s="29">
        <f t="shared" ca="1" si="228"/>
        <v>0</v>
      </c>
      <c r="DE411" s="29">
        <f t="shared" ca="1" si="228"/>
        <v>1</v>
      </c>
      <c r="DF411" s="29">
        <f t="shared" ca="1" si="213"/>
        <v>1</v>
      </c>
      <c r="DG411" s="29">
        <f t="shared" ca="1" si="213"/>
        <v>0</v>
      </c>
      <c r="DH411" s="29">
        <f t="shared" ca="1" si="213"/>
        <v>2</v>
      </c>
      <c r="DI411" s="29">
        <f t="shared" ca="1" si="213"/>
        <v>0</v>
      </c>
      <c r="DJ411" s="29">
        <f t="shared" ca="1" si="213"/>
        <v>0</v>
      </c>
      <c r="DK411" s="29">
        <f t="shared" ca="1" si="213"/>
        <v>2</v>
      </c>
      <c r="DL411" s="29">
        <f t="shared" ca="1" si="213"/>
        <v>0</v>
      </c>
    </row>
    <row r="412" spans="1:116" ht="14.4" x14ac:dyDescent="0.3">
      <c r="A412" s="31">
        <v>755</v>
      </c>
      <c r="B412" s="28">
        <v>0.91</v>
      </c>
      <c r="C412" s="30">
        <v>91.4</v>
      </c>
      <c r="D412" s="28">
        <v>0.68</v>
      </c>
      <c r="E412" s="34">
        <f t="shared" si="215"/>
        <v>1.3600000000000001E-2</v>
      </c>
      <c r="F412" s="35">
        <f t="shared" si="216"/>
        <v>22.85</v>
      </c>
      <c r="G412" s="34">
        <f t="shared" si="217"/>
        <v>17</v>
      </c>
      <c r="H412" s="33">
        <f t="shared" si="218"/>
        <v>-6.4285714285714297</v>
      </c>
      <c r="I412" s="28">
        <f t="shared" si="221"/>
        <v>1619.3100000000013</v>
      </c>
      <c r="J412" s="32">
        <v>0</v>
      </c>
      <c r="K412" s="30">
        <f t="shared" si="219"/>
        <v>17</v>
      </c>
      <c r="L412" s="30"/>
      <c r="M412" s="30"/>
      <c r="N412" s="30"/>
      <c r="O412" s="30"/>
      <c r="Q412" s="29">
        <f t="shared" ca="1" si="220"/>
        <v>0</v>
      </c>
      <c r="R412" s="29">
        <f t="shared" ca="1" si="231"/>
        <v>0</v>
      </c>
      <c r="S412" s="29">
        <f t="shared" ca="1" si="231"/>
        <v>0</v>
      </c>
      <c r="T412" s="29">
        <f t="shared" ca="1" si="231"/>
        <v>0</v>
      </c>
      <c r="U412" s="29">
        <f t="shared" ca="1" si="231"/>
        <v>1</v>
      </c>
      <c r="V412" s="29">
        <f t="shared" ca="1" si="231"/>
        <v>0</v>
      </c>
      <c r="W412" s="29">
        <f t="shared" ca="1" si="231"/>
        <v>0</v>
      </c>
      <c r="X412" s="29">
        <f t="shared" ca="1" si="231"/>
        <v>0</v>
      </c>
      <c r="Y412" s="29">
        <f t="shared" ca="1" si="231"/>
        <v>0</v>
      </c>
      <c r="Z412" s="29">
        <f t="shared" ca="1" si="231"/>
        <v>0</v>
      </c>
      <c r="AA412" s="29">
        <f t="shared" ca="1" si="231"/>
        <v>0</v>
      </c>
      <c r="AB412" s="29">
        <f t="shared" ca="1" si="231"/>
        <v>1</v>
      </c>
      <c r="AC412" s="29">
        <f t="shared" ca="1" si="231"/>
        <v>2</v>
      </c>
      <c r="AD412" s="29">
        <f t="shared" ca="1" si="231"/>
        <v>1</v>
      </c>
      <c r="AE412" s="29">
        <f t="shared" ca="1" si="231"/>
        <v>0</v>
      </c>
      <c r="AF412" s="29">
        <f t="shared" ca="1" si="231"/>
        <v>1</v>
      </c>
      <c r="AG412" s="29">
        <f t="shared" ca="1" si="230"/>
        <v>3</v>
      </c>
      <c r="AH412" s="29">
        <f t="shared" ca="1" si="230"/>
        <v>1</v>
      </c>
      <c r="AI412" s="29">
        <f t="shared" ca="1" si="230"/>
        <v>1</v>
      </c>
      <c r="AJ412" s="29">
        <f t="shared" ca="1" si="230"/>
        <v>1</v>
      </c>
      <c r="AK412" s="29">
        <f t="shared" ca="1" si="230"/>
        <v>1</v>
      </c>
      <c r="AL412" s="29">
        <f t="shared" ca="1" si="230"/>
        <v>0</v>
      </c>
      <c r="AM412" s="29">
        <f t="shared" ca="1" si="230"/>
        <v>2</v>
      </c>
      <c r="AN412" s="29">
        <f t="shared" ca="1" si="230"/>
        <v>0</v>
      </c>
      <c r="AO412" s="29">
        <f t="shared" ca="1" si="230"/>
        <v>1</v>
      </c>
      <c r="AP412" s="29">
        <f t="shared" ca="1" si="230"/>
        <v>0</v>
      </c>
      <c r="AQ412" s="29">
        <f t="shared" ca="1" si="230"/>
        <v>1</v>
      </c>
      <c r="AR412" s="29">
        <f t="shared" ca="1" si="230"/>
        <v>0</v>
      </c>
      <c r="AS412" s="29">
        <f t="shared" ca="1" si="230"/>
        <v>2</v>
      </c>
      <c r="AT412" s="29">
        <f t="shared" ca="1" si="230"/>
        <v>0</v>
      </c>
      <c r="AU412" s="29">
        <f t="shared" ca="1" si="230"/>
        <v>0</v>
      </c>
      <c r="AV412" s="29">
        <f t="shared" ca="1" si="227"/>
        <v>1</v>
      </c>
      <c r="AW412" s="29">
        <f t="shared" ca="1" si="227"/>
        <v>0</v>
      </c>
      <c r="AX412" s="29">
        <f t="shared" ca="1" si="227"/>
        <v>1</v>
      </c>
      <c r="AY412" s="29">
        <f t="shared" ca="1" si="227"/>
        <v>2</v>
      </c>
      <c r="AZ412" s="29">
        <f t="shared" ca="1" si="227"/>
        <v>2</v>
      </c>
      <c r="BA412" s="29">
        <f t="shared" ca="1" si="227"/>
        <v>0</v>
      </c>
      <c r="BB412" s="29">
        <f t="shared" ca="1" si="227"/>
        <v>1</v>
      </c>
      <c r="BC412" s="29">
        <f t="shared" ca="1" si="227"/>
        <v>0</v>
      </c>
      <c r="BD412" s="29">
        <f t="shared" ca="1" si="227"/>
        <v>0</v>
      </c>
      <c r="BE412" s="29">
        <f t="shared" ca="1" si="227"/>
        <v>0</v>
      </c>
      <c r="BF412" s="29">
        <f t="shared" ca="1" si="227"/>
        <v>0</v>
      </c>
      <c r="BG412" s="29">
        <f t="shared" ca="1" si="227"/>
        <v>0</v>
      </c>
      <c r="BH412" s="29">
        <f t="shared" ca="1" si="227"/>
        <v>0</v>
      </c>
      <c r="BI412" s="29">
        <f t="shared" ca="1" si="227"/>
        <v>1</v>
      </c>
      <c r="BJ412" s="29">
        <f t="shared" ca="1" si="227"/>
        <v>0</v>
      </c>
      <c r="BK412" s="29">
        <f t="shared" ref="BK412:BZ417" ca="1" si="232">_xlfn.BINOM.INV(50,$E412,RAND())</f>
        <v>1</v>
      </c>
      <c r="BL412" s="29">
        <f t="shared" ca="1" si="232"/>
        <v>0</v>
      </c>
      <c r="BM412" s="29">
        <f t="shared" ca="1" si="232"/>
        <v>2</v>
      </c>
      <c r="BN412" s="29">
        <f t="shared" ca="1" si="232"/>
        <v>0</v>
      </c>
      <c r="BO412" s="29">
        <f t="shared" ca="1" si="232"/>
        <v>0</v>
      </c>
      <c r="BP412" s="29">
        <f t="shared" ca="1" si="232"/>
        <v>2</v>
      </c>
      <c r="BQ412" s="29">
        <f t="shared" ca="1" si="232"/>
        <v>1</v>
      </c>
      <c r="BR412" s="29">
        <f t="shared" ca="1" si="232"/>
        <v>0</v>
      </c>
      <c r="BS412" s="29">
        <f t="shared" ca="1" si="232"/>
        <v>0</v>
      </c>
      <c r="BT412" s="29">
        <f t="shared" ca="1" si="232"/>
        <v>0</v>
      </c>
      <c r="BU412" s="29">
        <f t="shared" ca="1" si="232"/>
        <v>0</v>
      </c>
      <c r="BV412" s="29">
        <f t="shared" ca="1" si="232"/>
        <v>1</v>
      </c>
      <c r="BW412" s="29">
        <f t="shared" ca="1" si="232"/>
        <v>2</v>
      </c>
      <c r="BX412" s="29">
        <f t="shared" ca="1" si="232"/>
        <v>0</v>
      </c>
      <c r="BY412" s="29">
        <f t="shared" ca="1" si="232"/>
        <v>1</v>
      </c>
      <c r="BZ412" s="29">
        <f t="shared" ca="1" si="232"/>
        <v>0</v>
      </c>
      <c r="CA412" s="29">
        <f t="shared" ca="1" si="229"/>
        <v>0</v>
      </c>
      <c r="CB412" s="29">
        <f t="shared" ca="1" si="229"/>
        <v>0</v>
      </c>
      <c r="CC412" s="29">
        <f t="shared" ca="1" si="229"/>
        <v>0</v>
      </c>
      <c r="CD412" s="29">
        <f t="shared" ca="1" si="229"/>
        <v>0</v>
      </c>
      <c r="CE412" s="29">
        <f t="shared" ca="1" si="229"/>
        <v>0</v>
      </c>
      <c r="CF412" s="29">
        <f t="shared" ca="1" si="229"/>
        <v>2</v>
      </c>
      <c r="CG412" s="29">
        <f t="shared" ca="1" si="229"/>
        <v>1</v>
      </c>
      <c r="CH412" s="29">
        <f t="shared" ca="1" si="229"/>
        <v>0</v>
      </c>
      <c r="CI412" s="29">
        <f t="shared" ca="1" si="229"/>
        <v>1</v>
      </c>
      <c r="CJ412" s="29">
        <f t="shared" ca="1" si="229"/>
        <v>0</v>
      </c>
      <c r="CK412" s="29">
        <f t="shared" ca="1" si="229"/>
        <v>0</v>
      </c>
      <c r="CL412" s="29">
        <f t="shared" ca="1" si="229"/>
        <v>0</v>
      </c>
      <c r="CM412" s="29">
        <f t="shared" ca="1" si="229"/>
        <v>0</v>
      </c>
      <c r="CN412" s="29">
        <f t="shared" ca="1" si="229"/>
        <v>0</v>
      </c>
      <c r="CO412" s="29">
        <f t="shared" ca="1" si="229"/>
        <v>1</v>
      </c>
      <c r="CP412" s="29">
        <f t="shared" ca="1" si="229"/>
        <v>0</v>
      </c>
      <c r="CQ412" s="29">
        <f t="shared" ca="1" si="228"/>
        <v>1</v>
      </c>
      <c r="CR412" s="29">
        <f t="shared" ca="1" si="228"/>
        <v>1</v>
      </c>
      <c r="CS412" s="29">
        <f t="shared" ca="1" si="228"/>
        <v>1</v>
      </c>
      <c r="CT412" s="29">
        <f t="shared" ca="1" si="228"/>
        <v>0</v>
      </c>
      <c r="CU412" s="29">
        <f t="shared" ca="1" si="228"/>
        <v>0</v>
      </c>
      <c r="CV412" s="29">
        <f t="shared" ca="1" si="228"/>
        <v>0</v>
      </c>
      <c r="CW412" s="29">
        <f t="shared" ca="1" si="228"/>
        <v>0</v>
      </c>
      <c r="CX412" s="29">
        <f t="shared" ca="1" si="228"/>
        <v>0</v>
      </c>
      <c r="CY412" s="29">
        <f t="shared" ca="1" si="228"/>
        <v>0</v>
      </c>
      <c r="CZ412" s="29">
        <f t="shared" ca="1" si="228"/>
        <v>1</v>
      </c>
      <c r="DA412" s="29">
        <f t="shared" ca="1" si="228"/>
        <v>1</v>
      </c>
      <c r="DB412" s="29">
        <f t="shared" ca="1" si="228"/>
        <v>0</v>
      </c>
      <c r="DC412" s="29">
        <f t="shared" ca="1" si="228"/>
        <v>1</v>
      </c>
      <c r="DD412" s="29">
        <f t="shared" ca="1" si="228"/>
        <v>0</v>
      </c>
      <c r="DE412" s="29">
        <f t="shared" ca="1" si="228"/>
        <v>1</v>
      </c>
      <c r="DF412" s="29">
        <f t="shared" ca="1" si="213"/>
        <v>1</v>
      </c>
      <c r="DG412" s="29">
        <f t="shared" ca="1" si="213"/>
        <v>1</v>
      </c>
      <c r="DH412" s="29">
        <f t="shared" ca="1" si="213"/>
        <v>1</v>
      </c>
      <c r="DI412" s="29">
        <f t="shared" ca="1" si="213"/>
        <v>0</v>
      </c>
      <c r="DJ412" s="29">
        <f t="shared" ca="1" si="213"/>
        <v>1</v>
      </c>
      <c r="DK412" s="29">
        <f t="shared" ca="1" si="213"/>
        <v>0</v>
      </c>
      <c r="DL412" s="29">
        <f t="shared" ca="1" si="213"/>
        <v>0</v>
      </c>
    </row>
    <row r="413" spans="1:116" ht="14.4" x14ac:dyDescent="0.3">
      <c r="A413" s="31">
        <v>35</v>
      </c>
      <c r="B413" s="28">
        <v>0.61</v>
      </c>
      <c r="C413" s="30">
        <v>95.09</v>
      </c>
      <c r="D413" s="28">
        <v>0.65</v>
      </c>
      <c r="E413" s="34">
        <f t="shared" si="215"/>
        <v>1.3000000000000001E-2</v>
      </c>
      <c r="F413" s="35">
        <f t="shared" si="216"/>
        <v>23.772500000000001</v>
      </c>
      <c r="G413" s="34">
        <f t="shared" si="217"/>
        <v>16.25</v>
      </c>
      <c r="H413" s="33">
        <f t="shared" si="218"/>
        <v>-12.331967213114757</v>
      </c>
      <c r="I413" s="28">
        <f t="shared" si="221"/>
        <v>1619.9200000000012</v>
      </c>
      <c r="J413" s="32">
        <v>0</v>
      </c>
      <c r="K413" s="30">
        <f t="shared" si="219"/>
        <v>16.25</v>
      </c>
      <c r="L413" s="30"/>
      <c r="M413" s="30"/>
      <c r="N413" s="30"/>
      <c r="O413" s="30"/>
      <c r="Q413" s="29">
        <f t="shared" ca="1" si="220"/>
        <v>0</v>
      </c>
      <c r="R413" s="29">
        <f t="shared" ca="1" si="231"/>
        <v>0</v>
      </c>
      <c r="S413" s="29">
        <f t="shared" ca="1" si="231"/>
        <v>3</v>
      </c>
      <c r="T413" s="29">
        <f t="shared" ca="1" si="231"/>
        <v>0</v>
      </c>
      <c r="U413" s="29">
        <f t="shared" ca="1" si="231"/>
        <v>1</v>
      </c>
      <c r="V413" s="29">
        <f t="shared" ca="1" si="231"/>
        <v>1</v>
      </c>
      <c r="W413" s="29">
        <f t="shared" ca="1" si="231"/>
        <v>0</v>
      </c>
      <c r="X413" s="29">
        <f t="shared" ca="1" si="231"/>
        <v>1</v>
      </c>
      <c r="Y413" s="29">
        <f t="shared" ca="1" si="231"/>
        <v>1</v>
      </c>
      <c r="Z413" s="29">
        <f t="shared" ca="1" si="231"/>
        <v>0</v>
      </c>
      <c r="AA413" s="29">
        <f t="shared" ca="1" si="231"/>
        <v>1</v>
      </c>
      <c r="AB413" s="29">
        <f t="shared" ca="1" si="231"/>
        <v>0</v>
      </c>
      <c r="AC413" s="29">
        <f t="shared" ca="1" si="231"/>
        <v>2</v>
      </c>
      <c r="AD413" s="29">
        <f t="shared" ca="1" si="231"/>
        <v>1</v>
      </c>
      <c r="AE413" s="29">
        <f t="shared" ca="1" si="231"/>
        <v>0</v>
      </c>
      <c r="AF413" s="29">
        <f t="shared" ca="1" si="231"/>
        <v>0</v>
      </c>
      <c r="AG413" s="29">
        <f t="shared" ca="1" si="230"/>
        <v>2</v>
      </c>
      <c r="AH413" s="29">
        <f t="shared" ca="1" si="230"/>
        <v>1</v>
      </c>
      <c r="AI413" s="29">
        <f t="shared" ca="1" si="230"/>
        <v>0</v>
      </c>
      <c r="AJ413" s="29">
        <f t="shared" ca="1" si="230"/>
        <v>0</v>
      </c>
      <c r="AK413" s="29">
        <f t="shared" ca="1" si="230"/>
        <v>0</v>
      </c>
      <c r="AL413" s="29">
        <f t="shared" ca="1" si="230"/>
        <v>2</v>
      </c>
      <c r="AM413" s="29">
        <f t="shared" ca="1" si="230"/>
        <v>2</v>
      </c>
      <c r="AN413" s="29">
        <f t="shared" ca="1" si="230"/>
        <v>2</v>
      </c>
      <c r="AO413" s="29">
        <f t="shared" ca="1" si="230"/>
        <v>0</v>
      </c>
      <c r="AP413" s="29">
        <f t="shared" ca="1" si="230"/>
        <v>1</v>
      </c>
      <c r="AQ413" s="29">
        <f t="shared" ca="1" si="230"/>
        <v>0</v>
      </c>
      <c r="AR413" s="29">
        <f t="shared" ca="1" si="230"/>
        <v>0</v>
      </c>
      <c r="AS413" s="29">
        <f t="shared" ca="1" si="230"/>
        <v>2</v>
      </c>
      <c r="AT413" s="29">
        <f t="shared" ca="1" si="230"/>
        <v>0</v>
      </c>
      <c r="AU413" s="29">
        <f t="shared" ca="1" si="230"/>
        <v>1</v>
      </c>
      <c r="AV413" s="29">
        <f t="shared" ref="AV413:BK417" ca="1" si="233">_xlfn.BINOM.INV(50,$E413,RAND())</f>
        <v>0</v>
      </c>
      <c r="AW413" s="29">
        <f t="shared" ca="1" si="233"/>
        <v>3</v>
      </c>
      <c r="AX413" s="29">
        <f t="shared" ca="1" si="233"/>
        <v>0</v>
      </c>
      <c r="AY413" s="29">
        <f t="shared" ca="1" si="233"/>
        <v>0</v>
      </c>
      <c r="AZ413" s="29">
        <f t="shared" ca="1" si="233"/>
        <v>1</v>
      </c>
      <c r="BA413" s="29">
        <f t="shared" ca="1" si="233"/>
        <v>1</v>
      </c>
      <c r="BB413" s="29">
        <f t="shared" ca="1" si="233"/>
        <v>2</v>
      </c>
      <c r="BC413" s="29">
        <f t="shared" ca="1" si="233"/>
        <v>2</v>
      </c>
      <c r="BD413" s="29">
        <f t="shared" ca="1" si="233"/>
        <v>1</v>
      </c>
      <c r="BE413" s="29">
        <f t="shared" ca="1" si="233"/>
        <v>1</v>
      </c>
      <c r="BF413" s="29">
        <f t="shared" ca="1" si="233"/>
        <v>1</v>
      </c>
      <c r="BG413" s="29">
        <f t="shared" ca="1" si="233"/>
        <v>0</v>
      </c>
      <c r="BH413" s="29">
        <f t="shared" ca="1" si="233"/>
        <v>1</v>
      </c>
      <c r="BI413" s="29">
        <f t="shared" ca="1" si="233"/>
        <v>1</v>
      </c>
      <c r="BJ413" s="29">
        <f t="shared" ca="1" si="233"/>
        <v>0</v>
      </c>
      <c r="BK413" s="29">
        <f t="shared" ca="1" si="233"/>
        <v>1</v>
      </c>
      <c r="BL413" s="29">
        <f t="shared" ca="1" si="232"/>
        <v>2</v>
      </c>
      <c r="BM413" s="29">
        <f t="shared" ca="1" si="232"/>
        <v>0</v>
      </c>
      <c r="BN413" s="29">
        <f t="shared" ca="1" si="232"/>
        <v>2</v>
      </c>
      <c r="BO413" s="29">
        <f t="shared" ca="1" si="232"/>
        <v>0</v>
      </c>
      <c r="BP413" s="29">
        <f t="shared" ca="1" si="232"/>
        <v>1</v>
      </c>
      <c r="BQ413" s="29">
        <f t="shared" ca="1" si="232"/>
        <v>0</v>
      </c>
      <c r="BR413" s="29">
        <f t="shared" ca="1" si="232"/>
        <v>2</v>
      </c>
      <c r="BS413" s="29">
        <f t="shared" ca="1" si="232"/>
        <v>0</v>
      </c>
      <c r="BT413" s="29">
        <f t="shared" ca="1" si="232"/>
        <v>0</v>
      </c>
      <c r="BU413" s="29">
        <f t="shared" ca="1" si="232"/>
        <v>1</v>
      </c>
      <c r="BV413" s="29">
        <f t="shared" ca="1" si="232"/>
        <v>1</v>
      </c>
      <c r="BW413" s="29">
        <f t="shared" ca="1" si="232"/>
        <v>0</v>
      </c>
      <c r="BX413" s="29">
        <f t="shared" ca="1" si="232"/>
        <v>0</v>
      </c>
      <c r="BY413" s="29">
        <f t="shared" ca="1" si="232"/>
        <v>0</v>
      </c>
      <c r="BZ413" s="29">
        <f t="shared" ca="1" si="232"/>
        <v>3</v>
      </c>
      <c r="CA413" s="29">
        <f t="shared" ca="1" si="229"/>
        <v>0</v>
      </c>
      <c r="CB413" s="29">
        <f t="shared" ca="1" si="229"/>
        <v>2</v>
      </c>
      <c r="CC413" s="29">
        <f t="shared" ca="1" si="229"/>
        <v>2</v>
      </c>
      <c r="CD413" s="29">
        <f t="shared" ca="1" si="229"/>
        <v>0</v>
      </c>
      <c r="CE413" s="29">
        <f t="shared" ca="1" si="229"/>
        <v>0</v>
      </c>
      <c r="CF413" s="29">
        <f t="shared" ca="1" si="229"/>
        <v>0</v>
      </c>
      <c r="CG413" s="29">
        <f t="shared" ca="1" si="229"/>
        <v>1</v>
      </c>
      <c r="CH413" s="29">
        <f t="shared" ca="1" si="229"/>
        <v>1</v>
      </c>
      <c r="CI413" s="29">
        <f t="shared" ca="1" si="229"/>
        <v>0</v>
      </c>
      <c r="CJ413" s="29">
        <f t="shared" ca="1" si="229"/>
        <v>1</v>
      </c>
      <c r="CK413" s="29">
        <f t="shared" ca="1" si="229"/>
        <v>1</v>
      </c>
      <c r="CL413" s="29">
        <f t="shared" ca="1" si="229"/>
        <v>2</v>
      </c>
      <c r="CM413" s="29">
        <f t="shared" ca="1" si="229"/>
        <v>0</v>
      </c>
      <c r="CN413" s="29">
        <f t="shared" ca="1" si="229"/>
        <v>0</v>
      </c>
      <c r="CO413" s="29">
        <f t="shared" ca="1" si="229"/>
        <v>2</v>
      </c>
      <c r="CP413" s="29">
        <f t="shared" ca="1" si="229"/>
        <v>3</v>
      </c>
      <c r="CQ413" s="29">
        <f t="shared" ca="1" si="228"/>
        <v>1</v>
      </c>
      <c r="CR413" s="29">
        <f t="shared" ca="1" si="228"/>
        <v>0</v>
      </c>
      <c r="CS413" s="29">
        <f t="shared" ca="1" si="228"/>
        <v>1</v>
      </c>
      <c r="CT413" s="29">
        <f t="shared" ca="1" si="228"/>
        <v>0</v>
      </c>
      <c r="CU413" s="29">
        <f t="shared" ca="1" si="228"/>
        <v>1</v>
      </c>
      <c r="CV413" s="29">
        <f t="shared" ca="1" si="228"/>
        <v>1</v>
      </c>
      <c r="CW413" s="29">
        <f t="shared" ca="1" si="228"/>
        <v>0</v>
      </c>
      <c r="CX413" s="29">
        <f t="shared" ca="1" si="228"/>
        <v>1</v>
      </c>
      <c r="CY413" s="29">
        <f t="shared" ca="1" si="228"/>
        <v>1</v>
      </c>
      <c r="CZ413" s="29">
        <f t="shared" ca="1" si="228"/>
        <v>3</v>
      </c>
      <c r="DA413" s="29">
        <f t="shared" ca="1" si="228"/>
        <v>1</v>
      </c>
      <c r="DB413" s="29">
        <f t="shared" ca="1" si="228"/>
        <v>0</v>
      </c>
      <c r="DC413" s="29">
        <f t="shared" ca="1" si="228"/>
        <v>0</v>
      </c>
      <c r="DD413" s="29">
        <f t="shared" ca="1" si="228"/>
        <v>0</v>
      </c>
      <c r="DE413" s="29">
        <f t="shared" ca="1" si="228"/>
        <v>2</v>
      </c>
      <c r="DF413" s="29">
        <f t="shared" ca="1" si="213"/>
        <v>1</v>
      </c>
      <c r="DG413" s="29">
        <f t="shared" ca="1" si="213"/>
        <v>2</v>
      </c>
      <c r="DH413" s="29">
        <f t="shared" ca="1" si="213"/>
        <v>0</v>
      </c>
      <c r="DI413" s="29">
        <f t="shared" ca="1" si="213"/>
        <v>0</v>
      </c>
      <c r="DJ413" s="29">
        <f t="shared" ca="1" si="213"/>
        <v>0</v>
      </c>
      <c r="DK413" s="29">
        <f t="shared" ca="1" si="213"/>
        <v>0</v>
      </c>
      <c r="DL413" s="29">
        <f t="shared" ca="1" si="213"/>
        <v>0</v>
      </c>
    </row>
    <row r="414" spans="1:116" ht="14.4" x14ac:dyDescent="0.3">
      <c r="A414" s="31">
        <v>707</v>
      </c>
      <c r="B414" s="28">
        <v>0.42</v>
      </c>
      <c r="C414" s="30">
        <v>90.36</v>
      </c>
      <c r="D414" s="28">
        <v>0.69</v>
      </c>
      <c r="E414" s="34">
        <f t="shared" si="215"/>
        <v>1.38E-2</v>
      </c>
      <c r="F414" s="35">
        <f t="shared" si="216"/>
        <v>22.59</v>
      </c>
      <c r="G414" s="34">
        <f t="shared" si="217"/>
        <v>17.25</v>
      </c>
      <c r="H414" s="33">
        <f t="shared" si="218"/>
        <v>-12.714285714285715</v>
      </c>
      <c r="I414" s="28">
        <f t="shared" si="221"/>
        <v>1620.3400000000013</v>
      </c>
      <c r="J414" s="32">
        <v>0</v>
      </c>
      <c r="K414" s="30">
        <f t="shared" si="219"/>
        <v>17.25</v>
      </c>
      <c r="L414" s="30"/>
      <c r="M414" s="30"/>
      <c r="N414" s="30"/>
      <c r="O414" s="30"/>
      <c r="Q414" s="29">
        <f t="shared" ca="1" si="220"/>
        <v>0</v>
      </c>
      <c r="R414" s="29">
        <f t="shared" ca="1" si="231"/>
        <v>0</v>
      </c>
      <c r="S414" s="29">
        <f t="shared" ca="1" si="231"/>
        <v>0</v>
      </c>
      <c r="T414" s="29">
        <f t="shared" ca="1" si="231"/>
        <v>1</v>
      </c>
      <c r="U414" s="29">
        <f t="shared" ca="1" si="231"/>
        <v>0</v>
      </c>
      <c r="V414" s="29">
        <f t="shared" ca="1" si="231"/>
        <v>0</v>
      </c>
      <c r="W414" s="29">
        <f t="shared" ca="1" si="231"/>
        <v>2</v>
      </c>
      <c r="X414" s="29">
        <f t="shared" ca="1" si="231"/>
        <v>0</v>
      </c>
      <c r="Y414" s="29">
        <f t="shared" ca="1" si="231"/>
        <v>0</v>
      </c>
      <c r="Z414" s="29">
        <f t="shared" ca="1" si="231"/>
        <v>0</v>
      </c>
      <c r="AA414" s="29">
        <f t="shared" ca="1" si="231"/>
        <v>2</v>
      </c>
      <c r="AB414" s="29">
        <f t="shared" ca="1" si="231"/>
        <v>1</v>
      </c>
      <c r="AC414" s="29">
        <f t="shared" ca="1" si="231"/>
        <v>1</v>
      </c>
      <c r="AD414" s="29">
        <f t="shared" ca="1" si="231"/>
        <v>1</v>
      </c>
      <c r="AE414" s="29">
        <f t="shared" ca="1" si="231"/>
        <v>0</v>
      </c>
      <c r="AF414" s="29">
        <f t="shared" ca="1" si="231"/>
        <v>0</v>
      </c>
      <c r="AG414" s="29">
        <f t="shared" ca="1" si="230"/>
        <v>1</v>
      </c>
      <c r="AH414" s="29">
        <f t="shared" ca="1" si="230"/>
        <v>2</v>
      </c>
      <c r="AI414" s="29">
        <f t="shared" ca="1" si="230"/>
        <v>0</v>
      </c>
      <c r="AJ414" s="29">
        <f t="shared" ca="1" si="230"/>
        <v>1</v>
      </c>
      <c r="AK414" s="29">
        <f t="shared" ca="1" si="230"/>
        <v>0</v>
      </c>
      <c r="AL414" s="29">
        <f t="shared" ca="1" si="230"/>
        <v>0</v>
      </c>
      <c r="AM414" s="29">
        <f t="shared" ca="1" si="230"/>
        <v>2</v>
      </c>
      <c r="AN414" s="29">
        <f t="shared" ca="1" si="230"/>
        <v>3</v>
      </c>
      <c r="AO414" s="29">
        <f t="shared" ca="1" si="230"/>
        <v>0</v>
      </c>
      <c r="AP414" s="29">
        <f t="shared" ca="1" si="230"/>
        <v>0</v>
      </c>
      <c r="AQ414" s="29">
        <f t="shared" ca="1" si="230"/>
        <v>2</v>
      </c>
      <c r="AR414" s="29">
        <f t="shared" ca="1" si="230"/>
        <v>0</v>
      </c>
      <c r="AS414" s="29">
        <f t="shared" ca="1" si="230"/>
        <v>1</v>
      </c>
      <c r="AT414" s="29">
        <f t="shared" ca="1" si="230"/>
        <v>0</v>
      </c>
      <c r="AU414" s="29">
        <f t="shared" ca="1" si="230"/>
        <v>1</v>
      </c>
      <c r="AV414" s="29">
        <f t="shared" ca="1" si="233"/>
        <v>1</v>
      </c>
      <c r="AW414" s="29">
        <f t="shared" ca="1" si="233"/>
        <v>0</v>
      </c>
      <c r="AX414" s="29">
        <f t="shared" ca="1" si="233"/>
        <v>0</v>
      </c>
      <c r="AY414" s="29">
        <f t="shared" ca="1" si="233"/>
        <v>2</v>
      </c>
      <c r="AZ414" s="29">
        <f t="shared" ca="1" si="233"/>
        <v>1</v>
      </c>
      <c r="BA414" s="29">
        <f t="shared" ca="1" si="233"/>
        <v>1</v>
      </c>
      <c r="BB414" s="29">
        <f t="shared" ca="1" si="233"/>
        <v>1</v>
      </c>
      <c r="BC414" s="29">
        <f t="shared" ca="1" si="233"/>
        <v>0</v>
      </c>
      <c r="BD414" s="29">
        <f t="shared" ca="1" si="233"/>
        <v>1</v>
      </c>
      <c r="BE414" s="29">
        <f t="shared" ca="1" si="233"/>
        <v>4</v>
      </c>
      <c r="BF414" s="29">
        <f t="shared" ca="1" si="233"/>
        <v>0</v>
      </c>
      <c r="BG414" s="29">
        <f t="shared" ca="1" si="233"/>
        <v>0</v>
      </c>
      <c r="BH414" s="29">
        <f t="shared" ca="1" si="233"/>
        <v>1</v>
      </c>
      <c r="BI414" s="29">
        <f t="shared" ca="1" si="233"/>
        <v>2</v>
      </c>
      <c r="BJ414" s="29">
        <f t="shared" ca="1" si="233"/>
        <v>0</v>
      </c>
      <c r="BK414" s="29">
        <f t="shared" ca="1" si="233"/>
        <v>1</v>
      </c>
      <c r="BL414" s="29">
        <f t="shared" ca="1" si="232"/>
        <v>0</v>
      </c>
      <c r="BM414" s="29">
        <f t="shared" ca="1" si="232"/>
        <v>0</v>
      </c>
      <c r="BN414" s="29">
        <f t="shared" ca="1" si="232"/>
        <v>0</v>
      </c>
      <c r="BO414" s="29">
        <f t="shared" ca="1" si="232"/>
        <v>1</v>
      </c>
      <c r="BP414" s="29">
        <f t="shared" ca="1" si="232"/>
        <v>0</v>
      </c>
      <c r="BQ414" s="29">
        <f t="shared" ca="1" si="232"/>
        <v>0</v>
      </c>
      <c r="BR414" s="29">
        <f t="shared" ca="1" si="232"/>
        <v>0</v>
      </c>
      <c r="BS414" s="29">
        <f t="shared" ca="1" si="232"/>
        <v>0</v>
      </c>
      <c r="BT414" s="29">
        <f t="shared" ca="1" si="232"/>
        <v>0</v>
      </c>
      <c r="BU414" s="29">
        <f t="shared" ca="1" si="232"/>
        <v>0</v>
      </c>
      <c r="BV414" s="29">
        <f t="shared" ca="1" si="232"/>
        <v>0</v>
      </c>
      <c r="BW414" s="29">
        <f t="shared" ca="1" si="232"/>
        <v>0</v>
      </c>
      <c r="BX414" s="29">
        <f t="shared" ca="1" si="232"/>
        <v>1</v>
      </c>
      <c r="BY414" s="29">
        <f t="shared" ca="1" si="232"/>
        <v>1</v>
      </c>
      <c r="BZ414" s="29">
        <f t="shared" ca="1" si="232"/>
        <v>1</v>
      </c>
      <c r="CA414" s="29">
        <f t="shared" ca="1" si="229"/>
        <v>0</v>
      </c>
      <c r="CB414" s="29">
        <f t="shared" ca="1" si="229"/>
        <v>1</v>
      </c>
      <c r="CC414" s="29">
        <f t="shared" ca="1" si="229"/>
        <v>3</v>
      </c>
      <c r="CD414" s="29">
        <f t="shared" ca="1" si="229"/>
        <v>1</v>
      </c>
      <c r="CE414" s="29">
        <f t="shared" ca="1" si="229"/>
        <v>1</v>
      </c>
      <c r="CF414" s="29">
        <f t="shared" ca="1" si="229"/>
        <v>2</v>
      </c>
      <c r="CG414" s="29">
        <f t="shared" ca="1" si="229"/>
        <v>1</v>
      </c>
      <c r="CH414" s="29">
        <f t="shared" ca="1" si="229"/>
        <v>0</v>
      </c>
      <c r="CI414" s="29">
        <f t="shared" ca="1" si="229"/>
        <v>0</v>
      </c>
      <c r="CJ414" s="29">
        <f t="shared" ca="1" si="229"/>
        <v>2</v>
      </c>
      <c r="CK414" s="29">
        <f t="shared" ca="1" si="229"/>
        <v>0</v>
      </c>
      <c r="CL414" s="29">
        <f t="shared" ca="1" si="229"/>
        <v>1</v>
      </c>
      <c r="CM414" s="29">
        <f t="shared" ca="1" si="229"/>
        <v>0</v>
      </c>
      <c r="CN414" s="29">
        <f t="shared" ca="1" si="229"/>
        <v>0</v>
      </c>
      <c r="CO414" s="29">
        <f t="shared" ca="1" si="229"/>
        <v>0</v>
      </c>
      <c r="CP414" s="29">
        <f t="shared" ca="1" si="229"/>
        <v>1</v>
      </c>
      <c r="CQ414" s="29">
        <f t="shared" ca="1" si="228"/>
        <v>1</v>
      </c>
      <c r="CR414" s="29">
        <f t="shared" ca="1" si="228"/>
        <v>1</v>
      </c>
      <c r="CS414" s="29">
        <f t="shared" ca="1" si="228"/>
        <v>0</v>
      </c>
      <c r="CT414" s="29">
        <f t="shared" ca="1" si="228"/>
        <v>1</v>
      </c>
      <c r="CU414" s="29">
        <f t="shared" ca="1" si="228"/>
        <v>0</v>
      </c>
      <c r="CV414" s="29">
        <f t="shared" ca="1" si="228"/>
        <v>3</v>
      </c>
      <c r="CW414" s="29">
        <f t="shared" ca="1" si="228"/>
        <v>2</v>
      </c>
      <c r="CX414" s="29">
        <f t="shared" ca="1" si="228"/>
        <v>1</v>
      </c>
      <c r="CY414" s="29">
        <f t="shared" ca="1" si="228"/>
        <v>0</v>
      </c>
      <c r="CZ414" s="29">
        <f t="shared" ca="1" si="228"/>
        <v>1</v>
      </c>
      <c r="DA414" s="29">
        <f t="shared" ca="1" si="228"/>
        <v>1</v>
      </c>
      <c r="DB414" s="29">
        <f t="shared" ca="1" si="228"/>
        <v>0</v>
      </c>
      <c r="DC414" s="29">
        <f t="shared" ca="1" si="228"/>
        <v>0</v>
      </c>
      <c r="DD414" s="29">
        <f t="shared" ca="1" si="228"/>
        <v>1</v>
      </c>
      <c r="DE414" s="29">
        <f t="shared" ca="1" si="228"/>
        <v>0</v>
      </c>
      <c r="DF414" s="29">
        <f t="shared" ca="1" si="213"/>
        <v>0</v>
      </c>
      <c r="DG414" s="29">
        <f t="shared" ca="1" si="213"/>
        <v>0</v>
      </c>
      <c r="DH414" s="29">
        <f t="shared" ca="1" si="213"/>
        <v>1</v>
      </c>
      <c r="DI414" s="29">
        <f t="shared" ca="1" si="213"/>
        <v>1</v>
      </c>
      <c r="DJ414" s="29">
        <f t="shared" ca="1" si="213"/>
        <v>2</v>
      </c>
      <c r="DK414" s="29">
        <f t="shared" ca="1" si="213"/>
        <v>0</v>
      </c>
      <c r="DL414" s="29">
        <f t="shared" ca="1" si="213"/>
        <v>0</v>
      </c>
    </row>
    <row r="415" spans="1:116" ht="14.4" x14ac:dyDescent="0.3">
      <c r="A415" s="31">
        <v>762</v>
      </c>
      <c r="B415" s="28">
        <v>0.81</v>
      </c>
      <c r="C415" s="30">
        <v>96.18</v>
      </c>
      <c r="D415" s="28">
        <v>0.51</v>
      </c>
      <c r="E415" s="34">
        <f t="shared" si="215"/>
        <v>1.0200000000000001E-2</v>
      </c>
      <c r="F415" s="35">
        <f t="shared" si="216"/>
        <v>24.045000000000002</v>
      </c>
      <c r="G415" s="34">
        <f t="shared" si="217"/>
        <v>12.75</v>
      </c>
      <c r="H415" s="33">
        <f t="shared" si="218"/>
        <v>-13.944444444444446</v>
      </c>
      <c r="I415" s="28">
        <f t="shared" si="221"/>
        <v>1621.1500000000012</v>
      </c>
      <c r="J415" s="32">
        <v>0</v>
      </c>
      <c r="K415" s="30">
        <f t="shared" si="219"/>
        <v>12.75</v>
      </c>
      <c r="L415" s="30"/>
      <c r="M415" s="30"/>
      <c r="N415" s="30"/>
      <c r="O415" s="30"/>
      <c r="Q415" s="29">
        <f t="shared" ca="1" si="220"/>
        <v>0</v>
      </c>
      <c r="R415" s="29">
        <f t="shared" ca="1" si="231"/>
        <v>0</v>
      </c>
      <c r="S415" s="29">
        <f t="shared" ca="1" si="231"/>
        <v>1</v>
      </c>
      <c r="T415" s="29">
        <f t="shared" ca="1" si="231"/>
        <v>0</v>
      </c>
      <c r="U415" s="29">
        <f t="shared" ca="1" si="231"/>
        <v>0</v>
      </c>
      <c r="V415" s="29">
        <f t="shared" ca="1" si="231"/>
        <v>0</v>
      </c>
      <c r="W415" s="29">
        <f t="shared" ca="1" si="231"/>
        <v>0</v>
      </c>
      <c r="X415" s="29">
        <f t="shared" ca="1" si="231"/>
        <v>0</v>
      </c>
      <c r="Y415" s="29">
        <f t="shared" ca="1" si="231"/>
        <v>0</v>
      </c>
      <c r="Z415" s="29">
        <f t="shared" ca="1" si="231"/>
        <v>0</v>
      </c>
      <c r="AA415" s="29">
        <f t="shared" ca="1" si="231"/>
        <v>1</v>
      </c>
      <c r="AB415" s="29">
        <f t="shared" ca="1" si="231"/>
        <v>1</v>
      </c>
      <c r="AC415" s="29">
        <f t="shared" ca="1" si="231"/>
        <v>2</v>
      </c>
      <c r="AD415" s="29">
        <f t="shared" ca="1" si="231"/>
        <v>0</v>
      </c>
      <c r="AE415" s="29">
        <f t="shared" ca="1" si="231"/>
        <v>1</v>
      </c>
      <c r="AF415" s="29">
        <f t="shared" ca="1" si="231"/>
        <v>1</v>
      </c>
      <c r="AG415" s="29">
        <f t="shared" ca="1" si="230"/>
        <v>0</v>
      </c>
      <c r="AH415" s="29">
        <f t="shared" ca="1" si="230"/>
        <v>0</v>
      </c>
      <c r="AI415" s="29">
        <f t="shared" ca="1" si="230"/>
        <v>0</v>
      </c>
      <c r="AJ415" s="29">
        <f t="shared" ca="1" si="230"/>
        <v>1</v>
      </c>
      <c r="AK415" s="29">
        <f t="shared" ca="1" si="230"/>
        <v>0</v>
      </c>
      <c r="AL415" s="29">
        <f t="shared" ca="1" si="230"/>
        <v>0</v>
      </c>
      <c r="AM415" s="29">
        <f t="shared" ca="1" si="230"/>
        <v>0</v>
      </c>
      <c r="AN415" s="29">
        <f t="shared" ca="1" si="230"/>
        <v>1</v>
      </c>
      <c r="AO415" s="29">
        <f t="shared" ca="1" si="230"/>
        <v>0</v>
      </c>
      <c r="AP415" s="29">
        <f t="shared" ca="1" si="230"/>
        <v>0</v>
      </c>
      <c r="AQ415" s="29">
        <f t="shared" ca="1" si="230"/>
        <v>0</v>
      </c>
      <c r="AR415" s="29">
        <f t="shared" ca="1" si="230"/>
        <v>0</v>
      </c>
      <c r="AS415" s="29">
        <f t="shared" ca="1" si="230"/>
        <v>1</v>
      </c>
      <c r="AT415" s="29">
        <f t="shared" ca="1" si="230"/>
        <v>0</v>
      </c>
      <c r="AU415" s="29">
        <f t="shared" ca="1" si="230"/>
        <v>0</v>
      </c>
      <c r="AV415" s="29">
        <f t="shared" ca="1" si="233"/>
        <v>1</v>
      </c>
      <c r="AW415" s="29">
        <f t="shared" ca="1" si="233"/>
        <v>0</v>
      </c>
      <c r="AX415" s="29">
        <f t="shared" ca="1" si="233"/>
        <v>1</v>
      </c>
      <c r="AY415" s="29">
        <f t="shared" ca="1" si="233"/>
        <v>0</v>
      </c>
      <c r="AZ415" s="29">
        <f t="shared" ca="1" si="233"/>
        <v>0</v>
      </c>
      <c r="BA415" s="29">
        <f t="shared" ca="1" si="233"/>
        <v>1</v>
      </c>
      <c r="BB415" s="29">
        <f t="shared" ca="1" si="233"/>
        <v>0</v>
      </c>
      <c r="BC415" s="29">
        <f t="shared" ca="1" si="233"/>
        <v>0</v>
      </c>
      <c r="BD415" s="29">
        <f t="shared" ca="1" si="233"/>
        <v>1</v>
      </c>
      <c r="BE415" s="29">
        <f t="shared" ca="1" si="233"/>
        <v>0</v>
      </c>
      <c r="BF415" s="29">
        <f t="shared" ca="1" si="233"/>
        <v>0</v>
      </c>
      <c r="BG415" s="29">
        <f t="shared" ca="1" si="233"/>
        <v>1</v>
      </c>
      <c r="BH415" s="29">
        <f t="shared" ca="1" si="233"/>
        <v>0</v>
      </c>
      <c r="BI415" s="29">
        <f t="shared" ca="1" si="233"/>
        <v>1</v>
      </c>
      <c r="BJ415" s="29">
        <f t="shared" ca="1" si="233"/>
        <v>1</v>
      </c>
      <c r="BK415" s="29">
        <f t="shared" ca="1" si="233"/>
        <v>0</v>
      </c>
      <c r="BL415" s="29">
        <f t="shared" ca="1" si="232"/>
        <v>2</v>
      </c>
      <c r="BM415" s="29">
        <f t="shared" ca="1" si="232"/>
        <v>0</v>
      </c>
      <c r="BN415" s="29">
        <f t="shared" ca="1" si="232"/>
        <v>2</v>
      </c>
      <c r="BO415" s="29">
        <f t="shared" ca="1" si="232"/>
        <v>0</v>
      </c>
      <c r="BP415" s="29">
        <f t="shared" ca="1" si="232"/>
        <v>0</v>
      </c>
      <c r="BQ415" s="29">
        <f t="shared" ca="1" si="232"/>
        <v>3</v>
      </c>
      <c r="BR415" s="29">
        <f t="shared" ca="1" si="232"/>
        <v>1</v>
      </c>
      <c r="BS415" s="29">
        <f t="shared" ca="1" si="232"/>
        <v>0</v>
      </c>
      <c r="BT415" s="29">
        <f t="shared" ca="1" si="232"/>
        <v>0</v>
      </c>
      <c r="BU415" s="29">
        <f t="shared" ca="1" si="232"/>
        <v>0</v>
      </c>
      <c r="BV415" s="29">
        <f t="shared" ca="1" si="232"/>
        <v>0</v>
      </c>
      <c r="BW415" s="29">
        <f t="shared" ca="1" si="232"/>
        <v>2</v>
      </c>
      <c r="BX415" s="29">
        <f t="shared" ca="1" si="232"/>
        <v>1</v>
      </c>
      <c r="BY415" s="29">
        <f t="shared" ca="1" si="232"/>
        <v>0</v>
      </c>
      <c r="BZ415" s="29">
        <f t="shared" ca="1" si="232"/>
        <v>0</v>
      </c>
      <c r="CA415" s="29">
        <f t="shared" ca="1" si="229"/>
        <v>2</v>
      </c>
      <c r="CB415" s="29">
        <f t="shared" ca="1" si="229"/>
        <v>0</v>
      </c>
      <c r="CC415" s="29">
        <f t="shared" ca="1" si="229"/>
        <v>1</v>
      </c>
      <c r="CD415" s="29">
        <f t="shared" ca="1" si="229"/>
        <v>0</v>
      </c>
      <c r="CE415" s="29">
        <f t="shared" ca="1" si="229"/>
        <v>1</v>
      </c>
      <c r="CF415" s="29">
        <f t="shared" ca="1" si="229"/>
        <v>0</v>
      </c>
      <c r="CG415" s="29">
        <f t="shared" ca="1" si="229"/>
        <v>0</v>
      </c>
      <c r="CH415" s="29">
        <f t="shared" ca="1" si="229"/>
        <v>1</v>
      </c>
      <c r="CI415" s="29">
        <f t="shared" ca="1" si="229"/>
        <v>0</v>
      </c>
      <c r="CJ415" s="29">
        <f t="shared" ca="1" si="229"/>
        <v>1</v>
      </c>
      <c r="CK415" s="29">
        <f t="shared" ca="1" si="229"/>
        <v>2</v>
      </c>
      <c r="CL415" s="29">
        <f t="shared" ca="1" si="229"/>
        <v>0</v>
      </c>
      <c r="CM415" s="29">
        <f t="shared" ca="1" si="229"/>
        <v>0</v>
      </c>
      <c r="CN415" s="29">
        <f t="shared" ca="1" si="229"/>
        <v>0</v>
      </c>
      <c r="CO415" s="29">
        <f t="shared" ca="1" si="229"/>
        <v>0</v>
      </c>
      <c r="CP415" s="29">
        <f t="shared" ca="1" si="229"/>
        <v>1</v>
      </c>
      <c r="CQ415" s="29">
        <f t="shared" ca="1" si="228"/>
        <v>1</v>
      </c>
      <c r="CR415" s="29">
        <f t="shared" ca="1" si="228"/>
        <v>0</v>
      </c>
      <c r="CS415" s="29">
        <f t="shared" ca="1" si="228"/>
        <v>0</v>
      </c>
      <c r="CT415" s="29">
        <f t="shared" ca="1" si="228"/>
        <v>1</v>
      </c>
      <c r="CU415" s="29">
        <f t="shared" ca="1" si="228"/>
        <v>0</v>
      </c>
      <c r="CV415" s="29">
        <f t="shared" ca="1" si="228"/>
        <v>3</v>
      </c>
      <c r="CW415" s="29">
        <f t="shared" ca="1" si="228"/>
        <v>0</v>
      </c>
      <c r="CX415" s="29">
        <f t="shared" ca="1" si="228"/>
        <v>1</v>
      </c>
      <c r="CY415" s="29">
        <f t="shared" ca="1" si="228"/>
        <v>3</v>
      </c>
      <c r="CZ415" s="29">
        <f t="shared" ca="1" si="228"/>
        <v>0</v>
      </c>
      <c r="DA415" s="29">
        <f t="shared" ca="1" si="228"/>
        <v>3</v>
      </c>
      <c r="DB415" s="29">
        <f t="shared" ca="1" si="228"/>
        <v>0</v>
      </c>
      <c r="DC415" s="29">
        <f t="shared" ca="1" si="228"/>
        <v>0</v>
      </c>
      <c r="DD415" s="29">
        <f t="shared" ca="1" si="228"/>
        <v>0</v>
      </c>
      <c r="DE415" s="29">
        <f t="shared" ca="1" si="228"/>
        <v>2</v>
      </c>
      <c r="DF415" s="29">
        <f t="shared" ca="1" si="213"/>
        <v>2</v>
      </c>
      <c r="DG415" s="29">
        <f t="shared" ca="1" si="213"/>
        <v>0</v>
      </c>
      <c r="DH415" s="29">
        <f t="shared" ca="1" si="213"/>
        <v>0</v>
      </c>
      <c r="DI415" s="29">
        <f t="shared" ca="1" si="213"/>
        <v>0</v>
      </c>
      <c r="DJ415" s="29">
        <f t="shared" ca="1" si="213"/>
        <v>0</v>
      </c>
      <c r="DK415" s="29">
        <f t="shared" ca="1" si="213"/>
        <v>1</v>
      </c>
      <c r="DL415" s="29">
        <f t="shared" ca="1" si="213"/>
        <v>0</v>
      </c>
    </row>
    <row r="416" spans="1:116" ht="14.4" x14ac:dyDescent="0.3">
      <c r="A416" s="31">
        <v>962</v>
      </c>
      <c r="B416" s="28">
        <v>0.34</v>
      </c>
      <c r="C416" s="30">
        <v>91.73</v>
      </c>
      <c r="D416" s="28">
        <v>0.65</v>
      </c>
      <c r="E416" s="34">
        <f t="shared" si="215"/>
        <v>1.3000000000000001E-2</v>
      </c>
      <c r="F416" s="35">
        <f t="shared" si="216"/>
        <v>22.932500000000001</v>
      </c>
      <c r="G416" s="34">
        <f t="shared" si="217"/>
        <v>16.25</v>
      </c>
      <c r="H416" s="33">
        <f t="shared" si="218"/>
        <v>-19.654411764705884</v>
      </c>
      <c r="I416" s="28">
        <f t="shared" si="221"/>
        <v>1621.4900000000011</v>
      </c>
      <c r="J416" s="32">
        <v>0</v>
      </c>
      <c r="K416" s="30">
        <f t="shared" si="219"/>
        <v>16.25</v>
      </c>
      <c r="L416" s="30"/>
      <c r="M416" s="30"/>
      <c r="N416" s="30"/>
      <c r="O416" s="30"/>
      <c r="Q416" s="29">
        <f t="shared" ca="1" si="220"/>
        <v>0</v>
      </c>
      <c r="R416" s="29">
        <f t="shared" ca="1" si="231"/>
        <v>0</v>
      </c>
      <c r="S416" s="29">
        <f t="shared" ca="1" si="231"/>
        <v>0</v>
      </c>
      <c r="T416" s="29">
        <f t="shared" ca="1" si="231"/>
        <v>0</v>
      </c>
      <c r="U416" s="29">
        <f t="shared" ca="1" si="231"/>
        <v>3</v>
      </c>
      <c r="V416" s="29">
        <f t="shared" ca="1" si="231"/>
        <v>2</v>
      </c>
      <c r="W416" s="29">
        <f t="shared" ca="1" si="231"/>
        <v>1</v>
      </c>
      <c r="X416" s="29">
        <f t="shared" ca="1" si="231"/>
        <v>0</v>
      </c>
      <c r="Y416" s="29">
        <f t="shared" ca="1" si="231"/>
        <v>0</v>
      </c>
      <c r="Z416" s="29">
        <f t="shared" ca="1" si="231"/>
        <v>0</v>
      </c>
      <c r="AA416" s="29">
        <f t="shared" ca="1" si="231"/>
        <v>0</v>
      </c>
      <c r="AB416" s="29">
        <f t="shared" ca="1" si="231"/>
        <v>0</v>
      </c>
      <c r="AC416" s="29">
        <f t="shared" ca="1" si="231"/>
        <v>0</v>
      </c>
      <c r="AD416" s="29">
        <f t="shared" ca="1" si="231"/>
        <v>1</v>
      </c>
      <c r="AE416" s="29">
        <f t="shared" ca="1" si="231"/>
        <v>0</v>
      </c>
      <c r="AF416" s="29">
        <f t="shared" ca="1" si="231"/>
        <v>1</v>
      </c>
      <c r="AG416" s="29">
        <f t="shared" ca="1" si="230"/>
        <v>0</v>
      </c>
      <c r="AH416" s="29">
        <f t="shared" ca="1" si="230"/>
        <v>0</v>
      </c>
      <c r="AI416" s="29">
        <f t="shared" ca="1" si="230"/>
        <v>0</v>
      </c>
      <c r="AJ416" s="29">
        <f t="shared" ca="1" si="230"/>
        <v>0</v>
      </c>
      <c r="AK416" s="29">
        <f t="shared" ca="1" si="230"/>
        <v>0</v>
      </c>
      <c r="AL416" s="29">
        <f t="shared" ca="1" si="230"/>
        <v>0</v>
      </c>
      <c r="AM416" s="29">
        <f t="shared" ca="1" si="230"/>
        <v>1</v>
      </c>
      <c r="AN416" s="29">
        <f t="shared" ca="1" si="230"/>
        <v>1</v>
      </c>
      <c r="AO416" s="29">
        <f t="shared" ca="1" si="230"/>
        <v>1</v>
      </c>
      <c r="AP416" s="29">
        <f t="shared" ca="1" si="230"/>
        <v>2</v>
      </c>
      <c r="AQ416" s="29">
        <f t="shared" ca="1" si="230"/>
        <v>0</v>
      </c>
      <c r="AR416" s="29">
        <f t="shared" ca="1" si="230"/>
        <v>0</v>
      </c>
      <c r="AS416" s="29">
        <f t="shared" ca="1" si="230"/>
        <v>1</v>
      </c>
      <c r="AT416" s="29">
        <f t="shared" ca="1" si="230"/>
        <v>1</v>
      </c>
      <c r="AU416" s="29">
        <f t="shared" ca="1" si="230"/>
        <v>2</v>
      </c>
      <c r="AV416" s="29">
        <f t="shared" ca="1" si="233"/>
        <v>0</v>
      </c>
      <c r="AW416" s="29">
        <f t="shared" ca="1" si="233"/>
        <v>0</v>
      </c>
      <c r="AX416" s="29">
        <f t="shared" ca="1" si="233"/>
        <v>0</v>
      </c>
      <c r="AY416" s="29">
        <f t="shared" ca="1" si="233"/>
        <v>1</v>
      </c>
      <c r="AZ416" s="29">
        <f t="shared" ca="1" si="233"/>
        <v>1</v>
      </c>
      <c r="BA416" s="29">
        <f t="shared" ca="1" si="233"/>
        <v>1</v>
      </c>
      <c r="BB416" s="29">
        <f t="shared" ca="1" si="233"/>
        <v>0</v>
      </c>
      <c r="BC416" s="29">
        <f t="shared" ca="1" si="233"/>
        <v>1</v>
      </c>
      <c r="BD416" s="29">
        <f t="shared" ca="1" si="233"/>
        <v>0</v>
      </c>
      <c r="BE416" s="29">
        <f t="shared" ca="1" si="233"/>
        <v>2</v>
      </c>
      <c r="BF416" s="29">
        <f t="shared" ca="1" si="233"/>
        <v>0</v>
      </c>
      <c r="BG416" s="29">
        <f t="shared" ca="1" si="233"/>
        <v>0</v>
      </c>
      <c r="BH416" s="29">
        <f t="shared" ca="1" si="233"/>
        <v>0</v>
      </c>
      <c r="BI416" s="29">
        <f t="shared" ca="1" si="233"/>
        <v>0</v>
      </c>
      <c r="BJ416" s="29">
        <f t="shared" ca="1" si="233"/>
        <v>1</v>
      </c>
      <c r="BK416" s="29">
        <f t="shared" ca="1" si="233"/>
        <v>0</v>
      </c>
      <c r="BL416" s="29">
        <f t="shared" ca="1" si="232"/>
        <v>1</v>
      </c>
      <c r="BM416" s="29">
        <f t="shared" ca="1" si="232"/>
        <v>1</v>
      </c>
      <c r="BN416" s="29">
        <f t="shared" ca="1" si="232"/>
        <v>1</v>
      </c>
      <c r="BO416" s="29">
        <f t="shared" ca="1" si="232"/>
        <v>0</v>
      </c>
      <c r="BP416" s="29">
        <f t="shared" ca="1" si="232"/>
        <v>2</v>
      </c>
      <c r="BQ416" s="29">
        <f t="shared" ca="1" si="232"/>
        <v>0</v>
      </c>
      <c r="BR416" s="29">
        <f t="shared" ca="1" si="232"/>
        <v>2</v>
      </c>
      <c r="BS416" s="29">
        <f t="shared" ca="1" si="232"/>
        <v>0</v>
      </c>
      <c r="BT416" s="29">
        <f t="shared" ca="1" si="232"/>
        <v>2</v>
      </c>
      <c r="BU416" s="29">
        <f t="shared" ca="1" si="232"/>
        <v>2</v>
      </c>
      <c r="BV416" s="29">
        <f t="shared" ca="1" si="232"/>
        <v>1</v>
      </c>
      <c r="BW416" s="29">
        <f t="shared" ca="1" si="232"/>
        <v>0</v>
      </c>
      <c r="BX416" s="29">
        <f t="shared" ca="1" si="232"/>
        <v>0</v>
      </c>
      <c r="BY416" s="29">
        <f t="shared" ca="1" si="232"/>
        <v>0</v>
      </c>
      <c r="BZ416" s="29">
        <f t="shared" ca="1" si="232"/>
        <v>0</v>
      </c>
      <c r="CA416" s="29">
        <f t="shared" ca="1" si="229"/>
        <v>0</v>
      </c>
      <c r="CB416" s="29">
        <f t="shared" ca="1" si="229"/>
        <v>0</v>
      </c>
      <c r="CC416" s="29">
        <f t="shared" ca="1" si="229"/>
        <v>0</v>
      </c>
      <c r="CD416" s="29">
        <f t="shared" ca="1" si="229"/>
        <v>1</v>
      </c>
      <c r="CE416" s="29">
        <f t="shared" ca="1" si="229"/>
        <v>1</v>
      </c>
      <c r="CF416" s="29">
        <f t="shared" ca="1" si="229"/>
        <v>1</v>
      </c>
      <c r="CG416" s="29">
        <f t="shared" ca="1" si="229"/>
        <v>0</v>
      </c>
      <c r="CH416" s="29">
        <f t="shared" ca="1" si="229"/>
        <v>0</v>
      </c>
      <c r="CI416" s="29">
        <f t="shared" ca="1" si="229"/>
        <v>0</v>
      </c>
      <c r="CJ416" s="29">
        <f t="shared" ca="1" si="229"/>
        <v>2</v>
      </c>
      <c r="CK416" s="29">
        <f t="shared" ca="1" si="229"/>
        <v>0</v>
      </c>
      <c r="CL416" s="29">
        <f t="shared" ca="1" si="229"/>
        <v>1</v>
      </c>
      <c r="CM416" s="29">
        <f t="shared" ca="1" si="229"/>
        <v>0</v>
      </c>
      <c r="CN416" s="29">
        <f t="shared" ca="1" si="229"/>
        <v>0</v>
      </c>
      <c r="CO416" s="29">
        <f t="shared" ca="1" si="229"/>
        <v>1</v>
      </c>
      <c r="CP416" s="29">
        <f t="shared" ca="1" si="229"/>
        <v>1</v>
      </c>
      <c r="CQ416" s="29">
        <f t="shared" ca="1" si="228"/>
        <v>3</v>
      </c>
      <c r="CR416" s="29">
        <f t="shared" ca="1" si="228"/>
        <v>1</v>
      </c>
      <c r="CS416" s="29">
        <f t="shared" ca="1" si="228"/>
        <v>1</v>
      </c>
      <c r="CT416" s="29">
        <f t="shared" ca="1" si="228"/>
        <v>1</v>
      </c>
      <c r="CU416" s="29">
        <f t="shared" ca="1" si="228"/>
        <v>0</v>
      </c>
      <c r="CV416" s="29">
        <f t="shared" ca="1" si="228"/>
        <v>1</v>
      </c>
      <c r="CW416" s="29">
        <f t="shared" ca="1" si="228"/>
        <v>0</v>
      </c>
      <c r="CX416" s="29">
        <f t="shared" ca="1" si="228"/>
        <v>0</v>
      </c>
      <c r="CY416" s="29">
        <f t="shared" ca="1" si="228"/>
        <v>1</v>
      </c>
      <c r="CZ416" s="29">
        <f t="shared" ca="1" si="228"/>
        <v>0</v>
      </c>
      <c r="DA416" s="29">
        <f t="shared" ca="1" si="228"/>
        <v>2</v>
      </c>
      <c r="DB416" s="29">
        <f t="shared" ca="1" si="228"/>
        <v>1</v>
      </c>
      <c r="DC416" s="29">
        <f t="shared" ca="1" si="228"/>
        <v>1</v>
      </c>
      <c r="DD416" s="29">
        <f t="shared" ca="1" si="228"/>
        <v>0</v>
      </c>
      <c r="DE416" s="29">
        <f t="shared" ca="1" si="228"/>
        <v>0</v>
      </c>
      <c r="DF416" s="29">
        <f t="shared" ca="1" si="213"/>
        <v>1</v>
      </c>
      <c r="DG416" s="29">
        <f t="shared" ca="1" si="213"/>
        <v>0</v>
      </c>
      <c r="DH416" s="29">
        <f t="shared" ca="1" si="213"/>
        <v>1</v>
      </c>
      <c r="DI416" s="29">
        <f t="shared" ref="DI416:DL416" ca="1" si="234">_xlfn.BINOM.INV(50,$E416,RAND())</f>
        <v>0</v>
      </c>
      <c r="DJ416" s="29">
        <f t="shared" ca="1" si="234"/>
        <v>2</v>
      </c>
      <c r="DK416" s="29">
        <f t="shared" ca="1" si="234"/>
        <v>2</v>
      </c>
      <c r="DL416" s="29">
        <f t="shared" ca="1" si="234"/>
        <v>0</v>
      </c>
    </row>
    <row r="417" spans="1:116" ht="14.4" x14ac:dyDescent="0.3">
      <c r="A417" s="31">
        <v>971</v>
      </c>
      <c r="B417" s="28">
        <v>0.36</v>
      </c>
      <c r="C417" s="30">
        <v>95.41</v>
      </c>
      <c r="D417" s="28">
        <v>0.62</v>
      </c>
      <c r="E417" s="34">
        <f t="shared" si="215"/>
        <v>1.24E-2</v>
      </c>
      <c r="F417" s="35">
        <f t="shared" si="216"/>
        <v>23.852499999999999</v>
      </c>
      <c r="G417" s="34">
        <f t="shared" si="217"/>
        <v>15.5</v>
      </c>
      <c r="H417" s="33">
        <f t="shared" si="218"/>
        <v>-23.201388888888886</v>
      </c>
      <c r="I417" s="28">
        <f t="shared" si="221"/>
        <v>1621.850000000001</v>
      </c>
      <c r="J417" s="32">
        <v>0</v>
      </c>
      <c r="K417" s="30">
        <f t="shared" si="219"/>
        <v>15.5</v>
      </c>
      <c r="L417" s="30"/>
      <c r="M417" s="30"/>
      <c r="N417" s="30"/>
      <c r="O417" s="30"/>
      <c r="Q417" s="29">
        <f t="shared" ca="1" si="220"/>
        <v>2</v>
      </c>
      <c r="R417" s="29">
        <f t="shared" ca="1" si="231"/>
        <v>0</v>
      </c>
      <c r="S417" s="29">
        <f t="shared" ca="1" si="231"/>
        <v>0</v>
      </c>
      <c r="T417" s="29">
        <f t="shared" ca="1" si="231"/>
        <v>0</v>
      </c>
      <c r="U417" s="29">
        <f t="shared" ca="1" si="231"/>
        <v>0</v>
      </c>
      <c r="V417" s="29">
        <f t="shared" ca="1" si="231"/>
        <v>1</v>
      </c>
      <c r="W417" s="29">
        <f t="shared" ca="1" si="231"/>
        <v>0</v>
      </c>
      <c r="X417" s="29">
        <f t="shared" ca="1" si="231"/>
        <v>0</v>
      </c>
      <c r="Y417" s="29">
        <f t="shared" ca="1" si="231"/>
        <v>3</v>
      </c>
      <c r="Z417" s="29">
        <f t="shared" ca="1" si="231"/>
        <v>2</v>
      </c>
      <c r="AA417" s="29">
        <f t="shared" ca="1" si="231"/>
        <v>0</v>
      </c>
      <c r="AB417" s="29">
        <f t="shared" ca="1" si="231"/>
        <v>2</v>
      </c>
      <c r="AC417" s="29">
        <f t="shared" ca="1" si="231"/>
        <v>0</v>
      </c>
      <c r="AD417" s="29">
        <f t="shared" ca="1" si="231"/>
        <v>1</v>
      </c>
      <c r="AE417" s="29">
        <f t="shared" ca="1" si="231"/>
        <v>0</v>
      </c>
      <c r="AF417" s="29">
        <f t="shared" ca="1" si="231"/>
        <v>1</v>
      </c>
      <c r="AG417" s="29">
        <f t="shared" ca="1" si="230"/>
        <v>0</v>
      </c>
      <c r="AH417" s="29">
        <f t="shared" ca="1" si="230"/>
        <v>0</v>
      </c>
      <c r="AI417" s="29">
        <f t="shared" ca="1" si="230"/>
        <v>0</v>
      </c>
      <c r="AJ417" s="29">
        <f t="shared" ca="1" si="230"/>
        <v>0</v>
      </c>
      <c r="AK417" s="29">
        <f t="shared" ca="1" si="230"/>
        <v>0</v>
      </c>
      <c r="AL417" s="29">
        <f t="shared" ca="1" si="230"/>
        <v>0</v>
      </c>
      <c r="AM417" s="29">
        <f t="shared" ca="1" si="230"/>
        <v>0</v>
      </c>
      <c r="AN417" s="29">
        <f t="shared" ca="1" si="230"/>
        <v>0</v>
      </c>
      <c r="AO417" s="29">
        <f t="shared" ca="1" si="230"/>
        <v>3</v>
      </c>
      <c r="AP417" s="29">
        <f t="shared" ca="1" si="230"/>
        <v>0</v>
      </c>
      <c r="AQ417" s="29">
        <f t="shared" ca="1" si="230"/>
        <v>0</v>
      </c>
      <c r="AR417" s="29">
        <f t="shared" ca="1" si="230"/>
        <v>0</v>
      </c>
      <c r="AS417" s="29">
        <f t="shared" ca="1" si="230"/>
        <v>0</v>
      </c>
      <c r="AT417" s="29">
        <f t="shared" ca="1" si="230"/>
        <v>0</v>
      </c>
      <c r="AU417" s="29">
        <f t="shared" ca="1" si="230"/>
        <v>2</v>
      </c>
      <c r="AV417" s="29">
        <f t="shared" ca="1" si="233"/>
        <v>2</v>
      </c>
      <c r="AW417" s="29">
        <f t="shared" ca="1" si="233"/>
        <v>0</v>
      </c>
      <c r="AX417" s="29">
        <f t="shared" ca="1" si="233"/>
        <v>0</v>
      </c>
      <c r="AY417" s="29">
        <f t="shared" ca="1" si="233"/>
        <v>1</v>
      </c>
      <c r="AZ417" s="29">
        <f t="shared" ca="1" si="233"/>
        <v>1</v>
      </c>
      <c r="BA417" s="29">
        <f t="shared" ca="1" si="233"/>
        <v>0</v>
      </c>
      <c r="BB417" s="29">
        <f t="shared" ca="1" si="233"/>
        <v>0</v>
      </c>
      <c r="BC417" s="29">
        <f t="shared" ca="1" si="233"/>
        <v>0</v>
      </c>
      <c r="BD417" s="29">
        <f t="shared" ca="1" si="233"/>
        <v>0</v>
      </c>
      <c r="BE417" s="29">
        <f t="shared" ca="1" si="233"/>
        <v>1</v>
      </c>
      <c r="BF417" s="29">
        <f t="shared" ca="1" si="233"/>
        <v>0</v>
      </c>
      <c r="BG417" s="29">
        <f t="shared" ca="1" si="233"/>
        <v>1</v>
      </c>
      <c r="BH417" s="29">
        <f t="shared" ca="1" si="233"/>
        <v>1</v>
      </c>
      <c r="BI417" s="29">
        <f t="shared" ca="1" si="233"/>
        <v>0</v>
      </c>
      <c r="BJ417" s="29">
        <f t="shared" ca="1" si="233"/>
        <v>0</v>
      </c>
      <c r="BK417" s="29">
        <f t="shared" ca="1" si="233"/>
        <v>0</v>
      </c>
      <c r="BL417" s="29">
        <f t="shared" ca="1" si="232"/>
        <v>0</v>
      </c>
      <c r="BM417" s="29">
        <f t="shared" ca="1" si="232"/>
        <v>1</v>
      </c>
      <c r="BN417" s="29">
        <f t="shared" ca="1" si="232"/>
        <v>0</v>
      </c>
      <c r="BO417" s="29">
        <f t="shared" ca="1" si="232"/>
        <v>0</v>
      </c>
      <c r="BP417" s="29">
        <f t="shared" ca="1" si="232"/>
        <v>0</v>
      </c>
      <c r="BQ417" s="29">
        <f t="shared" ca="1" si="232"/>
        <v>1</v>
      </c>
      <c r="BR417" s="29">
        <f t="shared" ca="1" si="232"/>
        <v>0</v>
      </c>
      <c r="BS417" s="29">
        <f t="shared" ca="1" si="232"/>
        <v>1</v>
      </c>
      <c r="BT417" s="29">
        <f t="shared" ca="1" si="232"/>
        <v>1</v>
      </c>
      <c r="BU417" s="29">
        <f t="shared" ca="1" si="232"/>
        <v>2</v>
      </c>
      <c r="BV417" s="29">
        <f t="shared" ca="1" si="232"/>
        <v>0</v>
      </c>
      <c r="BW417" s="29">
        <f t="shared" ca="1" si="232"/>
        <v>0</v>
      </c>
      <c r="BX417" s="29">
        <f t="shared" ca="1" si="232"/>
        <v>0</v>
      </c>
      <c r="BY417" s="29">
        <f t="shared" ca="1" si="232"/>
        <v>3</v>
      </c>
      <c r="BZ417" s="29">
        <f t="shared" ca="1" si="232"/>
        <v>2</v>
      </c>
      <c r="CA417" s="29">
        <f t="shared" ca="1" si="229"/>
        <v>1</v>
      </c>
      <c r="CB417" s="29">
        <f t="shared" ca="1" si="229"/>
        <v>0</v>
      </c>
      <c r="CC417" s="29">
        <f t="shared" ca="1" si="229"/>
        <v>2</v>
      </c>
      <c r="CD417" s="29">
        <f t="shared" ca="1" si="229"/>
        <v>1</v>
      </c>
      <c r="CE417" s="29">
        <f t="shared" ca="1" si="229"/>
        <v>1</v>
      </c>
      <c r="CF417" s="29">
        <f t="shared" ca="1" si="229"/>
        <v>0</v>
      </c>
      <c r="CG417" s="29">
        <f t="shared" ca="1" si="229"/>
        <v>0</v>
      </c>
      <c r="CH417" s="29">
        <f t="shared" ca="1" si="229"/>
        <v>0</v>
      </c>
      <c r="CI417" s="29">
        <f t="shared" ca="1" si="229"/>
        <v>0</v>
      </c>
      <c r="CJ417" s="29">
        <f t="shared" ca="1" si="229"/>
        <v>2</v>
      </c>
      <c r="CK417" s="29">
        <f t="shared" ca="1" si="229"/>
        <v>1</v>
      </c>
      <c r="CL417" s="29">
        <f t="shared" ca="1" si="229"/>
        <v>0</v>
      </c>
      <c r="CM417" s="29">
        <f t="shared" ca="1" si="229"/>
        <v>0</v>
      </c>
      <c r="CN417" s="29">
        <f t="shared" ca="1" si="229"/>
        <v>0</v>
      </c>
      <c r="CO417" s="29">
        <f t="shared" ca="1" si="229"/>
        <v>1</v>
      </c>
      <c r="CP417" s="29">
        <f t="shared" ca="1" si="229"/>
        <v>0</v>
      </c>
      <c r="CQ417" s="29">
        <f t="shared" ca="1" si="228"/>
        <v>0</v>
      </c>
      <c r="CR417" s="29">
        <f t="shared" ca="1" si="228"/>
        <v>0</v>
      </c>
      <c r="CS417" s="29">
        <f t="shared" ca="1" si="228"/>
        <v>1</v>
      </c>
      <c r="CT417" s="29">
        <f t="shared" ca="1" si="228"/>
        <v>3</v>
      </c>
      <c r="CU417" s="29">
        <f t="shared" ca="1" si="228"/>
        <v>1</v>
      </c>
      <c r="CV417" s="29">
        <f t="shared" ca="1" si="228"/>
        <v>0</v>
      </c>
      <c r="CW417" s="29">
        <f t="shared" ca="1" si="228"/>
        <v>0</v>
      </c>
      <c r="CX417" s="29">
        <f t="shared" ca="1" si="228"/>
        <v>2</v>
      </c>
      <c r="CY417" s="29">
        <f t="shared" ca="1" si="228"/>
        <v>0</v>
      </c>
      <c r="CZ417" s="29">
        <f t="shared" ca="1" si="228"/>
        <v>0</v>
      </c>
      <c r="DA417" s="29">
        <f t="shared" ca="1" si="228"/>
        <v>1</v>
      </c>
      <c r="DB417" s="29">
        <f t="shared" ca="1" si="228"/>
        <v>1</v>
      </c>
      <c r="DC417" s="29">
        <f t="shared" ca="1" si="228"/>
        <v>1</v>
      </c>
      <c r="DD417" s="29">
        <f t="shared" ca="1" si="228"/>
        <v>0</v>
      </c>
      <c r="DE417" s="29">
        <f t="shared" ca="1" si="228"/>
        <v>2</v>
      </c>
      <c r="DF417" s="29">
        <f t="shared" ref="DF417:DL417" ca="1" si="235">_xlfn.BINOM.INV(50,$E417,RAND())</f>
        <v>0</v>
      </c>
      <c r="DG417" s="29">
        <f t="shared" ca="1" si="235"/>
        <v>1</v>
      </c>
      <c r="DH417" s="29">
        <f t="shared" ca="1" si="235"/>
        <v>1</v>
      </c>
      <c r="DI417" s="29">
        <f t="shared" ca="1" si="235"/>
        <v>0</v>
      </c>
      <c r="DJ417" s="29">
        <f t="shared" ca="1" si="235"/>
        <v>0</v>
      </c>
      <c r="DK417" s="29">
        <f t="shared" ca="1" si="235"/>
        <v>1</v>
      </c>
      <c r="DL417" s="29">
        <f t="shared" ca="1" si="235"/>
        <v>0</v>
      </c>
    </row>
    <row r="418" spans="1:116" ht="14.4" x14ac:dyDescent="0.3">
      <c r="A418" s="31"/>
      <c r="B418" s="28"/>
      <c r="C418" s="30"/>
      <c r="D418" s="28"/>
      <c r="E418" s="34"/>
      <c r="F418" s="35"/>
      <c r="G418" s="34"/>
      <c r="H418" s="33"/>
      <c r="I418" s="28"/>
      <c r="J418" s="32"/>
      <c r="K418" s="30"/>
      <c r="L418" s="30"/>
      <c r="M418" s="30"/>
      <c r="N418" s="30"/>
      <c r="O418" s="30"/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29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  <c r="AX418" s="29"/>
      <c r="AY418" s="29"/>
      <c r="AZ418" s="29"/>
      <c r="BA418" s="29"/>
      <c r="BB418" s="29"/>
      <c r="BC418" s="29"/>
      <c r="BD418" s="29"/>
      <c r="BE418" s="29"/>
      <c r="BF418" s="29"/>
      <c r="BG418" s="29"/>
      <c r="BH418" s="29"/>
      <c r="BI418" s="29"/>
      <c r="BJ418" s="29"/>
      <c r="BK418" s="29"/>
      <c r="BL418" s="29"/>
      <c r="BM418" s="29"/>
      <c r="BN418" s="29"/>
      <c r="BO418" s="29"/>
      <c r="BP418" s="29"/>
      <c r="BQ418" s="29"/>
      <c r="BR418" s="29"/>
      <c r="BS418" s="29"/>
      <c r="BT418" s="29"/>
      <c r="BU418" s="29"/>
      <c r="BV418" s="29"/>
      <c r="BW418" s="29"/>
      <c r="BX418" s="29"/>
      <c r="BY418" s="29"/>
      <c r="BZ418" s="29"/>
      <c r="CA418" s="29"/>
      <c r="CB418" s="29"/>
      <c r="CC418" s="29"/>
      <c r="CD418" s="29"/>
      <c r="CE418" s="29"/>
      <c r="CF418" s="29"/>
      <c r="CG418" s="29"/>
      <c r="CH418" s="29"/>
      <c r="CI418" s="29"/>
      <c r="CJ418" s="29"/>
      <c r="CK418" s="29"/>
      <c r="CL418" s="29"/>
      <c r="CM418" s="29"/>
      <c r="CN418" s="29"/>
      <c r="CO418" s="29"/>
      <c r="CP418" s="29"/>
      <c r="CQ418" s="29"/>
      <c r="CR418" s="29"/>
      <c r="CS418" s="29"/>
      <c r="CT418" s="29"/>
      <c r="CU418" s="29"/>
      <c r="CV418" s="29"/>
      <c r="CW418" s="29"/>
      <c r="CX418" s="29"/>
      <c r="CY418" s="29"/>
      <c r="CZ418" s="29"/>
      <c r="DA418" s="29"/>
      <c r="DB418" s="29"/>
      <c r="DC418" s="29"/>
      <c r="DD418" s="29"/>
      <c r="DE418" s="29"/>
      <c r="DF418" s="29"/>
      <c r="DG418" s="29"/>
      <c r="DH418" s="29"/>
      <c r="DI418" s="29"/>
      <c r="DJ418" s="29"/>
      <c r="DK418" s="29"/>
      <c r="DL418" s="29"/>
    </row>
    <row r="419" spans="1:116" ht="14.4" x14ac:dyDescent="0.3">
      <c r="A419" s="28"/>
      <c r="B419" s="28"/>
      <c r="C419" s="28"/>
      <c r="D419" s="28"/>
      <c r="E419" s="28"/>
      <c r="F419" s="28"/>
      <c r="G419" s="28"/>
      <c r="H419" s="28"/>
      <c r="I419" s="28"/>
      <c r="L419" s="52"/>
      <c r="M419" s="52"/>
      <c r="N419" s="52"/>
      <c r="O419" s="52"/>
      <c r="P419" s="27" t="s">
        <v>26</v>
      </c>
      <c r="Q419" s="49">
        <f ca="1">SUMPRODUCT(0.25*$C$2:$C$417,$J$2:$J$417)+SUMPRODUCT(25*Q2:Q417,(1-$J$2:$J$417))</f>
        <v>11190.039999999999</v>
      </c>
      <c r="R419" s="49">
        <f ca="1">SUMPRODUCT(0.25*$C$2:$C$417,$J$2:$J$417)+SUMPRODUCT(25*R2:R417,(1-$J$2:$J$417))</f>
        <v>11865.039999999999</v>
      </c>
      <c r="S419" s="49">
        <f t="shared" ref="S419:CD419" ca="1" si="236">SUMPRODUCT(0.25*$C$2:$C$417,$J$2:$J$417)+SUMPRODUCT(25*S2:S417,(1-$J$2:$J$417))</f>
        <v>11865.039999999999</v>
      </c>
      <c r="T419" s="49">
        <f t="shared" ca="1" si="236"/>
        <v>11090.039999999999</v>
      </c>
      <c r="U419" s="49">
        <f t="shared" ca="1" si="236"/>
        <v>12440.039999999999</v>
      </c>
      <c r="V419" s="49">
        <f t="shared" ca="1" si="236"/>
        <v>11815.039999999999</v>
      </c>
      <c r="W419" s="49">
        <f t="shared" ca="1" si="236"/>
        <v>12415.039999999999</v>
      </c>
      <c r="X419" s="49">
        <f t="shared" ca="1" si="236"/>
        <v>11440.039999999999</v>
      </c>
      <c r="Y419" s="49">
        <f t="shared" ca="1" si="236"/>
        <v>11915.039999999999</v>
      </c>
      <c r="Z419" s="49">
        <f t="shared" ca="1" si="236"/>
        <v>11590.039999999999</v>
      </c>
      <c r="AA419" s="49">
        <f t="shared" ca="1" si="236"/>
        <v>11765.039999999999</v>
      </c>
      <c r="AB419" s="49">
        <f t="shared" ca="1" si="236"/>
        <v>11690.039999999999</v>
      </c>
      <c r="AC419" s="49">
        <f t="shared" ca="1" si="236"/>
        <v>11540.039999999999</v>
      </c>
      <c r="AD419" s="49">
        <f t="shared" ca="1" si="236"/>
        <v>11390.039999999999</v>
      </c>
      <c r="AE419" s="49">
        <f t="shared" ca="1" si="236"/>
        <v>11865.039999999999</v>
      </c>
      <c r="AF419" s="49">
        <f t="shared" ca="1" si="236"/>
        <v>11990.039999999999</v>
      </c>
      <c r="AG419" s="49">
        <f t="shared" ca="1" si="236"/>
        <v>12040.039999999999</v>
      </c>
      <c r="AH419" s="49">
        <f t="shared" ca="1" si="236"/>
        <v>10965.039999999999</v>
      </c>
      <c r="AI419" s="49">
        <f t="shared" ca="1" si="236"/>
        <v>11190.039999999999</v>
      </c>
      <c r="AJ419" s="49">
        <f t="shared" ca="1" si="236"/>
        <v>11940.039999999999</v>
      </c>
      <c r="AK419" s="49">
        <f t="shared" ca="1" si="236"/>
        <v>12015.039999999999</v>
      </c>
      <c r="AL419" s="49">
        <f t="shared" ca="1" si="236"/>
        <v>11215.039999999999</v>
      </c>
      <c r="AM419" s="49">
        <f t="shared" ca="1" si="236"/>
        <v>12215.039999999999</v>
      </c>
      <c r="AN419" s="49">
        <f t="shared" ca="1" si="236"/>
        <v>12240.039999999999</v>
      </c>
      <c r="AO419" s="49">
        <f t="shared" ca="1" si="236"/>
        <v>11465.039999999999</v>
      </c>
      <c r="AP419" s="49">
        <f t="shared" ca="1" si="236"/>
        <v>11015.039999999999</v>
      </c>
      <c r="AQ419" s="49">
        <f t="shared" ca="1" si="236"/>
        <v>12390.039999999999</v>
      </c>
      <c r="AR419" s="49">
        <f t="shared" ca="1" si="236"/>
        <v>11740.039999999999</v>
      </c>
      <c r="AS419" s="49">
        <f t="shared" ca="1" si="236"/>
        <v>11790.039999999999</v>
      </c>
      <c r="AT419" s="49">
        <f t="shared" ca="1" si="236"/>
        <v>11740.039999999999</v>
      </c>
      <c r="AU419" s="49">
        <f t="shared" ca="1" si="236"/>
        <v>11040.039999999999</v>
      </c>
      <c r="AV419" s="49">
        <f t="shared" ca="1" si="236"/>
        <v>11890.039999999999</v>
      </c>
      <c r="AW419" s="49">
        <f t="shared" ca="1" si="236"/>
        <v>12290.039999999999</v>
      </c>
      <c r="AX419" s="49">
        <f t="shared" ca="1" si="236"/>
        <v>12215.039999999999</v>
      </c>
      <c r="AY419" s="49">
        <f t="shared" ca="1" si="236"/>
        <v>11215.039999999999</v>
      </c>
      <c r="AZ419" s="49">
        <f t="shared" ca="1" si="236"/>
        <v>11865.039999999999</v>
      </c>
      <c r="BA419" s="49">
        <f t="shared" ca="1" si="236"/>
        <v>12340.039999999999</v>
      </c>
      <c r="BB419" s="49">
        <f t="shared" ca="1" si="236"/>
        <v>11565.039999999999</v>
      </c>
      <c r="BC419" s="49">
        <f t="shared" ca="1" si="236"/>
        <v>11315.039999999999</v>
      </c>
      <c r="BD419" s="49">
        <f t="shared" ca="1" si="236"/>
        <v>10690.039999999999</v>
      </c>
      <c r="BE419" s="49">
        <f t="shared" ca="1" si="236"/>
        <v>12665.039999999999</v>
      </c>
      <c r="BF419" s="49">
        <f t="shared" ca="1" si="236"/>
        <v>11115.039999999999</v>
      </c>
      <c r="BG419" s="49">
        <f t="shared" ca="1" si="236"/>
        <v>10640.039999999999</v>
      </c>
      <c r="BH419" s="49">
        <f t="shared" ca="1" si="236"/>
        <v>11390.039999999999</v>
      </c>
      <c r="BI419" s="49">
        <f t="shared" ca="1" si="236"/>
        <v>11665.039999999999</v>
      </c>
      <c r="BJ419" s="49">
        <f t="shared" ca="1" si="236"/>
        <v>11765.039999999999</v>
      </c>
      <c r="BK419" s="49">
        <f t="shared" ca="1" si="236"/>
        <v>12040.039999999999</v>
      </c>
      <c r="BL419" s="49">
        <f t="shared" ca="1" si="236"/>
        <v>12115.039999999999</v>
      </c>
      <c r="BM419" s="49">
        <f t="shared" ca="1" si="236"/>
        <v>11465.039999999999</v>
      </c>
      <c r="BN419" s="49">
        <f t="shared" ca="1" si="236"/>
        <v>12040.039999999999</v>
      </c>
      <c r="BO419" s="49">
        <f t="shared" ca="1" si="236"/>
        <v>11115.039999999999</v>
      </c>
      <c r="BP419" s="49">
        <f t="shared" ca="1" si="236"/>
        <v>11915.039999999999</v>
      </c>
      <c r="BQ419" s="49">
        <f t="shared" ca="1" si="236"/>
        <v>11640.039999999999</v>
      </c>
      <c r="BR419" s="49">
        <f t="shared" ca="1" si="236"/>
        <v>11565.039999999999</v>
      </c>
      <c r="BS419" s="49">
        <f t="shared" ca="1" si="236"/>
        <v>12665.039999999999</v>
      </c>
      <c r="BT419" s="49">
        <f t="shared" ca="1" si="236"/>
        <v>12140.039999999999</v>
      </c>
      <c r="BU419" s="49">
        <f t="shared" ca="1" si="236"/>
        <v>12015.039999999999</v>
      </c>
      <c r="BV419" s="49">
        <f t="shared" ca="1" si="236"/>
        <v>11965.039999999999</v>
      </c>
      <c r="BW419" s="49">
        <f t="shared" ca="1" si="236"/>
        <v>11540.039999999999</v>
      </c>
      <c r="BX419" s="49">
        <f t="shared" ca="1" si="236"/>
        <v>10215.039999999999</v>
      </c>
      <c r="BY419" s="49">
        <f t="shared" ca="1" si="236"/>
        <v>10690.039999999999</v>
      </c>
      <c r="BZ419" s="49">
        <f t="shared" ca="1" si="236"/>
        <v>11190.039999999999</v>
      </c>
      <c r="CA419" s="49">
        <f t="shared" ca="1" si="236"/>
        <v>11165.039999999999</v>
      </c>
      <c r="CB419" s="49">
        <f t="shared" ca="1" si="236"/>
        <v>11365.039999999999</v>
      </c>
      <c r="CC419" s="49">
        <f t="shared" ca="1" si="236"/>
        <v>12165.039999999999</v>
      </c>
      <c r="CD419" s="49">
        <f t="shared" ca="1" si="236"/>
        <v>12490.039999999999</v>
      </c>
      <c r="CE419" s="49">
        <f t="shared" ref="CE419:DL419" ca="1" si="237">SUMPRODUCT(0.25*$C$2:$C$417,$J$2:$J$417)+SUMPRODUCT(25*CE2:CE417,(1-$J$2:$J$417))</f>
        <v>11990.039999999999</v>
      </c>
      <c r="CF419" s="49">
        <f t="shared" ca="1" si="237"/>
        <v>12340.039999999999</v>
      </c>
      <c r="CG419" s="49">
        <f t="shared" ca="1" si="237"/>
        <v>10815.039999999999</v>
      </c>
      <c r="CH419" s="49">
        <f t="shared" ca="1" si="237"/>
        <v>11665.039999999999</v>
      </c>
      <c r="CI419" s="49">
        <f t="shared" ca="1" si="237"/>
        <v>11440.039999999999</v>
      </c>
      <c r="CJ419" s="49">
        <f t="shared" ca="1" si="237"/>
        <v>11590.039999999999</v>
      </c>
      <c r="CK419" s="49">
        <f t="shared" ca="1" si="237"/>
        <v>11890.039999999999</v>
      </c>
      <c r="CL419" s="49">
        <f t="shared" ca="1" si="237"/>
        <v>10365.039999999999</v>
      </c>
      <c r="CM419" s="49">
        <f t="shared" ca="1" si="237"/>
        <v>10590.039999999999</v>
      </c>
      <c r="CN419" s="49">
        <f t="shared" ca="1" si="237"/>
        <v>11390.039999999999</v>
      </c>
      <c r="CO419" s="49">
        <f t="shared" ca="1" si="237"/>
        <v>12115.039999999999</v>
      </c>
      <c r="CP419" s="49">
        <f t="shared" ca="1" si="237"/>
        <v>11790.039999999999</v>
      </c>
      <c r="CQ419" s="49">
        <f t="shared" ca="1" si="237"/>
        <v>11440.039999999999</v>
      </c>
      <c r="CR419" s="49">
        <f t="shared" ca="1" si="237"/>
        <v>11765.039999999999</v>
      </c>
      <c r="CS419" s="49">
        <f t="shared" ca="1" si="237"/>
        <v>11565.039999999999</v>
      </c>
      <c r="CT419" s="49">
        <f t="shared" ca="1" si="237"/>
        <v>12515.039999999999</v>
      </c>
      <c r="CU419" s="49">
        <f t="shared" ca="1" si="237"/>
        <v>11190.039999999999</v>
      </c>
      <c r="CV419" s="49">
        <f t="shared" ca="1" si="237"/>
        <v>12165.039999999999</v>
      </c>
      <c r="CW419" s="49">
        <f t="shared" ca="1" si="237"/>
        <v>11715.039999999999</v>
      </c>
      <c r="CX419" s="49">
        <f t="shared" ca="1" si="237"/>
        <v>12215.039999999999</v>
      </c>
      <c r="CY419" s="49">
        <f t="shared" ca="1" si="237"/>
        <v>11890.039999999999</v>
      </c>
      <c r="CZ419" s="49">
        <f t="shared" ca="1" si="237"/>
        <v>11090.039999999999</v>
      </c>
      <c r="DA419" s="49">
        <f t="shared" ca="1" si="237"/>
        <v>12865.039999999999</v>
      </c>
      <c r="DB419" s="49">
        <f t="shared" ca="1" si="237"/>
        <v>11765.039999999999</v>
      </c>
      <c r="DC419" s="49">
        <f t="shared" ca="1" si="237"/>
        <v>11715.039999999999</v>
      </c>
      <c r="DD419" s="49">
        <f t="shared" ca="1" si="237"/>
        <v>11915.039999999999</v>
      </c>
      <c r="DE419" s="49">
        <f t="shared" ca="1" si="237"/>
        <v>11915.039999999999</v>
      </c>
      <c r="DF419" s="49">
        <f t="shared" ca="1" si="237"/>
        <v>11415.039999999999</v>
      </c>
      <c r="DG419" s="49">
        <f t="shared" ca="1" si="237"/>
        <v>11915.039999999999</v>
      </c>
      <c r="DH419" s="49">
        <f t="shared" ca="1" si="237"/>
        <v>12165.039999999999</v>
      </c>
      <c r="DI419" s="49">
        <f t="shared" ca="1" si="237"/>
        <v>11890.039999999999</v>
      </c>
      <c r="DJ419" s="49">
        <f t="shared" ca="1" si="237"/>
        <v>12840.039999999999</v>
      </c>
      <c r="DK419" s="49">
        <f t="shared" ca="1" si="237"/>
        <v>11940.039999999999</v>
      </c>
      <c r="DL419" s="49">
        <f t="shared" ca="1" si="237"/>
        <v>11465.039999999999</v>
      </c>
    </row>
    <row r="420" spans="1:116" ht="15.75" customHeight="1" x14ac:dyDescent="0.3">
      <c r="L420" s="52"/>
      <c r="M420" s="52"/>
      <c r="N420" s="52"/>
      <c r="O420" s="52"/>
      <c r="X420" s="38"/>
    </row>
    <row r="421" spans="1:116" ht="15.75" customHeight="1" x14ac:dyDescent="0.3">
      <c r="L421" s="27"/>
      <c r="M421" s="27"/>
      <c r="N421" s="27"/>
      <c r="O421" s="27"/>
      <c r="P421" s="27" t="s">
        <v>25</v>
      </c>
      <c r="Q421" s="50">
        <f ca="1">SUMPRODUCT(Q2:Q417,$J$2:$J$417)/SUM(Q2:Q417)</f>
        <v>0.53141361256544506</v>
      </c>
      <c r="R421" s="50">
        <f t="shared" ref="R421:CC421" ca="1" si="238">SUMPRODUCT(R2:R417,$J$2:$J$417)/SUM(R2:R417)</f>
        <v>0.53163017031630166</v>
      </c>
      <c r="S421" s="50">
        <f t="shared" ca="1" si="238"/>
        <v>0.51080050825921219</v>
      </c>
      <c r="T421" s="50">
        <f t="shared" ca="1" si="238"/>
        <v>0.56024844720496891</v>
      </c>
      <c r="U421" s="50">
        <f t="shared" ca="1" si="238"/>
        <v>0.50425273390036451</v>
      </c>
      <c r="V421" s="50">
        <f t="shared" ca="1" si="238"/>
        <v>0.51763224181360201</v>
      </c>
      <c r="W421" s="50">
        <f t="shared" ca="1" si="238"/>
        <v>0.50963855421686743</v>
      </c>
      <c r="X421" s="50">
        <f t="shared" ca="1" si="238"/>
        <v>0.53061224489795922</v>
      </c>
      <c r="Y421" s="50">
        <f t="shared" ca="1" si="238"/>
        <v>0.53204353083434097</v>
      </c>
      <c r="Z421" s="50">
        <f t="shared" ca="1" si="238"/>
        <v>0.53482587064676612</v>
      </c>
      <c r="AA421" s="50">
        <f t="shared" ca="1" si="238"/>
        <v>0.52729528535980152</v>
      </c>
      <c r="AB421" s="50">
        <f t="shared" ca="1" si="238"/>
        <v>0.53101736972704716</v>
      </c>
      <c r="AC421" s="50">
        <f t="shared" ca="1" si="238"/>
        <v>0.53148614609571787</v>
      </c>
      <c r="AD421" s="50">
        <f t="shared" ca="1" si="238"/>
        <v>0.5536585365853659</v>
      </c>
      <c r="AE421" s="50">
        <f t="shared" ca="1" si="238"/>
        <v>0.53558504221954162</v>
      </c>
      <c r="AF421" s="50">
        <f t="shared" ca="1" si="238"/>
        <v>0.52727272727272723</v>
      </c>
      <c r="AG421" s="50">
        <f t="shared" ca="1" si="238"/>
        <v>0.52019583843329253</v>
      </c>
      <c r="AH421" s="50">
        <f t="shared" ca="1" si="238"/>
        <v>0.5582278481012658</v>
      </c>
      <c r="AI421" s="50">
        <f t="shared" ca="1" si="238"/>
        <v>0.52266666666666661</v>
      </c>
      <c r="AJ421" s="50">
        <f t="shared" ca="1" si="238"/>
        <v>0.51801242236024847</v>
      </c>
      <c r="AK421" s="50">
        <f t="shared" ca="1" si="238"/>
        <v>0.5311750599520384</v>
      </c>
      <c r="AL421" s="50">
        <f t="shared" ca="1" si="238"/>
        <v>0.5540372670807453</v>
      </c>
      <c r="AM421" s="50">
        <f t="shared" ca="1" si="238"/>
        <v>0.51927710843373498</v>
      </c>
      <c r="AN421" s="50">
        <f t="shared" ca="1" si="238"/>
        <v>0.51338199513381999</v>
      </c>
      <c r="AO421" s="50">
        <f t="shared" ca="1" si="238"/>
        <v>0.53053435114503822</v>
      </c>
      <c r="AP421" s="50">
        <f t="shared" ca="1" si="238"/>
        <v>0.56070087609511887</v>
      </c>
      <c r="AQ421" s="50">
        <f t="shared" ca="1" si="238"/>
        <v>0.50548112058465289</v>
      </c>
      <c r="AR421" s="50">
        <f t="shared" ca="1" si="238"/>
        <v>0.51837769328263628</v>
      </c>
      <c r="AS421" s="50">
        <f t="shared" ca="1" si="238"/>
        <v>0.52369077306733169</v>
      </c>
      <c r="AT421" s="50">
        <f t="shared" ca="1" si="238"/>
        <v>0.52736318407960203</v>
      </c>
      <c r="AU421" s="50">
        <f t="shared" ca="1" si="238"/>
        <v>0.54106910039113432</v>
      </c>
      <c r="AV421" s="50">
        <f t="shared" ca="1" si="238"/>
        <v>0.52286773794808405</v>
      </c>
      <c r="AW421" s="50">
        <f t="shared" ca="1" si="238"/>
        <v>0.5018587360594795</v>
      </c>
      <c r="AX421" s="50">
        <f t="shared" ca="1" si="238"/>
        <v>0.51102941176470584</v>
      </c>
      <c r="AY421" s="50">
        <f t="shared" ca="1" si="238"/>
        <v>0.52825229960578191</v>
      </c>
      <c r="AZ421" s="50">
        <f t="shared" ca="1" si="238"/>
        <v>0.5</v>
      </c>
      <c r="BA421" s="50">
        <f t="shared" ca="1" si="238"/>
        <v>0.53077816492450636</v>
      </c>
      <c r="BB421" s="50">
        <f t="shared" ca="1" si="238"/>
        <v>0.52056555269922877</v>
      </c>
      <c r="BC421" s="50">
        <f t="shared" ca="1" si="238"/>
        <v>0.54681647940074907</v>
      </c>
      <c r="BD421" s="50">
        <f t="shared" ca="1" si="238"/>
        <v>0.55932203389830504</v>
      </c>
      <c r="BE421" s="50">
        <f t="shared" ca="1" si="238"/>
        <v>0.50475059382422804</v>
      </c>
      <c r="BF421" s="50">
        <f t="shared" ca="1" si="238"/>
        <v>0.55569461827284106</v>
      </c>
      <c r="BG421" s="50">
        <f t="shared" ca="1" si="238"/>
        <v>0.57947434292866085</v>
      </c>
      <c r="BH421" s="50">
        <f t="shared" ca="1" si="238"/>
        <v>0.5234375</v>
      </c>
      <c r="BI421" s="50">
        <f t="shared" ca="1" si="238"/>
        <v>0.53399258343634115</v>
      </c>
      <c r="BJ421" s="50">
        <f t="shared" ca="1" si="238"/>
        <v>0.52846534653465349</v>
      </c>
      <c r="BK421" s="50">
        <f t="shared" ca="1" si="238"/>
        <v>0.50753768844221103</v>
      </c>
      <c r="BL421" s="50">
        <f t="shared" ca="1" si="238"/>
        <v>0.51829268292682928</v>
      </c>
      <c r="BM421" s="50">
        <f t="shared" ca="1" si="238"/>
        <v>0.53291139240506324</v>
      </c>
      <c r="BN421" s="50">
        <f t="shared" ca="1" si="238"/>
        <v>0.52771084337349394</v>
      </c>
      <c r="BO421" s="50">
        <f t="shared" ca="1" si="238"/>
        <v>0.5285524568393094</v>
      </c>
      <c r="BP421" s="50">
        <f t="shared" ca="1" si="238"/>
        <v>0.50700636942675159</v>
      </c>
      <c r="BQ421" s="50">
        <f t="shared" ca="1" si="238"/>
        <v>0.51732991014120666</v>
      </c>
      <c r="BR421" s="50">
        <f t="shared" ca="1" si="238"/>
        <v>0.54733009708737868</v>
      </c>
      <c r="BS421" s="50">
        <f t="shared" ca="1" si="238"/>
        <v>0.50650887573964498</v>
      </c>
      <c r="BT421" s="50">
        <f t="shared" ca="1" si="238"/>
        <v>0.5074626865671642</v>
      </c>
      <c r="BU421" s="50">
        <f t="shared" ca="1" si="238"/>
        <v>0.52891566265060241</v>
      </c>
      <c r="BV421" s="50">
        <f t="shared" ca="1" si="238"/>
        <v>0.51007556675062971</v>
      </c>
      <c r="BW421" s="50">
        <f t="shared" ca="1" si="238"/>
        <v>0.52911392405063296</v>
      </c>
      <c r="BX421" s="50">
        <f t="shared" ca="1" si="238"/>
        <v>0.58081471747700397</v>
      </c>
      <c r="BY421" s="50">
        <f t="shared" ca="1" si="238"/>
        <v>0.55932203389830504</v>
      </c>
      <c r="BZ421" s="50">
        <f t="shared" ca="1" si="238"/>
        <v>0.53263707571801566</v>
      </c>
      <c r="CA421" s="50">
        <f t="shared" ca="1" si="238"/>
        <v>0.53696498054474706</v>
      </c>
      <c r="CB421" s="50">
        <f t="shared" ca="1" si="238"/>
        <v>0.5420326223337516</v>
      </c>
      <c r="CC421" s="50">
        <f t="shared" ca="1" si="238"/>
        <v>0.49426751592356688</v>
      </c>
      <c r="CD421" s="50">
        <f t="shared" ref="CD421:DL421" ca="1" si="239">SUMPRODUCT(CD2:CD417,$J$2:$J$417)/SUM(CD2:CD417)</f>
        <v>0.48813982521847693</v>
      </c>
      <c r="CE421" s="50">
        <f t="shared" ca="1" si="239"/>
        <v>0.52727272727272723</v>
      </c>
      <c r="CF421" s="50">
        <f t="shared" ca="1" si="239"/>
        <v>0.51616766467065867</v>
      </c>
      <c r="CG421" s="50">
        <f t="shared" ca="1" si="239"/>
        <v>0.54509283819628651</v>
      </c>
      <c r="CH421" s="50">
        <f t="shared" ca="1" si="239"/>
        <v>0.52638190954773867</v>
      </c>
      <c r="CI421" s="50">
        <f t="shared" ca="1" si="239"/>
        <v>0.55609167671893844</v>
      </c>
      <c r="CJ421" s="50">
        <f t="shared" ca="1" si="239"/>
        <v>0.53249999999999997</v>
      </c>
      <c r="CK421" s="50">
        <f t="shared" ca="1" si="239"/>
        <v>0.48670212765957449</v>
      </c>
      <c r="CL421" s="50">
        <f t="shared" ca="1" si="239"/>
        <v>0.56550802139037437</v>
      </c>
      <c r="CM421" s="50">
        <f t="shared" ca="1" si="239"/>
        <v>0.56282722513089001</v>
      </c>
      <c r="CN421" s="50">
        <f t="shared" ca="1" si="239"/>
        <v>0.53196930946291565</v>
      </c>
      <c r="CO421" s="50">
        <f t="shared" ca="1" si="239"/>
        <v>0.47403462050599199</v>
      </c>
      <c r="CP421" s="50">
        <f t="shared" ca="1" si="239"/>
        <v>0.54086538461538458</v>
      </c>
      <c r="CQ421" s="50">
        <f t="shared" ca="1" si="239"/>
        <v>0.5394242803504381</v>
      </c>
      <c r="CR421" s="50">
        <f t="shared" ca="1" si="239"/>
        <v>0.52255639097744366</v>
      </c>
      <c r="CS421" s="50">
        <f t="shared" ca="1" si="239"/>
        <v>0.51368970013037807</v>
      </c>
      <c r="CT421" s="50">
        <f t="shared" ca="1" si="239"/>
        <v>0.51533018867924529</v>
      </c>
      <c r="CU421" s="50">
        <f t="shared" ca="1" si="239"/>
        <v>0.53202614379084967</v>
      </c>
      <c r="CV421" s="50">
        <f t="shared" ca="1" si="239"/>
        <v>0.50375000000000003</v>
      </c>
      <c r="CW421" s="50">
        <f t="shared" ca="1" si="239"/>
        <v>0.50651041666666663</v>
      </c>
      <c r="CX421" s="50">
        <f t="shared" ca="1" si="239"/>
        <v>0.50801479654747228</v>
      </c>
      <c r="CY421" s="50">
        <f t="shared" ca="1" si="239"/>
        <v>0.50193548387096776</v>
      </c>
      <c r="CZ421" s="50">
        <f t="shared" ca="1" si="239"/>
        <v>0.53664921465968585</v>
      </c>
      <c r="DA421" s="50">
        <f t="shared" ca="1" si="239"/>
        <v>0.49584816132858839</v>
      </c>
      <c r="DB421" s="50">
        <f t="shared" ca="1" si="239"/>
        <v>0.52135678391959794</v>
      </c>
      <c r="DC421" s="50">
        <f t="shared" ca="1" si="239"/>
        <v>0.5220680958385876</v>
      </c>
      <c r="DD421" s="50">
        <f t="shared" ca="1" si="239"/>
        <v>0.5376344086021505</v>
      </c>
      <c r="DE421" s="50">
        <f t="shared" ca="1" si="239"/>
        <v>0.51564455569461831</v>
      </c>
      <c r="DF421" s="50">
        <f t="shared" ca="1" si="239"/>
        <v>0.53836477987421383</v>
      </c>
      <c r="DG421" s="50">
        <f t="shared" ca="1" si="239"/>
        <v>0.52222222222222225</v>
      </c>
      <c r="DH421" s="50">
        <f t="shared" ca="1" si="239"/>
        <v>0.50805452292441144</v>
      </c>
      <c r="DI421" s="50">
        <f t="shared" ca="1" si="239"/>
        <v>0.50576184379001277</v>
      </c>
      <c r="DJ421" s="50">
        <f t="shared" ca="1" si="239"/>
        <v>0.49523809523809526</v>
      </c>
      <c r="DK421" s="50">
        <f t="shared" ca="1" si="239"/>
        <v>0.52855407047387604</v>
      </c>
      <c r="DL421" s="50">
        <f t="shared" ca="1" si="239"/>
        <v>0.52448453608247425</v>
      </c>
    </row>
    <row r="423" spans="1:116" ht="15.75" customHeight="1" x14ac:dyDescent="0.3">
      <c r="K423" s="27"/>
      <c r="L423" s="27"/>
      <c r="M423" s="27"/>
      <c r="N423" s="27"/>
      <c r="O423" s="27"/>
    </row>
    <row r="429" spans="1:116" ht="15.75" customHeight="1" x14ac:dyDescent="0.3">
      <c r="Q429" s="27"/>
    </row>
    <row r="430" spans="1:116" ht="15.75" customHeight="1" x14ac:dyDescent="0.3">
      <c r="Q430" s="27"/>
    </row>
    <row r="431" spans="1:116" ht="15.75" customHeight="1" x14ac:dyDescent="0.3">
      <c r="Q431" s="27"/>
    </row>
    <row r="432" spans="1:116" ht="15.75" customHeight="1" x14ac:dyDescent="0.3">
      <c r="Q432" s="27"/>
      <c r="R432" s="27"/>
    </row>
    <row r="433" spans="17:18" ht="15.75" customHeight="1" x14ac:dyDescent="0.3">
      <c r="Q433" s="27"/>
    </row>
    <row r="434" spans="17:18" ht="15.75" customHeight="1" x14ac:dyDescent="0.3">
      <c r="Q434" s="27"/>
      <c r="R434" s="27"/>
    </row>
    <row r="435" spans="17:18" ht="15.75" customHeight="1" x14ac:dyDescent="0.3">
      <c r="Q435" s="27"/>
    </row>
    <row r="436" spans="17:18" ht="15.75" customHeight="1" x14ac:dyDescent="0.3">
      <c r="Q436" s="27"/>
    </row>
    <row r="437" spans="17:18" ht="15.75" customHeight="1" x14ac:dyDescent="0.3">
      <c r="Q437" s="27"/>
    </row>
    <row r="438" spans="17:18" ht="15.75" customHeight="1" x14ac:dyDescent="0.3">
      <c r="Q438" s="27"/>
    </row>
    <row r="439" spans="17:18" ht="15.75" customHeight="1" x14ac:dyDescent="0.3">
      <c r="Q439" s="27"/>
    </row>
    <row r="440" spans="17:18" ht="15.75" customHeight="1" x14ac:dyDescent="0.3">
      <c r="Q440" s="27"/>
    </row>
    <row r="441" spans="17:18" ht="15.75" customHeight="1" x14ac:dyDescent="0.3">
      <c r="Q441" s="27"/>
    </row>
    <row r="442" spans="17:18" ht="15.75" customHeight="1" x14ac:dyDescent="0.3">
      <c r="Q442" s="27"/>
    </row>
    <row r="443" spans="17:18" ht="15.75" customHeight="1" x14ac:dyDescent="0.3">
      <c r="Q443" s="27"/>
      <c r="R443" s="27"/>
    </row>
    <row r="444" spans="17:18" ht="15.75" customHeight="1" x14ac:dyDescent="0.3">
      <c r="Q444" s="27"/>
    </row>
    <row r="445" spans="17:18" ht="15.75" customHeight="1" x14ac:dyDescent="0.3">
      <c r="Q445" s="27"/>
    </row>
    <row r="446" spans="17:18" ht="15.75" customHeight="1" x14ac:dyDescent="0.3">
      <c r="Q446" s="27"/>
    </row>
    <row r="447" spans="17:18" ht="15.75" customHeight="1" x14ac:dyDescent="0.3">
      <c r="Q447" s="27"/>
    </row>
    <row r="448" spans="17:18" ht="15.75" customHeight="1" x14ac:dyDescent="0.3">
      <c r="Q448" s="27"/>
    </row>
    <row r="449" spans="17:17" ht="15.75" customHeight="1" x14ac:dyDescent="0.3">
      <c r="Q449" s="27"/>
    </row>
    <row r="450" spans="17:17" ht="15.75" customHeight="1" x14ac:dyDescent="0.3">
      <c r="Q450" s="27"/>
    </row>
    <row r="451" spans="17:17" ht="15.75" customHeight="1" x14ac:dyDescent="0.3">
      <c r="Q451" s="27"/>
    </row>
    <row r="452" spans="17:17" ht="15.75" customHeight="1" x14ac:dyDescent="0.3">
      <c r="Q452" s="27"/>
    </row>
    <row r="453" spans="17:17" ht="15.75" customHeight="1" x14ac:dyDescent="0.3">
      <c r="Q453" s="27"/>
    </row>
    <row r="454" spans="17:17" ht="15.75" customHeight="1" x14ac:dyDescent="0.3">
      <c r="Q454" s="27"/>
    </row>
    <row r="455" spans="17:17" ht="15.75" customHeight="1" x14ac:dyDescent="0.3">
      <c r="Q455" s="27"/>
    </row>
    <row r="456" spans="17:17" ht="15.75" customHeight="1" x14ac:dyDescent="0.3">
      <c r="Q456" s="27"/>
    </row>
    <row r="457" spans="17:17" ht="15.75" customHeight="1" x14ac:dyDescent="0.3">
      <c r="Q457" s="27"/>
    </row>
    <row r="458" spans="17:17" ht="15.75" customHeight="1" x14ac:dyDescent="0.3">
      <c r="Q458" s="27"/>
    </row>
    <row r="459" spans="17:17" ht="15.75" customHeight="1" x14ac:dyDescent="0.3">
      <c r="Q459" s="27"/>
    </row>
    <row r="460" spans="17:17" ht="15.75" customHeight="1" x14ac:dyDescent="0.3">
      <c r="Q460" s="27"/>
    </row>
    <row r="461" spans="17:17" ht="15.75" customHeight="1" x14ac:dyDescent="0.3">
      <c r="Q461" s="27"/>
    </row>
    <row r="462" spans="17:17" ht="15.75" customHeight="1" x14ac:dyDescent="0.3">
      <c r="Q462" s="27"/>
    </row>
    <row r="463" spans="17:17" ht="15.75" customHeight="1" x14ac:dyDescent="0.3">
      <c r="Q463" s="27"/>
    </row>
    <row r="464" spans="17:17" ht="15.75" customHeight="1" x14ac:dyDescent="0.3">
      <c r="Q464" s="27"/>
    </row>
    <row r="465" spans="17:17" ht="15.75" customHeight="1" x14ac:dyDescent="0.3">
      <c r="Q465" s="27"/>
    </row>
    <row r="466" spans="17:17" ht="15.75" customHeight="1" x14ac:dyDescent="0.3">
      <c r="Q466" s="27"/>
    </row>
    <row r="467" spans="17:17" ht="15.75" customHeight="1" x14ac:dyDescent="0.3">
      <c r="Q467" s="27"/>
    </row>
    <row r="468" spans="17:17" ht="15.75" customHeight="1" x14ac:dyDescent="0.3">
      <c r="Q468" s="27"/>
    </row>
    <row r="469" spans="17:17" ht="15.75" customHeight="1" x14ac:dyDescent="0.3">
      <c r="Q469" s="27"/>
    </row>
    <row r="470" spans="17:17" ht="15.75" customHeight="1" x14ac:dyDescent="0.3">
      <c r="Q470" s="27"/>
    </row>
    <row r="471" spans="17:17" ht="15.75" customHeight="1" x14ac:dyDescent="0.3">
      <c r="Q471" s="27"/>
    </row>
    <row r="472" spans="17:17" ht="15.75" customHeight="1" x14ac:dyDescent="0.3">
      <c r="Q472" s="27"/>
    </row>
    <row r="473" spans="17:17" ht="15.75" customHeight="1" x14ac:dyDescent="0.3">
      <c r="Q473" s="27"/>
    </row>
    <row r="474" spans="17:17" ht="15.75" customHeight="1" x14ac:dyDescent="0.3">
      <c r="Q474" s="27"/>
    </row>
    <row r="475" spans="17:17" ht="15.75" customHeight="1" x14ac:dyDescent="0.3">
      <c r="Q475" s="27"/>
    </row>
    <row r="476" spans="17:17" ht="15.75" customHeight="1" x14ac:dyDescent="0.3">
      <c r="Q476" s="27"/>
    </row>
    <row r="477" spans="17:17" ht="15.75" customHeight="1" x14ac:dyDescent="0.3">
      <c r="Q477" s="27"/>
    </row>
    <row r="478" spans="17:17" ht="15.75" customHeight="1" x14ac:dyDescent="0.3">
      <c r="Q478" s="27"/>
    </row>
    <row r="479" spans="17:17" ht="15.75" customHeight="1" x14ac:dyDescent="0.3">
      <c r="Q479" s="27"/>
    </row>
    <row r="480" spans="17:17" ht="15.75" customHeight="1" x14ac:dyDescent="0.3">
      <c r="Q480" s="27"/>
    </row>
    <row r="481" spans="17:17" ht="15.75" customHeight="1" x14ac:dyDescent="0.3">
      <c r="Q481" s="27"/>
    </row>
    <row r="482" spans="17:17" ht="15.75" customHeight="1" x14ac:dyDescent="0.3">
      <c r="Q482" s="27"/>
    </row>
    <row r="483" spans="17:17" ht="15.75" customHeight="1" x14ac:dyDescent="0.3">
      <c r="Q483" s="27"/>
    </row>
    <row r="484" spans="17:17" ht="15.75" customHeight="1" x14ac:dyDescent="0.3">
      <c r="Q484" s="27"/>
    </row>
    <row r="485" spans="17:17" ht="15.75" customHeight="1" x14ac:dyDescent="0.3">
      <c r="Q485" s="27"/>
    </row>
    <row r="486" spans="17:17" ht="15.75" customHeight="1" x14ac:dyDescent="0.3">
      <c r="Q486" s="27"/>
    </row>
    <row r="487" spans="17:17" ht="15.75" customHeight="1" x14ac:dyDescent="0.3">
      <c r="Q487" s="27"/>
    </row>
    <row r="488" spans="17:17" ht="15.75" customHeight="1" x14ac:dyDescent="0.3">
      <c r="Q488" s="27"/>
    </row>
    <row r="489" spans="17:17" ht="15.75" customHeight="1" x14ac:dyDescent="0.3">
      <c r="Q489" s="27"/>
    </row>
    <row r="490" spans="17:17" ht="15.75" customHeight="1" x14ac:dyDescent="0.3">
      <c r="Q490" s="27"/>
    </row>
    <row r="491" spans="17:17" ht="15.75" customHeight="1" x14ac:dyDescent="0.3">
      <c r="Q491" s="27"/>
    </row>
    <row r="492" spans="17:17" ht="15.75" customHeight="1" x14ac:dyDescent="0.3">
      <c r="Q492" s="27"/>
    </row>
    <row r="493" spans="17:17" ht="15.75" customHeight="1" x14ac:dyDescent="0.3">
      <c r="Q493" s="27"/>
    </row>
    <row r="494" spans="17:17" ht="15.75" customHeight="1" x14ac:dyDescent="0.3">
      <c r="Q494" s="27"/>
    </row>
    <row r="495" spans="17:17" ht="15.75" customHeight="1" x14ac:dyDescent="0.3">
      <c r="Q495" s="27"/>
    </row>
    <row r="496" spans="17:17" ht="15.75" customHeight="1" x14ac:dyDescent="0.3">
      <c r="Q496" s="27"/>
    </row>
    <row r="497" spans="17:17" ht="15.75" customHeight="1" x14ac:dyDescent="0.3">
      <c r="Q497" s="27"/>
    </row>
    <row r="498" spans="17:17" ht="15.75" customHeight="1" x14ac:dyDescent="0.3">
      <c r="Q498" s="27"/>
    </row>
    <row r="499" spans="17:17" ht="15.75" customHeight="1" x14ac:dyDescent="0.3">
      <c r="Q499" s="27"/>
    </row>
    <row r="500" spans="17:17" ht="15.75" customHeight="1" x14ac:dyDescent="0.3">
      <c r="Q500" s="27"/>
    </row>
    <row r="501" spans="17:17" ht="15.75" customHeight="1" x14ac:dyDescent="0.3">
      <c r="Q501" s="27"/>
    </row>
    <row r="502" spans="17:17" ht="15.75" customHeight="1" x14ac:dyDescent="0.3">
      <c r="Q502" s="27"/>
    </row>
    <row r="503" spans="17:17" ht="15.75" customHeight="1" x14ac:dyDescent="0.3">
      <c r="Q503" s="27"/>
    </row>
    <row r="504" spans="17:17" ht="15.75" customHeight="1" x14ac:dyDescent="0.3">
      <c r="Q504" s="27"/>
    </row>
    <row r="505" spans="17:17" ht="15.75" customHeight="1" x14ac:dyDescent="0.3">
      <c r="Q505" s="27"/>
    </row>
    <row r="506" spans="17:17" ht="15.75" customHeight="1" x14ac:dyDescent="0.3">
      <c r="Q506" s="27"/>
    </row>
    <row r="507" spans="17:17" ht="15.75" customHeight="1" x14ac:dyDescent="0.3">
      <c r="Q507" s="27"/>
    </row>
    <row r="508" spans="17:17" ht="15.75" customHeight="1" x14ac:dyDescent="0.3">
      <c r="Q508" s="27"/>
    </row>
    <row r="509" spans="17:17" ht="15.75" customHeight="1" x14ac:dyDescent="0.3">
      <c r="Q509" s="27"/>
    </row>
    <row r="510" spans="17:17" ht="15.75" customHeight="1" x14ac:dyDescent="0.3">
      <c r="Q510" s="27"/>
    </row>
    <row r="511" spans="17:17" ht="15.75" customHeight="1" x14ac:dyDescent="0.3">
      <c r="Q511" s="27"/>
    </row>
    <row r="512" spans="17:17" ht="15.75" customHeight="1" x14ac:dyDescent="0.3">
      <c r="Q512" s="27"/>
    </row>
    <row r="513" spans="17:17" ht="15.75" customHeight="1" x14ac:dyDescent="0.3">
      <c r="Q513" s="27"/>
    </row>
  </sheetData>
  <sortState xmlns:xlrd2="http://schemas.microsoft.com/office/spreadsheetml/2017/richdata2" ref="B2:K417">
    <sortCondition descending="1" ref="H2:H417"/>
  </sortState>
  <phoneticPr fontId="8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C83D4-74B8-3F4A-829F-F506BF42BDB5}">
  <sheetPr codeName="Sheet8"/>
  <dimension ref="A1:QD421"/>
  <sheetViews>
    <sheetView tabSelected="1" topLeftCell="A7" zoomScaleNormal="100" workbookViewId="0">
      <selection activeCell="T27" sqref="T27"/>
    </sheetView>
  </sheetViews>
  <sheetFormatPr defaultColWidth="11.44140625" defaultRowHeight="14.4" x14ac:dyDescent="0.3"/>
  <cols>
    <col min="2" max="2" width="12.77734375" customWidth="1"/>
    <col min="3" max="3" width="13.6640625" customWidth="1"/>
    <col min="4" max="5" width="13.77734375" customWidth="1"/>
    <col min="15" max="17" width="20" customWidth="1"/>
    <col min="22" max="22" width="15" customWidth="1"/>
    <col min="25" max="25" width="17.109375" customWidth="1"/>
    <col min="30" max="30" width="9.77734375" customWidth="1"/>
    <col min="31" max="31" width="12.6640625" customWidth="1"/>
  </cols>
  <sheetData>
    <row r="1" spans="1:446" ht="15.6" x14ac:dyDescent="0.3">
      <c r="A1" s="44" t="s">
        <v>144</v>
      </c>
      <c r="B1" s="44" t="s">
        <v>1</v>
      </c>
      <c r="C1" s="44" t="s">
        <v>2</v>
      </c>
      <c r="D1" s="44" t="s">
        <v>4</v>
      </c>
      <c r="E1" s="37" t="s">
        <v>34</v>
      </c>
      <c r="F1" s="37" t="s">
        <v>5</v>
      </c>
      <c r="G1" s="37" t="s">
        <v>33</v>
      </c>
      <c r="H1" s="45" t="s">
        <v>19</v>
      </c>
      <c r="I1" s="43" t="s">
        <v>142</v>
      </c>
      <c r="J1" s="37" t="s">
        <v>143</v>
      </c>
      <c r="N1" s="64" t="s">
        <v>148</v>
      </c>
      <c r="O1" s="64" t="s">
        <v>149</v>
      </c>
      <c r="Q1" s="67" t="s">
        <v>163</v>
      </c>
      <c r="R1" s="67" t="s">
        <v>161</v>
      </c>
      <c r="S1" s="67" t="s">
        <v>162</v>
      </c>
      <c r="V1" s="62" t="s">
        <v>147</v>
      </c>
      <c r="W1" s="60">
        <v>1</v>
      </c>
      <c r="X1" s="60">
        <v>4</v>
      </c>
      <c r="Y1" s="60">
        <v>8</v>
      </c>
      <c r="Z1" s="60">
        <v>14</v>
      </c>
      <c r="AA1" s="60">
        <v>16</v>
      </c>
      <c r="AB1" s="60">
        <v>17</v>
      </c>
      <c r="AC1" s="60">
        <v>18</v>
      </c>
      <c r="AD1" s="60">
        <v>19</v>
      </c>
      <c r="AE1" s="60">
        <v>23</v>
      </c>
      <c r="AF1" s="60">
        <v>25</v>
      </c>
      <c r="AG1" s="60">
        <v>26</v>
      </c>
      <c r="AH1" s="60">
        <v>31</v>
      </c>
      <c r="AI1" s="60">
        <v>32</v>
      </c>
      <c r="AJ1" s="60">
        <v>35</v>
      </c>
      <c r="AK1" s="60">
        <v>38</v>
      </c>
      <c r="AL1" s="60">
        <v>39</v>
      </c>
      <c r="AM1" s="60">
        <v>41</v>
      </c>
      <c r="AN1" s="60">
        <v>43</v>
      </c>
      <c r="AO1" s="60">
        <v>47</v>
      </c>
      <c r="AP1" s="60">
        <v>48</v>
      </c>
      <c r="AQ1" s="60">
        <v>55</v>
      </c>
      <c r="AR1" s="60">
        <v>58</v>
      </c>
      <c r="AS1" s="60">
        <v>61</v>
      </c>
      <c r="AT1" s="60">
        <v>63</v>
      </c>
      <c r="AU1" s="60">
        <v>64</v>
      </c>
      <c r="AV1" s="60">
        <v>75</v>
      </c>
      <c r="AW1" s="60">
        <v>81</v>
      </c>
      <c r="AX1" s="60">
        <v>82</v>
      </c>
      <c r="AY1" s="60">
        <v>85</v>
      </c>
      <c r="AZ1" s="60">
        <v>86</v>
      </c>
      <c r="BA1" s="60">
        <v>87</v>
      </c>
      <c r="BB1" s="60">
        <v>88</v>
      </c>
      <c r="BC1" s="60">
        <v>89</v>
      </c>
      <c r="BD1" s="60">
        <v>91</v>
      </c>
      <c r="BE1" s="60">
        <v>92</v>
      </c>
      <c r="BF1" s="60">
        <v>96</v>
      </c>
      <c r="BG1" s="60">
        <v>98</v>
      </c>
      <c r="BH1" s="60">
        <v>100</v>
      </c>
      <c r="BI1" s="60">
        <v>101</v>
      </c>
      <c r="BJ1" s="60">
        <v>106</v>
      </c>
      <c r="BK1" s="60">
        <v>109</v>
      </c>
      <c r="BL1" s="60">
        <v>110</v>
      </c>
      <c r="BM1" s="60">
        <v>117</v>
      </c>
      <c r="BN1" s="60">
        <v>120</v>
      </c>
      <c r="BO1" s="60">
        <v>123</v>
      </c>
      <c r="BP1" s="60">
        <v>125</v>
      </c>
      <c r="BQ1" s="60">
        <v>127</v>
      </c>
      <c r="BR1" s="60">
        <v>128</v>
      </c>
      <c r="BS1" s="60">
        <v>130</v>
      </c>
      <c r="BT1" s="60">
        <v>131</v>
      </c>
      <c r="BU1" s="60">
        <v>134</v>
      </c>
      <c r="BV1" s="60">
        <v>136</v>
      </c>
      <c r="BW1" s="60">
        <v>137</v>
      </c>
      <c r="BX1" s="60">
        <v>142</v>
      </c>
      <c r="BY1" s="60">
        <v>145</v>
      </c>
      <c r="BZ1" s="60">
        <v>147</v>
      </c>
      <c r="CA1" s="60">
        <v>148</v>
      </c>
      <c r="CB1" s="60">
        <v>154</v>
      </c>
      <c r="CC1" s="60">
        <v>160</v>
      </c>
      <c r="CD1" s="60">
        <v>162</v>
      </c>
      <c r="CE1" s="60">
        <v>164</v>
      </c>
      <c r="CF1" s="60">
        <v>170</v>
      </c>
      <c r="CG1" s="60">
        <v>171</v>
      </c>
      <c r="CH1" s="60">
        <v>173</v>
      </c>
      <c r="CI1" s="60">
        <v>175</v>
      </c>
      <c r="CJ1" s="60">
        <v>176</v>
      </c>
      <c r="CK1" s="60">
        <v>179</v>
      </c>
      <c r="CL1" s="60">
        <v>185</v>
      </c>
      <c r="CM1" s="60">
        <v>187</v>
      </c>
      <c r="CN1" s="60">
        <v>189</v>
      </c>
      <c r="CO1" s="60">
        <v>194</v>
      </c>
      <c r="CP1" s="60">
        <v>203</v>
      </c>
      <c r="CQ1" s="60">
        <v>207</v>
      </c>
      <c r="CR1" s="60">
        <v>210</v>
      </c>
      <c r="CS1" s="60">
        <v>211</v>
      </c>
      <c r="CT1" s="60">
        <v>217</v>
      </c>
      <c r="CU1" s="60">
        <v>219</v>
      </c>
      <c r="CV1" s="60">
        <v>220</v>
      </c>
      <c r="CW1" s="60">
        <v>221</v>
      </c>
      <c r="CX1" s="60">
        <v>225</v>
      </c>
      <c r="CY1" s="60">
        <v>227</v>
      </c>
      <c r="CZ1" s="60">
        <v>228</v>
      </c>
      <c r="DA1" s="60">
        <v>229</v>
      </c>
      <c r="DB1" s="60">
        <v>230</v>
      </c>
      <c r="DC1" s="60">
        <v>237</v>
      </c>
      <c r="DD1" s="60">
        <v>238</v>
      </c>
      <c r="DE1" s="60">
        <v>241</v>
      </c>
      <c r="DF1" s="60">
        <v>242</v>
      </c>
      <c r="DG1" s="60">
        <v>244</v>
      </c>
      <c r="DH1" s="60">
        <v>245</v>
      </c>
      <c r="DI1" s="60">
        <v>249</v>
      </c>
      <c r="DJ1" s="60">
        <v>252</v>
      </c>
      <c r="DK1" s="60">
        <v>253</v>
      </c>
      <c r="DL1" s="60">
        <v>254</v>
      </c>
      <c r="DM1" s="60">
        <v>256</v>
      </c>
      <c r="DN1" s="60">
        <v>257</v>
      </c>
      <c r="DO1" s="60">
        <v>258</v>
      </c>
      <c r="DP1" s="60">
        <v>259</v>
      </c>
      <c r="DQ1" s="60">
        <v>261</v>
      </c>
      <c r="DR1" s="60">
        <v>262</v>
      </c>
      <c r="DS1" s="60">
        <v>263</v>
      </c>
      <c r="DT1" s="60">
        <v>266</v>
      </c>
      <c r="DU1" s="60">
        <v>270</v>
      </c>
      <c r="DV1" s="60">
        <v>273</v>
      </c>
      <c r="DW1" s="60">
        <v>275</v>
      </c>
      <c r="DX1" s="60">
        <v>276</v>
      </c>
      <c r="DY1" s="60">
        <v>279</v>
      </c>
      <c r="DZ1" s="60">
        <v>283</v>
      </c>
      <c r="EA1" s="60">
        <v>284</v>
      </c>
      <c r="EB1" s="60">
        <v>287</v>
      </c>
      <c r="EC1" s="60">
        <v>290</v>
      </c>
      <c r="ED1" s="60">
        <v>294</v>
      </c>
      <c r="EE1" s="60">
        <v>299</v>
      </c>
      <c r="EF1" s="60">
        <v>301</v>
      </c>
      <c r="EG1" s="60">
        <v>305</v>
      </c>
      <c r="EH1" s="60">
        <v>311</v>
      </c>
      <c r="EI1" s="60">
        <v>316</v>
      </c>
      <c r="EJ1" s="60">
        <v>317</v>
      </c>
      <c r="EK1" s="60">
        <v>318</v>
      </c>
      <c r="EL1" s="60">
        <v>320</v>
      </c>
      <c r="EM1" s="60">
        <v>321</v>
      </c>
      <c r="EN1" s="60">
        <v>328</v>
      </c>
      <c r="EO1" s="60">
        <v>330</v>
      </c>
      <c r="EP1" s="60">
        <v>336</v>
      </c>
      <c r="EQ1" s="60">
        <v>337</v>
      </c>
      <c r="ER1" s="60">
        <v>341</v>
      </c>
      <c r="ES1" s="60">
        <v>343</v>
      </c>
      <c r="ET1" s="60">
        <v>344</v>
      </c>
      <c r="EU1" s="60">
        <v>349</v>
      </c>
      <c r="EV1" s="60">
        <v>350</v>
      </c>
      <c r="EW1" s="60">
        <v>351</v>
      </c>
      <c r="EX1" s="60">
        <v>354</v>
      </c>
      <c r="EY1" s="60">
        <v>356</v>
      </c>
      <c r="EZ1" s="60">
        <v>357</v>
      </c>
      <c r="FA1" s="60">
        <v>359</v>
      </c>
      <c r="FB1" s="60">
        <v>361</v>
      </c>
      <c r="FC1" s="60">
        <v>363</v>
      </c>
      <c r="FD1" s="60">
        <v>369</v>
      </c>
      <c r="FE1" s="60">
        <v>375</v>
      </c>
      <c r="FF1" s="60">
        <v>376</v>
      </c>
      <c r="FG1" s="60">
        <v>377</v>
      </c>
      <c r="FH1" s="60">
        <v>383</v>
      </c>
      <c r="FI1" s="60">
        <v>384</v>
      </c>
      <c r="FJ1" s="60">
        <v>386</v>
      </c>
      <c r="FK1" s="60">
        <v>387</v>
      </c>
      <c r="FL1" s="60">
        <v>388</v>
      </c>
      <c r="FM1" s="60">
        <v>390</v>
      </c>
      <c r="FN1" s="60">
        <v>401</v>
      </c>
      <c r="FO1" s="60">
        <v>406</v>
      </c>
      <c r="FP1" s="60">
        <v>408</v>
      </c>
      <c r="FQ1" s="60">
        <v>413</v>
      </c>
      <c r="FR1" s="60">
        <v>415</v>
      </c>
      <c r="FS1" s="60">
        <v>416</v>
      </c>
      <c r="FT1" s="60">
        <v>417</v>
      </c>
      <c r="FU1" s="60">
        <v>418</v>
      </c>
      <c r="FV1" s="60">
        <v>423</v>
      </c>
      <c r="FW1" s="60">
        <v>424</v>
      </c>
      <c r="FX1" s="60">
        <v>427</v>
      </c>
      <c r="FY1" s="60">
        <v>431</v>
      </c>
      <c r="FZ1" s="60">
        <v>437</v>
      </c>
      <c r="GA1" s="60">
        <v>441</v>
      </c>
      <c r="GB1" s="60">
        <v>442</v>
      </c>
      <c r="GC1" s="60">
        <v>443</v>
      </c>
      <c r="GD1" s="60">
        <v>445</v>
      </c>
      <c r="GE1" s="60">
        <v>452</v>
      </c>
      <c r="GF1" s="60">
        <v>453</v>
      </c>
      <c r="GG1" s="60">
        <v>456</v>
      </c>
      <c r="GH1" s="60">
        <v>457</v>
      </c>
      <c r="GI1" s="60">
        <v>458</v>
      </c>
      <c r="GJ1" s="60">
        <v>461</v>
      </c>
      <c r="GK1" s="60">
        <v>464</v>
      </c>
      <c r="GL1" s="60">
        <v>465</v>
      </c>
      <c r="GM1" s="60">
        <v>466</v>
      </c>
      <c r="GN1" s="60">
        <v>468</v>
      </c>
      <c r="GO1" s="60">
        <v>469</v>
      </c>
      <c r="GP1" s="60">
        <v>470</v>
      </c>
      <c r="GQ1" s="60">
        <v>476</v>
      </c>
      <c r="GR1" s="60">
        <v>478</v>
      </c>
      <c r="GS1" s="60">
        <v>479</v>
      </c>
      <c r="GT1" s="60">
        <v>480</v>
      </c>
      <c r="GU1" s="60">
        <v>497</v>
      </c>
      <c r="GV1" s="60">
        <v>498</v>
      </c>
      <c r="GW1" s="60">
        <v>502</v>
      </c>
      <c r="GX1" s="60">
        <v>505</v>
      </c>
      <c r="GY1" s="60">
        <v>512</v>
      </c>
      <c r="GZ1" s="60">
        <v>515</v>
      </c>
      <c r="HA1" s="60">
        <v>516</v>
      </c>
      <c r="HB1" s="60">
        <v>519</v>
      </c>
      <c r="HC1" s="60">
        <v>523</v>
      </c>
      <c r="HD1" s="60">
        <v>524</v>
      </c>
      <c r="HE1" s="60">
        <v>525</v>
      </c>
      <c r="HF1" s="60">
        <v>528</v>
      </c>
      <c r="HG1" s="60">
        <v>530</v>
      </c>
      <c r="HH1" s="60">
        <v>531</v>
      </c>
      <c r="HI1" s="60">
        <v>532</v>
      </c>
      <c r="HJ1" s="60">
        <v>536</v>
      </c>
      <c r="HK1" s="60">
        <v>537</v>
      </c>
      <c r="HL1" s="60">
        <v>541</v>
      </c>
      <c r="HM1" s="60">
        <v>542</v>
      </c>
      <c r="HN1" s="60">
        <v>543</v>
      </c>
      <c r="HO1" s="60">
        <v>546</v>
      </c>
      <c r="HP1" s="60">
        <v>549</v>
      </c>
      <c r="HQ1" s="60">
        <v>552</v>
      </c>
      <c r="HR1" s="60">
        <v>555</v>
      </c>
      <c r="HS1" s="60">
        <v>558</v>
      </c>
      <c r="HT1" s="60">
        <v>561</v>
      </c>
      <c r="HU1" s="60">
        <v>567</v>
      </c>
      <c r="HV1" s="60">
        <v>569</v>
      </c>
      <c r="HW1" s="60">
        <v>570</v>
      </c>
      <c r="HX1" s="60">
        <v>578</v>
      </c>
      <c r="HY1" s="60">
        <v>580</v>
      </c>
      <c r="HZ1" s="60">
        <v>581</v>
      </c>
      <c r="IA1" s="60">
        <v>582</v>
      </c>
      <c r="IB1" s="60">
        <v>586</v>
      </c>
      <c r="IC1" s="60">
        <v>592</v>
      </c>
      <c r="ID1" s="60">
        <v>596</v>
      </c>
      <c r="IE1" s="60">
        <v>612</v>
      </c>
      <c r="IF1" s="60">
        <v>615</v>
      </c>
      <c r="IG1" s="60">
        <v>616</v>
      </c>
      <c r="IH1" s="60">
        <v>617</v>
      </c>
      <c r="II1" s="60">
        <v>618</v>
      </c>
      <c r="IJ1" s="60">
        <v>623</v>
      </c>
      <c r="IK1" s="60">
        <v>627</v>
      </c>
      <c r="IL1" s="60">
        <v>631</v>
      </c>
      <c r="IM1" s="60">
        <v>633</v>
      </c>
      <c r="IN1" s="60">
        <v>634</v>
      </c>
      <c r="IO1" s="60">
        <v>636</v>
      </c>
      <c r="IP1" s="60">
        <v>642</v>
      </c>
      <c r="IQ1" s="60">
        <v>645</v>
      </c>
      <c r="IR1" s="60">
        <v>648</v>
      </c>
      <c r="IS1" s="60">
        <v>649</v>
      </c>
      <c r="IT1" s="60">
        <v>651</v>
      </c>
      <c r="IU1" s="60">
        <v>655</v>
      </c>
      <c r="IV1" s="60">
        <v>656</v>
      </c>
      <c r="IW1" s="60">
        <v>658</v>
      </c>
      <c r="IX1" s="60">
        <v>660</v>
      </c>
      <c r="IY1" s="60">
        <v>664</v>
      </c>
      <c r="IZ1" s="60">
        <v>666</v>
      </c>
      <c r="JA1" s="60">
        <v>671</v>
      </c>
      <c r="JB1" s="60">
        <v>672</v>
      </c>
      <c r="JC1" s="60">
        <v>673</v>
      </c>
      <c r="JD1" s="60">
        <v>676</v>
      </c>
      <c r="JE1" s="60">
        <v>680</v>
      </c>
      <c r="JF1" s="60">
        <v>684</v>
      </c>
      <c r="JG1" s="60">
        <v>685</v>
      </c>
      <c r="JH1" s="60">
        <v>688</v>
      </c>
      <c r="JI1" s="60">
        <v>689</v>
      </c>
      <c r="JJ1" s="60">
        <v>693</v>
      </c>
      <c r="JK1" s="60">
        <v>694</v>
      </c>
      <c r="JL1" s="60">
        <v>696</v>
      </c>
      <c r="JM1" s="60">
        <v>697</v>
      </c>
      <c r="JN1" s="60">
        <v>699</v>
      </c>
      <c r="JO1" s="60">
        <v>707</v>
      </c>
      <c r="JP1" s="60">
        <v>711</v>
      </c>
      <c r="JQ1" s="60">
        <v>712</v>
      </c>
      <c r="JR1" s="60">
        <v>715</v>
      </c>
      <c r="JS1" s="60">
        <v>718</v>
      </c>
      <c r="JT1" s="60">
        <v>719</v>
      </c>
      <c r="JU1" s="60">
        <v>723</v>
      </c>
      <c r="JV1" s="60">
        <v>727</v>
      </c>
      <c r="JW1" s="60">
        <v>728</v>
      </c>
      <c r="JX1" s="60">
        <v>732</v>
      </c>
      <c r="JY1" s="60">
        <v>742</v>
      </c>
      <c r="JZ1" s="60">
        <v>749</v>
      </c>
      <c r="KA1" s="60">
        <v>750</v>
      </c>
      <c r="KB1" s="60">
        <v>751</v>
      </c>
      <c r="KC1" s="60">
        <v>753</v>
      </c>
      <c r="KD1" s="60">
        <v>755</v>
      </c>
      <c r="KE1" s="60">
        <v>757</v>
      </c>
      <c r="KF1" s="60">
        <v>760</v>
      </c>
      <c r="KG1" s="60">
        <v>762</v>
      </c>
      <c r="KH1" s="60">
        <v>764</v>
      </c>
      <c r="KI1" s="60">
        <v>766</v>
      </c>
      <c r="KJ1" s="60">
        <v>768</v>
      </c>
      <c r="KK1" s="60">
        <v>770</v>
      </c>
      <c r="KL1" s="60">
        <v>773</v>
      </c>
      <c r="KM1" s="60">
        <v>774</v>
      </c>
      <c r="KN1" s="60">
        <v>777</v>
      </c>
      <c r="KO1" s="60">
        <v>786</v>
      </c>
      <c r="KP1" s="60">
        <v>787</v>
      </c>
      <c r="KQ1" s="60">
        <v>788</v>
      </c>
      <c r="KR1" s="60">
        <v>789</v>
      </c>
      <c r="KS1" s="60">
        <v>790</v>
      </c>
      <c r="KT1" s="60">
        <v>792</v>
      </c>
      <c r="KU1" s="60">
        <v>793</v>
      </c>
      <c r="KV1" s="60">
        <v>794</v>
      </c>
      <c r="KW1" s="60">
        <v>796</v>
      </c>
      <c r="KX1" s="60">
        <v>798</v>
      </c>
      <c r="KY1" s="60">
        <v>800</v>
      </c>
      <c r="KZ1" s="60">
        <v>802</v>
      </c>
      <c r="LA1" s="60">
        <v>804</v>
      </c>
      <c r="LB1" s="60">
        <v>805</v>
      </c>
      <c r="LC1" s="60">
        <v>807</v>
      </c>
      <c r="LD1" s="60">
        <v>811</v>
      </c>
      <c r="LE1" s="60">
        <v>813</v>
      </c>
      <c r="LF1" s="60">
        <v>814</v>
      </c>
      <c r="LG1" s="60">
        <v>820</v>
      </c>
      <c r="LH1" s="60">
        <v>821</v>
      </c>
      <c r="LI1" s="60">
        <v>822</v>
      </c>
      <c r="LJ1" s="60">
        <v>832</v>
      </c>
      <c r="LK1" s="60">
        <v>834</v>
      </c>
      <c r="LL1" s="60">
        <v>836</v>
      </c>
      <c r="LM1" s="60">
        <v>839</v>
      </c>
      <c r="LN1" s="60">
        <v>840</v>
      </c>
      <c r="LO1" s="60">
        <v>841</v>
      </c>
      <c r="LP1" s="60">
        <v>842</v>
      </c>
      <c r="LQ1" s="60">
        <v>843</v>
      </c>
      <c r="LR1" s="60">
        <v>844</v>
      </c>
      <c r="LS1" s="60">
        <v>847</v>
      </c>
      <c r="LT1" s="60">
        <v>850</v>
      </c>
      <c r="LU1" s="60">
        <v>853</v>
      </c>
      <c r="LV1" s="60">
        <v>854</v>
      </c>
      <c r="LW1" s="60">
        <v>857</v>
      </c>
      <c r="LX1" s="60">
        <v>860</v>
      </c>
      <c r="LY1" s="60">
        <v>865</v>
      </c>
      <c r="LZ1" s="60">
        <v>866</v>
      </c>
      <c r="MA1" s="60">
        <v>869</v>
      </c>
      <c r="MB1" s="60">
        <v>870</v>
      </c>
      <c r="MC1" s="60">
        <v>872</v>
      </c>
      <c r="MD1" s="60">
        <v>877</v>
      </c>
      <c r="ME1" s="60">
        <v>881</v>
      </c>
      <c r="MF1" s="60">
        <v>882</v>
      </c>
      <c r="MG1" s="60">
        <v>887</v>
      </c>
      <c r="MH1" s="60">
        <v>892</v>
      </c>
      <c r="MI1" s="60">
        <v>893</v>
      </c>
      <c r="MJ1" s="60">
        <v>897</v>
      </c>
      <c r="MK1" s="60">
        <v>898</v>
      </c>
      <c r="ML1" s="60">
        <v>902</v>
      </c>
      <c r="MM1" s="60">
        <v>906</v>
      </c>
      <c r="MN1" s="60">
        <v>907</v>
      </c>
      <c r="MO1" s="60">
        <v>908</v>
      </c>
      <c r="MP1" s="60">
        <v>909</v>
      </c>
      <c r="MQ1" s="60">
        <v>910</v>
      </c>
      <c r="MR1" s="60">
        <v>911</v>
      </c>
      <c r="MS1" s="60">
        <v>914</v>
      </c>
      <c r="MT1" s="60">
        <v>919</v>
      </c>
      <c r="MU1" s="60">
        <v>921</v>
      </c>
      <c r="MV1" s="60">
        <v>925</v>
      </c>
      <c r="MW1" s="60">
        <v>926</v>
      </c>
      <c r="MX1" s="60">
        <v>927</v>
      </c>
      <c r="MY1" s="60">
        <v>930</v>
      </c>
      <c r="MZ1" s="60">
        <v>931</v>
      </c>
      <c r="NA1" s="60">
        <v>932</v>
      </c>
      <c r="NB1" s="60">
        <v>940</v>
      </c>
      <c r="NC1" s="60">
        <v>941</v>
      </c>
      <c r="ND1" s="60">
        <v>942</v>
      </c>
      <c r="NE1" s="60">
        <v>945</v>
      </c>
      <c r="NF1" s="60">
        <v>946</v>
      </c>
      <c r="NG1" s="60">
        <v>948</v>
      </c>
      <c r="NH1" s="60">
        <v>949</v>
      </c>
      <c r="NI1" s="60">
        <v>951</v>
      </c>
      <c r="NJ1" s="60">
        <v>952</v>
      </c>
      <c r="NK1" s="60">
        <v>954</v>
      </c>
      <c r="NL1" s="60">
        <v>955</v>
      </c>
      <c r="NM1" s="60">
        <v>956</v>
      </c>
      <c r="NN1" s="60">
        <v>957</v>
      </c>
      <c r="NO1" s="60">
        <v>959</v>
      </c>
      <c r="NP1" s="60">
        <v>961</v>
      </c>
      <c r="NQ1" s="60">
        <v>962</v>
      </c>
      <c r="NR1" s="60">
        <v>966</v>
      </c>
      <c r="NS1" s="60">
        <v>970</v>
      </c>
      <c r="NT1" s="60">
        <v>971</v>
      </c>
      <c r="NU1" s="60">
        <v>974</v>
      </c>
      <c r="NV1" s="60">
        <v>977</v>
      </c>
      <c r="NW1" s="60">
        <v>982</v>
      </c>
      <c r="NX1" s="60">
        <v>983</v>
      </c>
      <c r="NY1" s="60">
        <v>984</v>
      </c>
      <c r="NZ1" s="60">
        <v>985</v>
      </c>
      <c r="OA1" s="60">
        <v>986</v>
      </c>
      <c r="OB1" s="60">
        <v>987</v>
      </c>
      <c r="OC1" s="60">
        <v>991</v>
      </c>
      <c r="OD1" s="60">
        <v>993</v>
      </c>
      <c r="OE1" s="60">
        <v>998</v>
      </c>
      <c r="OF1" s="60">
        <v>1004</v>
      </c>
      <c r="OG1" s="60">
        <v>1008</v>
      </c>
      <c r="OH1" s="60">
        <v>1010</v>
      </c>
      <c r="OI1" s="60">
        <v>1012</v>
      </c>
      <c r="OJ1" s="60">
        <v>1014</v>
      </c>
      <c r="OK1" s="60">
        <v>1015</v>
      </c>
      <c r="OL1" s="60">
        <v>1018</v>
      </c>
      <c r="OM1" s="60">
        <v>1019</v>
      </c>
      <c r="ON1" s="60">
        <v>1022</v>
      </c>
      <c r="OO1" s="60">
        <v>1024</v>
      </c>
      <c r="OP1" s="60">
        <v>1027</v>
      </c>
      <c r="OQ1" s="60">
        <v>1030</v>
      </c>
      <c r="OR1" s="60">
        <v>1032</v>
      </c>
      <c r="OS1" s="60">
        <v>1035</v>
      </c>
      <c r="OT1" s="60">
        <v>1039</v>
      </c>
      <c r="OU1" s="60">
        <v>1044</v>
      </c>
      <c r="OV1" s="60">
        <v>1046</v>
      </c>
      <c r="OW1" s="60">
        <v>1047</v>
      </c>
      <c r="OX1" s="60">
        <v>1049</v>
      </c>
      <c r="OY1" s="60">
        <v>1052</v>
      </c>
      <c r="OZ1" s="60">
        <v>1054</v>
      </c>
      <c r="PA1" s="60">
        <v>1056</v>
      </c>
      <c r="PB1" s="60">
        <v>1063</v>
      </c>
      <c r="PC1" s="60">
        <v>1064</v>
      </c>
      <c r="PD1" s="60">
        <v>1065</v>
      </c>
      <c r="PE1" s="60">
        <v>1067</v>
      </c>
      <c r="PF1" s="60">
        <v>1074</v>
      </c>
      <c r="PG1" s="60">
        <v>1078</v>
      </c>
      <c r="PH1" s="60">
        <v>1082</v>
      </c>
      <c r="PI1" s="60">
        <v>1085</v>
      </c>
      <c r="PJ1" s="60">
        <v>1086</v>
      </c>
      <c r="PK1" s="60">
        <v>1087</v>
      </c>
      <c r="PL1" s="60">
        <v>1088</v>
      </c>
      <c r="PM1" s="60">
        <v>1091</v>
      </c>
      <c r="PN1" s="60">
        <v>1094</v>
      </c>
      <c r="PO1" s="60">
        <v>1097</v>
      </c>
      <c r="PP1" s="60">
        <v>1098</v>
      </c>
      <c r="PQ1" s="60">
        <v>1100</v>
      </c>
      <c r="PR1" s="60">
        <v>1101</v>
      </c>
      <c r="PS1" s="60">
        <v>1104</v>
      </c>
      <c r="PT1" s="60">
        <v>1106</v>
      </c>
      <c r="PU1" s="60">
        <v>1109</v>
      </c>
      <c r="PV1" s="60">
        <v>1115</v>
      </c>
      <c r="PW1" s="57"/>
      <c r="PX1" s="57"/>
      <c r="PY1" s="57"/>
      <c r="PZ1" s="57"/>
      <c r="QA1" s="57"/>
      <c r="QB1" s="57"/>
      <c r="QC1" s="57"/>
      <c r="QD1" s="57"/>
    </row>
    <row r="2" spans="1:446" x14ac:dyDescent="0.3">
      <c r="A2" s="31">
        <v>1</v>
      </c>
      <c r="B2" s="28">
        <v>9.2899999999999991</v>
      </c>
      <c r="C2" s="30">
        <v>55.24</v>
      </c>
      <c r="D2" s="28">
        <v>3.23</v>
      </c>
      <c r="E2" s="34">
        <f t="shared" ref="E2:E65" si="0">D2/50</f>
        <v>6.4600000000000005E-2</v>
      </c>
      <c r="F2" s="35">
        <f t="shared" ref="F2:F65" si="1">0.25*C2</f>
        <v>13.81</v>
      </c>
      <c r="G2" s="34">
        <f t="shared" ref="G2:G65" si="2">25*D2</f>
        <v>80.75</v>
      </c>
      <c r="H2" s="33">
        <f t="shared" ref="H2:H65" si="3">(25*K2-0.25*C2)/B2</f>
        <v>9.2777179763186233</v>
      </c>
      <c r="I2" s="29">
        <f t="shared" ref="I2:I65" ca="1" si="4">_xlfn.BINOM.INV(50,E2,RAND())</f>
        <v>4</v>
      </c>
      <c r="J2">
        <f ca="1">IF(AND(SUMPRODUCT($J$1:J2,$B$1:B2)&lt;500,SUM(B1,SUMPRODUCT($J$1:J2,$B$1:B2))&lt;500),1,0)</f>
        <v>0</v>
      </c>
      <c r="K2">
        <v>4</v>
      </c>
      <c r="L2">
        <v>0</v>
      </c>
      <c r="N2" s="65">
        <v>0</v>
      </c>
      <c r="O2" s="63">
        <f>COUNTIFS($W$53:$PV$53,"=0%")</f>
        <v>6</v>
      </c>
      <c r="Q2">
        <v>62</v>
      </c>
      <c r="R2" s="68">
        <f>Q2/$O$13</f>
        <v>0.14903846153846154</v>
      </c>
      <c r="S2" t="s">
        <v>164</v>
      </c>
      <c r="W2">
        <v>0</v>
      </c>
      <c r="X2">
        <v>1</v>
      </c>
      <c r="Y2">
        <v>0</v>
      </c>
      <c r="Z2">
        <v>0</v>
      </c>
      <c r="AA2">
        <v>0</v>
      </c>
      <c r="AB2">
        <v>0</v>
      </c>
      <c r="AC2">
        <v>0</v>
      </c>
      <c r="AD2">
        <v>1</v>
      </c>
      <c r="AE2">
        <v>0</v>
      </c>
      <c r="AF2">
        <v>0</v>
      </c>
      <c r="AG2">
        <v>1</v>
      </c>
      <c r="AH2">
        <v>0</v>
      </c>
      <c r="AI2">
        <v>1</v>
      </c>
      <c r="AJ2">
        <v>0</v>
      </c>
      <c r="AK2">
        <v>0</v>
      </c>
      <c r="AL2">
        <v>0</v>
      </c>
      <c r="AM2">
        <v>0</v>
      </c>
      <c r="AN2">
        <v>0</v>
      </c>
      <c r="AO2">
        <v>1</v>
      </c>
      <c r="AP2">
        <v>0</v>
      </c>
      <c r="AQ2">
        <v>0</v>
      </c>
      <c r="AR2">
        <v>0</v>
      </c>
      <c r="AS2">
        <v>1</v>
      </c>
      <c r="AT2">
        <v>0</v>
      </c>
      <c r="AU2">
        <v>0</v>
      </c>
      <c r="AV2">
        <v>1</v>
      </c>
      <c r="AW2">
        <v>0</v>
      </c>
      <c r="AX2">
        <v>0</v>
      </c>
      <c r="AY2">
        <v>1</v>
      </c>
      <c r="AZ2">
        <v>1</v>
      </c>
      <c r="BA2">
        <v>1</v>
      </c>
      <c r="BB2">
        <v>0</v>
      </c>
      <c r="BC2">
        <v>1</v>
      </c>
      <c r="BD2">
        <v>0</v>
      </c>
      <c r="BE2">
        <v>0</v>
      </c>
      <c r="BF2">
        <v>0</v>
      </c>
      <c r="BG2">
        <v>1</v>
      </c>
      <c r="BH2">
        <v>1</v>
      </c>
      <c r="BI2">
        <v>0</v>
      </c>
      <c r="BJ2">
        <v>0</v>
      </c>
      <c r="BK2">
        <v>0</v>
      </c>
      <c r="BL2">
        <v>0</v>
      </c>
      <c r="BM2">
        <v>1</v>
      </c>
      <c r="BN2">
        <v>0</v>
      </c>
      <c r="BO2">
        <v>1</v>
      </c>
      <c r="BP2">
        <v>0</v>
      </c>
      <c r="BQ2">
        <v>0</v>
      </c>
      <c r="BR2">
        <v>0</v>
      </c>
      <c r="BS2">
        <v>0</v>
      </c>
      <c r="BT2">
        <v>0</v>
      </c>
      <c r="BU2">
        <v>1</v>
      </c>
      <c r="BV2">
        <v>1</v>
      </c>
      <c r="BW2">
        <v>0</v>
      </c>
      <c r="BX2">
        <v>0</v>
      </c>
      <c r="BY2">
        <v>0</v>
      </c>
      <c r="BZ2">
        <v>1</v>
      </c>
      <c r="CA2">
        <v>1</v>
      </c>
      <c r="CB2">
        <v>1</v>
      </c>
      <c r="CC2">
        <v>0</v>
      </c>
      <c r="CD2">
        <v>0</v>
      </c>
      <c r="CE2">
        <v>1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1</v>
      </c>
      <c r="CM2">
        <v>1</v>
      </c>
      <c r="CN2">
        <v>1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1</v>
      </c>
      <c r="CW2">
        <v>0</v>
      </c>
      <c r="CX2">
        <v>0</v>
      </c>
      <c r="CY2">
        <v>0</v>
      </c>
      <c r="CZ2">
        <v>0</v>
      </c>
      <c r="DA2">
        <v>1</v>
      </c>
      <c r="DB2">
        <v>0</v>
      </c>
      <c r="DC2">
        <v>0</v>
      </c>
      <c r="DD2">
        <v>0</v>
      </c>
      <c r="DE2">
        <v>1</v>
      </c>
      <c r="DF2">
        <v>0</v>
      </c>
      <c r="DG2">
        <v>0</v>
      </c>
      <c r="DH2">
        <v>0</v>
      </c>
      <c r="DI2">
        <v>0</v>
      </c>
      <c r="DJ2">
        <v>0</v>
      </c>
      <c r="DK2">
        <v>1</v>
      </c>
      <c r="DL2">
        <v>1</v>
      </c>
      <c r="DM2">
        <v>0</v>
      </c>
      <c r="DN2">
        <v>1</v>
      </c>
      <c r="DO2">
        <v>0</v>
      </c>
      <c r="DP2">
        <v>1</v>
      </c>
      <c r="DQ2">
        <v>0</v>
      </c>
      <c r="DR2">
        <v>1</v>
      </c>
      <c r="DS2">
        <v>1</v>
      </c>
      <c r="DT2">
        <v>1</v>
      </c>
      <c r="DU2">
        <v>0</v>
      </c>
      <c r="DV2">
        <v>0</v>
      </c>
      <c r="DW2">
        <v>1</v>
      </c>
      <c r="DX2">
        <v>0</v>
      </c>
      <c r="DY2">
        <v>0</v>
      </c>
      <c r="DZ2">
        <v>1</v>
      </c>
      <c r="EA2">
        <v>1</v>
      </c>
      <c r="EB2">
        <v>1</v>
      </c>
      <c r="EC2">
        <v>1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1</v>
      </c>
      <c r="EL2">
        <v>1</v>
      </c>
      <c r="EM2">
        <v>1</v>
      </c>
      <c r="EN2">
        <v>1</v>
      </c>
      <c r="EO2">
        <v>0</v>
      </c>
      <c r="EP2">
        <v>1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1</v>
      </c>
      <c r="EZ2">
        <v>0</v>
      </c>
      <c r="FA2">
        <v>1</v>
      </c>
      <c r="FB2">
        <v>0</v>
      </c>
      <c r="FC2">
        <v>1</v>
      </c>
      <c r="FD2">
        <v>0</v>
      </c>
      <c r="FE2">
        <v>0</v>
      </c>
      <c r="FF2">
        <v>1</v>
      </c>
      <c r="FG2">
        <v>0</v>
      </c>
      <c r="FH2">
        <v>0</v>
      </c>
      <c r="FI2">
        <v>1</v>
      </c>
      <c r="FJ2">
        <v>1</v>
      </c>
      <c r="FK2">
        <v>0</v>
      </c>
      <c r="FL2">
        <v>1</v>
      </c>
      <c r="FM2">
        <v>1</v>
      </c>
      <c r="FN2">
        <v>0</v>
      </c>
      <c r="FO2">
        <v>1</v>
      </c>
      <c r="FP2">
        <v>0</v>
      </c>
      <c r="FQ2">
        <v>0</v>
      </c>
      <c r="FR2">
        <v>0</v>
      </c>
      <c r="FS2">
        <v>1</v>
      </c>
      <c r="FT2">
        <v>1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1</v>
      </c>
      <c r="GB2">
        <v>1</v>
      </c>
      <c r="GC2">
        <v>1</v>
      </c>
      <c r="GD2">
        <v>0</v>
      </c>
      <c r="GE2">
        <v>0</v>
      </c>
      <c r="GF2">
        <v>0</v>
      </c>
      <c r="GG2">
        <v>1</v>
      </c>
      <c r="GH2">
        <v>1</v>
      </c>
      <c r="GI2">
        <v>0</v>
      </c>
      <c r="GJ2">
        <v>0</v>
      </c>
      <c r="GK2">
        <v>1</v>
      </c>
      <c r="GL2">
        <v>0</v>
      </c>
      <c r="GM2">
        <v>0</v>
      </c>
      <c r="GN2">
        <v>0</v>
      </c>
      <c r="GO2">
        <v>1</v>
      </c>
      <c r="GP2">
        <v>1</v>
      </c>
      <c r="GQ2">
        <v>1</v>
      </c>
      <c r="GR2">
        <v>1</v>
      </c>
      <c r="GS2">
        <v>1</v>
      </c>
      <c r="GT2">
        <v>1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1</v>
      </c>
      <c r="HC2">
        <v>0</v>
      </c>
      <c r="HD2">
        <v>1</v>
      </c>
      <c r="HE2">
        <v>1</v>
      </c>
      <c r="HF2">
        <v>0</v>
      </c>
      <c r="HG2">
        <v>0</v>
      </c>
      <c r="HH2">
        <v>0</v>
      </c>
      <c r="HI2">
        <v>0</v>
      </c>
      <c r="HJ2">
        <v>1</v>
      </c>
      <c r="HK2">
        <v>0</v>
      </c>
      <c r="HL2">
        <v>0</v>
      </c>
      <c r="HM2">
        <v>1</v>
      </c>
      <c r="HN2">
        <v>0</v>
      </c>
      <c r="HO2">
        <v>1</v>
      </c>
      <c r="HP2">
        <v>0</v>
      </c>
      <c r="HQ2">
        <v>0</v>
      </c>
      <c r="HR2">
        <v>1</v>
      </c>
      <c r="HS2">
        <v>0</v>
      </c>
      <c r="HT2">
        <v>0</v>
      </c>
      <c r="HU2">
        <v>1</v>
      </c>
      <c r="HV2">
        <v>1</v>
      </c>
      <c r="HW2">
        <v>1</v>
      </c>
      <c r="HX2">
        <v>0</v>
      </c>
      <c r="HY2">
        <v>1</v>
      </c>
      <c r="HZ2">
        <v>0</v>
      </c>
      <c r="IA2">
        <v>0</v>
      </c>
      <c r="IB2">
        <v>1</v>
      </c>
      <c r="IC2">
        <v>0</v>
      </c>
      <c r="ID2">
        <v>0</v>
      </c>
      <c r="IE2">
        <v>0</v>
      </c>
      <c r="IF2">
        <v>1</v>
      </c>
      <c r="IG2">
        <v>0</v>
      </c>
      <c r="IH2">
        <v>0</v>
      </c>
      <c r="II2">
        <v>0</v>
      </c>
      <c r="IJ2">
        <v>1</v>
      </c>
      <c r="IK2">
        <v>0</v>
      </c>
      <c r="IL2">
        <v>0</v>
      </c>
      <c r="IM2">
        <v>1</v>
      </c>
      <c r="IN2">
        <v>1</v>
      </c>
      <c r="IO2">
        <v>0</v>
      </c>
      <c r="IP2">
        <v>1</v>
      </c>
      <c r="IQ2">
        <v>0</v>
      </c>
      <c r="IR2">
        <v>0</v>
      </c>
      <c r="IS2">
        <v>0</v>
      </c>
      <c r="IT2">
        <v>1</v>
      </c>
      <c r="IU2">
        <v>0</v>
      </c>
      <c r="IV2">
        <v>0</v>
      </c>
      <c r="IW2">
        <v>0</v>
      </c>
      <c r="IX2">
        <v>1</v>
      </c>
      <c r="IY2">
        <v>0</v>
      </c>
      <c r="IZ2">
        <v>1</v>
      </c>
      <c r="JA2">
        <v>0</v>
      </c>
      <c r="JB2">
        <v>1</v>
      </c>
      <c r="JC2">
        <v>1</v>
      </c>
      <c r="JD2">
        <v>1</v>
      </c>
      <c r="JE2">
        <v>0</v>
      </c>
      <c r="JF2">
        <v>0</v>
      </c>
      <c r="JG2">
        <v>0</v>
      </c>
      <c r="JH2">
        <v>1</v>
      </c>
      <c r="JI2">
        <v>0</v>
      </c>
      <c r="JJ2">
        <v>1</v>
      </c>
      <c r="JK2">
        <v>1</v>
      </c>
      <c r="JL2">
        <v>0</v>
      </c>
      <c r="JM2">
        <v>0</v>
      </c>
      <c r="JN2">
        <v>1</v>
      </c>
      <c r="JO2">
        <v>0</v>
      </c>
      <c r="JP2">
        <v>1</v>
      </c>
      <c r="JQ2">
        <v>0</v>
      </c>
      <c r="JR2">
        <v>0</v>
      </c>
      <c r="JS2">
        <v>0</v>
      </c>
      <c r="JT2">
        <v>0</v>
      </c>
      <c r="JU2">
        <v>1</v>
      </c>
      <c r="JV2">
        <v>1</v>
      </c>
      <c r="JW2">
        <v>1</v>
      </c>
      <c r="JX2">
        <v>1</v>
      </c>
      <c r="JY2">
        <v>0</v>
      </c>
      <c r="JZ2">
        <v>1</v>
      </c>
      <c r="KA2">
        <v>0</v>
      </c>
      <c r="KB2">
        <v>1</v>
      </c>
      <c r="KC2">
        <v>1</v>
      </c>
      <c r="KD2">
        <v>0</v>
      </c>
      <c r="KE2">
        <v>0</v>
      </c>
      <c r="KF2">
        <v>0</v>
      </c>
      <c r="KG2">
        <v>0</v>
      </c>
      <c r="KH2">
        <v>1</v>
      </c>
      <c r="KI2">
        <v>0</v>
      </c>
      <c r="KJ2">
        <v>0</v>
      </c>
      <c r="KK2">
        <v>1</v>
      </c>
      <c r="KL2">
        <v>1</v>
      </c>
      <c r="KM2">
        <v>1</v>
      </c>
      <c r="KN2">
        <v>0</v>
      </c>
      <c r="KO2">
        <v>1</v>
      </c>
      <c r="KP2">
        <v>0</v>
      </c>
      <c r="KQ2">
        <v>1</v>
      </c>
      <c r="KR2">
        <v>0</v>
      </c>
      <c r="KS2">
        <v>0</v>
      </c>
      <c r="KT2">
        <v>1</v>
      </c>
      <c r="KU2">
        <v>1</v>
      </c>
      <c r="KV2">
        <v>0</v>
      </c>
      <c r="KW2">
        <v>0</v>
      </c>
      <c r="KX2">
        <v>1</v>
      </c>
      <c r="KY2">
        <v>0</v>
      </c>
      <c r="KZ2">
        <v>1</v>
      </c>
      <c r="LA2">
        <v>0</v>
      </c>
      <c r="LB2">
        <v>0</v>
      </c>
      <c r="LC2">
        <v>1</v>
      </c>
      <c r="LD2">
        <v>0</v>
      </c>
      <c r="LE2">
        <v>1</v>
      </c>
      <c r="LF2">
        <v>0</v>
      </c>
      <c r="LG2">
        <v>0</v>
      </c>
      <c r="LH2">
        <v>1</v>
      </c>
      <c r="LI2">
        <v>1</v>
      </c>
      <c r="LJ2">
        <v>1</v>
      </c>
      <c r="LK2">
        <v>0</v>
      </c>
      <c r="LL2">
        <v>1</v>
      </c>
      <c r="LM2">
        <v>0</v>
      </c>
      <c r="LN2">
        <v>1</v>
      </c>
      <c r="LO2">
        <v>0</v>
      </c>
      <c r="LP2">
        <v>0</v>
      </c>
      <c r="LQ2">
        <v>1</v>
      </c>
      <c r="LR2">
        <v>0</v>
      </c>
      <c r="LS2">
        <v>1</v>
      </c>
      <c r="LT2">
        <v>0</v>
      </c>
      <c r="LU2">
        <v>1</v>
      </c>
      <c r="LV2">
        <v>0</v>
      </c>
      <c r="LW2">
        <v>1</v>
      </c>
      <c r="LX2">
        <v>1</v>
      </c>
      <c r="LY2">
        <v>0</v>
      </c>
      <c r="LZ2">
        <v>0</v>
      </c>
      <c r="MA2">
        <v>0</v>
      </c>
      <c r="MB2">
        <v>1</v>
      </c>
      <c r="MC2">
        <v>1</v>
      </c>
      <c r="MD2">
        <v>1</v>
      </c>
      <c r="ME2">
        <v>0</v>
      </c>
      <c r="MF2">
        <v>0</v>
      </c>
      <c r="MG2">
        <v>1</v>
      </c>
      <c r="MH2">
        <v>0</v>
      </c>
      <c r="MI2">
        <v>1</v>
      </c>
      <c r="MJ2">
        <v>0</v>
      </c>
      <c r="MK2">
        <v>0</v>
      </c>
      <c r="ML2">
        <v>0</v>
      </c>
      <c r="MM2">
        <v>1</v>
      </c>
      <c r="MN2">
        <v>0</v>
      </c>
      <c r="MO2">
        <v>1</v>
      </c>
      <c r="MP2">
        <v>0</v>
      </c>
      <c r="MQ2">
        <v>1</v>
      </c>
      <c r="MR2">
        <v>0</v>
      </c>
      <c r="MS2">
        <v>1</v>
      </c>
      <c r="MT2">
        <v>1</v>
      </c>
      <c r="MU2">
        <v>1</v>
      </c>
      <c r="MV2">
        <v>0</v>
      </c>
      <c r="MW2">
        <v>1</v>
      </c>
      <c r="MX2">
        <v>0</v>
      </c>
      <c r="MY2">
        <v>0</v>
      </c>
      <c r="MZ2">
        <v>0</v>
      </c>
      <c r="NA2">
        <v>0</v>
      </c>
      <c r="NB2">
        <v>1</v>
      </c>
      <c r="NC2">
        <v>0</v>
      </c>
      <c r="ND2">
        <v>1</v>
      </c>
      <c r="NE2">
        <v>0</v>
      </c>
      <c r="NF2">
        <v>1</v>
      </c>
      <c r="NG2">
        <v>0</v>
      </c>
      <c r="NH2">
        <v>0</v>
      </c>
      <c r="NI2">
        <v>1</v>
      </c>
      <c r="NJ2">
        <v>0</v>
      </c>
      <c r="NK2">
        <v>1</v>
      </c>
      <c r="NL2">
        <v>0</v>
      </c>
      <c r="NM2">
        <v>1</v>
      </c>
      <c r="NN2">
        <v>0</v>
      </c>
      <c r="NO2">
        <v>1</v>
      </c>
      <c r="NP2">
        <v>1</v>
      </c>
      <c r="NQ2">
        <v>0</v>
      </c>
      <c r="NR2">
        <v>0</v>
      </c>
      <c r="NS2">
        <v>0</v>
      </c>
      <c r="NT2">
        <v>0</v>
      </c>
      <c r="NU2">
        <v>0</v>
      </c>
      <c r="NV2">
        <v>0</v>
      </c>
      <c r="NW2">
        <v>0</v>
      </c>
      <c r="NX2">
        <v>1</v>
      </c>
      <c r="NY2">
        <v>0</v>
      </c>
      <c r="NZ2">
        <v>0</v>
      </c>
      <c r="OA2">
        <v>0</v>
      </c>
      <c r="OB2">
        <v>0</v>
      </c>
      <c r="OC2">
        <v>0</v>
      </c>
      <c r="OD2">
        <v>0</v>
      </c>
      <c r="OE2">
        <v>0</v>
      </c>
      <c r="OF2">
        <v>0</v>
      </c>
      <c r="OG2">
        <v>1</v>
      </c>
      <c r="OH2">
        <v>1</v>
      </c>
      <c r="OI2">
        <v>0</v>
      </c>
      <c r="OJ2">
        <v>1</v>
      </c>
      <c r="OK2">
        <v>1</v>
      </c>
      <c r="OL2">
        <v>0</v>
      </c>
      <c r="OM2">
        <v>1</v>
      </c>
      <c r="ON2">
        <v>0</v>
      </c>
      <c r="OO2">
        <v>0</v>
      </c>
      <c r="OP2">
        <v>0</v>
      </c>
      <c r="OQ2">
        <v>0</v>
      </c>
      <c r="OR2">
        <v>1</v>
      </c>
      <c r="OS2">
        <v>1</v>
      </c>
      <c r="OT2">
        <v>0</v>
      </c>
      <c r="OU2">
        <v>0</v>
      </c>
      <c r="OV2">
        <v>0</v>
      </c>
      <c r="OW2">
        <v>1</v>
      </c>
      <c r="OX2">
        <v>0</v>
      </c>
      <c r="OY2">
        <v>0</v>
      </c>
      <c r="OZ2">
        <v>0</v>
      </c>
      <c r="PA2">
        <v>0</v>
      </c>
      <c r="PB2">
        <v>0</v>
      </c>
      <c r="PC2">
        <v>0</v>
      </c>
      <c r="PD2">
        <v>1</v>
      </c>
      <c r="PE2">
        <v>0</v>
      </c>
      <c r="PF2">
        <v>0</v>
      </c>
      <c r="PG2">
        <v>0</v>
      </c>
      <c r="PH2">
        <v>0</v>
      </c>
      <c r="PI2">
        <v>0</v>
      </c>
      <c r="PJ2">
        <v>1</v>
      </c>
      <c r="PK2">
        <v>1</v>
      </c>
      <c r="PL2">
        <v>0</v>
      </c>
      <c r="PM2">
        <v>0</v>
      </c>
      <c r="PN2">
        <v>0</v>
      </c>
      <c r="PO2">
        <v>0</v>
      </c>
      <c r="PP2">
        <v>0</v>
      </c>
      <c r="PQ2">
        <v>1</v>
      </c>
      <c r="PR2">
        <v>1</v>
      </c>
      <c r="PS2">
        <v>0</v>
      </c>
      <c r="PT2">
        <v>0</v>
      </c>
      <c r="PU2">
        <v>1</v>
      </c>
      <c r="PV2">
        <v>0</v>
      </c>
    </row>
    <row r="3" spans="1:446" x14ac:dyDescent="0.3">
      <c r="A3" s="31">
        <v>4</v>
      </c>
      <c r="B3" s="28">
        <v>7.42</v>
      </c>
      <c r="C3" s="30">
        <v>98.14</v>
      </c>
      <c r="D3" s="28">
        <v>2.97</v>
      </c>
      <c r="E3" s="34">
        <f t="shared" si="0"/>
        <v>5.9400000000000001E-2</v>
      </c>
      <c r="F3" s="35">
        <f t="shared" si="1"/>
        <v>24.535</v>
      </c>
      <c r="G3" s="34">
        <f t="shared" si="2"/>
        <v>74.25</v>
      </c>
      <c r="H3" s="33">
        <f t="shared" si="3"/>
        <v>13.539757412398922</v>
      </c>
      <c r="I3" s="29">
        <f t="shared" ca="1" si="4"/>
        <v>4</v>
      </c>
      <c r="J3">
        <f ca="1">IF(AND(SUMPRODUCT($J$2:J2,$B$2:B2)&lt;500,SUM(B2,SUMPRODUCT($J$2:J2,$B$2:B2))&lt;500),1,0)</f>
        <v>1</v>
      </c>
      <c r="K3">
        <v>5</v>
      </c>
      <c r="L3">
        <v>1</v>
      </c>
      <c r="N3" s="65" t="s">
        <v>150</v>
      </c>
      <c r="O3" s="63">
        <f>COUNTIFS($W$53:$PV$53,"&gt;=1%",$W$53:$PV$53,"&lt;=10%")</f>
        <v>54</v>
      </c>
      <c r="Q3">
        <v>60</v>
      </c>
      <c r="R3" s="68">
        <f t="shared" ref="R3:R11" si="5">Q3/$O$13</f>
        <v>0.14423076923076922</v>
      </c>
      <c r="S3" t="s">
        <v>164</v>
      </c>
      <c r="V3" s="58"/>
      <c r="W3">
        <v>0</v>
      </c>
      <c r="X3">
        <v>0</v>
      </c>
      <c r="Y3">
        <v>0</v>
      </c>
      <c r="Z3">
        <v>1</v>
      </c>
      <c r="AA3">
        <v>0</v>
      </c>
      <c r="AB3">
        <v>1</v>
      </c>
      <c r="AC3">
        <v>1</v>
      </c>
      <c r="AD3">
        <v>1</v>
      </c>
      <c r="AE3">
        <v>0</v>
      </c>
      <c r="AF3">
        <v>1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1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1</v>
      </c>
      <c r="BA3">
        <v>1</v>
      </c>
      <c r="BB3">
        <v>0</v>
      </c>
      <c r="BC3">
        <v>1</v>
      </c>
      <c r="BD3">
        <v>0</v>
      </c>
      <c r="BE3">
        <v>0</v>
      </c>
      <c r="BF3">
        <v>0</v>
      </c>
      <c r="BG3">
        <v>1</v>
      </c>
      <c r="BH3">
        <v>1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1</v>
      </c>
      <c r="BP3">
        <v>0</v>
      </c>
      <c r="BQ3">
        <v>0</v>
      </c>
      <c r="BR3">
        <v>0</v>
      </c>
      <c r="BS3">
        <v>1</v>
      </c>
      <c r="BT3">
        <v>0</v>
      </c>
      <c r="BU3">
        <v>1</v>
      </c>
      <c r="BV3">
        <v>1</v>
      </c>
      <c r="BW3">
        <v>0</v>
      </c>
      <c r="BX3">
        <v>0</v>
      </c>
      <c r="BY3">
        <v>0</v>
      </c>
      <c r="BZ3">
        <v>1</v>
      </c>
      <c r="CA3">
        <v>1</v>
      </c>
      <c r="CB3">
        <v>1</v>
      </c>
      <c r="CC3">
        <v>1</v>
      </c>
      <c r="CD3">
        <v>1</v>
      </c>
      <c r="CE3">
        <v>1</v>
      </c>
      <c r="CF3">
        <v>1</v>
      </c>
      <c r="CG3">
        <v>1</v>
      </c>
      <c r="CH3">
        <v>0</v>
      </c>
      <c r="CI3">
        <v>0</v>
      </c>
      <c r="CJ3">
        <v>0</v>
      </c>
      <c r="CK3">
        <v>0</v>
      </c>
      <c r="CL3">
        <v>1</v>
      </c>
      <c r="CM3">
        <v>1</v>
      </c>
      <c r="CN3">
        <v>1</v>
      </c>
      <c r="CO3">
        <v>1</v>
      </c>
      <c r="CP3">
        <v>0</v>
      </c>
      <c r="CQ3">
        <v>0</v>
      </c>
      <c r="CR3">
        <v>1</v>
      </c>
      <c r="CS3">
        <v>1</v>
      </c>
      <c r="CT3">
        <v>1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1</v>
      </c>
      <c r="DC3">
        <v>0</v>
      </c>
      <c r="DD3">
        <v>1</v>
      </c>
      <c r="DE3">
        <v>1</v>
      </c>
      <c r="DF3">
        <v>1</v>
      </c>
      <c r="DG3">
        <v>1</v>
      </c>
      <c r="DH3">
        <v>0</v>
      </c>
      <c r="DI3">
        <v>1</v>
      </c>
      <c r="DJ3">
        <v>0</v>
      </c>
      <c r="DK3">
        <v>1</v>
      </c>
      <c r="DL3">
        <v>0</v>
      </c>
      <c r="DM3">
        <v>1</v>
      </c>
      <c r="DN3">
        <v>1</v>
      </c>
      <c r="DO3">
        <v>0</v>
      </c>
      <c r="DP3">
        <v>1</v>
      </c>
      <c r="DQ3">
        <v>0</v>
      </c>
      <c r="DR3">
        <v>0</v>
      </c>
      <c r="DS3">
        <v>0</v>
      </c>
      <c r="DT3">
        <v>0</v>
      </c>
      <c r="DU3">
        <v>1</v>
      </c>
      <c r="DV3">
        <v>0</v>
      </c>
      <c r="DW3">
        <v>0</v>
      </c>
      <c r="DX3">
        <v>0</v>
      </c>
      <c r="DY3">
        <v>1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1</v>
      </c>
      <c r="EK3">
        <v>1</v>
      </c>
      <c r="EL3">
        <v>0</v>
      </c>
      <c r="EM3">
        <v>1</v>
      </c>
      <c r="EN3">
        <v>0</v>
      </c>
      <c r="EO3">
        <v>0</v>
      </c>
      <c r="EP3">
        <v>1</v>
      </c>
      <c r="EQ3">
        <v>1</v>
      </c>
      <c r="ER3">
        <v>1</v>
      </c>
      <c r="ES3">
        <v>1</v>
      </c>
      <c r="ET3">
        <v>0</v>
      </c>
      <c r="EU3">
        <v>1</v>
      </c>
      <c r="EV3">
        <v>0</v>
      </c>
      <c r="EW3">
        <v>0</v>
      </c>
      <c r="EX3">
        <v>1</v>
      </c>
      <c r="EY3">
        <v>1</v>
      </c>
      <c r="EZ3">
        <v>0</v>
      </c>
      <c r="FA3">
        <v>1</v>
      </c>
      <c r="FB3">
        <v>0</v>
      </c>
      <c r="FC3">
        <v>1</v>
      </c>
      <c r="FD3">
        <v>0</v>
      </c>
      <c r="FE3">
        <v>0</v>
      </c>
      <c r="FF3">
        <v>1</v>
      </c>
      <c r="FG3">
        <v>0</v>
      </c>
      <c r="FH3">
        <v>0</v>
      </c>
      <c r="FI3">
        <v>1</v>
      </c>
      <c r="FJ3">
        <v>1</v>
      </c>
      <c r="FK3">
        <v>0</v>
      </c>
      <c r="FL3">
        <v>1</v>
      </c>
      <c r="FM3">
        <v>1</v>
      </c>
      <c r="FN3">
        <v>1</v>
      </c>
      <c r="FO3">
        <v>0</v>
      </c>
      <c r="FP3">
        <v>0</v>
      </c>
      <c r="FQ3">
        <v>0</v>
      </c>
      <c r="FR3">
        <v>0</v>
      </c>
      <c r="FS3">
        <v>1</v>
      </c>
      <c r="FT3">
        <v>1</v>
      </c>
      <c r="FU3">
        <v>0</v>
      </c>
      <c r="FV3">
        <v>1</v>
      </c>
      <c r="FW3">
        <v>0</v>
      </c>
      <c r="FX3">
        <v>0</v>
      </c>
      <c r="FY3">
        <v>1</v>
      </c>
      <c r="FZ3">
        <v>1</v>
      </c>
      <c r="GA3">
        <v>1</v>
      </c>
      <c r="GB3">
        <v>1</v>
      </c>
      <c r="GC3">
        <v>0</v>
      </c>
      <c r="GD3">
        <v>1</v>
      </c>
      <c r="GE3">
        <v>0</v>
      </c>
      <c r="GF3">
        <v>0</v>
      </c>
      <c r="GG3">
        <v>0</v>
      </c>
      <c r="GH3">
        <v>1</v>
      </c>
      <c r="GI3">
        <v>0</v>
      </c>
      <c r="GJ3">
        <v>0</v>
      </c>
      <c r="GK3">
        <v>1</v>
      </c>
      <c r="GL3">
        <v>0</v>
      </c>
      <c r="GM3">
        <v>1</v>
      </c>
      <c r="GN3">
        <v>0</v>
      </c>
      <c r="GO3">
        <v>0</v>
      </c>
      <c r="GP3">
        <v>1</v>
      </c>
      <c r="GQ3">
        <v>0</v>
      </c>
      <c r="GR3">
        <v>0</v>
      </c>
      <c r="GS3">
        <v>1</v>
      </c>
      <c r="GT3">
        <v>1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1</v>
      </c>
      <c r="HC3">
        <v>0</v>
      </c>
      <c r="HD3">
        <v>1</v>
      </c>
      <c r="HE3">
        <v>0</v>
      </c>
      <c r="HF3">
        <v>1</v>
      </c>
      <c r="HG3">
        <v>0</v>
      </c>
      <c r="HH3">
        <v>0</v>
      </c>
      <c r="HI3">
        <v>0</v>
      </c>
      <c r="HJ3">
        <v>1</v>
      </c>
      <c r="HK3">
        <v>0</v>
      </c>
      <c r="HL3">
        <v>1</v>
      </c>
      <c r="HM3">
        <v>1</v>
      </c>
      <c r="HN3">
        <v>0</v>
      </c>
      <c r="HO3">
        <v>1</v>
      </c>
      <c r="HP3">
        <v>0</v>
      </c>
      <c r="HQ3">
        <v>1</v>
      </c>
      <c r="HR3">
        <v>0</v>
      </c>
      <c r="HS3">
        <v>0</v>
      </c>
      <c r="HT3">
        <v>0</v>
      </c>
      <c r="HU3">
        <v>0</v>
      </c>
      <c r="HV3">
        <v>1</v>
      </c>
      <c r="HW3">
        <v>1</v>
      </c>
      <c r="HX3">
        <v>0</v>
      </c>
      <c r="HY3">
        <v>1</v>
      </c>
      <c r="HZ3">
        <v>0</v>
      </c>
      <c r="IA3">
        <v>1</v>
      </c>
      <c r="IB3">
        <v>1</v>
      </c>
      <c r="IC3">
        <v>0</v>
      </c>
      <c r="ID3">
        <v>0</v>
      </c>
      <c r="IE3">
        <v>0</v>
      </c>
      <c r="IF3">
        <v>1</v>
      </c>
      <c r="IG3">
        <v>0</v>
      </c>
      <c r="IH3">
        <v>0</v>
      </c>
      <c r="II3">
        <v>0</v>
      </c>
      <c r="IJ3">
        <v>1</v>
      </c>
      <c r="IK3">
        <v>1</v>
      </c>
      <c r="IL3">
        <v>1</v>
      </c>
      <c r="IM3">
        <v>0</v>
      </c>
      <c r="IN3">
        <v>1</v>
      </c>
      <c r="IO3">
        <v>0</v>
      </c>
      <c r="IP3">
        <v>1</v>
      </c>
      <c r="IQ3">
        <v>0</v>
      </c>
      <c r="IR3">
        <v>0</v>
      </c>
      <c r="IS3">
        <v>1</v>
      </c>
      <c r="IT3">
        <v>0</v>
      </c>
      <c r="IU3">
        <v>1</v>
      </c>
      <c r="IV3">
        <v>0</v>
      </c>
      <c r="IW3">
        <v>1</v>
      </c>
      <c r="IX3">
        <v>0</v>
      </c>
      <c r="IY3">
        <v>0</v>
      </c>
      <c r="IZ3">
        <v>1</v>
      </c>
      <c r="JA3">
        <v>1</v>
      </c>
      <c r="JB3">
        <v>1</v>
      </c>
      <c r="JC3">
        <v>0</v>
      </c>
      <c r="JD3">
        <v>1</v>
      </c>
      <c r="JE3">
        <v>0</v>
      </c>
      <c r="JF3">
        <v>0</v>
      </c>
      <c r="JG3">
        <v>1</v>
      </c>
      <c r="JH3">
        <v>1</v>
      </c>
      <c r="JI3">
        <v>0</v>
      </c>
      <c r="JJ3">
        <v>0</v>
      </c>
      <c r="JK3">
        <v>0</v>
      </c>
      <c r="JL3">
        <v>0</v>
      </c>
      <c r="JM3">
        <v>0</v>
      </c>
      <c r="JN3">
        <v>1</v>
      </c>
      <c r="JO3">
        <v>1</v>
      </c>
      <c r="JP3">
        <v>1</v>
      </c>
      <c r="JQ3">
        <v>1</v>
      </c>
      <c r="JR3">
        <v>0</v>
      </c>
      <c r="JS3">
        <v>1</v>
      </c>
      <c r="JT3">
        <v>0</v>
      </c>
      <c r="JU3">
        <v>0</v>
      </c>
      <c r="JV3">
        <v>1</v>
      </c>
      <c r="JW3">
        <v>1</v>
      </c>
      <c r="JX3">
        <v>1</v>
      </c>
      <c r="JY3">
        <v>0</v>
      </c>
      <c r="JZ3">
        <v>1</v>
      </c>
      <c r="KA3">
        <v>0</v>
      </c>
      <c r="KB3">
        <v>0</v>
      </c>
      <c r="KC3">
        <v>0</v>
      </c>
      <c r="KD3">
        <v>0</v>
      </c>
      <c r="KE3">
        <v>0</v>
      </c>
      <c r="KF3">
        <v>0</v>
      </c>
      <c r="KG3">
        <v>0</v>
      </c>
      <c r="KH3">
        <v>0</v>
      </c>
      <c r="KI3">
        <v>0</v>
      </c>
      <c r="KJ3">
        <v>0</v>
      </c>
      <c r="KK3">
        <v>0</v>
      </c>
      <c r="KL3">
        <v>0</v>
      </c>
      <c r="KM3">
        <v>1</v>
      </c>
      <c r="KN3">
        <v>1</v>
      </c>
      <c r="KO3">
        <v>1</v>
      </c>
      <c r="KP3">
        <v>1</v>
      </c>
      <c r="KQ3">
        <v>0</v>
      </c>
      <c r="KR3">
        <v>1</v>
      </c>
      <c r="KS3">
        <v>1</v>
      </c>
      <c r="KT3">
        <v>1</v>
      </c>
      <c r="KU3">
        <v>0</v>
      </c>
      <c r="KV3">
        <v>0</v>
      </c>
      <c r="KW3">
        <v>0</v>
      </c>
      <c r="KX3">
        <v>0</v>
      </c>
      <c r="KY3">
        <v>1</v>
      </c>
      <c r="KZ3">
        <v>1</v>
      </c>
      <c r="LA3">
        <v>1</v>
      </c>
      <c r="LB3">
        <v>0</v>
      </c>
      <c r="LC3">
        <v>1</v>
      </c>
      <c r="LD3">
        <v>1</v>
      </c>
      <c r="LE3">
        <v>1</v>
      </c>
      <c r="LF3">
        <v>0</v>
      </c>
      <c r="LG3">
        <v>0</v>
      </c>
      <c r="LH3">
        <v>1</v>
      </c>
      <c r="LI3">
        <v>0</v>
      </c>
      <c r="LJ3">
        <v>0</v>
      </c>
      <c r="LK3">
        <v>0</v>
      </c>
      <c r="LL3">
        <v>1</v>
      </c>
      <c r="LM3">
        <v>0</v>
      </c>
      <c r="LN3">
        <v>1</v>
      </c>
      <c r="LO3">
        <v>0</v>
      </c>
      <c r="LP3">
        <v>0</v>
      </c>
      <c r="LQ3">
        <v>0</v>
      </c>
      <c r="LR3">
        <v>0</v>
      </c>
      <c r="LS3">
        <v>0</v>
      </c>
      <c r="LT3">
        <v>1</v>
      </c>
      <c r="LU3">
        <v>1</v>
      </c>
      <c r="LV3">
        <v>0</v>
      </c>
      <c r="LW3">
        <v>1</v>
      </c>
      <c r="LX3">
        <v>1</v>
      </c>
      <c r="LY3">
        <v>0</v>
      </c>
      <c r="LZ3">
        <v>0</v>
      </c>
      <c r="MA3">
        <v>0</v>
      </c>
      <c r="MB3">
        <v>1</v>
      </c>
      <c r="MC3">
        <v>0</v>
      </c>
      <c r="MD3">
        <v>0</v>
      </c>
      <c r="ME3">
        <v>0</v>
      </c>
      <c r="MF3">
        <v>0</v>
      </c>
      <c r="MG3">
        <v>1</v>
      </c>
      <c r="MH3">
        <v>0</v>
      </c>
      <c r="MI3">
        <v>0</v>
      </c>
      <c r="MJ3">
        <v>0</v>
      </c>
      <c r="MK3">
        <v>0</v>
      </c>
      <c r="ML3">
        <v>1</v>
      </c>
      <c r="MM3">
        <v>1</v>
      </c>
      <c r="MN3">
        <v>1</v>
      </c>
      <c r="MO3">
        <v>0</v>
      </c>
      <c r="MP3">
        <v>0</v>
      </c>
      <c r="MQ3">
        <v>0</v>
      </c>
      <c r="MR3">
        <v>0</v>
      </c>
      <c r="MS3">
        <v>0</v>
      </c>
      <c r="MT3">
        <v>0</v>
      </c>
      <c r="MU3">
        <v>1</v>
      </c>
      <c r="MV3">
        <v>0</v>
      </c>
      <c r="MW3">
        <v>1</v>
      </c>
      <c r="MX3">
        <v>0</v>
      </c>
      <c r="MY3">
        <v>1</v>
      </c>
      <c r="MZ3">
        <v>0</v>
      </c>
      <c r="NA3">
        <v>0</v>
      </c>
      <c r="NB3">
        <v>0</v>
      </c>
      <c r="NC3">
        <v>0</v>
      </c>
      <c r="ND3">
        <v>0</v>
      </c>
      <c r="NE3">
        <v>0</v>
      </c>
      <c r="NF3">
        <v>0</v>
      </c>
      <c r="NG3">
        <v>0</v>
      </c>
      <c r="NH3">
        <v>0</v>
      </c>
      <c r="NI3">
        <v>0</v>
      </c>
      <c r="NJ3">
        <v>0</v>
      </c>
      <c r="NK3">
        <v>1</v>
      </c>
      <c r="NL3">
        <v>0</v>
      </c>
      <c r="NM3">
        <v>0</v>
      </c>
      <c r="NN3">
        <v>1</v>
      </c>
      <c r="NO3">
        <v>0</v>
      </c>
      <c r="NP3">
        <v>1</v>
      </c>
      <c r="NQ3">
        <v>0</v>
      </c>
      <c r="NR3">
        <v>0</v>
      </c>
      <c r="NS3">
        <v>0</v>
      </c>
      <c r="NT3">
        <v>1</v>
      </c>
      <c r="NU3">
        <v>0</v>
      </c>
      <c r="NV3">
        <v>0</v>
      </c>
      <c r="NW3">
        <v>0</v>
      </c>
      <c r="NX3">
        <v>1</v>
      </c>
      <c r="NY3">
        <v>0</v>
      </c>
      <c r="NZ3">
        <v>1</v>
      </c>
      <c r="OA3">
        <v>0</v>
      </c>
      <c r="OB3">
        <v>0</v>
      </c>
      <c r="OC3">
        <v>0</v>
      </c>
      <c r="OD3">
        <v>0</v>
      </c>
      <c r="OE3">
        <v>0</v>
      </c>
      <c r="OF3">
        <v>0</v>
      </c>
      <c r="OG3">
        <v>0</v>
      </c>
      <c r="OH3">
        <v>1</v>
      </c>
      <c r="OI3">
        <v>1</v>
      </c>
      <c r="OJ3">
        <v>1</v>
      </c>
      <c r="OK3">
        <v>1</v>
      </c>
      <c r="OL3">
        <v>0</v>
      </c>
      <c r="OM3">
        <v>0</v>
      </c>
      <c r="ON3">
        <v>0</v>
      </c>
      <c r="OO3">
        <v>1</v>
      </c>
      <c r="OP3">
        <v>0</v>
      </c>
      <c r="OQ3">
        <v>0</v>
      </c>
      <c r="OR3">
        <v>1</v>
      </c>
      <c r="OS3">
        <v>1</v>
      </c>
      <c r="OT3">
        <v>0</v>
      </c>
      <c r="OU3">
        <v>0</v>
      </c>
      <c r="OV3">
        <v>1</v>
      </c>
      <c r="OW3">
        <v>0</v>
      </c>
      <c r="OX3">
        <v>0</v>
      </c>
      <c r="OY3">
        <v>0</v>
      </c>
      <c r="OZ3">
        <v>0</v>
      </c>
      <c r="PA3">
        <v>0</v>
      </c>
      <c r="PB3">
        <v>0</v>
      </c>
      <c r="PC3">
        <v>0</v>
      </c>
      <c r="PD3">
        <v>0</v>
      </c>
      <c r="PE3">
        <v>0</v>
      </c>
      <c r="PF3">
        <v>0</v>
      </c>
      <c r="PG3">
        <v>0</v>
      </c>
      <c r="PH3">
        <v>1</v>
      </c>
      <c r="PI3">
        <v>0</v>
      </c>
      <c r="PJ3">
        <v>1</v>
      </c>
      <c r="PK3">
        <v>1</v>
      </c>
      <c r="PL3">
        <v>0</v>
      </c>
      <c r="PM3">
        <v>0</v>
      </c>
      <c r="PN3">
        <v>0</v>
      </c>
      <c r="PO3">
        <v>0</v>
      </c>
      <c r="PP3">
        <v>0</v>
      </c>
      <c r="PQ3">
        <v>1</v>
      </c>
      <c r="PR3">
        <v>1</v>
      </c>
      <c r="PS3">
        <v>1</v>
      </c>
      <c r="PT3">
        <v>0</v>
      </c>
      <c r="PU3">
        <v>1</v>
      </c>
      <c r="PV3">
        <v>1</v>
      </c>
    </row>
    <row r="4" spans="1:446" x14ac:dyDescent="0.3">
      <c r="A4" s="31">
        <v>8</v>
      </c>
      <c r="B4" s="28">
        <v>4.7</v>
      </c>
      <c r="C4" s="30">
        <v>98.27</v>
      </c>
      <c r="D4" s="28">
        <v>2.91</v>
      </c>
      <c r="E4" s="34">
        <f t="shared" si="0"/>
        <v>5.8200000000000002E-2</v>
      </c>
      <c r="F4" s="35">
        <f t="shared" si="1"/>
        <v>24.567499999999999</v>
      </c>
      <c r="G4" s="34">
        <f t="shared" si="2"/>
        <v>72.75</v>
      </c>
      <c r="H4" s="33">
        <f t="shared" si="3"/>
        <v>10.730319148936172</v>
      </c>
      <c r="I4" s="29">
        <f t="shared" ca="1" si="4"/>
        <v>4</v>
      </c>
      <c r="J4">
        <f ca="1">IF(AND(SUMPRODUCT($J$2:J3,$B$2:B3)&lt;500,SUM(B3,SUMPRODUCT($J$2:J3,$B$2:B3))&lt;500),1,0)</f>
        <v>0</v>
      </c>
      <c r="K4">
        <v>3</v>
      </c>
      <c r="L4">
        <v>0</v>
      </c>
      <c r="N4" s="65" t="s">
        <v>151</v>
      </c>
      <c r="O4" s="63">
        <f>COUNTIFS($W$53:$PV$53,"&gt;=11%",$W$53:$PV$53,"&lt;=20%")</f>
        <v>60</v>
      </c>
      <c r="Q4">
        <v>49</v>
      </c>
      <c r="R4" s="68">
        <f t="shared" si="5"/>
        <v>0.11778846153846154</v>
      </c>
      <c r="S4" t="s">
        <v>164</v>
      </c>
      <c r="V4" s="59"/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1</v>
      </c>
      <c r="AD4">
        <v>1</v>
      </c>
      <c r="AE4">
        <v>0</v>
      </c>
      <c r="AF4">
        <v>0</v>
      </c>
      <c r="AG4">
        <v>1</v>
      </c>
      <c r="AH4">
        <v>0</v>
      </c>
      <c r="AI4">
        <v>1</v>
      </c>
      <c r="AJ4">
        <v>0</v>
      </c>
      <c r="AK4">
        <v>0</v>
      </c>
      <c r="AL4">
        <v>1</v>
      </c>
      <c r="AM4">
        <v>1</v>
      </c>
      <c r="AN4">
        <v>0</v>
      </c>
      <c r="AO4">
        <v>1</v>
      </c>
      <c r="AP4">
        <v>0</v>
      </c>
      <c r="AQ4">
        <v>0</v>
      </c>
      <c r="AR4">
        <v>0</v>
      </c>
      <c r="AS4">
        <v>0</v>
      </c>
      <c r="AT4">
        <v>0</v>
      </c>
      <c r="AU4">
        <v>1</v>
      </c>
      <c r="AV4">
        <v>0</v>
      </c>
      <c r="AW4">
        <v>0</v>
      </c>
      <c r="AX4">
        <v>0</v>
      </c>
      <c r="AY4">
        <v>0</v>
      </c>
      <c r="AZ4">
        <v>0</v>
      </c>
      <c r="BA4">
        <v>1</v>
      </c>
      <c r="BB4">
        <v>0</v>
      </c>
      <c r="BC4">
        <v>1</v>
      </c>
      <c r="BD4">
        <v>1</v>
      </c>
      <c r="BE4">
        <v>0</v>
      </c>
      <c r="BF4">
        <v>0</v>
      </c>
      <c r="BG4">
        <v>0</v>
      </c>
      <c r="BH4">
        <v>1</v>
      </c>
      <c r="BI4">
        <v>1</v>
      </c>
      <c r="BJ4">
        <v>0</v>
      </c>
      <c r="BK4">
        <v>1</v>
      </c>
      <c r="BL4">
        <v>0</v>
      </c>
      <c r="BM4">
        <v>1</v>
      </c>
      <c r="BN4">
        <v>1</v>
      </c>
      <c r="BO4">
        <v>1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1</v>
      </c>
      <c r="BW4">
        <v>0</v>
      </c>
      <c r="BX4">
        <v>1</v>
      </c>
      <c r="BY4">
        <v>0</v>
      </c>
      <c r="BZ4">
        <v>0</v>
      </c>
      <c r="CA4">
        <v>0</v>
      </c>
      <c r="CB4">
        <v>1</v>
      </c>
      <c r="CC4">
        <v>0</v>
      </c>
      <c r="CD4">
        <v>0</v>
      </c>
      <c r="CE4">
        <v>1</v>
      </c>
      <c r="CF4">
        <v>1</v>
      </c>
      <c r="CG4">
        <v>1</v>
      </c>
      <c r="CH4">
        <v>0</v>
      </c>
      <c r="CI4">
        <v>1</v>
      </c>
      <c r="CJ4">
        <v>0</v>
      </c>
      <c r="CK4">
        <v>1</v>
      </c>
      <c r="CL4">
        <v>1</v>
      </c>
      <c r="CM4">
        <v>1</v>
      </c>
      <c r="CN4">
        <v>1</v>
      </c>
      <c r="CO4">
        <v>0</v>
      </c>
      <c r="CP4">
        <v>0</v>
      </c>
      <c r="CQ4">
        <v>0</v>
      </c>
      <c r="CR4">
        <v>1</v>
      </c>
      <c r="CS4">
        <v>0</v>
      </c>
      <c r="CT4">
        <v>0</v>
      </c>
      <c r="CU4">
        <v>0</v>
      </c>
      <c r="CV4">
        <v>0</v>
      </c>
      <c r="CW4">
        <v>0</v>
      </c>
      <c r="CX4">
        <v>1</v>
      </c>
      <c r="CY4">
        <v>0</v>
      </c>
      <c r="CZ4">
        <v>0</v>
      </c>
      <c r="DA4">
        <v>0</v>
      </c>
      <c r="DB4">
        <v>1</v>
      </c>
      <c r="DC4">
        <v>0</v>
      </c>
      <c r="DD4">
        <v>0</v>
      </c>
      <c r="DE4">
        <v>0</v>
      </c>
      <c r="DF4">
        <v>1</v>
      </c>
      <c r="DG4">
        <v>0</v>
      </c>
      <c r="DH4">
        <v>0</v>
      </c>
      <c r="DI4">
        <v>0</v>
      </c>
      <c r="DJ4">
        <v>0</v>
      </c>
      <c r="DK4">
        <v>1</v>
      </c>
      <c r="DL4">
        <v>1</v>
      </c>
      <c r="DM4">
        <v>1</v>
      </c>
      <c r="DN4">
        <v>0</v>
      </c>
      <c r="DO4">
        <v>0</v>
      </c>
      <c r="DP4">
        <v>0</v>
      </c>
      <c r="DQ4">
        <v>0</v>
      </c>
      <c r="DR4">
        <v>1</v>
      </c>
      <c r="DS4">
        <v>0</v>
      </c>
      <c r="DT4">
        <v>0</v>
      </c>
      <c r="DU4">
        <v>0</v>
      </c>
      <c r="DV4">
        <v>1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1</v>
      </c>
      <c r="EM4">
        <v>0</v>
      </c>
      <c r="EN4">
        <v>1</v>
      </c>
      <c r="EO4">
        <v>1</v>
      </c>
      <c r="EP4">
        <v>0</v>
      </c>
      <c r="EQ4">
        <v>1</v>
      </c>
      <c r="ER4">
        <v>1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1</v>
      </c>
      <c r="FG4">
        <v>1</v>
      </c>
      <c r="FH4">
        <v>1</v>
      </c>
      <c r="FI4">
        <v>1</v>
      </c>
      <c r="FJ4">
        <v>0</v>
      </c>
      <c r="FK4">
        <v>1</v>
      </c>
      <c r="FL4">
        <v>0</v>
      </c>
      <c r="FM4">
        <v>1</v>
      </c>
      <c r="FN4">
        <v>0</v>
      </c>
      <c r="FO4">
        <v>1</v>
      </c>
      <c r="FP4">
        <v>0</v>
      </c>
      <c r="FQ4">
        <v>0</v>
      </c>
      <c r="FR4">
        <v>0</v>
      </c>
      <c r="FS4">
        <v>1</v>
      </c>
      <c r="FT4">
        <v>0</v>
      </c>
      <c r="FU4">
        <v>0</v>
      </c>
      <c r="FV4">
        <v>1</v>
      </c>
      <c r="FW4">
        <v>0</v>
      </c>
      <c r="FX4">
        <v>0</v>
      </c>
      <c r="FY4">
        <v>1</v>
      </c>
      <c r="FZ4">
        <v>0</v>
      </c>
      <c r="GA4">
        <v>0</v>
      </c>
      <c r="GB4">
        <v>1</v>
      </c>
      <c r="GC4">
        <v>0</v>
      </c>
      <c r="GD4">
        <v>0</v>
      </c>
      <c r="GE4">
        <v>1</v>
      </c>
      <c r="GF4">
        <v>0</v>
      </c>
      <c r="GG4">
        <v>0</v>
      </c>
      <c r="GH4">
        <v>0</v>
      </c>
      <c r="GI4">
        <v>0</v>
      </c>
      <c r="GJ4">
        <v>1</v>
      </c>
      <c r="GK4">
        <v>1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1</v>
      </c>
      <c r="GT4">
        <v>1</v>
      </c>
      <c r="GU4">
        <v>0</v>
      </c>
      <c r="GV4">
        <v>0</v>
      </c>
      <c r="GW4">
        <v>1</v>
      </c>
      <c r="GX4">
        <v>0</v>
      </c>
      <c r="GY4">
        <v>1</v>
      </c>
      <c r="GZ4">
        <v>0</v>
      </c>
      <c r="HA4">
        <v>0</v>
      </c>
      <c r="HB4">
        <v>0</v>
      </c>
      <c r="HC4">
        <v>0</v>
      </c>
      <c r="HD4">
        <v>0</v>
      </c>
      <c r="HE4">
        <v>1</v>
      </c>
      <c r="HF4">
        <v>1</v>
      </c>
      <c r="HG4">
        <v>0</v>
      </c>
      <c r="HH4">
        <v>0</v>
      </c>
      <c r="HI4">
        <v>0</v>
      </c>
      <c r="HJ4">
        <v>1</v>
      </c>
      <c r="HK4">
        <v>0</v>
      </c>
      <c r="HL4">
        <v>0</v>
      </c>
      <c r="HM4">
        <v>0</v>
      </c>
      <c r="HN4">
        <v>0</v>
      </c>
      <c r="HO4">
        <v>1</v>
      </c>
      <c r="HP4">
        <v>0</v>
      </c>
      <c r="HQ4">
        <v>1</v>
      </c>
      <c r="HR4">
        <v>0</v>
      </c>
      <c r="HS4">
        <v>0</v>
      </c>
      <c r="HT4">
        <v>0</v>
      </c>
      <c r="HU4">
        <v>0</v>
      </c>
      <c r="HV4">
        <v>1</v>
      </c>
      <c r="HW4">
        <v>1</v>
      </c>
      <c r="HX4">
        <v>0</v>
      </c>
      <c r="HY4">
        <v>1</v>
      </c>
      <c r="HZ4">
        <v>0</v>
      </c>
      <c r="IA4">
        <v>0</v>
      </c>
      <c r="IB4">
        <v>1</v>
      </c>
      <c r="IC4">
        <v>0</v>
      </c>
      <c r="ID4">
        <v>1</v>
      </c>
      <c r="IE4">
        <v>0</v>
      </c>
      <c r="IF4">
        <v>1</v>
      </c>
      <c r="IG4">
        <v>0</v>
      </c>
      <c r="IH4">
        <v>0</v>
      </c>
      <c r="II4">
        <v>0</v>
      </c>
      <c r="IJ4">
        <v>0</v>
      </c>
      <c r="IK4">
        <v>0</v>
      </c>
      <c r="IL4">
        <v>1</v>
      </c>
      <c r="IM4">
        <v>1</v>
      </c>
      <c r="IN4">
        <v>1</v>
      </c>
      <c r="IO4">
        <v>0</v>
      </c>
      <c r="IP4">
        <v>1</v>
      </c>
      <c r="IQ4">
        <v>0</v>
      </c>
      <c r="IR4">
        <v>1</v>
      </c>
      <c r="IS4">
        <v>0</v>
      </c>
      <c r="IT4">
        <v>1</v>
      </c>
      <c r="IU4">
        <v>0</v>
      </c>
      <c r="IV4">
        <v>1</v>
      </c>
      <c r="IW4">
        <v>0</v>
      </c>
      <c r="IX4">
        <v>1</v>
      </c>
      <c r="IY4">
        <v>0</v>
      </c>
      <c r="IZ4">
        <v>0</v>
      </c>
      <c r="JA4">
        <v>1</v>
      </c>
      <c r="JB4">
        <v>1</v>
      </c>
      <c r="JC4">
        <v>0</v>
      </c>
      <c r="JD4">
        <v>1</v>
      </c>
      <c r="JE4">
        <v>0</v>
      </c>
      <c r="JF4">
        <v>1</v>
      </c>
      <c r="JG4">
        <v>1</v>
      </c>
      <c r="JH4">
        <v>1</v>
      </c>
      <c r="JI4">
        <v>0</v>
      </c>
      <c r="JJ4">
        <v>1</v>
      </c>
      <c r="JK4">
        <v>0</v>
      </c>
      <c r="JL4">
        <v>0</v>
      </c>
      <c r="JM4">
        <v>1</v>
      </c>
      <c r="JN4">
        <v>0</v>
      </c>
      <c r="JO4">
        <v>0</v>
      </c>
      <c r="JP4">
        <v>1</v>
      </c>
      <c r="JQ4">
        <v>0</v>
      </c>
      <c r="JR4">
        <v>0</v>
      </c>
      <c r="JS4">
        <v>0</v>
      </c>
      <c r="JT4">
        <v>1</v>
      </c>
      <c r="JU4">
        <v>0</v>
      </c>
      <c r="JV4">
        <v>1</v>
      </c>
      <c r="JW4">
        <v>0</v>
      </c>
      <c r="JX4">
        <v>1</v>
      </c>
      <c r="JY4">
        <v>1</v>
      </c>
      <c r="JZ4">
        <v>0</v>
      </c>
      <c r="KA4">
        <v>0</v>
      </c>
      <c r="KB4">
        <v>1</v>
      </c>
      <c r="KC4">
        <v>0</v>
      </c>
      <c r="KD4">
        <v>1</v>
      </c>
      <c r="KE4">
        <v>1</v>
      </c>
      <c r="KF4">
        <v>0</v>
      </c>
      <c r="KG4">
        <v>0</v>
      </c>
      <c r="KH4">
        <v>1</v>
      </c>
      <c r="KI4">
        <v>0</v>
      </c>
      <c r="KJ4">
        <v>0</v>
      </c>
      <c r="KK4">
        <v>1</v>
      </c>
      <c r="KL4">
        <v>0</v>
      </c>
      <c r="KM4">
        <v>0</v>
      </c>
      <c r="KN4">
        <v>0</v>
      </c>
      <c r="KO4">
        <v>0</v>
      </c>
      <c r="KP4">
        <v>1</v>
      </c>
      <c r="KQ4">
        <v>1</v>
      </c>
      <c r="KR4">
        <v>0</v>
      </c>
      <c r="KS4">
        <v>1</v>
      </c>
      <c r="KT4">
        <v>1</v>
      </c>
      <c r="KU4">
        <v>0</v>
      </c>
      <c r="KV4">
        <v>0</v>
      </c>
      <c r="KW4">
        <v>0</v>
      </c>
      <c r="KX4">
        <v>0</v>
      </c>
      <c r="KY4">
        <v>1</v>
      </c>
      <c r="KZ4">
        <v>1</v>
      </c>
      <c r="LA4">
        <v>0</v>
      </c>
      <c r="LB4">
        <v>0</v>
      </c>
      <c r="LC4">
        <v>1</v>
      </c>
      <c r="LD4">
        <v>1</v>
      </c>
      <c r="LE4">
        <v>1</v>
      </c>
      <c r="LF4">
        <v>0</v>
      </c>
      <c r="LG4">
        <v>0</v>
      </c>
      <c r="LH4">
        <v>1</v>
      </c>
      <c r="LI4">
        <v>1</v>
      </c>
      <c r="LJ4">
        <v>0</v>
      </c>
      <c r="LK4">
        <v>0</v>
      </c>
      <c r="LL4">
        <v>1</v>
      </c>
      <c r="LM4">
        <v>0</v>
      </c>
      <c r="LN4">
        <v>1</v>
      </c>
      <c r="LO4">
        <v>0</v>
      </c>
      <c r="LP4">
        <v>0</v>
      </c>
      <c r="LQ4">
        <v>1</v>
      </c>
      <c r="LR4">
        <v>1</v>
      </c>
      <c r="LS4">
        <v>0</v>
      </c>
      <c r="LT4">
        <v>0</v>
      </c>
      <c r="LU4">
        <v>1</v>
      </c>
      <c r="LV4">
        <v>0</v>
      </c>
      <c r="LW4">
        <v>0</v>
      </c>
      <c r="LX4">
        <v>0</v>
      </c>
      <c r="LY4">
        <v>0</v>
      </c>
      <c r="LZ4">
        <v>1</v>
      </c>
      <c r="MA4">
        <v>1</v>
      </c>
      <c r="MB4">
        <v>1</v>
      </c>
      <c r="MC4">
        <v>1</v>
      </c>
      <c r="MD4">
        <v>0</v>
      </c>
      <c r="ME4">
        <v>0</v>
      </c>
      <c r="MF4">
        <v>1</v>
      </c>
      <c r="MG4">
        <v>0</v>
      </c>
      <c r="MH4">
        <v>0</v>
      </c>
      <c r="MI4">
        <v>0</v>
      </c>
      <c r="MJ4">
        <v>0</v>
      </c>
      <c r="MK4">
        <v>0</v>
      </c>
      <c r="ML4">
        <v>0</v>
      </c>
      <c r="MM4">
        <v>1</v>
      </c>
      <c r="MN4">
        <v>1</v>
      </c>
      <c r="MO4">
        <v>0</v>
      </c>
      <c r="MP4">
        <v>0</v>
      </c>
      <c r="MQ4">
        <v>0</v>
      </c>
      <c r="MR4">
        <v>0</v>
      </c>
      <c r="MS4">
        <v>0</v>
      </c>
      <c r="MT4">
        <v>1</v>
      </c>
      <c r="MU4">
        <v>1</v>
      </c>
      <c r="MV4">
        <v>1</v>
      </c>
      <c r="MW4">
        <v>0</v>
      </c>
      <c r="MX4">
        <v>0</v>
      </c>
      <c r="MY4">
        <v>1</v>
      </c>
      <c r="MZ4">
        <v>1</v>
      </c>
      <c r="NA4">
        <v>0</v>
      </c>
      <c r="NB4">
        <v>1</v>
      </c>
      <c r="NC4">
        <v>0</v>
      </c>
      <c r="ND4">
        <v>1</v>
      </c>
      <c r="NE4">
        <v>1</v>
      </c>
      <c r="NF4">
        <v>0</v>
      </c>
      <c r="NG4">
        <v>0</v>
      </c>
      <c r="NH4">
        <v>0</v>
      </c>
      <c r="NI4">
        <v>0</v>
      </c>
      <c r="NJ4">
        <v>0</v>
      </c>
      <c r="NK4">
        <v>1</v>
      </c>
      <c r="NL4">
        <v>1</v>
      </c>
      <c r="NM4">
        <v>1</v>
      </c>
      <c r="NN4">
        <v>0</v>
      </c>
      <c r="NO4">
        <v>1</v>
      </c>
      <c r="NP4">
        <v>0</v>
      </c>
      <c r="NQ4">
        <v>0</v>
      </c>
      <c r="NR4">
        <v>0</v>
      </c>
      <c r="NS4">
        <v>0</v>
      </c>
      <c r="NT4">
        <v>0</v>
      </c>
      <c r="NU4">
        <v>0</v>
      </c>
      <c r="NV4">
        <v>0</v>
      </c>
      <c r="NW4">
        <v>0</v>
      </c>
      <c r="NX4">
        <v>1</v>
      </c>
      <c r="NY4">
        <v>1</v>
      </c>
      <c r="NZ4">
        <v>1</v>
      </c>
      <c r="OA4">
        <v>1</v>
      </c>
      <c r="OB4">
        <v>0</v>
      </c>
      <c r="OC4">
        <v>0</v>
      </c>
      <c r="OD4">
        <v>0</v>
      </c>
      <c r="OE4">
        <v>0</v>
      </c>
      <c r="OF4">
        <v>0</v>
      </c>
      <c r="OG4">
        <v>1</v>
      </c>
      <c r="OH4">
        <v>0</v>
      </c>
      <c r="OI4">
        <v>1</v>
      </c>
      <c r="OJ4">
        <v>1</v>
      </c>
      <c r="OK4">
        <v>1</v>
      </c>
      <c r="OL4">
        <v>0</v>
      </c>
      <c r="OM4">
        <v>0</v>
      </c>
      <c r="ON4">
        <v>0</v>
      </c>
      <c r="OO4">
        <v>1</v>
      </c>
      <c r="OP4">
        <v>0</v>
      </c>
      <c r="OQ4">
        <v>0</v>
      </c>
      <c r="OR4">
        <v>0</v>
      </c>
      <c r="OS4">
        <v>1</v>
      </c>
      <c r="OT4">
        <v>1</v>
      </c>
      <c r="OU4">
        <v>0</v>
      </c>
      <c r="OV4">
        <v>1</v>
      </c>
      <c r="OW4">
        <v>1</v>
      </c>
      <c r="OX4">
        <v>0</v>
      </c>
      <c r="OY4">
        <v>1</v>
      </c>
      <c r="OZ4">
        <v>0</v>
      </c>
      <c r="PA4">
        <v>0</v>
      </c>
      <c r="PB4">
        <v>0</v>
      </c>
      <c r="PC4">
        <v>1</v>
      </c>
      <c r="PD4">
        <v>1</v>
      </c>
      <c r="PE4">
        <v>1</v>
      </c>
      <c r="PF4">
        <v>0</v>
      </c>
      <c r="PG4">
        <v>0</v>
      </c>
      <c r="PH4">
        <v>1</v>
      </c>
      <c r="PI4">
        <v>0</v>
      </c>
      <c r="PJ4">
        <v>1</v>
      </c>
      <c r="PK4">
        <v>1</v>
      </c>
      <c r="PL4">
        <v>0</v>
      </c>
      <c r="PM4">
        <v>0</v>
      </c>
      <c r="PN4">
        <v>1</v>
      </c>
      <c r="PO4">
        <v>0</v>
      </c>
      <c r="PP4">
        <v>0</v>
      </c>
      <c r="PQ4">
        <v>1</v>
      </c>
      <c r="PR4">
        <v>0</v>
      </c>
      <c r="PS4">
        <v>0</v>
      </c>
      <c r="PT4">
        <v>0</v>
      </c>
      <c r="PU4">
        <v>1</v>
      </c>
      <c r="PV4">
        <v>0</v>
      </c>
    </row>
    <row r="5" spans="1:446" x14ac:dyDescent="0.3">
      <c r="A5" s="31">
        <v>14</v>
      </c>
      <c r="B5" s="28">
        <v>3.01</v>
      </c>
      <c r="C5" s="30">
        <v>86.64</v>
      </c>
      <c r="D5" s="28">
        <v>2.46</v>
      </c>
      <c r="E5" s="34">
        <f t="shared" si="0"/>
        <v>4.9200000000000001E-2</v>
      </c>
      <c r="F5" s="35">
        <f t="shared" si="1"/>
        <v>21.66</v>
      </c>
      <c r="G5" s="34">
        <f t="shared" si="2"/>
        <v>61.5</v>
      </c>
      <c r="H5" s="33">
        <f t="shared" si="3"/>
        <v>34.332225913621265</v>
      </c>
      <c r="I5" s="29">
        <f t="shared" ca="1" si="4"/>
        <v>4</v>
      </c>
      <c r="J5">
        <f ca="1">IF(AND(SUMPRODUCT($J$2:J4,$B$2:B4)&lt;500,SUM(B4,SUMPRODUCT($J$2:J4,$B$2:B4))&lt;500),1,0)</f>
        <v>1</v>
      </c>
      <c r="K5">
        <v>5</v>
      </c>
      <c r="L5">
        <v>1</v>
      </c>
      <c r="N5" s="65" t="s">
        <v>152</v>
      </c>
      <c r="O5" s="63">
        <f>COUNTIFS($W$53:$PV$53,"&gt;=21%",$W$53:$PV$53,"&lt;=30%")</f>
        <v>62</v>
      </c>
      <c r="Q5">
        <v>48</v>
      </c>
      <c r="R5" s="68">
        <f t="shared" si="5"/>
        <v>0.11538461538461539</v>
      </c>
      <c r="S5" t="s">
        <v>164</v>
      </c>
      <c r="T5" s="68"/>
      <c r="V5" s="58"/>
      <c r="W5">
        <v>0</v>
      </c>
      <c r="X5">
        <v>0</v>
      </c>
      <c r="Y5">
        <v>1</v>
      </c>
      <c r="Z5">
        <v>1</v>
      </c>
      <c r="AA5">
        <v>0</v>
      </c>
      <c r="AB5">
        <v>1</v>
      </c>
      <c r="AC5">
        <v>1</v>
      </c>
      <c r="AD5">
        <v>1</v>
      </c>
      <c r="AE5">
        <v>0</v>
      </c>
      <c r="AF5">
        <v>1</v>
      </c>
      <c r="AG5">
        <v>1</v>
      </c>
      <c r="AH5">
        <v>0</v>
      </c>
      <c r="AI5">
        <v>1</v>
      </c>
      <c r="AJ5">
        <v>0</v>
      </c>
      <c r="AK5">
        <v>0</v>
      </c>
      <c r="AL5">
        <v>0</v>
      </c>
      <c r="AM5">
        <v>0</v>
      </c>
      <c r="AN5">
        <v>0</v>
      </c>
      <c r="AO5">
        <v>1</v>
      </c>
      <c r="AP5">
        <v>0</v>
      </c>
      <c r="AQ5">
        <v>0</v>
      </c>
      <c r="AR5">
        <v>0</v>
      </c>
      <c r="AS5">
        <v>0</v>
      </c>
      <c r="AT5">
        <v>1</v>
      </c>
      <c r="AU5">
        <v>0</v>
      </c>
      <c r="AV5">
        <v>1</v>
      </c>
      <c r="AW5">
        <v>0</v>
      </c>
      <c r="AX5">
        <v>0</v>
      </c>
      <c r="AY5">
        <v>1</v>
      </c>
      <c r="AZ5">
        <v>1</v>
      </c>
      <c r="BA5">
        <v>1</v>
      </c>
      <c r="BB5">
        <v>0</v>
      </c>
      <c r="BC5">
        <v>1</v>
      </c>
      <c r="BD5">
        <v>1</v>
      </c>
      <c r="BE5">
        <v>0</v>
      </c>
      <c r="BF5">
        <v>0</v>
      </c>
      <c r="BG5">
        <v>0</v>
      </c>
      <c r="BH5">
        <v>1</v>
      </c>
      <c r="BI5">
        <v>1</v>
      </c>
      <c r="BJ5">
        <v>0</v>
      </c>
      <c r="BK5">
        <v>0</v>
      </c>
      <c r="BL5">
        <v>0</v>
      </c>
      <c r="BM5">
        <v>0</v>
      </c>
      <c r="BN5">
        <v>1</v>
      </c>
      <c r="BO5">
        <v>0</v>
      </c>
      <c r="BP5">
        <v>0</v>
      </c>
      <c r="BQ5">
        <v>0</v>
      </c>
      <c r="BR5">
        <v>0</v>
      </c>
      <c r="BS5">
        <v>1</v>
      </c>
      <c r="BT5">
        <v>0</v>
      </c>
      <c r="BU5">
        <v>0</v>
      </c>
      <c r="BV5">
        <v>1</v>
      </c>
      <c r="BW5">
        <v>1</v>
      </c>
      <c r="BX5">
        <v>1</v>
      </c>
      <c r="BY5">
        <v>0</v>
      </c>
      <c r="BZ5">
        <v>1</v>
      </c>
      <c r="CA5">
        <v>0</v>
      </c>
      <c r="CB5">
        <v>1</v>
      </c>
      <c r="CC5">
        <v>0</v>
      </c>
      <c r="CD5">
        <v>0</v>
      </c>
      <c r="CE5">
        <v>0</v>
      </c>
      <c r="CF5">
        <v>1</v>
      </c>
      <c r="CG5">
        <v>1</v>
      </c>
      <c r="CH5">
        <v>0</v>
      </c>
      <c r="CI5">
        <v>0</v>
      </c>
      <c r="CJ5">
        <v>0</v>
      </c>
      <c r="CK5">
        <v>0</v>
      </c>
      <c r="CL5">
        <v>1</v>
      </c>
      <c r="CM5">
        <v>1</v>
      </c>
      <c r="CN5">
        <v>1</v>
      </c>
      <c r="CO5">
        <v>1</v>
      </c>
      <c r="CP5">
        <v>0</v>
      </c>
      <c r="CQ5">
        <v>0</v>
      </c>
      <c r="CR5">
        <v>0</v>
      </c>
      <c r="CS5">
        <v>0</v>
      </c>
      <c r="CT5">
        <v>1</v>
      </c>
      <c r="CU5">
        <v>0</v>
      </c>
      <c r="CV5">
        <v>0</v>
      </c>
      <c r="CW5">
        <v>1</v>
      </c>
      <c r="CX5">
        <v>1</v>
      </c>
      <c r="CY5">
        <v>0</v>
      </c>
      <c r="CZ5">
        <v>0</v>
      </c>
      <c r="DA5">
        <v>1</v>
      </c>
      <c r="DB5">
        <v>1</v>
      </c>
      <c r="DC5">
        <v>0</v>
      </c>
      <c r="DD5">
        <v>1</v>
      </c>
      <c r="DE5">
        <v>0</v>
      </c>
      <c r="DF5">
        <v>1</v>
      </c>
      <c r="DG5">
        <v>1</v>
      </c>
      <c r="DH5">
        <v>1</v>
      </c>
      <c r="DI5">
        <v>0</v>
      </c>
      <c r="DJ5">
        <v>0</v>
      </c>
      <c r="DK5">
        <v>1</v>
      </c>
      <c r="DL5">
        <v>1</v>
      </c>
      <c r="DM5">
        <v>0</v>
      </c>
      <c r="DN5">
        <v>0</v>
      </c>
      <c r="DO5">
        <v>0</v>
      </c>
      <c r="DP5">
        <v>0</v>
      </c>
      <c r="DQ5">
        <v>0</v>
      </c>
      <c r="DR5">
        <v>1</v>
      </c>
      <c r="DS5">
        <v>0</v>
      </c>
      <c r="DT5">
        <v>0</v>
      </c>
      <c r="DU5">
        <v>0</v>
      </c>
      <c r="DV5">
        <v>0</v>
      </c>
      <c r="DW5">
        <v>0</v>
      </c>
      <c r="DX5">
        <v>1</v>
      </c>
      <c r="DY5">
        <v>1</v>
      </c>
      <c r="DZ5">
        <v>0</v>
      </c>
      <c r="EA5">
        <v>0</v>
      </c>
      <c r="EB5">
        <v>0</v>
      </c>
      <c r="EC5">
        <v>1</v>
      </c>
      <c r="ED5">
        <v>0</v>
      </c>
      <c r="EE5">
        <v>0</v>
      </c>
      <c r="EF5">
        <v>1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1</v>
      </c>
      <c r="EN5">
        <v>1</v>
      </c>
      <c r="EO5">
        <v>1</v>
      </c>
      <c r="EP5">
        <v>1</v>
      </c>
      <c r="EQ5">
        <v>0</v>
      </c>
      <c r="ER5">
        <v>0</v>
      </c>
      <c r="ES5">
        <v>0</v>
      </c>
      <c r="ET5">
        <v>0</v>
      </c>
      <c r="EU5">
        <v>1</v>
      </c>
      <c r="EV5">
        <v>1</v>
      </c>
      <c r="EW5">
        <v>0</v>
      </c>
      <c r="EX5">
        <v>1</v>
      </c>
      <c r="EY5">
        <v>1</v>
      </c>
      <c r="EZ5">
        <v>0</v>
      </c>
      <c r="FA5">
        <v>0</v>
      </c>
      <c r="FB5">
        <v>0</v>
      </c>
      <c r="FC5">
        <v>1</v>
      </c>
      <c r="FD5">
        <v>0</v>
      </c>
      <c r="FE5">
        <v>0</v>
      </c>
      <c r="FF5">
        <v>1</v>
      </c>
      <c r="FG5">
        <v>0</v>
      </c>
      <c r="FH5">
        <v>1</v>
      </c>
      <c r="FI5">
        <v>0</v>
      </c>
      <c r="FJ5">
        <v>1</v>
      </c>
      <c r="FK5">
        <v>0</v>
      </c>
      <c r="FL5">
        <v>1</v>
      </c>
      <c r="FM5">
        <v>0</v>
      </c>
      <c r="FN5">
        <v>1</v>
      </c>
      <c r="FO5">
        <v>1</v>
      </c>
      <c r="FP5">
        <v>0</v>
      </c>
      <c r="FQ5">
        <v>0</v>
      </c>
      <c r="FR5">
        <v>0</v>
      </c>
      <c r="FS5">
        <v>1</v>
      </c>
      <c r="FT5">
        <v>0</v>
      </c>
      <c r="FU5">
        <v>1</v>
      </c>
      <c r="FV5">
        <v>1</v>
      </c>
      <c r="FW5">
        <v>0</v>
      </c>
      <c r="FX5">
        <v>0</v>
      </c>
      <c r="FY5">
        <v>1</v>
      </c>
      <c r="FZ5">
        <v>0</v>
      </c>
      <c r="GA5">
        <v>0</v>
      </c>
      <c r="GB5">
        <v>0</v>
      </c>
      <c r="GC5">
        <v>0</v>
      </c>
      <c r="GD5">
        <v>1</v>
      </c>
      <c r="GE5">
        <v>0</v>
      </c>
      <c r="GF5">
        <v>0</v>
      </c>
      <c r="GG5">
        <v>1</v>
      </c>
      <c r="GH5">
        <v>0</v>
      </c>
      <c r="GI5">
        <v>0</v>
      </c>
      <c r="GJ5">
        <v>1</v>
      </c>
      <c r="GK5">
        <v>0</v>
      </c>
      <c r="GL5">
        <v>0</v>
      </c>
      <c r="GM5">
        <v>1</v>
      </c>
      <c r="GN5">
        <v>1</v>
      </c>
      <c r="GO5">
        <v>0</v>
      </c>
      <c r="GP5">
        <v>0</v>
      </c>
      <c r="GQ5">
        <v>0</v>
      </c>
      <c r="GR5">
        <v>1</v>
      </c>
      <c r="GS5">
        <v>0</v>
      </c>
      <c r="GT5">
        <v>1</v>
      </c>
      <c r="GU5">
        <v>0</v>
      </c>
      <c r="GV5">
        <v>0</v>
      </c>
      <c r="GW5">
        <v>1</v>
      </c>
      <c r="GX5">
        <v>0</v>
      </c>
      <c r="GY5">
        <v>1</v>
      </c>
      <c r="GZ5">
        <v>0</v>
      </c>
      <c r="HA5">
        <v>0</v>
      </c>
      <c r="HB5">
        <v>0</v>
      </c>
      <c r="HC5">
        <v>0</v>
      </c>
      <c r="HD5">
        <v>0</v>
      </c>
      <c r="HE5">
        <v>1</v>
      </c>
      <c r="HF5">
        <v>1</v>
      </c>
      <c r="HG5">
        <v>0</v>
      </c>
      <c r="HH5">
        <v>0</v>
      </c>
      <c r="HI5">
        <v>0</v>
      </c>
      <c r="HJ5">
        <v>1</v>
      </c>
      <c r="HK5">
        <v>0</v>
      </c>
      <c r="HL5">
        <v>0</v>
      </c>
      <c r="HM5">
        <v>0</v>
      </c>
      <c r="HN5">
        <v>0</v>
      </c>
      <c r="HO5">
        <v>1</v>
      </c>
      <c r="HP5">
        <v>0</v>
      </c>
      <c r="HQ5">
        <v>0</v>
      </c>
      <c r="HR5">
        <v>1</v>
      </c>
      <c r="HS5">
        <v>0</v>
      </c>
      <c r="HT5">
        <v>1</v>
      </c>
      <c r="HU5">
        <v>1</v>
      </c>
      <c r="HV5">
        <v>1</v>
      </c>
      <c r="HW5">
        <v>1</v>
      </c>
      <c r="HX5">
        <v>0</v>
      </c>
      <c r="HY5">
        <v>0</v>
      </c>
      <c r="HZ5">
        <v>0</v>
      </c>
      <c r="IA5">
        <v>1</v>
      </c>
      <c r="IB5">
        <v>0</v>
      </c>
      <c r="IC5">
        <v>0</v>
      </c>
      <c r="ID5">
        <v>0</v>
      </c>
      <c r="IE5">
        <v>0</v>
      </c>
      <c r="IF5">
        <v>1</v>
      </c>
      <c r="IG5">
        <v>1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1</v>
      </c>
      <c r="IO5">
        <v>0</v>
      </c>
      <c r="IP5">
        <v>1</v>
      </c>
      <c r="IQ5">
        <v>1</v>
      </c>
      <c r="IR5">
        <v>0</v>
      </c>
      <c r="IS5">
        <v>0</v>
      </c>
      <c r="IT5">
        <v>1</v>
      </c>
      <c r="IU5">
        <v>0</v>
      </c>
      <c r="IV5">
        <v>0</v>
      </c>
      <c r="IW5">
        <v>1</v>
      </c>
      <c r="IX5">
        <v>0</v>
      </c>
      <c r="IY5">
        <v>0</v>
      </c>
      <c r="IZ5">
        <v>1</v>
      </c>
      <c r="JA5">
        <v>0</v>
      </c>
      <c r="JB5">
        <v>1</v>
      </c>
      <c r="JC5">
        <v>1</v>
      </c>
      <c r="JD5">
        <v>1</v>
      </c>
      <c r="JE5">
        <v>0</v>
      </c>
      <c r="JF5">
        <v>0</v>
      </c>
      <c r="JG5">
        <v>1</v>
      </c>
      <c r="JH5">
        <v>1</v>
      </c>
      <c r="JI5">
        <v>0</v>
      </c>
      <c r="JJ5">
        <v>0</v>
      </c>
      <c r="JK5">
        <v>0</v>
      </c>
      <c r="JL5">
        <v>0</v>
      </c>
      <c r="JM5">
        <v>1</v>
      </c>
      <c r="JN5">
        <v>0</v>
      </c>
      <c r="JO5">
        <v>0</v>
      </c>
      <c r="JP5">
        <v>1</v>
      </c>
      <c r="JQ5">
        <v>1</v>
      </c>
      <c r="JR5">
        <v>0</v>
      </c>
      <c r="JS5">
        <v>0</v>
      </c>
      <c r="JT5">
        <v>1</v>
      </c>
      <c r="JU5">
        <v>0</v>
      </c>
      <c r="JV5">
        <v>1</v>
      </c>
      <c r="JW5">
        <v>1</v>
      </c>
      <c r="JX5">
        <v>1</v>
      </c>
      <c r="JY5">
        <v>0</v>
      </c>
      <c r="JZ5">
        <v>1</v>
      </c>
      <c r="KA5">
        <v>0</v>
      </c>
      <c r="KB5">
        <v>0</v>
      </c>
      <c r="KC5">
        <v>1</v>
      </c>
      <c r="KD5">
        <v>1</v>
      </c>
      <c r="KE5">
        <v>1</v>
      </c>
      <c r="KF5">
        <v>0</v>
      </c>
      <c r="KG5">
        <v>0</v>
      </c>
      <c r="KH5">
        <v>1</v>
      </c>
      <c r="KI5">
        <v>0</v>
      </c>
      <c r="KJ5">
        <v>1</v>
      </c>
      <c r="KK5">
        <v>1</v>
      </c>
      <c r="KL5">
        <v>0</v>
      </c>
      <c r="KM5">
        <v>1</v>
      </c>
      <c r="KN5">
        <v>0</v>
      </c>
      <c r="KO5">
        <v>1</v>
      </c>
      <c r="KP5">
        <v>1</v>
      </c>
      <c r="KQ5">
        <v>1</v>
      </c>
      <c r="KR5">
        <v>0</v>
      </c>
      <c r="KS5">
        <v>1</v>
      </c>
      <c r="KT5">
        <v>1</v>
      </c>
      <c r="KU5">
        <v>0</v>
      </c>
      <c r="KV5">
        <v>0</v>
      </c>
      <c r="KW5">
        <v>0</v>
      </c>
      <c r="KX5">
        <v>0</v>
      </c>
      <c r="KY5">
        <v>1</v>
      </c>
      <c r="KZ5">
        <v>1</v>
      </c>
      <c r="LA5">
        <v>0</v>
      </c>
      <c r="LB5">
        <v>0</v>
      </c>
      <c r="LC5">
        <v>0</v>
      </c>
      <c r="LD5">
        <v>0</v>
      </c>
      <c r="LE5">
        <v>1</v>
      </c>
      <c r="LF5">
        <v>1</v>
      </c>
      <c r="LG5">
        <v>0</v>
      </c>
      <c r="LH5">
        <v>1</v>
      </c>
      <c r="LI5">
        <v>0</v>
      </c>
      <c r="LJ5">
        <v>1</v>
      </c>
      <c r="LK5">
        <v>1</v>
      </c>
      <c r="LL5">
        <v>1</v>
      </c>
      <c r="LM5">
        <v>0</v>
      </c>
      <c r="LN5">
        <v>1</v>
      </c>
      <c r="LO5">
        <v>1</v>
      </c>
      <c r="LP5">
        <v>0</v>
      </c>
      <c r="LQ5">
        <v>1</v>
      </c>
      <c r="LR5">
        <v>0</v>
      </c>
      <c r="LS5">
        <v>0</v>
      </c>
      <c r="LT5">
        <v>1</v>
      </c>
      <c r="LU5">
        <v>1</v>
      </c>
      <c r="LV5">
        <v>0</v>
      </c>
      <c r="LW5">
        <v>0</v>
      </c>
      <c r="LX5">
        <v>0</v>
      </c>
      <c r="LY5">
        <v>0</v>
      </c>
      <c r="LZ5">
        <v>1</v>
      </c>
      <c r="MA5">
        <v>0</v>
      </c>
      <c r="MB5">
        <v>1</v>
      </c>
      <c r="MC5">
        <v>1</v>
      </c>
      <c r="MD5">
        <v>0</v>
      </c>
      <c r="ME5">
        <v>0</v>
      </c>
      <c r="MF5">
        <v>1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1</v>
      </c>
      <c r="MN5">
        <v>0</v>
      </c>
      <c r="MO5">
        <v>1</v>
      </c>
      <c r="MP5">
        <v>0</v>
      </c>
      <c r="MQ5">
        <v>1</v>
      </c>
      <c r="MR5">
        <v>0</v>
      </c>
      <c r="MS5">
        <v>0</v>
      </c>
      <c r="MT5">
        <v>1</v>
      </c>
      <c r="MU5">
        <v>1</v>
      </c>
      <c r="MV5">
        <v>0</v>
      </c>
      <c r="MW5">
        <v>0</v>
      </c>
      <c r="MX5">
        <v>0</v>
      </c>
      <c r="MY5">
        <v>1</v>
      </c>
      <c r="MZ5">
        <v>1</v>
      </c>
      <c r="NA5">
        <v>0</v>
      </c>
      <c r="NB5">
        <v>0</v>
      </c>
      <c r="NC5">
        <v>0</v>
      </c>
      <c r="ND5">
        <v>1</v>
      </c>
      <c r="NE5">
        <v>0</v>
      </c>
      <c r="NF5">
        <v>0</v>
      </c>
      <c r="NG5">
        <v>1</v>
      </c>
      <c r="NH5">
        <v>0</v>
      </c>
      <c r="NI5">
        <v>0</v>
      </c>
      <c r="NJ5">
        <v>0</v>
      </c>
      <c r="NK5">
        <v>1</v>
      </c>
      <c r="NL5">
        <v>0</v>
      </c>
      <c r="NM5">
        <v>1</v>
      </c>
      <c r="NN5">
        <v>0</v>
      </c>
      <c r="NO5">
        <v>0</v>
      </c>
      <c r="NP5">
        <v>1</v>
      </c>
      <c r="NQ5">
        <v>1</v>
      </c>
      <c r="NR5">
        <v>0</v>
      </c>
      <c r="NS5">
        <v>0</v>
      </c>
      <c r="NT5">
        <v>0</v>
      </c>
      <c r="NU5">
        <v>0</v>
      </c>
      <c r="NV5">
        <v>1</v>
      </c>
      <c r="NW5">
        <v>1</v>
      </c>
      <c r="NX5">
        <v>1</v>
      </c>
      <c r="NY5">
        <v>1</v>
      </c>
      <c r="NZ5">
        <v>0</v>
      </c>
      <c r="OA5">
        <v>1</v>
      </c>
      <c r="OB5">
        <v>1</v>
      </c>
      <c r="OC5">
        <v>0</v>
      </c>
      <c r="OD5">
        <v>0</v>
      </c>
      <c r="OE5">
        <v>0</v>
      </c>
      <c r="OF5">
        <v>0</v>
      </c>
      <c r="OG5">
        <v>1</v>
      </c>
      <c r="OH5">
        <v>1</v>
      </c>
      <c r="OI5">
        <v>0</v>
      </c>
      <c r="OJ5">
        <v>1</v>
      </c>
      <c r="OK5">
        <v>1</v>
      </c>
      <c r="OL5">
        <v>0</v>
      </c>
      <c r="OM5">
        <v>1</v>
      </c>
      <c r="ON5">
        <v>0</v>
      </c>
      <c r="OO5">
        <v>0</v>
      </c>
      <c r="OP5">
        <v>1</v>
      </c>
      <c r="OQ5">
        <v>0</v>
      </c>
      <c r="OR5">
        <v>0</v>
      </c>
      <c r="OS5">
        <v>1</v>
      </c>
      <c r="OT5">
        <v>0</v>
      </c>
      <c r="OU5">
        <v>0</v>
      </c>
      <c r="OV5">
        <v>1</v>
      </c>
      <c r="OW5">
        <v>0</v>
      </c>
      <c r="OX5">
        <v>0</v>
      </c>
      <c r="OY5">
        <v>1</v>
      </c>
      <c r="OZ5">
        <v>0</v>
      </c>
      <c r="PA5">
        <v>0</v>
      </c>
      <c r="PB5">
        <v>0</v>
      </c>
      <c r="PC5">
        <v>0</v>
      </c>
      <c r="PD5">
        <v>1</v>
      </c>
      <c r="PE5">
        <v>0</v>
      </c>
      <c r="PF5">
        <v>0</v>
      </c>
      <c r="PG5">
        <v>0</v>
      </c>
      <c r="PH5">
        <v>1</v>
      </c>
      <c r="PI5">
        <v>0</v>
      </c>
      <c r="PJ5">
        <v>0</v>
      </c>
      <c r="PK5">
        <v>0</v>
      </c>
      <c r="PL5">
        <v>0</v>
      </c>
      <c r="PM5">
        <v>1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1</v>
      </c>
      <c r="PV5">
        <v>0</v>
      </c>
    </row>
    <row r="6" spans="1:446" x14ac:dyDescent="0.3">
      <c r="A6" s="31">
        <v>16</v>
      </c>
      <c r="B6" s="28">
        <v>3.19</v>
      </c>
      <c r="C6" s="30">
        <v>37.840000000000003</v>
      </c>
      <c r="D6" s="28">
        <v>1.65</v>
      </c>
      <c r="E6" s="34">
        <f t="shared" si="0"/>
        <v>3.3000000000000002E-2</v>
      </c>
      <c r="F6" s="35">
        <f t="shared" si="1"/>
        <v>9.4600000000000009</v>
      </c>
      <c r="G6" s="34">
        <f t="shared" si="2"/>
        <v>41.25</v>
      </c>
      <c r="H6" s="33">
        <f t="shared" si="3"/>
        <v>28.38244514106583</v>
      </c>
      <c r="I6" s="29">
        <f t="shared" ca="1" si="4"/>
        <v>1</v>
      </c>
      <c r="J6">
        <f ca="1">IF(AND(SUMPRODUCT($J$2:J5,$B$2:B5)&lt;500,SUM(B5,SUMPRODUCT($J$2:J5,$B$2:B5))&lt;500),1,0)</f>
        <v>1</v>
      </c>
      <c r="K6">
        <v>4</v>
      </c>
      <c r="L6">
        <v>1</v>
      </c>
      <c r="N6" s="65" t="s">
        <v>153</v>
      </c>
      <c r="O6" s="63">
        <f>COUNTIFS($W$53:$PV$53,"&gt;=31%",$W$53:$PV$53,"&lt;=40%")</f>
        <v>45</v>
      </c>
      <c r="Q6">
        <v>45</v>
      </c>
      <c r="R6" s="68">
        <f t="shared" si="5"/>
        <v>0.10817307692307693</v>
      </c>
      <c r="S6" t="s">
        <v>165</v>
      </c>
      <c r="V6" s="58"/>
      <c r="W6">
        <v>0</v>
      </c>
      <c r="X6">
        <v>0</v>
      </c>
      <c r="Y6">
        <v>1</v>
      </c>
      <c r="Z6">
        <v>0</v>
      </c>
      <c r="AA6">
        <v>1</v>
      </c>
      <c r="AB6">
        <v>1</v>
      </c>
      <c r="AC6">
        <v>0</v>
      </c>
      <c r="AD6">
        <v>1</v>
      </c>
      <c r="AE6">
        <v>0</v>
      </c>
      <c r="AF6">
        <v>1</v>
      </c>
      <c r="AG6">
        <v>1</v>
      </c>
      <c r="AH6">
        <v>0</v>
      </c>
      <c r="AI6">
        <v>0</v>
      </c>
      <c r="AJ6">
        <v>0</v>
      </c>
      <c r="AK6">
        <v>0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>
        <v>1</v>
      </c>
      <c r="AT6">
        <v>0</v>
      </c>
      <c r="AU6">
        <v>0</v>
      </c>
      <c r="AV6">
        <v>1</v>
      </c>
      <c r="AW6">
        <v>0</v>
      </c>
      <c r="AX6">
        <v>0</v>
      </c>
      <c r="AY6">
        <v>1</v>
      </c>
      <c r="AZ6">
        <v>1</v>
      </c>
      <c r="BA6">
        <v>0</v>
      </c>
      <c r="BB6">
        <v>1</v>
      </c>
      <c r="BC6">
        <v>1</v>
      </c>
      <c r="BD6">
        <v>0</v>
      </c>
      <c r="BE6">
        <v>0</v>
      </c>
      <c r="BF6">
        <v>0</v>
      </c>
      <c r="BG6">
        <v>1</v>
      </c>
      <c r="BH6">
        <v>1</v>
      </c>
      <c r="BI6">
        <v>0</v>
      </c>
      <c r="BJ6">
        <v>0</v>
      </c>
      <c r="BK6">
        <v>1</v>
      </c>
      <c r="BL6">
        <v>0</v>
      </c>
      <c r="BM6">
        <v>1</v>
      </c>
      <c r="BN6">
        <v>0</v>
      </c>
      <c r="BO6">
        <v>1</v>
      </c>
      <c r="BP6">
        <v>0</v>
      </c>
      <c r="BQ6">
        <v>0</v>
      </c>
      <c r="BR6">
        <v>0</v>
      </c>
      <c r="BS6">
        <v>0</v>
      </c>
      <c r="BT6">
        <v>0</v>
      </c>
      <c r="BU6">
        <v>1</v>
      </c>
      <c r="BV6">
        <v>1</v>
      </c>
      <c r="BW6">
        <v>0</v>
      </c>
      <c r="BX6">
        <v>0</v>
      </c>
      <c r="BY6">
        <v>0</v>
      </c>
      <c r="BZ6">
        <v>0</v>
      </c>
      <c r="CA6">
        <v>1</v>
      </c>
      <c r="CB6">
        <v>1</v>
      </c>
      <c r="CC6">
        <v>1</v>
      </c>
      <c r="CD6">
        <v>0</v>
      </c>
      <c r="CE6">
        <v>0</v>
      </c>
      <c r="CF6">
        <v>0</v>
      </c>
      <c r="CG6">
        <v>0</v>
      </c>
      <c r="CH6">
        <v>0</v>
      </c>
      <c r="CI6">
        <v>1</v>
      </c>
      <c r="CJ6">
        <v>1</v>
      </c>
      <c r="CK6">
        <v>0</v>
      </c>
      <c r="CL6">
        <v>1</v>
      </c>
      <c r="CM6">
        <v>1</v>
      </c>
      <c r="CN6">
        <v>1</v>
      </c>
      <c r="CO6">
        <v>1</v>
      </c>
      <c r="CP6">
        <v>0</v>
      </c>
      <c r="CQ6">
        <v>0</v>
      </c>
      <c r="CR6">
        <v>0</v>
      </c>
      <c r="CS6">
        <v>1</v>
      </c>
      <c r="CT6">
        <v>1</v>
      </c>
      <c r="CU6">
        <v>0</v>
      </c>
      <c r="CV6">
        <v>0</v>
      </c>
      <c r="CW6">
        <v>1</v>
      </c>
      <c r="CX6">
        <v>1</v>
      </c>
      <c r="CY6">
        <v>1</v>
      </c>
      <c r="CZ6">
        <v>0</v>
      </c>
      <c r="DA6">
        <v>1</v>
      </c>
      <c r="DB6">
        <v>1</v>
      </c>
      <c r="DC6">
        <v>0</v>
      </c>
      <c r="DD6">
        <v>0</v>
      </c>
      <c r="DE6">
        <v>0</v>
      </c>
      <c r="DF6">
        <v>1</v>
      </c>
      <c r="DG6">
        <v>0</v>
      </c>
      <c r="DH6">
        <v>0</v>
      </c>
      <c r="DI6">
        <v>0</v>
      </c>
      <c r="DJ6">
        <v>0</v>
      </c>
      <c r="DK6">
        <v>1</v>
      </c>
      <c r="DL6">
        <v>0</v>
      </c>
      <c r="DM6">
        <v>0</v>
      </c>
      <c r="DN6">
        <v>1</v>
      </c>
      <c r="DO6">
        <v>0</v>
      </c>
      <c r="DP6">
        <v>0</v>
      </c>
      <c r="DQ6">
        <v>0</v>
      </c>
      <c r="DR6">
        <v>0</v>
      </c>
      <c r="DS6">
        <v>0</v>
      </c>
      <c r="DT6">
        <v>1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1</v>
      </c>
      <c r="EC6">
        <v>1</v>
      </c>
      <c r="ED6">
        <v>0</v>
      </c>
      <c r="EE6">
        <v>1</v>
      </c>
      <c r="EF6">
        <v>0</v>
      </c>
      <c r="EG6">
        <v>0</v>
      </c>
      <c r="EH6">
        <v>0</v>
      </c>
      <c r="EI6">
        <v>1</v>
      </c>
      <c r="EJ6">
        <v>0</v>
      </c>
      <c r="EK6">
        <v>1</v>
      </c>
      <c r="EL6">
        <v>0</v>
      </c>
      <c r="EM6">
        <v>1</v>
      </c>
      <c r="EN6">
        <v>0</v>
      </c>
      <c r="EO6">
        <v>1</v>
      </c>
      <c r="EP6">
        <v>1</v>
      </c>
      <c r="EQ6">
        <v>0</v>
      </c>
      <c r="ER6">
        <v>0</v>
      </c>
      <c r="ES6">
        <v>1</v>
      </c>
      <c r="ET6">
        <v>0</v>
      </c>
      <c r="EU6">
        <v>0</v>
      </c>
      <c r="EV6">
        <v>0</v>
      </c>
      <c r="EW6">
        <v>0</v>
      </c>
      <c r="EX6">
        <v>0</v>
      </c>
      <c r="EY6">
        <v>1</v>
      </c>
      <c r="EZ6">
        <v>0</v>
      </c>
      <c r="FA6">
        <v>1</v>
      </c>
      <c r="FB6">
        <v>1</v>
      </c>
      <c r="FC6">
        <v>0</v>
      </c>
      <c r="FD6">
        <v>1</v>
      </c>
      <c r="FE6">
        <v>0</v>
      </c>
      <c r="FF6">
        <v>0</v>
      </c>
      <c r="FG6">
        <v>0</v>
      </c>
      <c r="FH6">
        <v>1</v>
      </c>
      <c r="FI6">
        <v>1</v>
      </c>
      <c r="FJ6">
        <v>0</v>
      </c>
      <c r="FK6">
        <v>1</v>
      </c>
      <c r="FL6">
        <v>0</v>
      </c>
      <c r="FM6">
        <v>1</v>
      </c>
      <c r="FN6">
        <v>1</v>
      </c>
      <c r="FO6">
        <v>0</v>
      </c>
      <c r="FP6">
        <v>1</v>
      </c>
      <c r="FQ6">
        <v>0</v>
      </c>
      <c r="FR6">
        <v>0</v>
      </c>
      <c r="FS6">
        <v>1</v>
      </c>
      <c r="FT6">
        <v>0</v>
      </c>
      <c r="FU6">
        <v>0</v>
      </c>
      <c r="FV6">
        <v>1</v>
      </c>
      <c r="FW6">
        <v>0</v>
      </c>
      <c r="FX6">
        <v>1</v>
      </c>
      <c r="FY6">
        <v>0</v>
      </c>
      <c r="FZ6">
        <v>0</v>
      </c>
      <c r="GA6">
        <v>1</v>
      </c>
      <c r="GB6">
        <v>1</v>
      </c>
      <c r="GC6">
        <v>0</v>
      </c>
      <c r="GD6">
        <v>0</v>
      </c>
      <c r="GE6">
        <v>0</v>
      </c>
      <c r="GF6">
        <v>0</v>
      </c>
      <c r="GG6">
        <v>1</v>
      </c>
      <c r="GH6">
        <v>1</v>
      </c>
      <c r="GI6">
        <v>0</v>
      </c>
      <c r="GJ6">
        <v>0</v>
      </c>
      <c r="GK6">
        <v>1</v>
      </c>
      <c r="GL6">
        <v>1</v>
      </c>
      <c r="GM6">
        <v>1</v>
      </c>
      <c r="GN6">
        <v>0</v>
      </c>
      <c r="GO6">
        <v>0</v>
      </c>
      <c r="GP6">
        <v>1</v>
      </c>
      <c r="GQ6">
        <v>1</v>
      </c>
      <c r="GR6">
        <v>0</v>
      </c>
      <c r="GS6">
        <v>1</v>
      </c>
      <c r="GT6">
        <v>0</v>
      </c>
      <c r="GU6">
        <v>0</v>
      </c>
      <c r="GV6">
        <v>0</v>
      </c>
      <c r="GW6">
        <v>1</v>
      </c>
      <c r="GX6">
        <v>1</v>
      </c>
      <c r="GY6">
        <v>0</v>
      </c>
      <c r="GZ6">
        <v>0</v>
      </c>
      <c r="HA6">
        <v>1</v>
      </c>
      <c r="HB6">
        <v>0</v>
      </c>
      <c r="HC6">
        <v>0</v>
      </c>
      <c r="HD6">
        <v>0</v>
      </c>
      <c r="HE6">
        <v>0</v>
      </c>
      <c r="HF6">
        <v>1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1</v>
      </c>
      <c r="HP6">
        <v>0</v>
      </c>
      <c r="HQ6">
        <v>1</v>
      </c>
      <c r="HR6">
        <v>0</v>
      </c>
      <c r="HS6">
        <v>0</v>
      </c>
      <c r="HT6">
        <v>1</v>
      </c>
      <c r="HU6">
        <v>1</v>
      </c>
      <c r="HV6">
        <v>0</v>
      </c>
      <c r="HW6">
        <v>1</v>
      </c>
      <c r="HX6">
        <v>0</v>
      </c>
      <c r="HY6">
        <v>1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1</v>
      </c>
      <c r="IH6">
        <v>0</v>
      </c>
      <c r="II6">
        <v>1</v>
      </c>
      <c r="IJ6">
        <v>1</v>
      </c>
      <c r="IK6">
        <v>0</v>
      </c>
      <c r="IL6">
        <v>1</v>
      </c>
      <c r="IM6">
        <v>0</v>
      </c>
      <c r="IN6">
        <v>0</v>
      </c>
      <c r="IO6">
        <v>0</v>
      </c>
      <c r="IP6">
        <v>1</v>
      </c>
      <c r="IQ6">
        <v>0</v>
      </c>
      <c r="IR6">
        <v>0</v>
      </c>
      <c r="IS6">
        <v>0</v>
      </c>
      <c r="IT6">
        <v>1</v>
      </c>
      <c r="IU6">
        <v>0</v>
      </c>
      <c r="IV6">
        <v>0</v>
      </c>
      <c r="IW6">
        <v>1</v>
      </c>
      <c r="IX6">
        <v>0</v>
      </c>
      <c r="IY6">
        <v>0</v>
      </c>
      <c r="IZ6">
        <v>1</v>
      </c>
      <c r="JA6">
        <v>0</v>
      </c>
      <c r="JB6">
        <v>0</v>
      </c>
      <c r="JC6">
        <v>1</v>
      </c>
      <c r="JD6">
        <v>1</v>
      </c>
      <c r="JE6">
        <v>0</v>
      </c>
      <c r="JF6">
        <v>0</v>
      </c>
      <c r="JG6">
        <v>1</v>
      </c>
      <c r="JH6">
        <v>1</v>
      </c>
      <c r="JI6">
        <v>0</v>
      </c>
      <c r="JJ6">
        <v>1</v>
      </c>
      <c r="JK6">
        <v>1</v>
      </c>
      <c r="JL6">
        <v>0</v>
      </c>
      <c r="JM6">
        <v>1</v>
      </c>
      <c r="JN6">
        <v>1</v>
      </c>
      <c r="JO6">
        <v>0</v>
      </c>
      <c r="JP6">
        <v>0</v>
      </c>
      <c r="JQ6">
        <v>1</v>
      </c>
      <c r="JR6">
        <v>0</v>
      </c>
      <c r="JS6">
        <v>0</v>
      </c>
      <c r="JT6">
        <v>1</v>
      </c>
      <c r="JU6">
        <v>0</v>
      </c>
      <c r="JV6">
        <v>1</v>
      </c>
      <c r="JW6">
        <v>0</v>
      </c>
      <c r="JX6">
        <v>1</v>
      </c>
      <c r="JY6">
        <v>0</v>
      </c>
      <c r="JZ6">
        <v>0</v>
      </c>
      <c r="KA6">
        <v>0</v>
      </c>
      <c r="KB6">
        <v>0</v>
      </c>
      <c r="KC6">
        <v>1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1</v>
      </c>
      <c r="KM6">
        <v>1</v>
      </c>
      <c r="KN6">
        <v>1</v>
      </c>
      <c r="KO6">
        <v>0</v>
      </c>
      <c r="KP6">
        <v>0</v>
      </c>
      <c r="KQ6">
        <v>0</v>
      </c>
      <c r="KR6">
        <v>0</v>
      </c>
      <c r="KS6">
        <v>1</v>
      </c>
      <c r="KT6">
        <v>0</v>
      </c>
      <c r="KU6">
        <v>1</v>
      </c>
      <c r="KV6">
        <v>0</v>
      </c>
      <c r="KW6">
        <v>0</v>
      </c>
      <c r="KX6">
        <v>1</v>
      </c>
      <c r="KY6">
        <v>0</v>
      </c>
      <c r="KZ6">
        <v>1</v>
      </c>
      <c r="LA6">
        <v>0</v>
      </c>
      <c r="LB6">
        <v>0</v>
      </c>
      <c r="LC6">
        <v>1</v>
      </c>
      <c r="LD6">
        <v>1</v>
      </c>
      <c r="LE6">
        <v>0</v>
      </c>
      <c r="LF6">
        <v>0</v>
      </c>
      <c r="LG6">
        <v>0</v>
      </c>
      <c r="LH6">
        <v>0</v>
      </c>
      <c r="LI6">
        <v>0</v>
      </c>
      <c r="LJ6">
        <v>1</v>
      </c>
      <c r="LK6">
        <v>0</v>
      </c>
      <c r="LL6">
        <v>1</v>
      </c>
      <c r="LM6">
        <v>0</v>
      </c>
      <c r="LN6">
        <v>1</v>
      </c>
      <c r="LO6">
        <v>1</v>
      </c>
      <c r="LP6">
        <v>0</v>
      </c>
      <c r="LQ6">
        <v>0</v>
      </c>
      <c r="LR6">
        <v>1</v>
      </c>
      <c r="LS6">
        <v>0</v>
      </c>
      <c r="LT6">
        <v>1</v>
      </c>
      <c r="LU6">
        <v>1</v>
      </c>
      <c r="LV6">
        <v>0</v>
      </c>
      <c r="LW6">
        <v>1</v>
      </c>
      <c r="LX6">
        <v>1</v>
      </c>
      <c r="LY6">
        <v>0</v>
      </c>
      <c r="LZ6">
        <v>0</v>
      </c>
      <c r="MA6">
        <v>0</v>
      </c>
      <c r="MB6">
        <v>1</v>
      </c>
      <c r="MC6">
        <v>1</v>
      </c>
      <c r="MD6">
        <v>1</v>
      </c>
      <c r="ME6">
        <v>0</v>
      </c>
      <c r="MF6">
        <v>1</v>
      </c>
      <c r="MG6">
        <v>1</v>
      </c>
      <c r="MH6">
        <v>0</v>
      </c>
      <c r="MI6">
        <v>1</v>
      </c>
      <c r="MJ6">
        <v>1</v>
      </c>
      <c r="MK6">
        <v>0</v>
      </c>
      <c r="ML6">
        <v>0</v>
      </c>
      <c r="MM6">
        <v>1</v>
      </c>
      <c r="MN6">
        <v>1</v>
      </c>
      <c r="MO6">
        <v>1</v>
      </c>
      <c r="MP6">
        <v>0</v>
      </c>
      <c r="MQ6">
        <v>0</v>
      </c>
      <c r="MR6">
        <v>0</v>
      </c>
      <c r="MS6">
        <v>1</v>
      </c>
      <c r="MT6">
        <v>1</v>
      </c>
      <c r="MU6">
        <v>1</v>
      </c>
      <c r="MV6">
        <v>1</v>
      </c>
      <c r="MW6">
        <v>0</v>
      </c>
      <c r="MX6">
        <v>1</v>
      </c>
      <c r="MY6">
        <v>1</v>
      </c>
      <c r="MZ6">
        <v>1</v>
      </c>
      <c r="NA6">
        <v>1</v>
      </c>
      <c r="NB6">
        <v>1</v>
      </c>
      <c r="NC6">
        <v>0</v>
      </c>
      <c r="ND6">
        <v>1</v>
      </c>
      <c r="NE6">
        <v>0</v>
      </c>
      <c r="NF6">
        <v>0</v>
      </c>
      <c r="NG6">
        <v>0</v>
      </c>
      <c r="NH6">
        <v>0</v>
      </c>
      <c r="NI6">
        <v>0</v>
      </c>
      <c r="NJ6">
        <v>1</v>
      </c>
      <c r="NK6">
        <v>1</v>
      </c>
      <c r="NL6">
        <v>0</v>
      </c>
      <c r="NM6">
        <v>1</v>
      </c>
      <c r="NN6">
        <v>0</v>
      </c>
      <c r="NO6">
        <v>1</v>
      </c>
      <c r="NP6">
        <v>1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1</v>
      </c>
      <c r="NY6">
        <v>0</v>
      </c>
      <c r="NZ6">
        <v>0</v>
      </c>
      <c r="OA6">
        <v>1</v>
      </c>
      <c r="OB6">
        <v>1</v>
      </c>
      <c r="OC6">
        <v>0</v>
      </c>
      <c r="OD6">
        <v>0</v>
      </c>
      <c r="OE6">
        <v>0</v>
      </c>
      <c r="OF6">
        <v>0</v>
      </c>
      <c r="OG6">
        <v>0</v>
      </c>
      <c r="OH6">
        <v>1</v>
      </c>
      <c r="OI6">
        <v>1</v>
      </c>
      <c r="OJ6">
        <v>0</v>
      </c>
      <c r="OK6">
        <v>1</v>
      </c>
      <c r="OL6">
        <v>0</v>
      </c>
      <c r="OM6">
        <v>0</v>
      </c>
      <c r="ON6">
        <v>0</v>
      </c>
      <c r="OO6">
        <v>1</v>
      </c>
      <c r="OP6">
        <v>0</v>
      </c>
      <c r="OQ6">
        <v>0</v>
      </c>
      <c r="OR6">
        <v>0</v>
      </c>
      <c r="OS6">
        <v>1</v>
      </c>
      <c r="OT6">
        <v>0</v>
      </c>
      <c r="OU6">
        <v>0</v>
      </c>
      <c r="OV6">
        <v>1</v>
      </c>
      <c r="OW6">
        <v>1</v>
      </c>
      <c r="OX6">
        <v>0</v>
      </c>
      <c r="OY6">
        <v>1</v>
      </c>
      <c r="OZ6">
        <v>0</v>
      </c>
      <c r="PA6">
        <v>1</v>
      </c>
      <c r="PB6">
        <v>0</v>
      </c>
      <c r="PC6">
        <v>0</v>
      </c>
      <c r="PD6">
        <v>0</v>
      </c>
      <c r="PE6">
        <v>0</v>
      </c>
      <c r="PF6">
        <v>0</v>
      </c>
      <c r="PG6">
        <v>1</v>
      </c>
      <c r="PH6">
        <v>1</v>
      </c>
      <c r="PI6">
        <v>0</v>
      </c>
      <c r="PJ6">
        <v>1</v>
      </c>
      <c r="PK6">
        <v>1</v>
      </c>
      <c r="PL6">
        <v>1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1</v>
      </c>
      <c r="PU6">
        <v>1</v>
      </c>
      <c r="PV6">
        <v>0</v>
      </c>
    </row>
    <row r="7" spans="1:446" x14ac:dyDescent="0.3">
      <c r="A7" s="31">
        <v>17</v>
      </c>
      <c r="B7" s="28">
        <v>2.33</v>
      </c>
      <c r="C7" s="30">
        <v>39.24</v>
      </c>
      <c r="D7" s="28">
        <v>1.31</v>
      </c>
      <c r="E7" s="34">
        <f t="shared" si="0"/>
        <v>2.6200000000000001E-2</v>
      </c>
      <c r="F7" s="35">
        <f t="shared" si="1"/>
        <v>9.81</v>
      </c>
      <c r="G7" s="34">
        <f t="shared" si="2"/>
        <v>32.75</v>
      </c>
      <c r="H7" s="33">
        <f t="shared" si="3"/>
        <v>17.248927038626608</v>
      </c>
      <c r="I7" s="29">
        <f t="shared" ca="1" si="4"/>
        <v>4</v>
      </c>
      <c r="J7">
        <f ca="1">IF(AND(SUMPRODUCT($J$2:J6,$B$2:B6)&lt;500,SUM(B6,SUMPRODUCT($J$2:J6,$B$2:B6))&lt;500),1,0)</f>
        <v>1</v>
      </c>
      <c r="K7">
        <v>2</v>
      </c>
      <c r="L7">
        <v>1</v>
      </c>
      <c r="N7" s="65" t="s">
        <v>154</v>
      </c>
      <c r="O7" s="63">
        <f>COUNTIFS($W$53:$PV$53,"&gt;=41%",$W$53:$PV$53,"&lt;=50%")</f>
        <v>48</v>
      </c>
      <c r="Q7">
        <v>40</v>
      </c>
      <c r="R7" s="68">
        <f t="shared" si="5"/>
        <v>9.6153846153846159E-2</v>
      </c>
      <c r="S7" t="s">
        <v>165</v>
      </c>
      <c r="V7" s="58"/>
      <c r="W7">
        <v>0</v>
      </c>
      <c r="X7">
        <v>0</v>
      </c>
      <c r="Y7">
        <v>0</v>
      </c>
      <c r="Z7">
        <v>1</v>
      </c>
      <c r="AA7">
        <v>1</v>
      </c>
      <c r="AB7">
        <v>1</v>
      </c>
      <c r="AC7">
        <v>0</v>
      </c>
      <c r="AD7">
        <v>1</v>
      </c>
      <c r="AE7">
        <v>0</v>
      </c>
      <c r="AF7">
        <v>1</v>
      </c>
      <c r="AG7">
        <v>1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1</v>
      </c>
      <c r="AO7">
        <v>0</v>
      </c>
      <c r="AP7">
        <v>0</v>
      </c>
      <c r="AQ7">
        <v>0</v>
      </c>
      <c r="AR7">
        <v>0</v>
      </c>
      <c r="AS7">
        <v>1</v>
      </c>
      <c r="AT7">
        <v>0</v>
      </c>
      <c r="AU7">
        <v>0</v>
      </c>
      <c r="AV7">
        <v>0</v>
      </c>
      <c r="AW7">
        <v>0</v>
      </c>
      <c r="AX7">
        <v>0</v>
      </c>
      <c r="AY7">
        <v>1</v>
      </c>
      <c r="AZ7">
        <v>1</v>
      </c>
      <c r="BA7">
        <v>1</v>
      </c>
      <c r="BB7">
        <v>1</v>
      </c>
      <c r="BC7">
        <v>1</v>
      </c>
      <c r="BD7">
        <v>1</v>
      </c>
      <c r="BE7">
        <v>0</v>
      </c>
      <c r="BF7">
        <v>0</v>
      </c>
      <c r="BG7">
        <v>0</v>
      </c>
      <c r="BH7">
        <v>1</v>
      </c>
      <c r="BI7">
        <v>1</v>
      </c>
      <c r="BJ7">
        <v>1</v>
      </c>
      <c r="BK7">
        <v>0</v>
      </c>
      <c r="BL7">
        <v>0</v>
      </c>
      <c r="BM7">
        <v>1</v>
      </c>
      <c r="BN7">
        <v>0</v>
      </c>
      <c r="BO7">
        <v>1</v>
      </c>
      <c r="BP7">
        <v>0</v>
      </c>
      <c r="BQ7">
        <v>1</v>
      </c>
      <c r="BR7">
        <v>0</v>
      </c>
      <c r="BS7">
        <v>0</v>
      </c>
      <c r="BT7">
        <v>0</v>
      </c>
      <c r="BU7">
        <v>0</v>
      </c>
      <c r="BV7">
        <v>1</v>
      </c>
      <c r="BW7">
        <v>1</v>
      </c>
      <c r="BX7">
        <v>0</v>
      </c>
      <c r="BY7">
        <v>0</v>
      </c>
      <c r="BZ7">
        <v>0</v>
      </c>
      <c r="CA7">
        <v>0</v>
      </c>
      <c r="CB7">
        <v>1</v>
      </c>
      <c r="CC7">
        <v>1</v>
      </c>
      <c r="CD7">
        <v>0</v>
      </c>
      <c r="CE7">
        <v>1</v>
      </c>
      <c r="CF7">
        <v>1</v>
      </c>
      <c r="CG7">
        <v>1</v>
      </c>
      <c r="CH7">
        <v>1</v>
      </c>
      <c r="CI7">
        <v>1</v>
      </c>
      <c r="CJ7">
        <v>0</v>
      </c>
      <c r="CK7">
        <v>0</v>
      </c>
      <c r="CL7">
        <v>1</v>
      </c>
      <c r="CM7">
        <v>1</v>
      </c>
      <c r="CN7">
        <v>1</v>
      </c>
      <c r="CO7">
        <v>1</v>
      </c>
      <c r="CP7">
        <v>0</v>
      </c>
      <c r="CQ7">
        <v>0</v>
      </c>
      <c r="CR7">
        <v>1</v>
      </c>
      <c r="CS7">
        <v>0</v>
      </c>
      <c r="CT7">
        <v>1</v>
      </c>
      <c r="CU7">
        <v>0</v>
      </c>
      <c r="CV7">
        <v>0</v>
      </c>
      <c r="CW7">
        <v>0</v>
      </c>
      <c r="CX7">
        <v>1</v>
      </c>
      <c r="CY7">
        <v>0</v>
      </c>
      <c r="CZ7">
        <v>0</v>
      </c>
      <c r="DA7">
        <v>1</v>
      </c>
      <c r="DB7">
        <v>1</v>
      </c>
      <c r="DC7">
        <v>0</v>
      </c>
      <c r="DD7">
        <v>0</v>
      </c>
      <c r="DE7">
        <v>0</v>
      </c>
      <c r="DF7">
        <v>1</v>
      </c>
      <c r="DG7">
        <v>1</v>
      </c>
      <c r="DH7">
        <v>0</v>
      </c>
      <c r="DI7">
        <v>0</v>
      </c>
      <c r="DJ7">
        <v>0</v>
      </c>
      <c r="DK7">
        <v>0</v>
      </c>
      <c r="DL7">
        <v>1</v>
      </c>
      <c r="DM7">
        <v>0</v>
      </c>
      <c r="DN7">
        <v>0</v>
      </c>
      <c r="DO7">
        <v>0</v>
      </c>
      <c r="DP7">
        <v>0</v>
      </c>
      <c r="DQ7">
        <v>0</v>
      </c>
      <c r="DR7">
        <v>1</v>
      </c>
      <c r="DS7">
        <v>1</v>
      </c>
      <c r="DT7">
        <v>1</v>
      </c>
      <c r="DU7">
        <v>0</v>
      </c>
      <c r="DV7">
        <v>0</v>
      </c>
      <c r="DW7">
        <v>1</v>
      </c>
      <c r="DX7">
        <v>0</v>
      </c>
      <c r="DY7">
        <v>0</v>
      </c>
      <c r="DZ7">
        <v>0</v>
      </c>
      <c r="EA7">
        <v>0</v>
      </c>
      <c r="EB7">
        <v>0</v>
      </c>
      <c r="EC7">
        <v>1</v>
      </c>
      <c r="ED7">
        <v>0</v>
      </c>
      <c r="EE7">
        <v>0</v>
      </c>
      <c r="EF7">
        <v>1</v>
      </c>
      <c r="EG7">
        <v>0</v>
      </c>
      <c r="EH7">
        <v>0</v>
      </c>
      <c r="EI7">
        <v>0</v>
      </c>
      <c r="EJ7">
        <v>0</v>
      </c>
      <c r="EK7">
        <v>1</v>
      </c>
      <c r="EL7">
        <v>1</v>
      </c>
      <c r="EM7">
        <v>1</v>
      </c>
      <c r="EN7">
        <v>0</v>
      </c>
      <c r="EO7">
        <v>1</v>
      </c>
      <c r="EP7">
        <v>0</v>
      </c>
      <c r="EQ7">
        <v>0</v>
      </c>
      <c r="ER7">
        <v>0</v>
      </c>
      <c r="ES7">
        <v>1</v>
      </c>
      <c r="ET7">
        <v>0</v>
      </c>
      <c r="EU7">
        <v>0</v>
      </c>
      <c r="EV7">
        <v>0</v>
      </c>
      <c r="EW7">
        <v>1</v>
      </c>
      <c r="EX7">
        <v>0</v>
      </c>
      <c r="EY7">
        <v>1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1</v>
      </c>
      <c r="FG7">
        <v>1</v>
      </c>
      <c r="FH7">
        <v>0</v>
      </c>
      <c r="FI7">
        <v>0</v>
      </c>
      <c r="FJ7">
        <v>1</v>
      </c>
      <c r="FK7">
        <v>0</v>
      </c>
      <c r="FL7">
        <v>0</v>
      </c>
      <c r="FM7">
        <v>0</v>
      </c>
      <c r="FN7">
        <v>1</v>
      </c>
      <c r="FO7">
        <v>0</v>
      </c>
      <c r="FP7">
        <v>0</v>
      </c>
      <c r="FQ7">
        <v>0</v>
      </c>
      <c r="FR7">
        <v>0</v>
      </c>
      <c r="FS7">
        <v>1</v>
      </c>
      <c r="FT7">
        <v>0</v>
      </c>
      <c r="FU7">
        <v>0</v>
      </c>
      <c r="FV7">
        <v>1</v>
      </c>
      <c r="FW7">
        <v>1</v>
      </c>
      <c r="FX7">
        <v>0</v>
      </c>
      <c r="FY7">
        <v>1</v>
      </c>
      <c r="FZ7">
        <v>1</v>
      </c>
      <c r="GA7">
        <v>1</v>
      </c>
      <c r="GB7">
        <v>0</v>
      </c>
      <c r="GC7">
        <v>0</v>
      </c>
      <c r="GD7">
        <v>0</v>
      </c>
      <c r="GE7">
        <v>0</v>
      </c>
      <c r="GF7">
        <v>0</v>
      </c>
      <c r="GG7">
        <v>1</v>
      </c>
      <c r="GH7">
        <v>0</v>
      </c>
      <c r="GI7">
        <v>0</v>
      </c>
      <c r="GJ7">
        <v>1</v>
      </c>
      <c r="GK7">
        <v>1</v>
      </c>
      <c r="GL7">
        <v>0</v>
      </c>
      <c r="GM7">
        <v>0</v>
      </c>
      <c r="GN7">
        <v>0</v>
      </c>
      <c r="GO7">
        <v>0</v>
      </c>
      <c r="GP7">
        <v>1</v>
      </c>
      <c r="GQ7">
        <v>1</v>
      </c>
      <c r="GR7">
        <v>0</v>
      </c>
      <c r="GS7">
        <v>1</v>
      </c>
      <c r="GT7">
        <v>1</v>
      </c>
      <c r="GU7">
        <v>0</v>
      </c>
      <c r="GV7">
        <v>0</v>
      </c>
      <c r="GW7">
        <v>1</v>
      </c>
      <c r="GX7">
        <v>0</v>
      </c>
      <c r="GY7">
        <v>0</v>
      </c>
      <c r="GZ7">
        <v>0</v>
      </c>
      <c r="HA7">
        <v>0</v>
      </c>
      <c r="HB7">
        <v>0</v>
      </c>
      <c r="HC7">
        <v>1</v>
      </c>
      <c r="HD7">
        <v>0</v>
      </c>
      <c r="HE7">
        <v>0</v>
      </c>
      <c r="HF7">
        <v>1</v>
      </c>
      <c r="HG7">
        <v>0</v>
      </c>
      <c r="HH7">
        <v>0</v>
      </c>
      <c r="HI7">
        <v>1</v>
      </c>
      <c r="HJ7">
        <v>1</v>
      </c>
      <c r="HK7">
        <v>0</v>
      </c>
      <c r="HL7">
        <v>0</v>
      </c>
      <c r="HM7">
        <v>1</v>
      </c>
      <c r="HN7">
        <v>0</v>
      </c>
      <c r="HO7">
        <v>0</v>
      </c>
      <c r="HP7">
        <v>0</v>
      </c>
      <c r="HQ7">
        <v>1</v>
      </c>
      <c r="HR7">
        <v>1</v>
      </c>
      <c r="HS7">
        <v>0</v>
      </c>
      <c r="HT7">
        <v>0</v>
      </c>
      <c r="HU7">
        <v>0</v>
      </c>
      <c r="HV7">
        <v>1</v>
      </c>
      <c r="HW7">
        <v>1</v>
      </c>
      <c r="HX7">
        <v>0</v>
      </c>
      <c r="HY7">
        <v>1</v>
      </c>
      <c r="HZ7">
        <v>0</v>
      </c>
      <c r="IA7">
        <v>0</v>
      </c>
      <c r="IB7">
        <v>1</v>
      </c>
      <c r="IC7">
        <v>0</v>
      </c>
      <c r="ID7">
        <v>1</v>
      </c>
      <c r="IE7">
        <v>1</v>
      </c>
      <c r="IF7">
        <v>0</v>
      </c>
      <c r="IG7">
        <v>1</v>
      </c>
      <c r="IH7">
        <v>0</v>
      </c>
      <c r="II7">
        <v>0</v>
      </c>
      <c r="IJ7">
        <v>1</v>
      </c>
      <c r="IK7">
        <v>0</v>
      </c>
      <c r="IL7">
        <v>1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1</v>
      </c>
      <c r="JE7">
        <v>0</v>
      </c>
      <c r="JF7">
        <v>1</v>
      </c>
      <c r="JG7">
        <v>0</v>
      </c>
      <c r="JH7">
        <v>1</v>
      </c>
      <c r="JI7">
        <v>0</v>
      </c>
      <c r="JJ7">
        <v>0</v>
      </c>
      <c r="JK7">
        <v>1</v>
      </c>
      <c r="JL7">
        <v>0</v>
      </c>
      <c r="JM7">
        <v>0</v>
      </c>
      <c r="JN7">
        <v>0</v>
      </c>
      <c r="JO7">
        <v>0</v>
      </c>
      <c r="JP7">
        <v>1</v>
      </c>
      <c r="JQ7">
        <v>1</v>
      </c>
      <c r="JR7">
        <v>1</v>
      </c>
      <c r="JS7">
        <v>0</v>
      </c>
      <c r="JT7">
        <v>0</v>
      </c>
      <c r="JU7">
        <v>0</v>
      </c>
      <c r="JV7">
        <v>1</v>
      </c>
      <c r="JW7">
        <v>0</v>
      </c>
      <c r="JX7">
        <v>1</v>
      </c>
      <c r="JY7">
        <v>0</v>
      </c>
      <c r="JZ7">
        <v>1</v>
      </c>
      <c r="KA7">
        <v>0</v>
      </c>
      <c r="KB7">
        <v>0</v>
      </c>
      <c r="KC7">
        <v>1</v>
      </c>
      <c r="KD7">
        <v>0</v>
      </c>
      <c r="KE7">
        <v>0</v>
      </c>
      <c r="KF7">
        <v>0</v>
      </c>
      <c r="KG7">
        <v>0</v>
      </c>
      <c r="KH7">
        <v>1</v>
      </c>
      <c r="KI7">
        <v>1</v>
      </c>
      <c r="KJ7">
        <v>0</v>
      </c>
      <c r="KK7">
        <v>1</v>
      </c>
      <c r="KL7">
        <v>0</v>
      </c>
      <c r="KM7">
        <v>1</v>
      </c>
      <c r="KN7">
        <v>1</v>
      </c>
      <c r="KO7">
        <v>1</v>
      </c>
      <c r="KP7">
        <v>0</v>
      </c>
      <c r="KQ7">
        <v>0</v>
      </c>
      <c r="KR7">
        <v>1</v>
      </c>
      <c r="KS7">
        <v>1</v>
      </c>
      <c r="KT7">
        <v>0</v>
      </c>
      <c r="KU7">
        <v>0</v>
      </c>
      <c r="KV7">
        <v>1</v>
      </c>
      <c r="KW7">
        <v>0</v>
      </c>
      <c r="KX7">
        <v>1</v>
      </c>
      <c r="KY7">
        <v>1</v>
      </c>
      <c r="KZ7">
        <v>1</v>
      </c>
      <c r="LA7">
        <v>0</v>
      </c>
      <c r="LB7">
        <v>0</v>
      </c>
      <c r="LC7">
        <v>1</v>
      </c>
      <c r="LD7">
        <v>1</v>
      </c>
      <c r="LE7">
        <v>1</v>
      </c>
      <c r="LF7">
        <v>0</v>
      </c>
      <c r="LG7">
        <v>1</v>
      </c>
      <c r="LH7">
        <v>0</v>
      </c>
      <c r="LI7">
        <v>0</v>
      </c>
      <c r="LJ7">
        <v>0</v>
      </c>
      <c r="LK7">
        <v>1</v>
      </c>
      <c r="LL7">
        <v>1</v>
      </c>
      <c r="LM7">
        <v>1</v>
      </c>
      <c r="LN7">
        <v>0</v>
      </c>
      <c r="LO7">
        <v>1</v>
      </c>
      <c r="LP7">
        <v>1</v>
      </c>
      <c r="LQ7">
        <v>1</v>
      </c>
      <c r="LR7">
        <v>1</v>
      </c>
      <c r="LS7">
        <v>1</v>
      </c>
      <c r="LT7">
        <v>1</v>
      </c>
      <c r="LU7">
        <v>1</v>
      </c>
      <c r="LV7">
        <v>0</v>
      </c>
      <c r="LW7">
        <v>1</v>
      </c>
      <c r="LX7">
        <v>1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1</v>
      </c>
      <c r="MF7">
        <v>0</v>
      </c>
      <c r="MG7">
        <v>1</v>
      </c>
      <c r="MH7">
        <v>0</v>
      </c>
      <c r="MI7">
        <v>0</v>
      </c>
      <c r="MJ7">
        <v>0</v>
      </c>
      <c r="MK7">
        <v>1</v>
      </c>
      <c r="ML7">
        <v>1</v>
      </c>
      <c r="MM7">
        <v>0</v>
      </c>
      <c r="MN7">
        <v>1</v>
      </c>
      <c r="MO7">
        <v>0</v>
      </c>
      <c r="MP7">
        <v>0</v>
      </c>
      <c r="MQ7">
        <v>0</v>
      </c>
      <c r="MR7">
        <v>0</v>
      </c>
      <c r="MS7">
        <v>0</v>
      </c>
      <c r="MT7">
        <v>1</v>
      </c>
      <c r="MU7">
        <v>1</v>
      </c>
      <c r="MV7">
        <v>0</v>
      </c>
      <c r="MW7">
        <v>0</v>
      </c>
      <c r="MX7">
        <v>0</v>
      </c>
      <c r="MY7">
        <v>1</v>
      </c>
      <c r="MZ7">
        <v>1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1</v>
      </c>
      <c r="NJ7">
        <v>0</v>
      </c>
      <c r="NK7">
        <v>1</v>
      </c>
      <c r="NL7">
        <v>0</v>
      </c>
      <c r="NM7">
        <v>1</v>
      </c>
      <c r="NN7">
        <v>0</v>
      </c>
      <c r="NO7">
        <v>1</v>
      </c>
      <c r="NP7">
        <v>1</v>
      </c>
      <c r="NQ7">
        <v>0</v>
      </c>
      <c r="NR7">
        <v>1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1</v>
      </c>
      <c r="OA7">
        <v>0</v>
      </c>
      <c r="OB7">
        <v>0</v>
      </c>
      <c r="OC7">
        <v>1</v>
      </c>
      <c r="OD7">
        <v>0</v>
      </c>
      <c r="OE7">
        <v>0</v>
      </c>
      <c r="OF7">
        <v>0</v>
      </c>
      <c r="OG7">
        <v>1</v>
      </c>
      <c r="OH7">
        <v>1</v>
      </c>
      <c r="OI7">
        <v>1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1</v>
      </c>
      <c r="OQ7">
        <v>0</v>
      </c>
      <c r="OR7">
        <v>0</v>
      </c>
      <c r="OS7">
        <v>1</v>
      </c>
      <c r="OT7">
        <v>0</v>
      </c>
      <c r="OU7">
        <v>0</v>
      </c>
      <c r="OV7">
        <v>1</v>
      </c>
      <c r="OW7">
        <v>1</v>
      </c>
      <c r="OX7">
        <v>0</v>
      </c>
      <c r="OY7">
        <v>0</v>
      </c>
      <c r="OZ7">
        <v>0</v>
      </c>
      <c r="PA7">
        <v>0</v>
      </c>
      <c r="PB7">
        <v>0</v>
      </c>
      <c r="PC7">
        <v>1</v>
      </c>
      <c r="PD7">
        <v>1</v>
      </c>
      <c r="PE7">
        <v>0</v>
      </c>
      <c r="PF7">
        <v>0</v>
      </c>
      <c r="PG7">
        <v>0</v>
      </c>
      <c r="PH7">
        <v>0</v>
      </c>
      <c r="PI7">
        <v>1</v>
      </c>
      <c r="PJ7">
        <v>0</v>
      </c>
      <c r="PK7">
        <v>0</v>
      </c>
      <c r="PL7">
        <v>1</v>
      </c>
      <c r="PM7">
        <v>0</v>
      </c>
      <c r="PN7">
        <v>0</v>
      </c>
      <c r="PO7">
        <v>1</v>
      </c>
      <c r="PP7">
        <v>0</v>
      </c>
      <c r="PQ7">
        <v>1</v>
      </c>
      <c r="PR7">
        <v>0</v>
      </c>
      <c r="PS7">
        <v>1</v>
      </c>
      <c r="PT7">
        <v>0</v>
      </c>
      <c r="PU7">
        <v>1</v>
      </c>
      <c r="PV7">
        <v>0</v>
      </c>
    </row>
    <row r="8" spans="1:446" x14ac:dyDescent="0.3">
      <c r="A8" s="31">
        <v>18</v>
      </c>
      <c r="B8" s="28">
        <v>5.73</v>
      </c>
      <c r="C8" s="30">
        <v>96.91</v>
      </c>
      <c r="D8" s="28">
        <v>3.03</v>
      </c>
      <c r="E8" s="34">
        <f t="shared" si="0"/>
        <v>6.0599999999999994E-2</v>
      </c>
      <c r="F8" s="35">
        <f t="shared" si="1"/>
        <v>24.227499999999999</v>
      </c>
      <c r="G8" s="34">
        <f t="shared" si="2"/>
        <v>75.75</v>
      </c>
      <c r="H8" s="33">
        <f t="shared" si="3"/>
        <v>13.223821989528796</v>
      </c>
      <c r="I8" s="29">
        <f t="shared" ca="1" si="4"/>
        <v>3</v>
      </c>
      <c r="J8">
        <f ca="1">IF(AND(SUMPRODUCT($J$2:J7,$B$2:B7)&lt;500,SUM(B7,SUMPRODUCT($J$2:J7,$B$2:B7))&lt;500),1,0)</f>
        <v>1</v>
      </c>
      <c r="K8">
        <v>4</v>
      </c>
      <c r="L8">
        <v>1</v>
      </c>
      <c r="N8" s="65" t="s">
        <v>155</v>
      </c>
      <c r="O8" s="63">
        <f>COUNTIFS($W$53:$PV$53,"&gt;=51%",$W$53:$PV$53,"&lt;=60%")</f>
        <v>49</v>
      </c>
      <c r="Q8">
        <v>34</v>
      </c>
      <c r="R8" s="68">
        <f t="shared" si="5"/>
        <v>8.1730769230769232E-2</v>
      </c>
      <c r="S8" t="s">
        <v>166</v>
      </c>
      <c r="V8" s="58"/>
      <c r="W8">
        <v>1</v>
      </c>
      <c r="X8">
        <v>0</v>
      </c>
      <c r="Y8">
        <v>0</v>
      </c>
      <c r="Z8">
        <v>1</v>
      </c>
      <c r="AA8">
        <v>0</v>
      </c>
      <c r="AB8">
        <v>1</v>
      </c>
      <c r="AC8">
        <v>0</v>
      </c>
      <c r="AD8">
        <v>1</v>
      </c>
      <c r="AE8">
        <v>0</v>
      </c>
      <c r="AF8">
        <v>0</v>
      </c>
      <c r="AG8">
        <v>1</v>
      </c>
      <c r="AH8">
        <v>0</v>
      </c>
      <c r="AI8">
        <v>0</v>
      </c>
      <c r="AJ8">
        <v>0</v>
      </c>
      <c r="AK8">
        <v>0</v>
      </c>
      <c r="AL8">
        <v>0</v>
      </c>
      <c r="AM8">
        <v>1</v>
      </c>
      <c r="AN8">
        <v>0</v>
      </c>
      <c r="AO8">
        <v>0</v>
      </c>
      <c r="AP8">
        <v>0</v>
      </c>
      <c r="AQ8">
        <v>0</v>
      </c>
      <c r="AR8">
        <v>0</v>
      </c>
      <c r="AS8">
        <v>1</v>
      </c>
      <c r="AT8">
        <v>0</v>
      </c>
      <c r="AU8">
        <v>0</v>
      </c>
      <c r="AV8">
        <v>1</v>
      </c>
      <c r="AW8">
        <v>0</v>
      </c>
      <c r="AX8">
        <v>0</v>
      </c>
      <c r="AY8">
        <v>0</v>
      </c>
      <c r="AZ8">
        <v>1</v>
      </c>
      <c r="BA8">
        <v>1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1</v>
      </c>
      <c r="BL8">
        <v>0</v>
      </c>
      <c r="BM8">
        <v>0</v>
      </c>
      <c r="BN8">
        <v>1</v>
      </c>
      <c r="BO8">
        <v>1</v>
      </c>
      <c r="BP8">
        <v>0</v>
      </c>
      <c r="BQ8">
        <v>0</v>
      </c>
      <c r="BR8">
        <v>0</v>
      </c>
      <c r="BS8">
        <v>1</v>
      </c>
      <c r="BT8">
        <v>0</v>
      </c>
      <c r="BU8">
        <v>1</v>
      </c>
      <c r="BV8">
        <v>1</v>
      </c>
      <c r="BW8">
        <v>1</v>
      </c>
      <c r="BX8">
        <v>0</v>
      </c>
      <c r="BY8">
        <v>0</v>
      </c>
      <c r="BZ8">
        <v>0</v>
      </c>
      <c r="CA8">
        <v>1</v>
      </c>
      <c r="CB8">
        <v>1</v>
      </c>
      <c r="CC8">
        <v>0</v>
      </c>
      <c r="CD8">
        <v>1</v>
      </c>
      <c r="CE8">
        <v>1</v>
      </c>
      <c r="CF8">
        <v>1</v>
      </c>
      <c r="CG8">
        <v>1</v>
      </c>
      <c r="CH8">
        <v>0</v>
      </c>
      <c r="CI8">
        <v>1</v>
      </c>
      <c r="CJ8">
        <v>0</v>
      </c>
      <c r="CK8">
        <v>1</v>
      </c>
      <c r="CL8">
        <v>0</v>
      </c>
      <c r="CM8">
        <v>0</v>
      </c>
      <c r="CN8">
        <v>1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1</v>
      </c>
      <c r="CV8">
        <v>0</v>
      </c>
      <c r="CW8">
        <v>0</v>
      </c>
      <c r="CX8">
        <v>1</v>
      </c>
      <c r="CY8">
        <v>0</v>
      </c>
      <c r="CZ8">
        <v>0</v>
      </c>
      <c r="DA8">
        <v>1</v>
      </c>
      <c r="DB8">
        <v>0</v>
      </c>
      <c r="DC8">
        <v>0</v>
      </c>
      <c r="DD8">
        <v>0</v>
      </c>
      <c r="DE8">
        <v>1</v>
      </c>
      <c r="DF8">
        <v>1</v>
      </c>
      <c r="DG8">
        <v>0</v>
      </c>
      <c r="DH8">
        <v>0</v>
      </c>
      <c r="DI8">
        <v>1</v>
      </c>
      <c r="DJ8">
        <v>0</v>
      </c>
      <c r="DK8">
        <v>1</v>
      </c>
      <c r="DL8">
        <v>1</v>
      </c>
      <c r="DM8">
        <v>0</v>
      </c>
      <c r="DN8">
        <v>0</v>
      </c>
      <c r="DO8">
        <v>0</v>
      </c>
      <c r="DP8">
        <v>1</v>
      </c>
      <c r="DQ8">
        <v>0</v>
      </c>
      <c r="DR8">
        <v>1</v>
      </c>
      <c r="DS8">
        <v>0</v>
      </c>
      <c r="DT8">
        <v>1</v>
      </c>
      <c r="DU8">
        <v>0</v>
      </c>
      <c r="DV8">
        <v>0</v>
      </c>
      <c r="DW8">
        <v>0</v>
      </c>
      <c r="DX8">
        <v>0</v>
      </c>
      <c r="DY8">
        <v>0</v>
      </c>
      <c r="DZ8">
        <v>1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1</v>
      </c>
      <c r="EL8">
        <v>0</v>
      </c>
      <c r="EM8">
        <v>1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1</v>
      </c>
      <c r="EW8">
        <v>0</v>
      </c>
      <c r="EX8">
        <v>0</v>
      </c>
      <c r="EY8">
        <v>1</v>
      </c>
      <c r="EZ8">
        <v>1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1</v>
      </c>
      <c r="FJ8">
        <v>1</v>
      </c>
      <c r="FK8">
        <v>1</v>
      </c>
      <c r="FL8">
        <v>0</v>
      </c>
      <c r="FM8">
        <v>0</v>
      </c>
      <c r="FN8">
        <v>0</v>
      </c>
      <c r="FO8">
        <v>1</v>
      </c>
      <c r="FP8">
        <v>0</v>
      </c>
      <c r="FQ8">
        <v>0</v>
      </c>
      <c r="FR8">
        <v>0</v>
      </c>
      <c r="FS8">
        <v>0</v>
      </c>
      <c r="FT8">
        <v>0</v>
      </c>
      <c r="FU8">
        <v>1</v>
      </c>
      <c r="FV8">
        <v>1</v>
      </c>
      <c r="FW8">
        <v>1</v>
      </c>
      <c r="FX8">
        <v>0</v>
      </c>
      <c r="FY8">
        <v>1</v>
      </c>
      <c r="FZ8">
        <v>0</v>
      </c>
      <c r="GA8">
        <v>1</v>
      </c>
      <c r="GB8">
        <v>0</v>
      </c>
      <c r="GC8">
        <v>0</v>
      </c>
      <c r="GD8">
        <v>0</v>
      </c>
      <c r="GE8">
        <v>0</v>
      </c>
      <c r="GF8">
        <v>0</v>
      </c>
      <c r="GG8">
        <v>1</v>
      </c>
      <c r="GH8">
        <v>1</v>
      </c>
      <c r="GI8">
        <v>1</v>
      </c>
      <c r="GJ8">
        <v>1</v>
      </c>
      <c r="GK8">
        <v>1</v>
      </c>
      <c r="GL8">
        <v>1</v>
      </c>
      <c r="GM8">
        <v>1</v>
      </c>
      <c r="GN8">
        <v>0</v>
      </c>
      <c r="GO8">
        <v>0</v>
      </c>
      <c r="GP8">
        <v>1</v>
      </c>
      <c r="GQ8">
        <v>1</v>
      </c>
      <c r="GR8">
        <v>0</v>
      </c>
      <c r="GS8">
        <v>1</v>
      </c>
      <c r="GT8">
        <v>1</v>
      </c>
      <c r="GU8">
        <v>0</v>
      </c>
      <c r="GV8">
        <v>0</v>
      </c>
      <c r="GW8">
        <v>0</v>
      </c>
      <c r="GX8">
        <v>0</v>
      </c>
      <c r="GY8">
        <v>1</v>
      </c>
      <c r="GZ8">
        <v>0</v>
      </c>
      <c r="HA8">
        <v>0</v>
      </c>
      <c r="HB8">
        <v>0</v>
      </c>
      <c r="HC8">
        <v>0</v>
      </c>
      <c r="HD8">
        <v>1</v>
      </c>
      <c r="HE8">
        <v>0</v>
      </c>
      <c r="HF8">
        <v>1</v>
      </c>
      <c r="HG8">
        <v>0</v>
      </c>
      <c r="HH8">
        <v>0</v>
      </c>
      <c r="HI8">
        <v>0</v>
      </c>
      <c r="HJ8">
        <v>1</v>
      </c>
      <c r="HK8">
        <v>0</v>
      </c>
      <c r="HL8">
        <v>0</v>
      </c>
      <c r="HM8">
        <v>1</v>
      </c>
      <c r="HN8">
        <v>0</v>
      </c>
      <c r="HO8">
        <v>1</v>
      </c>
      <c r="HP8">
        <v>0</v>
      </c>
      <c r="HQ8">
        <v>0</v>
      </c>
      <c r="HR8">
        <v>1</v>
      </c>
      <c r="HS8">
        <v>0</v>
      </c>
      <c r="HT8">
        <v>0</v>
      </c>
      <c r="HU8">
        <v>1</v>
      </c>
      <c r="HV8">
        <v>0</v>
      </c>
      <c r="HW8">
        <v>1</v>
      </c>
      <c r="HX8">
        <v>0</v>
      </c>
      <c r="HY8">
        <v>0</v>
      </c>
      <c r="HZ8">
        <v>0</v>
      </c>
      <c r="IA8">
        <v>1</v>
      </c>
      <c r="IB8">
        <v>0</v>
      </c>
      <c r="IC8">
        <v>0</v>
      </c>
      <c r="ID8">
        <v>1</v>
      </c>
      <c r="IE8">
        <v>1</v>
      </c>
      <c r="IF8">
        <v>0</v>
      </c>
      <c r="IG8">
        <v>0</v>
      </c>
      <c r="IH8">
        <v>0</v>
      </c>
      <c r="II8">
        <v>0</v>
      </c>
      <c r="IJ8">
        <v>1</v>
      </c>
      <c r="IK8">
        <v>0</v>
      </c>
      <c r="IL8">
        <v>1</v>
      </c>
      <c r="IM8">
        <v>1</v>
      </c>
      <c r="IN8">
        <v>1</v>
      </c>
      <c r="IO8">
        <v>0</v>
      </c>
      <c r="IP8">
        <v>1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1</v>
      </c>
      <c r="IX8">
        <v>1</v>
      </c>
      <c r="IY8">
        <v>0</v>
      </c>
      <c r="IZ8">
        <v>1</v>
      </c>
      <c r="JA8">
        <v>0</v>
      </c>
      <c r="JB8">
        <v>0</v>
      </c>
      <c r="JC8">
        <v>1</v>
      </c>
      <c r="JD8">
        <v>1</v>
      </c>
      <c r="JE8">
        <v>1</v>
      </c>
      <c r="JF8">
        <v>1</v>
      </c>
      <c r="JG8">
        <v>1</v>
      </c>
      <c r="JH8">
        <v>1</v>
      </c>
      <c r="JI8">
        <v>1</v>
      </c>
      <c r="JJ8">
        <v>0</v>
      </c>
      <c r="JK8">
        <v>1</v>
      </c>
      <c r="JL8">
        <v>0</v>
      </c>
      <c r="JM8">
        <v>1</v>
      </c>
      <c r="JN8">
        <v>0</v>
      </c>
      <c r="JO8">
        <v>0</v>
      </c>
      <c r="JP8">
        <v>1</v>
      </c>
      <c r="JQ8">
        <v>0</v>
      </c>
      <c r="JR8">
        <v>0</v>
      </c>
      <c r="JS8">
        <v>0</v>
      </c>
      <c r="JT8">
        <v>0</v>
      </c>
      <c r="JU8">
        <v>0</v>
      </c>
      <c r="JV8">
        <v>1</v>
      </c>
      <c r="JW8">
        <v>0</v>
      </c>
      <c r="JX8">
        <v>1</v>
      </c>
      <c r="JY8">
        <v>0</v>
      </c>
      <c r="JZ8">
        <v>1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1</v>
      </c>
      <c r="KI8">
        <v>0</v>
      </c>
      <c r="KJ8">
        <v>1</v>
      </c>
      <c r="KK8">
        <v>1</v>
      </c>
      <c r="KL8">
        <v>0</v>
      </c>
      <c r="KM8">
        <v>0</v>
      </c>
      <c r="KN8">
        <v>0</v>
      </c>
      <c r="KO8">
        <v>1</v>
      </c>
      <c r="KP8">
        <v>0</v>
      </c>
      <c r="KQ8">
        <v>0</v>
      </c>
      <c r="KR8">
        <v>0</v>
      </c>
      <c r="KS8">
        <v>0</v>
      </c>
      <c r="KT8">
        <v>1</v>
      </c>
      <c r="KU8">
        <v>0</v>
      </c>
      <c r="KV8">
        <v>0</v>
      </c>
      <c r="KW8">
        <v>0</v>
      </c>
      <c r="KX8">
        <v>1</v>
      </c>
      <c r="KY8">
        <v>0</v>
      </c>
      <c r="KZ8">
        <v>1</v>
      </c>
      <c r="LA8">
        <v>0</v>
      </c>
      <c r="LB8">
        <v>0</v>
      </c>
      <c r="LC8">
        <v>0</v>
      </c>
      <c r="LD8">
        <v>1</v>
      </c>
      <c r="LE8">
        <v>1</v>
      </c>
      <c r="LF8">
        <v>1</v>
      </c>
      <c r="LG8">
        <v>0</v>
      </c>
      <c r="LH8">
        <v>1</v>
      </c>
      <c r="LI8">
        <v>1</v>
      </c>
      <c r="LJ8">
        <v>1</v>
      </c>
      <c r="LK8">
        <v>1</v>
      </c>
      <c r="LL8">
        <v>1</v>
      </c>
      <c r="LM8">
        <v>0</v>
      </c>
      <c r="LN8">
        <v>1</v>
      </c>
      <c r="LO8">
        <v>1</v>
      </c>
      <c r="LP8">
        <v>0</v>
      </c>
      <c r="LQ8">
        <v>1</v>
      </c>
      <c r="LR8">
        <v>0</v>
      </c>
      <c r="LS8">
        <v>1</v>
      </c>
      <c r="LT8">
        <v>0</v>
      </c>
      <c r="LU8">
        <v>1</v>
      </c>
      <c r="LV8">
        <v>0</v>
      </c>
      <c r="LW8">
        <v>1</v>
      </c>
      <c r="LX8">
        <v>1</v>
      </c>
      <c r="LY8">
        <v>0</v>
      </c>
      <c r="LZ8">
        <v>1</v>
      </c>
      <c r="MA8">
        <v>1</v>
      </c>
      <c r="MB8">
        <v>1</v>
      </c>
      <c r="MC8">
        <v>1</v>
      </c>
      <c r="MD8">
        <v>1</v>
      </c>
      <c r="ME8">
        <v>0</v>
      </c>
      <c r="MF8">
        <v>1</v>
      </c>
      <c r="MG8">
        <v>1</v>
      </c>
      <c r="MH8">
        <v>0</v>
      </c>
      <c r="MI8">
        <v>1</v>
      </c>
      <c r="MJ8">
        <v>1</v>
      </c>
      <c r="MK8">
        <v>0</v>
      </c>
      <c r="ML8">
        <v>1</v>
      </c>
      <c r="MM8">
        <v>1</v>
      </c>
      <c r="MN8">
        <v>1</v>
      </c>
      <c r="MO8">
        <v>1</v>
      </c>
      <c r="MP8">
        <v>0</v>
      </c>
      <c r="MQ8">
        <v>1</v>
      </c>
      <c r="MR8">
        <v>1</v>
      </c>
      <c r="MS8">
        <v>1</v>
      </c>
      <c r="MT8">
        <v>1</v>
      </c>
      <c r="MU8">
        <v>1</v>
      </c>
      <c r="MV8">
        <v>0</v>
      </c>
      <c r="MW8">
        <v>1</v>
      </c>
      <c r="MX8">
        <v>1</v>
      </c>
      <c r="MY8">
        <v>1</v>
      </c>
      <c r="MZ8">
        <v>1</v>
      </c>
      <c r="NA8">
        <v>0</v>
      </c>
      <c r="NB8">
        <v>0</v>
      </c>
      <c r="NC8">
        <v>0</v>
      </c>
      <c r="ND8">
        <v>1</v>
      </c>
      <c r="NE8">
        <v>1</v>
      </c>
      <c r="NF8">
        <v>1</v>
      </c>
      <c r="NG8">
        <v>1</v>
      </c>
      <c r="NH8">
        <v>0</v>
      </c>
      <c r="NI8">
        <v>0</v>
      </c>
      <c r="NJ8">
        <v>0</v>
      </c>
      <c r="NK8">
        <v>1</v>
      </c>
      <c r="NL8">
        <v>1</v>
      </c>
      <c r="NM8">
        <v>1</v>
      </c>
      <c r="NN8">
        <v>1</v>
      </c>
      <c r="NO8">
        <v>1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1</v>
      </c>
      <c r="NY8">
        <v>0</v>
      </c>
      <c r="NZ8">
        <v>1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1</v>
      </c>
      <c r="OI8">
        <v>1</v>
      </c>
      <c r="OJ8">
        <v>1</v>
      </c>
      <c r="OK8">
        <v>1</v>
      </c>
      <c r="OL8">
        <v>0</v>
      </c>
      <c r="OM8">
        <v>1</v>
      </c>
      <c r="ON8">
        <v>0</v>
      </c>
      <c r="OO8">
        <v>0</v>
      </c>
      <c r="OP8">
        <v>0</v>
      </c>
      <c r="OQ8">
        <v>0</v>
      </c>
      <c r="OR8">
        <v>0</v>
      </c>
      <c r="OS8">
        <v>1</v>
      </c>
      <c r="OT8">
        <v>0</v>
      </c>
      <c r="OU8">
        <v>0</v>
      </c>
      <c r="OV8">
        <v>1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1</v>
      </c>
      <c r="PD8">
        <v>0</v>
      </c>
      <c r="PE8">
        <v>0</v>
      </c>
      <c r="PF8">
        <v>0</v>
      </c>
      <c r="PG8">
        <v>1</v>
      </c>
      <c r="PH8">
        <v>0</v>
      </c>
      <c r="PI8">
        <v>1</v>
      </c>
      <c r="PJ8">
        <v>0</v>
      </c>
      <c r="PK8">
        <v>1</v>
      </c>
      <c r="PL8">
        <v>0</v>
      </c>
      <c r="PM8">
        <v>0</v>
      </c>
      <c r="PN8">
        <v>1</v>
      </c>
      <c r="PO8">
        <v>0</v>
      </c>
      <c r="PP8">
        <v>0</v>
      </c>
      <c r="PQ8">
        <v>0</v>
      </c>
      <c r="PR8">
        <v>0</v>
      </c>
      <c r="PS8">
        <v>0</v>
      </c>
      <c r="PT8">
        <v>1</v>
      </c>
      <c r="PU8">
        <v>1</v>
      </c>
      <c r="PV8">
        <v>0</v>
      </c>
    </row>
    <row r="9" spans="1:446" x14ac:dyDescent="0.3">
      <c r="A9" s="31">
        <v>19</v>
      </c>
      <c r="B9" s="28">
        <v>1.58</v>
      </c>
      <c r="C9" s="30">
        <v>17.510000000000002</v>
      </c>
      <c r="D9" s="28">
        <v>2.56</v>
      </c>
      <c r="E9" s="34">
        <f t="shared" si="0"/>
        <v>5.1200000000000002E-2</v>
      </c>
      <c r="F9" s="35">
        <f t="shared" si="1"/>
        <v>4.3775000000000004</v>
      </c>
      <c r="G9" s="34">
        <f t="shared" si="2"/>
        <v>64</v>
      </c>
      <c r="H9" s="33">
        <f t="shared" si="3"/>
        <v>13.052215189873417</v>
      </c>
      <c r="I9" s="29">
        <f t="shared" ca="1" si="4"/>
        <v>2</v>
      </c>
      <c r="J9">
        <f ca="1">IF(AND(SUMPRODUCT($J$2:J8,$B$2:B8)&lt;500,SUM(B8,SUMPRODUCT($J$2:J8,$B$2:B8))&lt;500),1,0)</f>
        <v>1</v>
      </c>
      <c r="K9">
        <v>1</v>
      </c>
      <c r="L9">
        <v>1</v>
      </c>
      <c r="N9" s="65" t="s">
        <v>156</v>
      </c>
      <c r="O9" s="63">
        <f>COUNTIFS($W$53:$PV$53,"&gt;=61%",$W$53:$PV$53,"&lt;=70%")</f>
        <v>40</v>
      </c>
      <c r="Q9">
        <v>10</v>
      </c>
      <c r="R9" s="68">
        <f t="shared" si="5"/>
        <v>2.403846153846154E-2</v>
      </c>
      <c r="S9" t="s">
        <v>166</v>
      </c>
      <c r="V9" s="58"/>
      <c r="W9">
        <v>0</v>
      </c>
      <c r="X9">
        <v>0</v>
      </c>
      <c r="Y9">
        <v>0</v>
      </c>
      <c r="Z9">
        <v>1</v>
      </c>
      <c r="AA9">
        <v>0</v>
      </c>
      <c r="AB9">
        <v>0</v>
      </c>
      <c r="AC9">
        <v>0</v>
      </c>
      <c r="AD9">
        <v>1</v>
      </c>
      <c r="AE9">
        <v>0</v>
      </c>
      <c r="AF9">
        <v>0</v>
      </c>
      <c r="AG9">
        <v>1</v>
      </c>
      <c r="AH9">
        <v>0</v>
      </c>
      <c r="AI9">
        <v>0</v>
      </c>
      <c r="AJ9">
        <v>0</v>
      </c>
      <c r="AK9">
        <v>0</v>
      </c>
      <c r="AL9">
        <v>1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1</v>
      </c>
      <c r="AT9">
        <v>1</v>
      </c>
      <c r="AU9">
        <v>1</v>
      </c>
      <c r="AV9">
        <v>1</v>
      </c>
      <c r="AW9">
        <v>0</v>
      </c>
      <c r="AX9">
        <v>0</v>
      </c>
      <c r="AY9">
        <v>0</v>
      </c>
      <c r="AZ9">
        <v>1</v>
      </c>
      <c r="BA9">
        <v>1</v>
      </c>
      <c r="BB9">
        <v>0</v>
      </c>
      <c r="BC9">
        <v>0</v>
      </c>
      <c r="BD9">
        <v>1</v>
      </c>
      <c r="BE9">
        <v>0</v>
      </c>
      <c r="BF9">
        <v>0</v>
      </c>
      <c r="BG9">
        <v>0</v>
      </c>
      <c r="BH9">
        <v>0</v>
      </c>
      <c r="BI9">
        <v>1</v>
      </c>
      <c r="BJ9">
        <v>1</v>
      </c>
      <c r="BK9">
        <v>1</v>
      </c>
      <c r="BL9">
        <v>0</v>
      </c>
      <c r="BM9">
        <v>0</v>
      </c>
      <c r="BN9">
        <v>1</v>
      </c>
      <c r="BO9">
        <v>1</v>
      </c>
      <c r="BP9">
        <v>0</v>
      </c>
      <c r="BQ9">
        <v>0</v>
      </c>
      <c r="BR9">
        <v>0</v>
      </c>
      <c r="BS9">
        <v>0</v>
      </c>
      <c r="BT9">
        <v>1</v>
      </c>
      <c r="BU9">
        <v>1</v>
      </c>
      <c r="BV9">
        <v>1</v>
      </c>
      <c r="BW9">
        <v>1</v>
      </c>
      <c r="BX9">
        <v>0</v>
      </c>
      <c r="BY9">
        <v>0</v>
      </c>
      <c r="BZ9">
        <v>0</v>
      </c>
      <c r="CA9">
        <v>1</v>
      </c>
      <c r="CB9">
        <v>0</v>
      </c>
      <c r="CC9">
        <v>1</v>
      </c>
      <c r="CD9">
        <v>0</v>
      </c>
      <c r="CE9">
        <v>1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1</v>
      </c>
      <c r="CN9">
        <v>1</v>
      </c>
      <c r="CO9">
        <v>0</v>
      </c>
      <c r="CP9">
        <v>0</v>
      </c>
      <c r="CQ9">
        <v>0</v>
      </c>
      <c r="CR9">
        <v>1</v>
      </c>
      <c r="CS9">
        <v>0</v>
      </c>
      <c r="CT9">
        <v>0</v>
      </c>
      <c r="CU9">
        <v>1</v>
      </c>
      <c r="CV9">
        <v>0</v>
      </c>
      <c r="CW9">
        <v>1</v>
      </c>
      <c r="CX9">
        <v>1</v>
      </c>
      <c r="CY9">
        <v>1</v>
      </c>
      <c r="CZ9">
        <v>0</v>
      </c>
      <c r="DA9">
        <v>0</v>
      </c>
      <c r="DB9">
        <v>1</v>
      </c>
      <c r="DC9">
        <v>0</v>
      </c>
      <c r="DD9">
        <v>0</v>
      </c>
      <c r="DE9">
        <v>1</v>
      </c>
      <c r="DF9">
        <v>1</v>
      </c>
      <c r="DG9">
        <v>1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1</v>
      </c>
      <c r="DO9">
        <v>0</v>
      </c>
      <c r="DP9">
        <v>1</v>
      </c>
      <c r="DQ9">
        <v>0</v>
      </c>
      <c r="DR9">
        <v>0</v>
      </c>
      <c r="DS9">
        <v>0</v>
      </c>
      <c r="DT9">
        <v>1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1</v>
      </c>
      <c r="EC9">
        <v>1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1</v>
      </c>
      <c r="EL9">
        <v>0</v>
      </c>
      <c r="EM9">
        <v>1</v>
      </c>
      <c r="EN9">
        <v>0</v>
      </c>
      <c r="EO9">
        <v>0</v>
      </c>
      <c r="EP9">
        <v>0</v>
      </c>
      <c r="EQ9">
        <v>0</v>
      </c>
      <c r="ER9">
        <v>1</v>
      </c>
      <c r="ES9">
        <v>1</v>
      </c>
      <c r="ET9">
        <v>0</v>
      </c>
      <c r="EU9">
        <v>1</v>
      </c>
      <c r="EV9">
        <v>0</v>
      </c>
      <c r="EW9">
        <v>0</v>
      </c>
      <c r="EX9">
        <v>1</v>
      </c>
      <c r="EY9">
        <v>0</v>
      </c>
      <c r="EZ9">
        <v>1</v>
      </c>
      <c r="FA9">
        <v>1</v>
      </c>
      <c r="FB9">
        <v>1</v>
      </c>
      <c r="FC9">
        <v>0</v>
      </c>
      <c r="FD9">
        <v>0</v>
      </c>
      <c r="FE9">
        <v>0</v>
      </c>
      <c r="FF9">
        <v>1</v>
      </c>
      <c r="FG9">
        <v>0</v>
      </c>
      <c r="FH9">
        <v>1</v>
      </c>
      <c r="FI9">
        <v>1</v>
      </c>
      <c r="FJ9">
        <v>1</v>
      </c>
      <c r="FK9">
        <v>1</v>
      </c>
      <c r="FL9">
        <v>0</v>
      </c>
      <c r="FM9">
        <v>1</v>
      </c>
      <c r="FN9">
        <v>0</v>
      </c>
      <c r="FO9">
        <v>1</v>
      </c>
      <c r="FP9">
        <v>0</v>
      </c>
      <c r="FQ9">
        <v>0</v>
      </c>
      <c r="FR9">
        <v>0</v>
      </c>
      <c r="FS9">
        <v>1</v>
      </c>
      <c r="FT9">
        <v>0</v>
      </c>
      <c r="FU9">
        <v>1</v>
      </c>
      <c r="FV9">
        <v>1</v>
      </c>
      <c r="FW9">
        <v>0</v>
      </c>
      <c r="FX9">
        <v>0</v>
      </c>
      <c r="FY9">
        <v>1</v>
      </c>
      <c r="FZ9">
        <v>1</v>
      </c>
      <c r="GA9">
        <v>1</v>
      </c>
      <c r="GB9">
        <v>0</v>
      </c>
      <c r="GC9">
        <v>0</v>
      </c>
      <c r="GD9">
        <v>1</v>
      </c>
      <c r="GE9">
        <v>0</v>
      </c>
      <c r="GF9">
        <v>0</v>
      </c>
      <c r="GG9">
        <v>1</v>
      </c>
      <c r="GH9">
        <v>1</v>
      </c>
      <c r="GI9">
        <v>0</v>
      </c>
      <c r="GJ9">
        <v>1</v>
      </c>
      <c r="GK9">
        <v>0</v>
      </c>
      <c r="GL9">
        <v>0</v>
      </c>
      <c r="GM9">
        <v>1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1</v>
      </c>
      <c r="GU9">
        <v>0</v>
      </c>
      <c r="GV9">
        <v>0</v>
      </c>
      <c r="GW9">
        <v>0</v>
      </c>
      <c r="GX9">
        <v>1</v>
      </c>
      <c r="GY9">
        <v>0</v>
      </c>
      <c r="GZ9">
        <v>0</v>
      </c>
      <c r="HA9">
        <v>0</v>
      </c>
      <c r="HB9">
        <v>1</v>
      </c>
      <c r="HC9">
        <v>0</v>
      </c>
      <c r="HD9">
        <v>1</v>
      </c>
      <c r="HE9">
        <v>0</v>
      </c>
      <c r="HF9">
        <v>1</v>
      </c>
      <c r="HG9">
        <v>0</v>
      </c>
      <c r="HH9">
        <v>0</v>
      </c>
      <c r="HI9">
        <v>0</v>
      </c>
      <c r="HJ9">
        <v>1</v>
      </c>
      <c r="HK9">
        <v>0</v>
      </c>
      <c r="HL9">
        <v>0</v>
      </c>
      <c r="HM9">
        <v>1</v>
      </c>
      <c r="HN9">
        <v>0</v>
      </c>
      <c r="HO9">
        <v>1</v>
      </c>
      <c r="HP9">
        <v>0</v>
      </c>
      <c r="HQ9">
        <v>1</v>
      </c>
      <c r="HR9">
        <v>0</v>
      </c>
      <c r="HS9">
        <v>1</v>
      </c>
      <c r="HT9">
        <v>0</v>
      </c>
      <c r="HU9">
        <v>1</v>
      </c>
      <c r="HV9">
        <v>1</v>
      </c>
      <c r="HW9">
        <v>1</v>
      </c>
      <c r="HX9">
        <v>1</v>
      </c>
      <c r="HY9">
        <v>1</v>
      </c>
      <c r="HZ9">
        <v>0</v>
      </c>
      <c r="IA9">
        <v>0</v>
      </c>
      <c r="IB9">
        <v>0</v>
      </c>
      <c r="IC9">
        <v>0</v>
      </c>
      <c r="ID9">
        <v>1</v>
      </c>
      <c r="IE9">
        <v>1</v>
      </c>
      <c r="IF9">
        <v>0</v>
      </c>
      <c r="IG9">
        <v>0</v>
      </c>
      <c r="IH9">
        <v>1</v>
      </c>
      <c r="II9">
        <v>0</v>
      </c>
      <c r="IJ9">
        <v>0</v>
      </c>
      <c r="IK9">
        <v>0</v>
      </c>
      <c r="IL9">
        <v>1</v>
      </c>
      <c r="IM9">
        <v>0</v>
      </c>
      <c r="IN9">
        <v>0</v>
      </c>
      <c r="IO9">
        <v>0</v>
      </c>
      <c r="IP9">
        <v>1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1</v>
      </c>
      <c r="IX9">
        <v>1</v>
      </c>
      <c r="IY9">
        <v>0</v>
      </c>
      <c r="IZ9">
        <v>1</v>
      </c>
      <c r="JA9">
        <v>1</v>
      </c>
      <c r="JB9">
        <v>0</v>
      </c>
      <c r="JC9">
        <v>1</v>
      </c>
      <c r="JD9">
        <v>1</v>
      </c>
      <c r="JE9">
        <v>0</v>
      </c>
      <c r="JF9">
        <v>0</v>
      </c>
      <c r="JG9">
        <v>1</v>
      </c>
      <c r="JH9">
        <v>1</v>
      </c>
      <c r="JI9">
        <v>0</v>
      </c>
      <c r="JJ9">
        <v>1</v>
      </c>
      <c r="JK9">
        <v>1</v>
      </c>
      <c r="JL9">
        <v>0</v>
      </c>
      <c r="JM9">
        <v>1</v>
      </c>
      <c r="JN9">
        <v>0</v>
      </c>
      <c r="JO9">
        <v>0</v>
      </c>
      <c r="JP9">
        <v>1</v>
      </c>
      <c r="JQ9">
        <v>0</v>
      </c>
      <c r="JR9">
        <v>1</v>
      </c>
      <c r="JS9">
        <v>0</v>
      </c>
      <c r="JT9">
        <v>0</v>
      </c>
      <c r="JU9">
        <v>0</v>
      </c>
      <c r="JV9">
        <v>0</v>
      </c>
      <c r="JW9">
        <v>1</v>
      </c>
      <c r="JX9">
        <v>1</v>
      </c>
      <c r="JY9">
        <v>1</v>
      </c>
      <c r="JZ9">
        <v>1</v>
      </c>
      <c r="KA9">
        <v>0</v>
      </c>
      <c r="KB9">
        <v>0</v>
      </c>
      <c r="KC9">
        <v>0</v>
      </c>
      <c r="KD9">
        <v>0</v>
      </c>
      <c r="KE9">
        <v>1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1</v>
      </c>
      <c r="KN9">
        <v>0</v>
      </c>
      <c r="KO9">
        <v>1</v>
      </c>
      <c r="KP9">
        <v>0</v>
      </c>
      <c r="KQ9">
        <v>1</v>
      </c>
      <c r="KR9">
        <v>0</v>
      </c>
      <c r="KS9">
        <v>1</v>
      </c>
      <c r="KT9">
        <v>1</v>
      </c>
      <c r="KU9">
        <v>0</v>
      </c>
      <c r="KV9">
        <v>1</v>
      </c>
      <c r="KW9">
        <v>0</v>
      </c>
      <c r="KX9">
        <v>1</v>
      </c>
      <c r="KY9">
        <v>0</v>
      </c>
      <c r="KZ9">
        <v>1</v>
      </c>
      <c r="LA9">
        <v>0</v>
      </c>
      <c r="LB9">
        <v>0</v>
      </c>
      <c r="LC9">
        <v>0</v>
      </c>
      <c r="LD9">
        <v>0</v>
      </c>
      <c r="LE9">
        <v>1</v>
      </c>
      <c r="LF9">
        <v>1</v>
      </c>
      <c r="LG9">
        <v>0</v>
      </c>
      <c r="LH9">
        <v>0</v>
      </c>
      <c r="LI9">
        <v>0</v>
      </c>
      <c r="LJ9">
        <v>0</v>
      </c>
      <c r="LK9">
        <v>1</v>
      </c>
      <c r="LL9">
        <v>1</v>
      </c>
      <c r="LM9">
        <v>1</v>
      </c>
      <c r="LN9">
        <v>1</v>
      </c>
      <c r="LO9">
        <v>0</v>
      </c>
      <c r="LP9">
        <v>0</v>
      </c>
      <c r="LQ9">
        <v>1</v>
      </c>
      <c r="LR9">
        <v>0</v>
      </c>
      <c r="LS9">
        <v>1</v>
      </c>
      <c r="LT9">
        <v>1</v>
      </c>
      <c r="LU9">
        <v>0</v>
      </c>
      <c r="LV9">
        <v>0</v>
      </c>
      <c r="LW9">
        <v>1</v>
      </c>
      <c r="LX9">
        <v>0</v>
      </c>
      <c r="LY9">
        <v>0</v>
      </c>
      <c r="LZ9">
        <v>0</v>
      </c>
      <c r="MA9">
        <v>1</v>
      </c>
      <c r="MB9">
        <v>0</v>
      </c>
      <c r="MC9">
        <v>1</v>
      </c>
      <c r="MD9">
        <v>0</v>
      </c>
      <c r="ME9">
        <v>0</v>
      </c>
      <c r="MF9">
        <v>1</v>
      </c>
      <c r="MG9">
        <v>1</v>
      </c>
      <c r="MH9">
        <v>0</v>
      </c>
      <c r="MI9">
        <v>0</v>
      </c>
      <c r="MJ9">
        <v>1</v>
      </c>
      <c r="MK9">
        <v>0</v>
      </c>
      <c r="ML9">
        <v>0</v>
      </c>
      <c r="MM9">
        <v>1</v>
      </c>
      <c r="MN9">
        <v>1</v>
      </c>
      <c r="MO9">
        <v>0</v>
      </c>
      <c r="MP9">
        <v>0</v>
      </c>
      <c r="MQ9">
        <v>0</v>
      </c>
      <c r="MR9">
        <v>0</v>
      </c>
      <c r="MS9">
        <v>1</v>
      </c>
      <c r="MT9">
        <v>0</v>
      </c>
      <c r="MU9">
        <v>0</v>
      </c>
      <c r="MV9">
        <v>0</v>
      </c>
      <c r="MW9">
        <v>0</v>
      </c>
      <c r="MX9">
        <v>0</v>
      </c>
      <c r="MY9">
        <v>1</v>
      </c>
      <c r="MZ9">
        <v>1</v>
      </c>
      <c r="NA9">
        <v>1</v>
      </c>
      <c r="NB9">
        <v>0</v>
      </c>
      <c r="NC9">
        <v>0</v>
      </c>
      <c r="ND9">
        <v>1</v>
      </c>
      <c r="NE9">
        <v>0</v>
      </c>
      <c r="NF9">
        <v>0</v>
      </c>
      <c r="NG9">
        <v>0</v>
      </c>
      <c r="NH9">
        <v>0</v>
      </c>
      <c r="NI9">
        <v>0</v>
      </c>
      <c r="NJ9">
        <v>1</v>
      </c>
      <c r="NK9">
        <v>1</v>
      </c>
      <c r="NL9">
        <v>0</v>
      </c>
      <c r="NM9">
        <v>0</v>
      </c>
      <c r="NN9">
        <v>1</v>
      </c>
      <c r="NO9">
        <v>0</v>
      </c>
      <c r="NP9">
        <v>1</v>
      </c>
      <c r="NQ9">
        <v>0</v>
      </c>
      <c r="NR9">
        <v>0</v>
      </c>
      <c r="NS9">
        <v>1</v>
      </c>
      <c r="NT9">
        <v>0</v>
      </c>
      <c r="NU9">
        <v>0</v>
      </c>
      <c r="NV9">
        <v>0</v>
      </c>
      <c r="NW9">
        <v>0</v>
      </c>
      <c r="NX9">
        <v>1</v>
      </c>
      <c r="NY9">
        <v>0</v>
      </c>
      <c r="NZ9">
        <v>1</v>
      </c>
      <c r="OA9">
        <v>1</v>
      </c>
      <c r="OB9">
        <v>0</v>
      </c>
      <c r="OC9">
        <v>0</v>
      </c>
      <c r="OD9">
        <v>0</v>
      </c>
      <c r="OE9">
        <v>0</v>
      </c>
      <c r="OF9">
        <v>0</v>
      </c>
      <c r="OG9">
        <v>0</v>
      </c>
      <c r="OH9">
        <v>0</v>
      </c>
      <c r="OI9">
        <v>0</v>
      </c>
      <c r="OJ9">
        <v>0</v>
      </c>
      <c r="OK9">
        <v>1</v>
      </c>
      <c r="OL9">
        <v>0</v>
      </c>
      <c r="OM9">
        <v>1</v>
      </c>
      <c r="ON9">
        <v>1</v>
      </c>
      <c r="OO9">
        <v>0</v>
      </c>
      <c r="OP9">
        <v>1</v>
      </c>
      <c r="OQ9">
        <v>1</v>
      </c>
      <c r="OR9">
        <v>0</v>
      </c>
      <c r="OS9">
        <v>1</v>
      </c>
      <c r="OT9">
        <v>0</v>
      </c>
      <c r="OU9">
        <v>0</v>
      </c>
      <c r="OV9">
        <v>0</v>
      </c>
      <c r="OW9">
        <v>0</v>
      </c>
      <c r="OX9">
        <v>0</v>
      </c>
      <c r="OY9">
        <v>0</v>
      </c>
      <c r="OZ9">
        <v>0</v>
      </c>
      <c r="PA9">
        <v>1</v>
      </c>
      <c r="PB9">
        <v>0</v>
      </c>
      <c r="PC9">
        <v>0</v>
      </c>
      <c r="PD9">
        <v>1</v>
      </c>
      <c r="PE9">
        <v>0</v>
      </c>
      <c r="PF9">
        <v>0</v>
      </c>
      <c r="PG9">
        <v>1</v>
      </c>
      <c r="PH9">
        <v>0</v>
      </c>
      <c r="PI9">
        <v>1</v>
      </c>
      <c r="PJ9">
        <v>1</v>
      </c>
      <c r="PK9">
        <v>1</v>
      </c>
      <c r="PL9">
        <v>0</v>
      </c>
      <c r="PM9">
        <v>0</v>
      </c>
      <c r="PN9">
        <v>0</v>
      </c>
      <c r="PO9">
        <v>0</v>
      </c>
      <c r="PP9">
        <v>0</v>
      </c>
      <c r="PQ9">
        <v>1</v>
      </c>
      <c r="PR9">
        <v>0</v>
      </c>
      <c r="PS9">
        <v>0</v>
      </c>
      <c r="PT9">
        <v>1</v>
      </c>
      <c r="PU9">
        <v>1</v>
      </c>
      <c r="PV9">
        <v>0</v>
      </c>
    </row>
    <row r="10" spans="1:446" x14ac:dyDescent="0.3">
      <c r="A10" s="31">
        <v>23</v>
      </c>
      <c r="B10" s="28">
        <v>6.09</v>
      </c>
      <c r="C10" s="30">
        <v>5.1100000000000003</v>
      </c>
      <c r="D10" s="28">
        <v>1.27</v>
      </c>
      <c r="E10" s="34">
        <f t="shared" si="0"/>
        <v>2.5399999999999999E-2</v>
      </c>
      <c r="F10" s="35">
        <f t="shared" si="1"/>
        <v>1.2775000000000001</v>
      </c>
      <c r="G10" s="34">
        <f t="shared" si="2"/>
        <v>31.75</v>
      </c>
      <c r="H10" s="33">
        <f t="shared" si="3"/>
        <v>3.895320197044335</v>
      </c>
      <c r="I10" s="29">
        <f t="shared" ca="1" si="4"/>
        <v>0</v>
      </c>
      <c r="J10">
        <f ca="1">IF(AND(SUMPRODUCT($J$2:J9,$B$2:B9)&lt;500,SUM(B9,SUMPRODUCT($J$2:J9,$B$2:B9))&lt;500),1,0)</f>
        <v>0</v>
      </c>
      <c r="K10">
        <v>1</v>
      </c>
      <c r="L10">
        <v>0</v>
      </c>
      <c r="N10" s="65" t="s">
        <v>157</v>
      </c>
      <c r="O10" s="63">
        <f>COUNTIFS($W$53:$PV$53,"&gt;=71%",$W$53:$PV$53,"&lt;=80%")</f>
        <v>34</v>
      </c>
      <c r="Q10">
        <v>6</v>
      </c>
      <c r="R10" s="68">
        <f t="shared" si="5"/>
        <v>1.4423076923076924E-2</v>
      </c>
      <c r="S10" t="s">
        <v>166</v>
      </c>
      <c r="V10" s="58"/>
      <c r="W10">
        <v>0</v>
      </c>
      <c r="X10">
        <v>0</v>
      </c>
      <c r="Y10">
        <v>0</v>
      </c>
      <c r="Z10">
        <v>1</v>
      </c>
      <c r="AA10">
        <v>1</v>
      </c>
      <c r="AB10">
        <v>1</v>
      </c>
      <c r="AC10">
        <v>0</v>
      </c>
      <c r="AD10">
        <v>1</v>
      </c>
      <c r="AE10">
        <v>0</v>
      </c>
      <c r="AF10">
        <v>1</v>
      </c>
      <c r="AG10">
        <v>1</v>
      </c>
      <c r="AH10">
        <v>0</v>
      </c>
      <c r="AI10">
        <v>0</v>
      </c>
      <c r="AJ10">
        <v>0</v>
      </c>
      <c r="AK10">
        <v>0</v>
      </c>
      <c r="AL10">
        <v>1</v>
      </c>
      <c r="AM10">
        <v>1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1</v>
      </c>
      <c r="AT10">
        <v>1</v>
      </c>
      <c r="AU10">
        <v>0</v>
      </c>
      <c r="AV10">
        <v>1</v>
      </c>
      <c r="AW10">
        <v>0</v>
      </c>
      <c r="AX10">
        <v>0</v>
      </c>
      <c r="AY10">
        <v>1</v>
      </c>
      <c r="AZ10">
        <v>1</v>
      </c>
      <c r="BA10">
        <v>0</v>
      </c>
      <c r="BB10">
        <v>0</v>
      </c>
      <c r="BC10">
        <v>1</v>
      </c>
      <c r="BD10">
        <v>0</v>
      </c>
      <c r="BE10">
        <v>0</v>
      </c>
      <c r="BF10">
        <v>0</v>
      </c>
      <c r="BG10">
        <v>0</v>
      </c>
      <c r="BH10">
        <v>1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1</v>
      </c>
      <c r="BO10">
        <v>1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1</v>
      </c>
      <c r="BV10">
        <v>1</v>
      </c>
      <c r="BW10">
        <v>0</v>
      </c>
      <c r="BX10">
        <v>0</v>
      </c>
      <c r="BY10">
        <v>0</v>
      </c>
      <c r="BZ10">
        <v>1</v>
      </c>
      <c r="CA10">
        <v>0</v>
      </c>
      <c r="CB10">
        <v>1</v>
      </c>
      <c r="CC10">
        <v>1</v>
      </c>
      <c r="CD10">
        <v>0</v>
      </c>
      <c r="CE10">
        <v>1</v>
      </c>
      <c r="CF10">
        <v>1</v>
      </c>
      <c r="CG10">
        <v>0</v>
      </c>
      <c r="CH10">
        <v>0</v>
      </c>
      <c r="CI10">
        <v>1</v>
      </c>
      <c r="CJ10">
        <v>0</v>
      </c>
      <c r="CK10">
        <v>0</v>
      </c>
      <c r="CL10">
        <v>0</v>
      </c>
      <c r="CM10">
        <v>1</v>
      </c>
      <c r="CN10">
        <v>1</v>
      </c>
      <c r="CO10">
        <v>1</v>
      </c>
      <c r="CP10">
        <v>0</v>
      </c>
      <c r="CQ10">
        <v>0</v>
      </c>
      <c r="CR10">
        <v>1</v>
      </c>
      <c r="CS10">
        <v>0</v>
      </c>
      <c r="CT10">
        <v>0</v>
      </c>
      <c r="CU10">
        <v>0</v>
      </c>
      <c r="CV10">
        <v>0</v>
      </c>
      <c r="CW10">
        <v>1</v>
      </c>
      <c r="CX10">
        <v>1</v>
      </c>
      <c r="CY10">
        <v>1</v>
      </c>
      <c r="CZ10">
        <v>0</v>
      </c>
      <c r="DA10">
        <v>0</v>
      </c>
      <c r="DB10">
        <v>1</v>
      </c>
      <c r="DC10">
        <v>0</v>
      </c>
      <c r="DD10">
        <v>0</v>
      </c>
      <c r="DE10">
        <v>0</v>
      </c>
      <c r="DF10">
        <v>1</v>
      </c>
      <c r="DG10">
        <v>1</v>
      </c>
      <c r="DH10">
        <v>0</v>
      </c>
      <c r="DI10">
        <v>1</v>
      </c>
      <c r="DJ10">
        <v>0</v>
      </c>
      <c r="DK10">
        <v>1</v>
      </c>
      <c r="DL10">
        <v>0</v>
      </c>
      <c r="DM10">
        <v>0</v>
      </c>
      <c r="DN10">
        <v>0</v>
      </c>
      <c r="DO10">
        <v>0</v>
      </c>
      <c r="DP10">
        <v>1</v>
      </c>
      <c r="DQ10">
        <v>0</v>
      </c>
      <c r="DR10">
        <v>0</v>
      </c>
      <c r="DS10">
        <v>1</v>
      </c>
      <c r="DT10">
        <v>1</v>
      </c>
      <c r="DU10">
        <v>0</v>
      </c>
      <c r="DV10">
        <v>0</v>
      </c>
      <c r="DW10">
        <v>0</v>
      </c>
      <c r="DX10">
        <v>1</v>
      </c>
      <c r="DY10">
        <v>0</v>
      </c>
      <c r="DZ10">
        <v>0</v>
      </c>
      <c r="EA10">
        <v>0</v>
      </c>
      <c r="EB10">
        <v>0</v>
      </c>
      <c r="EC10">
        <v>1</v>
      </c>
      <c r="ED10">
        <v>0</v>
      </c>
      <c r="EE10">
        <v>1</v>
      </c>
      <c r="EF10">
        <v>1</v>
      </c>
      <c r="EG10">
        <v>0</v>
      </c>
      <c r="EH10">
        <v>0</v>
      </c>
      <c r="EI10">
        <v>1</v>
      </c>
      <c r="EJ10">
        <v>0</v>
      </c>
      <c r="EK10">
        <v>1</v>
      </c>
      <c r="EL10">
        <v>0</v>
      </c>
      <c r="EM10">
        <v>1</v>
      </c>
      <c r="EN10">
        <v>1</v>
      </c>
      <c r="EO10">
        <v>1</v>
      </c>
      <c r="EP10">
        <v>1</v>
      </c>
      <c r="EQ10">
        <v>0</v>
      </c>
      <c r="ER10">
        <v>1</v>
      </c>
      <c r="ES10">
        <v>1</v>
      </c>
      <c r="ET10">
        <v>1</v>
      </c>
      <c r="EU10">
        <v>0</v>
      </c>
      <c r="EV10">
        <v>1</v>
      </c>
      <c r="EW10">
        <v>0</v>
      </c>
      <c r="EX10">
        <v>1</v>
      </c>
      <c r="EY10">
        <v>1</v>
      </c>
      <c r="EZ10">
        <v>0</v>
      </c>
      <c r="FA10">
        <v>1</v>
      </c>
      <c r="FB10">
        <v>0</v>
      </c>
      <c r="FC10">
        <v>1</v>
      </c>
      <c r="FD10">
        <v>0</v>
      </c>
      <c r="FE10">
        <v>0</v>
      </c>
      <c r="FF10">
        <v>1</v>
      </c>
      <c r="FG10">
        <v>1</v>
      </c>
      <c r="FH10">
        <v>0</v>
      </c>
      <c r="FI10">
        <v>1</v>
      </c>
      <c r="FJ10">
        <v>1</v>
      </c>
      <c r="FK10">
        <v>1</v>
      </c>
      <c r="FL10">
        <v>0</v>
      </c>
      <c r="FM10">
        <v>1</v>
      </c>
      <c r="FN10">
        <v>0</v>
      </c>
      <c r="FO10">
        <v>1</v>
      </c>
      <c r="FP10">
        <v>1</v>
      </c>
      <c r="FQ10">
        <v>0</v>
      </c>
      <c r="FR10">
        <v>0</v>
      </c>
      <c r="FS10">
        <v>1</v>
      </c>
      <c r="FT10">
        <v>1</v>
      </c>
      <c r="FU10">
        <v>0</v>
      </c>
      <c r="FV10">
        <v>1</v>
      </c>
      <c r="FW10">
        <v>1</v>
      </c>
      <c r="FX10">
        <v>0</v>
      </c>
      <c r="FY10">
        <v>1</v>
      </c>
      <c r="FZ10">
        <v>0</v>
      </c>
      <c r="GA10">
        <v>0</v>
      </c>
      <c r="GB10">
        <v>0</v>
      </c>
      <c r="GC10">
        <v>0</v>
      </c>
      <c r="GD10">
        <v>1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1</v>
      </c>
      <c r="GK10">
        <v>1</v>
      </c>
      <c r="GL10">
        <v>0</v>
      </c>
      <c r="GM10">
        <v>1</v>
      </c>
      <c r="GN10">
        <v>0</v>
      </c>
      <c r="GO10">
        <v>0</v>
      </c>
      <c r="GP10">
        <v>0</v>
      </c>
      <c r="GQ10">
        <v>1</v>
      </c>
      <c r="GR10">
        <v>1</v>
      </c>
      <c r="GS10">
        <v>1</v>
      </c>
      <c r="GT10">
        <v>1</v>
      </c>
      <c r="GU10">
        <v>0</v>
      </c>
      <c r="GV10">
        <v>1</v>
      </c>
      <c r="GW10">
        <v>1</v>
      </c>
      <c r="GX10">
        <v>0</v>
      </c>
      <c r="GY10">
        <v>0</v>
      </c>
      <c r="GZ10">
        <v>0</v>
      </c>
      <c r="HA10">
        <v>1</v>
      </c>
      <c r="HB10">
        <v>0</v>
      </c>
      <c r="HC10">
        <v>0</v>
      </c>
      <c r="HD10">
        <v>0</v>
      </c>
      <c r="HE10">
        <v>0</v>
      </c>
      <c r="HF10">
        <v>1</v>
      </c>
      <c r="HG10">
        <v>0</v>
      </c>
      <c r="HH10">
        <v>0</v>
      </c>
      <c r="HI10">
        <v>1</v>
      </c>
      <c r="HJ10">
        <v>1</v>
      </c>
      <c r="HK10">
        <v>0</v>
      </c>
      <c r="HL10">
        <v>1</v>
      </c>
      <c r="HM10">
        <v>1</v>
      </c>
      <c r="HN10">
        <v>0</v>
      </c>
      <c r="HO10">
        <v>0</v>
      </c>
      <c r="HP10">
        <v>0</v>
      </c>
      <c r="HQ10">
        <v>0</v>
      </c>
      <c r="HR10">
        <v>1</v>
      </c>
      <c r="HS10">
        <v>0</v>
      </c>
      <c r="HT10">
        <v>0</v>
      </c>
      <c r="HU10">
        <v>1</v>
      </c>
      <c r="HV10">
        <v>0</v>
      </c>
      <c r="HW10">
        <v>1</v>
      </c>
      <c r="HX10">
        <v>0</v>
      </c>
      <c r="HY10">
        <v>0</v>
      </c>
      <c r="HZ10">
        <v>1</v>
      </c>
      <c r="IA10">
        <v>1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1</v>
      </c>
      <c r="IK10">
        <v>0</v>
      </c>
      <c r="IL10">
        <v>1</v>
      </c>
      <c r="IM10">
        <v>0</v>
      </c>
      <c r="IN10">
        <v>1</v>
      </c>
      <c r="IO10">
        <v>0</v>
      </c>
      <c r="IP10">
        <v>1</v>
      </c>
      <c r="IQ10">
        <v>0</v>
      </c>
      <c r="IR10">
        <v>0</v>
      </c>
      <c r="IS10">
        <v>1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1</v>
      </c>
      <c r="JA10">
        <v>1</v>
      </c>
      <c r="JB10">
        <v>1</v>
      </c>
      <c r="JC10">
        <v>1</v>
      </c>
      <c r="JD10">
        <v>1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1</v>
      </c>
      <c r="JN10">
        <v>0</v>
      </c>
      <c r="JO10">
        <v>0</v>
      </c>
      <c r="JP10">
        <v>1</v>
      </c>
      <c r="JQ10">
        <v>0</v>
      </c>
      <c r="JR10">
        <v>1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1</v>
      </c>
      <c r="JZ10">
        <v>1</v>
      </c>
      <c r="KA10">
        <v>0</v>
      </c>
      <c r="KB10">
        <v>1</v>
      </c>
      <c r="KC10">
        <v>1</v>
      </c>
      <c r="KD10">
        <v>0</v>
      </c>
      <c r="KE10">
        <v>1</v>
      </c>
      <c r="KF10">
        <v>0</v>
      </c>
      <c r="KG10">
        <v>0</v>
      </c>
      <c r="KH10">
        <v>1</v>
      </c>
      <c r="KI10">
        <v>0</v>
      </c>
      <c r="KJ10">
        <v>1</v>
      </c>
      <c r="KK10">
        <v>0</v>
      </c>
      <c r="KL10">
        <v>1</v>
      </c>
      <c r="KM10">
        <v>1</v>
      </c>
      <c r="KN10">
        <v>0</v>
      </c>
      <c r="KO10">
        <v>0</v>
      </c>
      <c r="KP10">
        <v>1</v>
      </c>
      <c r="KQ10">
        <v>1</v>
      </c>
      <c r="KR10">
        <v>1</v>
      </c>
      <c r="KS10">
        <v>1</v>
      </c>
      <c r="KT10">
        <v>0</v>
      </c>
      <c r="KU10">
        <v>1</v>
      </c>
      <c r="KV10">
        <v>0</v>
      </c>
      <c r="KW10">
        <v>0</v>
      </c>
      <c r="KX10">
        <v>0</v>
      </c>
      <c r="KY10">
        <v>1</v>
      </c>
      <c r="KZ10">
        <v>1</v>
      </c>
      <c r="LA10">
        <v>0</v>
      </c>
      <c r="LB10">
        <v>0</v>
      </c>
      <c r="LC10">
        <v>0</v>
      </c>
      <c r="LD10">
        <v>0</v>
      </c>
      <c r="LE10">
        <v>1</v>
      </c>
      <c r="LF10">
        <v>1</v>
      </c>
      <c r="LG10">
        <v>0</v>
      </c>
      <c r="LH10">
        <v>1</v>
      </c>
      <c r="LI10">
        <v>0</v>
      </c>
      <c r="LJ10">
        <v>1</v>
      </c>
      <c r="LK10">
        <v>0</v>
      </c>
      <c r="LL10">
        <v>1</v>
      </c>
      <c r="LM10">
        <v>0</v>
      </c>
      <c r="LN10">
        <v>0</v>
      </c>
      <c r="LO10">
        <v>0</v>
      </c>
      <c r="LP10">
        <v>0</v>
      </c>
      <c r="LQ10">
        <v>0</v>
      </c>
      <c r="LR10">
        <v>1</v>
      </c>
      <c r="LS10">
        <v>0</v>
      </c>
      <c r="LT10">
        <v>0</v>
      </c>
      <c r="LU10">
        <v>1</v>
      </c>
      <c r="LV10">
        <v>0</v>
      </c>
      <c r="LW10">
        <v>1</v>
      </c>
      <c r="LX10">
        <v>0</v>
      </c>
      <c r="LY10">
        <v>0</v>
      </c>
      <c r="LZ10">
        <v>0</v>
      </c>
      <c r="MA10">
        <v>0</v>
      </c>
      <c r="MB10">
        <v>1</v>
      </c>
      <c r="MC10">
        <v>1</v>
      </c>
      <c r="MD10">
        <v>0</v>
      </c>
      <c r="ME10">
        <v>0</v>
      </c>
      <c r="MF10">
        <v>1</v>
      </c>
      <c r="MG10">
        <v>1</v>
      </c>
      <c r="MH10">
        <v>0</v>
      </c>
      <c r="MI10">
        <v>1</v>
      </c>
      <c r="MJ10">
        <v>1</v>
      </c>
      <c r="MK10">
        <v>0</v>
      </c>
      <c r="ML10">
        <v>0</v>
      </c>
      <c r="MM10">
        <v>1</v>
      </c>
      <c r="MN10">
        <v>1</v>
      </c>
      <c r="MO10">
        <v>0</v>
      </c>
      <c r="MP10">
        <v>0</v>
      </c>
      <c r="MQ10">
        <v>1</v>
      </c>
      <c r="MR10">
        <v>0</v>
      </c>
      <c r="MS10">
        <v>0</v>
      </c>
      <c r="MT10">
        <v>1</v>
      </c>
      <c r="MU10">
        <v>0</v>
      </c>
      <c r="MV10">
        <v>0</v>
      </c>
      <c r="MW10">
        <v>1</v>
      </c>
      <c r="MX10">
        <v>0</v>
      </c>
      <c r="MY10">
        <v>1</v>
      </c>
      <c r="MZ10">
        <v>1</v>
      </c>
      <c r="NA10">
        <v>0</v>
      </c>
      <c r="NB10">
        <v>1</v>
      </c>
      <c r="NC10">
        <v>0</v>
      </c>
      <c r="ND10">
        <v>0</v>
      </c>
      <c r="NE10">
        <v>0</v>
      </c>
      <c r="NF10">
        <v>0</v>
      </c>
      <c r="NG10">
        <v>1</v>
      </c>
      <c r="NH10">
        <v>0</v>
      </c>
      <c r="NI10">
        <v>1</v>
      </c>
      <c r="NJ10">
        <v>0</v>
      </c>
      <c r="NK10">
        <v>1</v>
      </c>
      <c r="NL10">
        <v>1</v>
      </c>
      <c r="NM10">
        <v>1</v>
      </c>
      <c r="NN10">
        <v>0</v>
      </c>
      <c r="NO10">
        <v>0</v>
      </c>
      <c r="NP10">
        <v>1</v>
      </c>
      <c r="NQ10">
        <v>0</v>
      </c>
      <c r="NR10">
        <v>0</v>
      </c>
      <c r="NS10">
        <v>0</v>
      </c>
      <c r="NT10">
        <v>1</v>
      </c>
      <c r="NU10">
        <v>0</v>
      </c>
      <c r="NV10">
        <v>0</v>
      </c>
      <c r="NW10">
        <v>0</v>
      </c>
      <c r="NX10">
        <v>0</v>
      </c>
      <c r="NY10">
        <v>1</v>
      </c>
      <c r="NZ10">
        <v>0</v>
      </c>
      <c r="OA10">
        <v>1</v>
      </c>
      <c r="OB10">
        <v>0</v>
      </c>
      <c r="OC10">
        <v>1</v>
      </c>
      <c r="OD10">
        <v>0</v>
      </c>
      <c r="OE10">
        <v>1</v>
      </c>
      <c r="OF10">
        <v>0</v>
      </c>
      <c r="OG10">
        <v>1</v>
      </c>
      <c r="OH10">
        <v>0</v>
      </c>
      <c r="OI10">
        <v>1</v>
      </c>
      <c r="OJ10">
        <v>1</v>
      </c>
      <c r="OK10">
        <v>1</v>
      </c>
      <c r="OL10">
        <v>0</v>
      </c>
      <c r="OM10">
        <v>0</v>
      </c>
      <c r="ON10">
        <v>0</v>
      </c>
      <c r="OO10">
        <v>0</v>
      </c>
      <c r="OP10">
        <v>1</v>
      </c>
      <c r="OQ10">
        <v>0</v>
      </c>
      <c r="OR10">
        <v>0</v>
      </c>
      <c r="OS10">
        <v>1</v>
      </c>
      <c r="OT10">
        <v>0</v>
      </c>
      <c r="OU10">
        <v>0</v>
      </c>
      <c r="OV10">
        <v>1</v>
      </c>
      <c r="OW10">
        <v>1</v>
      </c>
      <c r="OX10">
        <v>0</v>
      </c>
      <c r="OY10">
        <v>0</v>
      </c>
      <c r="OZ10">
        <v>0</v>
      </c>
      <c r="PA10">
        <v>0</v>
      </c>
      <c r="PB10">
        <v>0</v>
      </c>
      <c r="PC10">
        <v>0</v>
      </c>
      <c r="PD10">
        <v>0</v>
      </c>
      <c r="PE10">
        <v>0</v>
      </c>
      <c r="PF10">
        <v>0</v>
      </c>
      <c r="PG10">
        <v>0</v>
      </c>
      <c r="PH10">
        <v>0</v>
      </c>
      <c r="PI10">
        <v>0</v>
      </c>
      <c r="PJ10">
        <v>1</v>
      </c>
      <c r="PK10">
        <v>1</v>
      </c>
      <c r="PL10">
        <v>0</v>
      </c>
      <c r="PM10">
        <v>0</v>
      </c>
      <c r="PN10">
        <v>0</v>
      </c>
      <c r="PO10">
        <v>0</v>
      </c>
      <c r="PP10">
        <v>0</v>
      </c>
      <c r="PQ10">
        <v>0</v>
      </c>
      <c r="PR10">
        <v>1</v>
      </c>
      <c r="PS10">
        <v>0</v>
      </c>
      <c r="PT10">
        <v>1</v>
      </c>
      <c r="PU10">
        <v>1</v>
      </c>
      <c r="PV10">
        <v>0</v>
      </c>
    </row>
    <row r="11" spans="1:446" x14ac:dyDescent="0.3">
      <c r="A11" s="31">
        <v>25</v>
      </c>
      <c r="B11" s="28">
        <v>4.08</v>
      </c>
      <c r="C11" s="30">
        <v>62.08</v>
      </c>
      <c r="D11" s="28">
        <v>2.63</v>
      </c>
      <c r="E11" s="34">
        <f t="shared" si="0"/>
        <v>5.2600000000000001E-2</v>
      </c>
      <c r="F11" s="35">
        <f t="shared" si="1"/>
        <v>15.52</v>
      </c>
      <c r="G11" s="34">
        <f t="shared" si="2"/>
        <v>65.75</v>
      </c>
      <c r="H11" s="33">
        <f t="shared" si="3"/>
        <v>8.4509803921568629</v>
      </c>
      <c r="I11" s="29">
        <f t="shared" ca="1" si="4"/>
        <v>2</v>
      </c>
      <c r="J11">
        <f ca="1">IF(AND(SUMPRODUCT($J$2:J10,$B$2:B10)&lt;500,SUM(B10,SUMPRODUCT($J$2:J10,$B$2:B10))&lt;500),1,0)</f>
        <v>0</v>
      </c>
      <c r="K11">
        <v>2</v>
      </c>
      <c r="L11">
        <v>0</v>
      </c>
      <c r="N11" s="65" t="s">
        <v>158</v>
      </c>
      <c r="O11" s="63">
        <f>COUNTIFS($W$53:$PV$53,"&gt;=81%",$W$53:$PV$53,"&lt;=90%")</f>
        <v>10</v>
      </c>
      <c r="Q11">
        <v>8</v>
      </c>
      <c r="R11" s="68">
        <f t="shared" si="5"/>
        <v>1.9230769230769232E-2</v>
      </c>
      <c r="S11" t="s">
        <v>166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0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1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1</v>
      </c>
      <c r="BA11">
        <v>0</v>
      </c>
      <c r="BB11">
        <v>0</v>
      </c>
      <c r="BC11">
        <v>1</v>
      </c>
      <c r="BD11">
        <v>0</v>
      </c>
      <c r="BE11">
        <v>0</v>
      </c>
      <c r="BF11">
        <v>1</v>
      </c>
      <c r="BG11">
        <v>1</v>
      </c>
      <c r="BH11">
        <v>1</v>
      </c>
      <c r="BI11">
        <v>1</v>
      </c>
      <c r="BJ11">
        <v>0</v>
      </c>
      <c r="BK11">
        <v>1</v>
      </c>
      <c r="BL11">
        <v>0</v>
      </c>
      <c r="BM11">
        <v>0</v>
      </c>
      <c r="BN11">
        <v>0</v>
      </c>
      <c r="BO11">
        <v>1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1</v>
      </c>
      <c r="BX11">
        <v>0</v>
      </c>
      <c r="BY11">
        <v>0</v>
      </c>
      <c r="BZ11">
        <v>1</v>
      </c>
      <c r="CA11">
        <v>0</v>
      </c>
      <c r="CB11">
        <v>0</v>
      </c>
      <c r="CC11">
        <v>1</v>
      </c>
      <c r="CD11">
        <v>0</v>
      </c>
      <c r="CE11">
        <v>0</v>
      </c>
      <c r="CF11">
        <v>1</v>
      </c>
      <c r="CG11">
        <v>1</v>
      </c>
      <c r="CH11">
        <v>1</v>
      </c>
      <c r="CI11">
        <v>1</v>
      </c>
      <c r="CJ11">
        <v>0</v>
      </c>
      <c r="CK11">
        <v>1</v>
      </c>
      <c r="CL11">
        <v>1</v>
      </c>
      <c r="CM11">
        <v>1</v>
      </c>
      <c r="CN11">
        <v>1</v>
      </c>
      <c r="CO11">
        <v>1</v>
      </c>
      <c r="CP11">
        <v>0</v>
      </c>
      <c r="CQ11">
        <v>0</v>
      </c>
      <c r="CR11">
        <v>1</v>
      </c>
      <c r="CS11">
        <v>1</v>
      </c>
      <c r="CT11">
        <v>0</v>
      </c>
      <c r="CU11">
        <v>0</v>
      </c>
      <c r="CV11">
        <v>0</v>
      </c>
      <c r="CW11">
        <v>0</v>
      </c>
      <c r="CX11">
        <v>1</v>
      </c>
      <c r="CY11">
        <v>1</v>
      </c>
      <c r="CZ11">
        <v>0</v>
      </c>
      <c r="DA11">
        <v>0</v>
      </c>
      <c r="DB11">
        <v>0</v>
      </c>
      <c r="DC11">
        <v>0</v>
      </c>
      <c r="DD11">
        <v>1</v>
      </c>
      <c r="DE11">
        <v>1</v>
      </c>
      <c r="DF11">
        <v>0</v>
      </c>
      <c r="DG11">
        <v>0</v>
      </c>
      <c r="DH11">
        <v>1</v>
      </c>
      <c r="DI11">
        <v>0</v>
      </c>
      <c r="DJ11">
        <v>0</v>
      </c>
      <c r="DK11">
        <v>0</v>
      </c>
      <c r="DL11">
        <v>0</v>
      </c>
      <c r="DM11">
        <v>1</v>
      </c>
      <c r="DN11">
        <v>0</v>
      </c>
      <c r="DO11">
        <v>0</v>
      </c>
      <c r="DP11">
        <v>1</v>
      </c>
      <c r="DQ11">
        <v>0</v>
      </c>
      <c r="DR11">
        <v>1</v>
      </c>
      <c r="DS11">
        <v>0</v>
      </c>
      <c r="DT11">
        <v>1</v>
      </c>
      <c r="DU11">
        <v>0</v>
      </c>
      <c r="DV11">
        <v>0</v>
      </c>
      <c r="DW11">
        <v>0</v>
      </c>
      <c r="DX11">
        <v>1</v>
      </c>
      <c r="DY11">
        <v>1</v>
      </c>
      <c r="DZ11">
        <v>0</v>
      </c>
      <c r="EA11">
        <v>0</v>
      </c>
      <c r="EB11">
        <v>1</v>
      </c>
      <c r="EC11">
        <v>1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1</v>
      </c>
      <c r="EN11">
        <v>1</v>
      </c>
      <c r="EO11">
        <v>0</v>
      </c>
      <c r="EP11">
        <v>1</v>
      </c>
      <c r="EQ11">
        <v>0</v>
      </c>
      <c r="ER11">
        <v>1</v>
      </c>
      <c r="ES11">
        <v>1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1</v>
      </c>
      <c r="EZ11">
        <v>0</v>
      </c>
      <c r="FA11">
        <v>0</v>
      </c>
      <c r="FB11">
        <v>0</v>
      </c>
      <c r="FC11">
        <v>1</v>
      </c>
      <c r="FD11">
        <v>0</v>
      </c>
      <c r="FE11">
        <v>0</v>
      </c>
      <c r="FF11">
        <v>0</v>
      </c>
      <c r="FG11">
        <v>1</v>
      </c>
      <c r="FH11">
        <v>0</v>
      </c>
      <c r="FI11">
        <v>0</v>
      </c>
      <c r="FJ11">
        <v>1</v>
      </c>
      <c r="FK11">
        <v>0</v>
      </c>
      <c r="FL11">
        <v>0</v>
      </c>
      <c r="FM11">
        <v>1</v>
      </c>
      <c r="FN11">
        <v>1</v>
      </c>
      <c r="FO11">
        <v>1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1</v>
      </c>
      <c r="FW11">
        <v>1</v>
      </c>
      <c r="FX11">
        <v>0</v>
      </c>
      <c r="FY11">
        <v>1</v>
      </c>
      <c r="FZ11">
        <v>0</v>
      </c>
      <c r="GA11">
        <v>1</v>
      </c>
      <c r="GB11">
        <v>0</v>
      </c>
      <c r="GC11">
        <v>0</v>
      </c>
      <c r="GD11">
        <v>0</v>
      </c>
      <c r="GE11">
        <v>1</v>
      </c>
      <c r="GF11">
        <v>0</v>
      </c>
      <c r="GG11">
        <v>1</v>
      </c>
      <c r="GH11">
        <v>1</v>
      </c>
      <c r="GI11">
        <v>0</v>
      </c>
      <c r="GJ11">
        <v>1</v>
      </c>
      <c r="GK11">
        <v>1</v>
      </c>
      <c r="GL11">
        <v>0</v>
      </c>
      <c r="GM11">
        <v>1</v>
      </c>
      <c r="GN11">
        <v>0</v>
      </c>
      <c r="GO11">
        <v>1</v>
      </c>
      <c r="GP11">
        <v>0</v>
      </c>
      <c r="GQ11">
        <v>1</v>
      </c>
      <c r="GR11">
        <v>0</v>
      </c>
      <c r="GS11">
        <v>1</v>
      </c>
      <c r="GT11">
        <v>0</v>
      </c>
      <c r="GU11">
        <v>0</v>
      </c>
      <c r="GV11">
        <v>0</v>
      </c>
      <c r="GW11">
        <v>1</v>
      </c>
      <c r="GX11">
        <v>1</v>
      </c>
      <c r="GY11">
        <v>1</v>
      </c>
      <c r="GZ11">
        <v>0</v>
      </c>
      <c r="HA11">
        <v>1</v>
      </c>
      <c r="HB11">
        <v>0</v>
      </c>
      <c r="HC11">
        <v>1</v>
      </c>
      <c r="HD11">
        <v>1</v>
      </c>
      <c r="HE11">
        <v>0</v>
      </c>
      <c r="HF11">
        <v>1</v>
      </c>
      <c r="HG11">
        <v>0</v>
      </c>
      <c r="HH11">
        <v>0</v>
      </c>
      <c r="HI11">
        <v>1</v>
      </c>
      <c r="HJ11">
        <v>0</v>
      </c>
      <c r="HK11">
        <v>0</v>
      </c>
      <c r="HL11">
        <v>0</v>
      </c>
      <c r="HM11">
        <v>1</v>
      </c>
      <c r="HN11">
        <v>0</v>
      </c>
      <c r="HO11">
        <v>0</v>
      </c>
      <c r="HP11">
        <v>0</v>
      </c>
      <c r="HQ11">
        <v>1</v>
      </c>
      <c r="HR11">
        <v>1</v>
      </c>
      <c r="HS11">
        <v>1</v>
      </c>
      <c r="HT11">
        <v>0</v>
      </c>
      <c r="HU11">
        <v>1</v>
      </c>
      <c r="HV11">
        <v>1</v>
      </c>
      <c r="HW11">
        <v>1</v>
      </c>
      <c r="HX11">
        <v>0</v>
      </c>
      <c r="HY11">
        <v>1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1</v>
      </c>
      <c r="IG11">
        <v>1</v>
      </c>
      <c r="IH11">
        <v>0</v>
      </c>
      <c r="II11">
        <v>0</v>
      </c>
      <c r="IJ11">
        <v>1</v>
      </c>
      <c r="IK11">
        <v>0</v>
      </c>
      <c r="IL11">
        <v>1</v>
      </c>
      <c r="IM11">
        <v>0</v>
      </c>
      <c r="IN11">
        <v>0</v>
      </c>
      <c r="IO11">
        <v>0</v>
      </c>
      <c r="IP11">
        <v>1</v>
      </c>
      <c r="IQ11">
        <v>0</v>
      </c>
      <c r="IR11">
        <v>0</v>
      </c>
      <c r="IS11">
        <v>0</v>
      </c>
      <c r="IT11">
        <v>1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1</v>
      </c>
      <c r="JA11">
        <v>1</v>
      </c>
      <c r="JB11">
        <v>0</v>
      </c>
      <c r="JC11">
        <v>1</v>
      </c>
      <c r="JD11">
        <v>1</v>
      </c>
      <c r="JE11">
        <v>0</v>
      </c>
      <c r="JF11">
        <v>0</v>
      </c>
      <c r="JG11">
        <v>1</v>
      </c>
      <c r="JH11">
        <v>1</v>
      </c>
      <c r="JI11">
        <v>0</v>
      </c>
      <c r="JJ11">
        <v>0</v>
      </c>
      <c r="JK11">
        <v>1</v>
      </c>
      <c r="JL11">
        <v>0</v>
      </c>
      <c r="JM11">
        <v>1</v>
      </c>
      <c r="JN11">
        <v>0</v>
      </c>
      <c r="JO11">
        <v>0</v>
      </c>
      <c r="JP11">
        <v>1</v>
      </c>
      <c r="JQ11">
        <v>1</v>
      </c>
      <c r="JR11">
        <v>0</v>
      </c>
      <c r="JS11">
        <v>0</v>
      </c>
      <c r="JT11">
        <v>0</v>
      </c>
      <c r="JU11">
        <v>0</v>
      </c>
      <c r="JV11">
        <v>1</v>
      </c>
      <c r="JW11">
        <v>1</v>
      </c>
      <c r="JX11">
        <v>1</v>
      </c>
      <c r="JY11">
        <v>1</v>
      </c>
      <c r="JZ11">
        <v>0</v>
      </c>
      <c r="KA11">
        <v>0</v>
      </c>
      <c r="KB11">
        <v>0</v>
      </c>
      <c r="KC11">
        <v>0</v>
      </c>
      <c r="KD11">
        <v>0</v>
      </c>
      <c r="KE11">
        <v>1</v>
      </c>
      <c r="KF11">
        <v>0</v>
      </c>
      <c r="KG11">
        <v>0</v>
      </c>
      <c r="KH11">
        <v>0</v>
      </c>
      <c r="KI11">
        <v>0</v>
      </c>
      <c r="KJ11">
        <v>0</v>
      </c>
      <c r="KK11">
        <v>1</v>
      </c>
      <c r="KL11">
        <v>0</v>
      </c>
      <c r="KM11">
        <v>0</v>
      </c>
      <c r="KN11">
        <v>0</v>
      </c>
      <c r="KO11">
        <v>0</v>
      </c>
      <c r="KP11">
        <v>1</v>
      </c>
      <c r="KQ11">
        <v>0</v>
      </c>
      <c r="KR11">
        <v>0</v>
      </c>
      <c r="KS11">
        <v>1</v>
      </c>
      <c r="KT11">
        <v>1</v>
      </c>
      <c r="KU11">
        <v>0</v>
      </c>
      <c r="KV11">
        <v>0</v>
      </c>
      <c r="KW11">
        <v>0</v>
      </c>
      <c r="KX11">
        <v>0</v>
      </c>
      <c r="KY11">
        <v>0</v>
      </c>
      <c r="KZ11">
        <v>1</v>
      </c>
      <c r="LA11">
        <v>0</v>
      </c>
      <c r="LB11">
        <v>0</v>
      </c>
      <c r="LC11">
        <v>0</v>
      </c>
      <c r="LD11">
        <v>1</v>
      </c>
      <c r="LE11">
        <v>1</v>
      </c>
      <c r="LF11">
        <v>0</v>
      </c>
      <c r="LG11">
        <v>1</v>
      </c>
      <c r="LH11">
        <v>1</v>
      </c>
      <c r="LI11">
        <v>0</v>
      </c>
      <c r="LJ11">
        <v>1</v>
      </c>
      <c r="LK11">
        <v>1</v>
      </c>
      <c r="LL11">
        <v>1</v>
      </c>
      <c r="LM11">
        <v>0</v>
      </c>
      <c r="LN11">
        <v>1</v>
      </c>
      <c r="LO11">
        <v>1</v>
      </c>
      <c r="LP11">
        <v>0</v>
      </c>
      <c r="LQ11">
        <v>1</v>
      </c>
      <c r="LR11">
        <v>1</v>
      </c>
      <c r="LS11">
        <v>0</v>
      </c>
      <c r="LT11">
        <v>0</v>
      </c>
      <c r="LU11">
        <v>1</v>
      </c>
      <c r="LV11">
        <v>0</v>
      </c>
      <c r="LW11">
        <v>1</v>
      </c>
      <c r="LX11">
        <v>1</v>
      </c>
      <c r="LY11">
        <v>0</v>
      </c>
      <c r="LZ11">
        <v>0</v>
      </c>
      <c r="MA11">
        <v>0</v>
      </c>
      <c r="MB11">
        <v>1</v>
      </c>
      <c r="MC11">
        <v>1</v>
      </c>
      <c r="MD11">
        <v>0</v>
      </c>
      <c r="ME11">
        <v>0</v>
      </c>
      <c r="MF11">
        <v>0</v>
      </c>
      <c r="MG11">
        <v>1</v>
      </c>
      <c r="MH11">
        <v>0</v>
      </c>
      <c r="MI11">
        <v>0</v>
      </c>
      <c r="MJ11">
        <v>1</v>
      </c>
      <c r="MK11">
        <v>1</v>
      </c>
      <c r="ML11">
        <v>0</v>
      </c>
      <c r="MM11">
        <v>1</v>
      </c>
      <c r="MN11">
        <v>0</v>
      </c>
      <c r="MO11">
        <v>0</v>
      </c>
      <c r="MP11">
        <v>0</v>
      </c>
      <c r="MQ11">
        <v>1</v>
      </c>
      <c r="MR11">
        <v>0</v>
      </c>
      <c r="MS11">
        <v>0</v>
      </c>
      <c r="MT11">
        <v>0</v>
      </c>
      <c r="MU11">
        <v>0</v>
      </c>
      <c r="MV11">
        <v>0</v>
      </c>
      <c r="MW11">
        <v>1</v>
      </c>
      <c r="MX11">
        <v>0</v>
      </c>
      <c r="MY11">
        <v>1</v>
      </c>
      <c r="MZ11">
        <v>1</v>
      </c>
      <c r="NA11">
        <v>1</v>
      </c>
      <c r="NB11">
        <v>0</v>
      </c>
      <c r="NC11">
        <v>0</v>
      </c>
      <c r="ND11">
        <v>1</v>
      </c>
      <c r="NE11">
        <v>0</v>
      </c>
      <c r="NF11">
        <v>0</v>
      </c>
      <c r="NG11">
        <v>0</v>
      </c>
      <c r="NH11">
        <v>0</v>
      </c>
      <c r="NI11">
        <v>0</v>
      </c>
      <c r="NJ11">
        <v>1</v>
      </c>
      <c r="NK11">
        <v>1</v>
      </c>
      <c r="NL11">
        <v>0</v>
      </c>
      <c r="NM11">
        <v>0</v>
      </c>
      <c r="NN11">
        <v>0</v>
      </c>
      <c r="NO11">
        <v>1</v>
      </c>
      <c r="NP11">
        <v>0</v>
      </c>
      <c r="NQ11">
        <v>0</v>
      </c>
      <c r="NR11">
        <v>0</v>
      </c>
      <c r="NS11">
        <v>0</v>
      </c>
      <c r="NT11">
        <v>0</v>
      </c>
      <c r="NU11">
        <v>0</v>
      </c>
      <c r="NV11">
        <v>1</v>
      </c>
      <c r="NW11">
        <v>0</v>
      </c>
      <c r="NX11">
        <v>1</v>
      </c>
      <c r="NY11">
        <v>0</v>
      </c>
      <c r="NZ11">
        <v>0</v>
      </c>
      <c r="OA11">
        <v>0</v>
      </c>
      <c r="OB11">
        <v>0</v>
      </c>
      <c r="OC11">
        <v>0</v>
      </c>
      <c r="OD11">
        <v>0</v>
      </c>
      <c r="OE11">
        <v>0</v>
      </c>
      <c r="OF11">
        <v>0</v>
      </c>
      <c r="OG11">
        <v>1</v>
      </c>
      <c r="OH11">
        <v>1</v>
      </c>
      <c r="OI11">
        <v>0</v>
      </c>
      <c r="OJ11">
        <v>1</v>
      </c>
      <c r="OK11">
        <v>1</v>
      </c>
      <c r="OL11">
        <v>0</v>
      </c>
      <c r="OM11">
        <v>1</v>
      </c>
      <c r="ON11">
        <v>0</v>
      </c>
      <c r="OO11">
        <v>0</v>
      </c>
      <c r="OP11">
        <v>1</v>
      </c>
      <c r="OQ11">
        <v>1</v>
      </c>
      <c r="OR11">
        <v>0</v>
      </c>
      <c r="OS11">
        <v>1</v>
      </c>
      <c r="OT11">
        <v>1</v>
      </c>
      <c r="OU11">
        <v>0</v>
      </c>
      <c r="OV11">
        <v>1</v>
      </c>
      <c r="OW11">
        <v>1</v>
      </c>
      <c r="OX11">
        <v>0</v>
      </c>
      <c r="OY11">
        <v>0</v>
      </c>
      <c r="OZ11">
        <v>1</v>
      </c>
      <c r="PA11">
        <v>0</v>
      </c>
      <c r="PB11">
        <v>0</v>
      </c>
      <c r="PC11">
        <v>0</v>
      </c>
      <c r="PD11">
        <v>1</v>
      </c>
      <c r="PE11">
        <v>0</v>
      </c>
      <c r="PF11">
        <v>0</v>
      </c>
      <c r="PG11">
        <v>0</v>
      </c>
      <c r="PH11">
        <v>0</v>
      </c>
      <c r="PI11">
        <v>0</v>
      </c>
      <c r="PJ11">
        <v>1</v>
      </c>
      <c r="PK11">
        <v>0</v>
      </c>
      <c r="PL11">
        <v>1</v>
      </c>
      <c r="PM11">
        <v>0</v>
      </c>
      <c r="PN11">
        <v>0</v>
      </c>
      <c r="PO11">
        <v>0</v>
      </c>
      <c r="PP11">
        <v>0</v>
      </c>
      <c r="PQ11">
        <v>1</v>
      </c>
      <c r="PR11">
        <v>0</v>
      </c>
      <c r="PS11">
        <v>1</v>
      </c>
      <c r="PT11">
        <v>0</v>
      </c>
      <c r="PU11">
        <v>1</v>
      </c>
      <c r="PV11">
        <v>1</v>
      </c>
    </row>
    <row r="12" spans="1:446" x14ac:dyDescent="0.3">
      <c r="A12" s="31">
        <v>26</v>
      </c>
      <c r="B12" s="28">
        <v>1.93</v>
      </c>
      <c r="C12" s="30">
        <v>43.21</v>
      </c>
      <c r="D12" s="28">
        <v>2.5099999999999998</v>
      </c>
      <c r="E12" s="34">
        <f t="shared" si="0"/>
        <v>5.0199999999999995E-2</v>
      </c>
      <c r="F12" s="35">
        <f t="shared" si="1"/>
        <v>10.8025</v>
      </c>
      <c r="G12" s="34">
        <f t="shared" si="2"/>
        <v>62.749999999999993</v>
      </c>
      <c r="H12" s="33">
        <f t="shared" si="3"/>
        <v>20.309585492227978</v>
      </c>
      <c r="I12" s="29">
        <f t="shared" ca="1" si="4"/>
        <v>1</v>
      </c>
      <c r="J12">
        <f ca="1">IF(AND(SUMPRODUCT($J$2:J11,$B$2:B11)&lt;500,SUM(B11,SUMPRODUCT($J$2:J11,$B$2:B11))&lt;500),1,0)</f>
        <v>1</v>
      </c>
      <c r="K12">
        <v>2</v>
      </c>
      <c r="L12">
        <v>1</v>
      </c>
      <c r="N12" s="65" t="s">
        <v>159</v>
      </c>
      <c r="O12" s="63">
        <f>COUNTIFS($W$53:$PV$53,"&gt;=91%",$W$53:$PV$53,"&lt;=100%")</f>
        <v>8</v>
      </c>
      <c r="Q12" s="16" t="s">
        <v>169</v>
      </c>
      <c r="R12" s="68"/>
      <c r="V12" s="58"/>
      <c r="W12">
        <v>0</v>
      </c>
      <c r="X12">
        <v>0</v>
      </c>
      <c r="Y12">
        <v>0</v>
      </c>
      <c r="Z12">
        <v>0</v>
      </c>
      <c r="AA12">
        <v>0</v>
      </c>
      <c r="AB12">
        <v>1</v>
      </c>
      <c r="AC12">
        <v>1</v>
      </c>
      <c r="AD12">
        <v>1</v>
      </c>
      <c r="AE12">
        <v>0</v>
      </c>
      <c r="AF12">
        <v>0</v>
      </c>
      <c r="AG12">
        <v>1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1</v>
      </c>
      <c r="AS12">
        <v>1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1</v>
      </c>
      <c r="BA12">
        <v>1</v>
      </c>
      <c r="BB12">
        <v>0</v>
      </c>
      <c r="BC12">
        <v>0</v>
      </c>
      <c r="BD12">
        <v>1</v>
      </c>
      <c r="BE12">
        <v>0</v>
      </c>
      <c r="BF12">
        <v>0</v>
      </c>
      <c r="BG12">
        <v>1</v>
      </c>
      <c r="BH12">
        <v>1</v>
      </c>
      <c r="BI12">
        <v>1</v>
      </c>
      <c r="BJ12">
        <v>1</v>
      </c>
      <c r="BK12">
        <v>1</v>
      </c>
      <c r="BL12">
        <v>0</v>
      </c>
      <c r="BM12">
        <v>1</v>
      </c>
      <c r="BN12">
        <v>1</v>
      </c>
      <c r="BO12">
        <v>1</v>
      </c>
      <c r="BP12">
        <v>0</v>
      </c>
      <c r="BQ12">
        <v>0</v>
      </c>
      <c r="BR12">
        <v>0</v>
      </c>
      <c r="BS12">
        <v>1</v>
      </c>
      <c r="BT12">
        <v>0</v>
      </c>
      <c r="BU12">
        <v>1</v>
      </c>
      <c r="BV12">
        <v>1</v>
      </c>
      <c r="BW12">
        <v>1</v>
      </c>
      <c r="BX12">
        <v>0</v>
      </c>
      <c r="BY12">
        <v>0</v>
      </c>
      <c r="BZ12">
        <v>0</v>
      </c>
      <c r="CA12">
        <v>0</v>
      </c>
      <c r="CB12">
        <v>1</v>
      </c>
      <c r="CC12">
        <v>1</v>
      </c>
      <c r="CD12">
        <v>1</v>
      </c>
      <c r="CE12">
        <v>0</v>
      </c>
      <c r="CF12">
        <v>0</v>
      </c>
      <c r="CG12">
        <v>0</v>
      </c>
      <c r="CH12">
        <v>0</v>
      </c>
      <c r="CI12">
        <v>1</v>
      </c>
      <c r="CJ12">
        <v>0</v>
      </c>
      <c r="CK12">
        <v>0</v>
      </c>
      <c r="CL12">
        <v>0</v>
      </c>
      <c r="CM12">
        <v>1</v>
      </c>
      <c r="CN12">
        <v>1</v>
      </c>
      <c r="CO12">
        <v>1</v>
      </c>
      <c r="CP12">
        <v>1</v>
      </c>
      <c r="CQ12">
        <v>1</v>
      </c>
      <c r="CR12">
        <v>0</v>
      </c>
      <c r="CS12">
        <v>1</v>
      </c>
      <c r="CT12">
        <v>1</v>
      </c>
      <c r="CU12">
        <v>0</v>
      </c>
      <c r="CV12">
        <v>0</v>
      </c>
      <c r="CW12">
        <v>0</v>
      </c>
      <c r="CX12">
        <v>1</v>
      </c>
      <c r="CY12">
        <v>1</v>
      </c>
      <c r="CZ12">
        <v>0</v>
      </c>
      <c r="DA12">
        <v>1</v>
      </c>
      <c r="DB12">
        <v>0</v>
      </c>
      <c r="DC12">
        <v>1</v>
      </c>
      <c r="DD12">
        <v>1</v>
      </c>
      <c r="DE12">
        <v>1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1</v>
      </c>
      <c r="DL12">
        <v>1</v>
      </c>
      <c r="DM12">
        <v>1</v>
      </c>
      <c r="DN12">
        <v>0</v>
      </c>
      <c r="DO12">
        <v>0</v>
      </c>
      <c r="DP12">
        <v>1</v>
      </c>
      <c r="DQ12">
        <v>0</v>
      </c>
      <c r="DR12">
        <v>0</v>
      </c>
      <c r="DS12">
        <v>0</v>
      </c>
      <c r="DT12">
        <v>1</v>
      </c>
      <c r="DU12">
        <v>1</v>
      </c>
      <c r="DV12">
        <v>0</v>
      </c>
      <c r="DW12">
        <v>0</v>
      </c>
      <c r="DX12">
        <v>0</v>
      </c>
      <c r="DY12">
        <v>0</v>
      </c>
      <c r="DZ12">
        <v>1</v>
      </c>
      <c r="EA12">
        <v>0</v>
      </c>
      <c r="EB12">
        <v>0</v>
      </c>
      <c r="EC12">
        <v>1</v>
      </c>
      <c r="ED12">
        <v>0</v>
      </c>
      <c r="EE12">
        <v>1</v>
      </c>
      <c r="EF12">
        <v>0</v>
      </c>
      <c r="EG12">
        <v>0</v>
      </c>
      <c r="EH12">
        <v>1</v>
      </c>
      <c r="EI12">
        <v>0</v>
      </c>
      <c r="EJ12">
        <v>0</v>
      </c>
      <c r="EK12">
        <v>0</v>
      </c>
      <c r="EL12">
        <v>1</v>
      </c>
      <c r="EM12">
        <v>0</v>
      </c>
      <c r="EN12">
        <v>0</v>
      </c>
      <c r="EO12">
        <v>0</v>
      </c>
      <c r="EP12">
        <v>1</v>
      </c>
      <c r="EQ12">
        <v>0</v>
      </c>
      <c r="ER12">
        <v>1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1</v>
      </c>
      <c r="EZ12">
        <v>0</v>
      </c>
      <c r="FA12">
        <v>0</v>
      </c>
      <c r="FB12">
        <v>0</v>
      </c>
      <c r="FC12">
        <v>1</v>
      </c>
      <c r="FD12">
        <v>0</v>
      </c>
      <c r="FE12">
        <v>1</v>
      </c>
      <c r="FF12">
        <v>1</v>
      </c>
      <c r="FG12">
        <v>0</v>
      </c>
      <c r="FH12">
        <v>1</v>
      </c>
      <c r="FI12">
        <v>1</v>
      </c>
      <c r="FJ12">
        <v>0</v>
      </c>
      <c r="FK12">
        <v>0</v>
      </c>
      <c r="FL12">
        <v>0</v>
      </c>
      <c r="FM12">
        <v>1</v>
      </c>
      <c r="FN12">
        <v>0</v>
      </c>
      <c r="FO12">
        <v>1</v>
      </c>
      <c r="FP12">
        <v>0</v>
      </c>
      <c r="FQ12">
        <v>0</v>
      </c>
      <c r="FR12">
        <v>0</v>
      </c>
      <c r="FS12">
        <v>1</v>
      </c>
      <c r="FT12">
        <v>0</v>
      </c>
      <c r="FU12">
        <v>0</v>
      </c>
      <c r="FV12">
        <v>1</v>
      </c>
      <c r="FW12">
        <v>0</v>
      </c>
      <c r="FX12">
        <v>0</v>
      </c>
      <c r="FY12">
        <v>0</v>
      </c>
      <c r="FZ12">
        <v>0</v>
      </c>
      <c r="GA12">
        <v>1</v>
      </c>
      <c r="GB12">
        <v>1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1</v>
      </c>
      <c r="GK12">
        <v>1</v>
      </c>
      <c r="GL12">
        <v>0</v>
      </c>
      <c r="GM12">
        <v>1</v>
      </c>
      <c r="GN12">
        <v>0</v>
      </c>
      <c r="GO12">
        <v>1</v>
      </c>
      <c r="GP12">
        <v>1</v>
      </c>
      <c r="GQ12">
        <v>1</v>
      </c>
      <c r="GR12">
        <v>0</v>
      </c>
      <c r="GS12">
        <v>0</v>
      </c>
      <c r="GT12">
        <v>1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1</v>
      </c>
      <c r="HA12">
        <v>0</v>
      </c>
      <c r="HB12">
        <v>1</v>
      </c>
      <c r="HC12">
        <v>0</v>
      </c>
      <c r="HD12">
        <v>1</v>
      </c>
      <c r="HE12">
        <v>1</v>
      </c>
      <c r="HF12">
        <v>1</v>
      </c>
      <c r="HG12">
        <v>1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1</v>
      </c>
      <c r="HR12">
        <v>0</v>
      </c>
      <c r="HS12">
        <v>0</v>
      </c>
      <c r="HT12">
        <v>1</v>
      </c>
      <c r="HU12">
        <v>1</v>
      </c>
      <c r="HV12">
        <v>1</v>
      </c>
      <c r="HW12">
        <v>1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1</v>
      </c>
      <c r="IG12">
        <v>0</v>
      </c>
      <c r="IH12">
        <v>0</v>
      </c>
      <c r="II12">
        <v>0</v>
      </c>
      <c r="IJ12">
        <v>1</v>
      </c>
      <c r="IK12">
        <v>0</v>
      </c>
      <c r="IL12">
        <v>1</v>
      </c>
      <c r="IM12">
        <v>0</v>
      </c>
      <c r="IN12">
        <v>0</v>
      </c>
      <c r="IO12">
        <v>0</v>
      </c>
      <c r="IP12">
        <v>1</v>
      </c>
      <c r="IQ12">
        <v>0</v>
      </c>
      <c r="IR12">
        <v>1</v>
      </c>
      <c r="IS12">
        <v>1</v>
      </c>
      <c r="IT12">
        <v>0</v>
      </c>
      <c r="IU12">
        <v>1</v>
      </c>
      <c r="IV12">
        <v>1</v>
      </c>
      <c r="IW12">
        <v>1</v>
      </c>
      <c r="IX12">
        <v>1</v>
      </c>
      <c r="IY12">
        <v>0</v>
      </c>
      <c r="IZ12">
        <v>1</v>
      </c>
      <c r="JA12">
        <v>1</v>
      </c>
      <c r="JB12">
        <v>0</v>
      </c>
      <c r="JC12">
        <v>0</v>
      </c>
      <c r="JD12">
        <v>1</v>
      </c>
      <c r="JE12">
        <v>0</v>
      </c>
      <c r="JF12">
        <v>1</v>
      </c>
      <c r="JG12">
        <v>1</v>
      </c>
      <c r="JH12">
        <v>1</v>
      </c>
      <c r="JI12">
        <v>0</v>
      </c>
      <c r="JJ12">
        <v>0</v>
      </c>
      <c r="JK12">
        <v>0</v>
      </c>
      <c r="JL12">
        <v>0</v>
      </c>
      <c r="JM12">
        <v>1</v>
      </c>
      <c r="JN12">
        <v>1</v>
      </c>
      <c r="JO12">
        <v>0</v>
      </c>
      <c r="JP12">
        <v>1</v>
      </c>
      <c r="JQ12">
        <v>0</v>
      </c>
      <c r="JR12">
        <v>1</v>
      </c>
      <c r="JS12">
        <v>0</v>
      </c>
      <c r="JT12">
        <v>0</v>
      </c>
      <c r="JU12">
        <v>1</v>
      </c>
      <c r="JV12">
        <v>0</v>
      </c>
      <c r="JW12">
        <v>1</v>
      </c>
      <c r="JX12">
        <v>1</v>
      </c>
      <c r="JY12">
        <v>0</v>
      </c>
      <c r="JZ12">
        <v>1</v>
      </c>
      <c r="KA12">
        <v>0</v>
      </c>
      <c r="KB12">
        <v>0</v>
      </c>
      <c r="KC12">
        <v>0</v>
      </c>
      <c r="KD12">
        <v>0</v>
      </c>
      <c r="KE12">
        <v>0</v>
      </c>
      <c r="KF12">
        <v>0</v>
      </c>
      <c r="KG12">
        <v>0</v>
      </c>
      <c r="KH12">
        <v>0</v>
      </c>
      <c r="KI12">
        <v>0</v>
      </c>
      <c r="KJ12">
        <v>1</v>
      </c>
      <c r="KK12">
        <v>0</v>
      </c>
      <c r="KL12">
        <v>0</v>
      </c>
      <c r="KM12">
        <v>1</v>
      </c>
      <c r="KN12">
        <v>0</v>
      </c>
      <c r="KO12">
        <v>1</v>
      </c>
      <c r="KP12">
        <v>1</v>
      </c>
      <c r="KQ12">
        <v>0</v>
      </c>
      <c r="KR12">
        <v>0</v>
      </c>
      <c r="KS12">
        <v>1</v>
      </c>
      <c r="KT12">
        <v>1</v>
      </c>
      <c r="KU12">
        <v>0</v>
      </c>
      <c r="KV12">
        <v>0</v>
      </c>
      <c r="KW12">
        <v>0</v>
      </c>
      <c r="KX12">
        <v>0</v>
      </c>
      <c r="KY12">
        <v>0</v>
      </c>
      <c r="KZ12">
        <v>1</v>
      </c>
      <c r="LA12">
        <v>0</v>
      </c>
      <c r="LB12">
        <v>0</v>
      </c>
      <c r="LC12">
        <v>0</v>
      </c>
      <c r="LD12">
        <v>1</v>
      </c>
      <c r="LE12">
        <v>1</v>
      </c>
      <c r="LF12">
        <v>1</v>
      </c>
      <c r="LG12">
        <v>0</v>
      </c>
      <c r="LH12">
        <v>1</v>
      </c>
      <c r="LI12">
        <v>0</v>
      </c>
      <c r="LJ12">
        <v>1</v>
      </c>
      <c r="LK12">
        <v>1</v>
      </c>
      <c r="LL12">
        <v>1</v>
      </c>
      <c r="LM12">
        <v>1</v>
      </c>
      <c r="LN12">
        <v>0</v>
      </c>
      <c r="LO12">
        <v>0</v>
      </c>
      <c r="LP12">
        <v>0</v>
      </c>
      <c r="LQ12">
        <v>0</v>
      </c>
      <c r="LR12">
        <v>0</v>
      </c>
      <c r="LS12">
        <v>1</v>
      </c>
      <c r="LT12">
        <v>0</v>
      </c>
      <c r="LU12">
        <v>1</v>
      </c>
      <c r="LV12">
        <v>0</v>
      </c>
      <c r="LW12">
        <v>0</v>
      </c>
      <c r="LX12">
        <v>1</v>
      </c>
      <c r="LY12">
        <v>0</v>
      </c>
      <c r="LZ12">
        <v>0</v>
      </c>
      <c r="MA12">
        <v>1</v>
      </c>
      <c r="MB12">
        <v>1</v>
      </c>
      <c r="MC12">
        <v>1</v>
      </c>
      <c r="MD12">
        <v>1</v>
      </c>
      <c r="ME12">
        <v>0</v>
      </c>
      <c r="MF12">
        <v>1</v>
      </c>
      <c r="MG12">
        <v>1</v>
      </c>
      <c r="MH12">
        <v>0</v>
      </c>
      <c r="MI12">
        <v>1</v>
      </c>
      <c r="MJ12">
        <v>1</v>
      </c>
      <c r="MK12">
        <v>0</v>
      </c>
      <c r="ML12">
        <v>0</v>
      </c>
      <c r="MM12">
        <v>1</v>
      </c>
      <c r="MN12">
        <v>1</v>
      </c>
      <c r="MO12">
        <v>1</v>
      </c>
      <c r="MP12">
        <v>0</v>
      </c>
      <c r="MQ12">
        <v>1</v>
      </c>
      <c r="MR12">
        <v>0</v>
      </c>
      <c r="MS12">
        <v>1</v>
      </c>
      <c r="MT12">
        <v>0</v>
      </c>
      <c r="MU12">
        <v>0</v>
      </c>
      <c r="MV12">
        <v>0</v>
      </c>
      <c r="MW12">
        <v>1</v>
      </c>
      <c r="MX12">
        <v>1</v>
      </c>
      <c r="MY12">
        <v>1</v>
      </c>
      <c r="MZ12">
        <v>1</v>
      </c>
      <c r="NA12">
        <v>0</v>
      </c>
      <c r="NB12">
        <v>0</v>
      </c>
      <c r="NC12">
        <v>0</v>
      </c>
      <c r="ND12">
        <v>0</v>
      </c>
      <c r="NE12">
        <v>0</v>
      </c>
      <c r="NF12">
        <v>1</v>
      </c>
      <c r="NG12">
        <v>0</v>
      </c>
      <c r="NH12">
        <v>0</v>
      </c>
      <c r="NI12">
        <v>1</v>
      </c>
      <c r="NJ12">
        <v>1</v>
      </c>
      <c r="NK12">
        <v>0</v>
      </c>
      <c r="NL12">
        <v>0</v>
      </c>
      <c r="NM12">
        <v>0</v>
      </c>
      <c r="NN12">
        <v>1</v>
      </c>
      <c r="NO12">
        <v>1</v>
      </c>
      <c r="NP12">
        <v>0</v>
      </c>
      <c r="NQ12">
        <v>1</v>
      </c>
      <c r="NR12">
        <v>0</v>
      </c>
      <c r="NS12">
        <v>0</v>
      </c>
      <c r="NT12">
        <v>0</v>
      </c>
      <c r="NU12">
        <v>0</v>
      </c>
      <c r="NV12">
        <v>0</v>
      </c>
      <c r="NW12">
        <v>0</v>
      </c>
      <c r="NX12">
        <v>1</v>
      </c>
      <c r="NY12">
        <v>0</v>
      </c>
      <c r="NZ12">
        <v>0</v>
      </c>
      <c r="OA12">
        <v>0</v>
      </c>
      <c r="OB12">
        <v>0</v>
      </c>
      <c r="OC12">
        <v>0</v>
      </c>
      <c r="OD12">
        <v>0</v>
      </c>
      <c r="OE12">
        <v>0</v>
      </c>
      <c r="OF12">
        <v>0</v>
      </c>
      <c r="OG12">
        <v>1</v>
      </c>
      <c r="OH12">
        <v>0</v>
      </c>
      <c r="OI12">
        <v>1</v>
      </c>
      <c r="OJ12">
        <v>0</v>
      </c>
      <c r="OK12">
        <v>1</v>
      </c>
      <c r="OL12">
        <v>0</v>
      </c>
      <c r="OM12">
        <v>1</v>
      </c>
      <c r="ON12">
        <v>0</v>
      </c>
      <c r="OO12">
        <v>0</v>
      </c>
      <c r="OP12">
        <v>1</v>
      </c>
      <c r="OQ12">
        <v>1</v>
      </c>
      <c r="OR12">
        <v>0</v>
      </c>
      <c r="OS12">
        <v>1</v>
      </c>
      <c r="OT12">
        <v>0</v>
      </c>
      <c r="OU12">
        <v>0</v>
      </c>
      <c r="OV12">
        <v>1</v>
      </c>
      <c r="OW12">
        <v>0</v>
      </c>
      <c r="OX12">
        <v>0</v>
      </c>
      <c r="OY12">
        <v>1</v>
      </c>
      <c r="OZ12">
        <v>0</v>
      </c>
      <c r="PA12">
        <v>1</v>
      </c>
      <c r="PB12">
        <v>0</v>
      </c>
      <c r="PC12">
        <v>0</v>
      </c>
      <c r="PD12">
        <v>0</v>
      </c>
      <c r="PE12">
        <v>0</v>
      </c>
      <c r="PF12">
        <v>1</v>
      </c>
      <c r="PG12">
        <v>0</v>
      </c>
      <c r="PH12">
        <v>0</v>
      </c>
      <c r="PI12">
        <v>1</v>
      </c>
      <c r="PJ12">
        <v>0</v>
      </c>
      <c r="PK12">
        <v>0</v>
      </c>
      <c r="PL12">
        <v>0</v>
      </c>
      <c r="PM12">
        <v>0</v>
      </c>
      <c r="PN12">
        <v>0</v>
      </c>
      <c r="PO12">
        <v>0</v>
      </c>
      <c r="PP12">
        <v>0</v>
      </c>
      <c r="PQ12">
        <v>0</v>
      </c>
      <c r="PR12">
        <v>1</v>
      </c>
      <c r="PS12">
        <v>0</v>
      </c>
      <c r="PT12">
        <v>0</v>
      </c>
      <c r="PU12">
        <v>1</v>
      </c>
      <c r="PV12">
        <v>0</v>
      </c>
    </row>
    <row r="13" spans="1:446" x14ac:dyDescent="0.3">
      <c r="A13" s="31">
        <v>31</v>
      </c>
      <c r="B13" s="28">
        <v>3.02</v>
      </c>
      <c r="C13" s="30">
        <v>75.739999999999995</v>
      </c>
      <c r="D13" s="28">
        <v>0.75</v>
      </c>
      <c r="E13" s="34">
        <f t="shared" si="0"/>
        <v>1.4999999999999999E-2</v>
      </c>
      <c r="F13" s="35">
        <f t="shared" si="1"/>
        <v>18.934999999999999</v>
      </c>
      <c r="G13" s="34">
        <f t="shared" si="2"/>
        <v>18.75</v>
      </c>
      <c r="H13" s="33">
        <f t="shared" si="3"/>
        <v>2.0082781456953644</v>
      </c>
      <c r="I13" s="29">
        <f t="shared" ca="1" si="4"/>
        <v>1</v>
      </c>
      <c r="J13">
        <f ca="1">IF(AND(SUMPRODUCT($J$2:J12,$B$2:B12)&lt;500,SUM(B12,SUMPRODUCT($J$2:J12,$B$2:B12))&lt;500),1,0)</f>
        <v>0</v>
      </c>
      <c r="K13">
        <v>1</v>
      </c>
      <c r="L13">
        <v>0</v>
      </c>
      <c r="N13" s="63" t="s">
        <v>160</v>
      </c>
      <c r="O13" s="66">
        <f>SUM(O2:O12)</f>
        <v>416</v>
      </c>
      <c r="Q13" t="s">
        <v>170</v>
      </c>
      <c r="V13" s="58"/>
      <c r="W13">
        <v>0</v>
      </c>
      <c r="X13">
        <v>1</v>
      </c>
      <c r="Y13">
        <v>1</v>
      </c>
      <c r="Z13">
        <v>0</v>
      </c>
      <c r="AA13">
        <v>0</v>
      </c>
      <c r="AB13">
        <v>0</v>
      </c>
      <c r="AC13">
        <v>0</v>
      </c>
      <c r="AD13">
        <v>1</v>
      </c>
      <c r="AE13">
        <v>0</v>
      </c>
      <c r="AF13">
        <v>1</v>
      </c>
      <c r="AG13">
        <v>0</v>
      </c>
      <c r="AH13">
        <v>0</v>
      </c>
      <c r="AI13">
        <v>0</v>
      </c>
      <c r="AJ13">
        <v>0</v>
      </c>
      <c r="AK13">
        <v>1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1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1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1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1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1</v>
      </c>
      <c r="BV13">
        <v>1</v>
      </c>
      <c r="BW13">
        <v>0</v>
      </c>
      <c r="BX13">
        <v>0</v>
      </c>
      <c r="BY13">
        <v>0</v>
      </c>
      <c r="BZ13">
        <v>0</v>
      </c>
      <c r="CA13">
        <v>1</v>
      </c>
      <c r="CB13">
        <v>1</v>
      </c>
      <c r="CC13">
        <v>0</v>
      </c>
      <c r="CD13">
        <v>1</v>
      </c>
      <c r="CE13">
        <v>1</v>
      </c>
      <c r="CF13">
        <v>1</v>
      </c>
      <c r="CG13">
        <v>1</v>
      </c>
      <c r="CH13">
        <v>0</v>
      </c>
      <c r="CI13">
        <v>0</v>
      </c>
      <c r="CJ13">
        <v>0</v>
      </c>
      <c r="CK13">
        <v>1</v>
      </c>
      <c r="CL13">
        <v>1</v>
      </c>
      <c r="CM13">
        <v>1</v>
      </c>
      <c r="CN13">
        <v>1</v>
      </c>
      <c r="CO13">
        <v>0</v>
      </c>
      <c r="CP13">
        <v>0</v>
      </c>
      <c r="CQ13">
        <v>0</v>
      </c>
      <c r="CR13">
        <v>1</v>
      </c>
      <c r="CS13">
        <v>1</v>
      </c>
      <c r="CT13">
        <v>1</v>
      </c>
      <c r="CU13">
        <v>1</v>
      </c>
      <c r="CV13">
        <v>0</v>
      </c>
      <c r="CW13">
        <v>1</v>
      </c>
      <c r="CX13">
        <v>0</v>
      </c>
      <c r="CY13">
        <v>1</v>
      </c>
      <c r="CZ13">
        <v>0</v>
      </c>
      <c r="DA13">
        <v>0</v>
      </c>
      <c r="DB13">
        <v>1</v>
      </c>
      <c r="DC13">
        <v>0</v>
      </c>
      <c r="DD13">
        <v>1</v>
      </c>
      <c r="DE13">
        <v>0</v>
      </c>
      <c r="DF13">
        <v>1</v>
      </c>
      <c r="DG13">
        <v>0</v>
      </c>
      <c r="DH13">
        <v>0</v>
      </c>
      <c r="DI13">
        <v>0</v>
      </c>
      <c r="DJ13">
        <v>0</v>
      </c>
      <c r="DK13">
        <v>1</v>
      </c>
      <c r="DL13">
        <v>1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1</v>
      </c>
      <c r="DV13">
        <v>0</v>
      </c>
      <c r="DW13">
        <v>0</v>
      </c>
      <c r="DX13">
        <v>1</v>
      </c>
      <c r="DY13">
        <v>0</v>
      </c>
      <c r="DZ13">
        <v>1</v>
      </c>
      <c r="EA13">
        <v>0</v>
      </c>
      <c r="EB13">
        <v>1</v>
      </c>
      <c r="EC13">
        <v>1</v>
      </c>
      <c r="ED13">
        <v>0</v>
      </c>
      <c r="EE13">
        <v>1</v>
      </c>
      <c r="EF13">
        <v>1</v>
      </c>
      <c r="EG13">
        <v>0</v>
      </c>
      <c r="EH13">
        <v>0</v>
      </c>
      <c r="EI13">
        <v>0</v>
      </c>
      <c r="EJ13">
        <v>0</v>
      </c>
      <c r="EK13">
        <v>1</v>
      </c>
      <c r="EL13">
        <v>0</v>
      </c>
      <c r="EM13">
        <v>1</v>
      </c>
      <c r="EN13">
        <v>0</v>
      </c>
      <c r="EO13">
        <v>1</v>
      </c>
      <c r="EP13">
        <v>1</v>
      </c>
      <c r="EQ13">
        <v>1</v>
      </c>
      <c r="ER13">
        <v>1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1</v>
      </c>
      <c r="EY13">
        <v>1</v>
      </c>
      <c r="EZ13">
        <v>0</v>
      </c>
      <c r="FA13">
        <v>0</v>
      </c>
      <c r="FB13">
        <v>0</v>
      </c>
      <c r="FC13">
        <v>1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1</v>
      </c>
      <c r="FJ13">
        <v>1</v>
      </c>
      <c r="FK13">
        <v>0</v>
      </c>
      <c r="FL13">
        <v>1</v>
      </c>
      <c r="FM13">
        <v>1</v>
      </c>
      <c r="FN13">
        <v>0</v>
      </c>
      <c r="FO13">
        <v>1</v>
      </c>
      <c r="FP13">
        <v>0</v>
      </c>
      <c r="FQ13">
        <v>0</v>
      </c>
      <c r="FR13">
        <v>0</v>
      </c>
      <c r="FS13">
        <v>1</v>
      </c>
      <c r="FT13">
        <v>0</v>
      </c>
      <c r="FU13">
        <v>1</v>
      </c>
      <c r="FV13">
        <v>1</v>
      </c>
      <c r="FW13">
        <v>0</v>
      </c>
      <c r="FX13">
        <v>0</v>
      </c>
      <c r="FY13">
        <v>1</v>
      </c>
      <c r="FZ13">
        <v>0</v>
      </c>
      <c r="GA13">
        <v>0</v>
      </c>
      <c r="GB13">
        <v>1</v>
      </c>
      <c r="GC13">
        <v>0</v>
      </c>
      <c r="GD13">
        <v>0</v>
      </c>
      <c r="GE13">
        <v>0</v>
      </c>
      <c r="GF13">
        <v>0</v>
      </c>
      <c r="GG13">
        <v>1</v>
      </c>
      <c r="GH13">
        <v>1</v>
      </c>
      <c r="GI13">
        <v>0</v>
      </c>
      <c r="GJ13">
        <v>1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1</v>
      </c>
      <c r="GQ13">
        <v>0</v>
      </c>
      <c r="GR13">
        <v>0</v>
      </c>
      <c r="GS13">
        <v>1</v>
      </c>
      <c r="GT13">
        <v>1</v>
      </c>
      <c r="GU13">
        <v>1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1</v>
      </c>
      <c r="HD13">
        <v>0</v>
      </c>
      <c r="HE13">
        <v>0</v>
      </c>
      <c r="HF13">
        <v>1</v>
      </c>
      <c r="HG13">
        <v>1</v>
      </c>
      <c r="HH13">
        <v>0</v>
      </c>
      <c r="HI13">
        <v>1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1</v>
      </c>
      <c r="HT13">
        <v>0</v>
      </c>
      <c r="HU13">
        <v>1</v>
      </c>
      <c r="HV13">
        <v>1</v>
      </c>
      <c r="HW13">
        <v>1</v>
      </c>
      <c r="HX13">
        <v>0</v>
      </c>
      <c r="HY13">
        <v>1</v>
      </c>
      <c r="HZ13">
        <v>0</v>
      </c>
      <c r="IA13">
        <v>1</v>
      </c>
      <c r="IB13">
        <v>1</v>
      </c>
      <c r="IC13">
        <v>0</v>
      </c>
      <c r="ID13">
        <v>1</v>
      </c>
      <c r="IE13">
        <v>1</v>
      </c>
      <c r="IF13">
        <v>1</v>
      </c>
      <c r="IG13">
        <v>1</v>
      </c>
      <c r="IH13">
        <v>0</v>
      </c>
      <c r="II13">
        <v>1</v>
      </c>
      <c r="IJ13">
        <v>1</v>
      </c>
      <c r="IK13">
        <v>0</v>
      </c>
      <c r="IL13">
        <v>1</v>
      </c>
      <c r="IM13">
        <v>1</v>
      </c>
      <c r="IN13">
        <v>1</v>
      </c>
      <c r="IO13">
        <v>0</v>
      </c>
      <c r="IP13">
        <v>1</v>
      </c>
      <c r="IQ13">
        <v>0</v>
      </c>
      <c r="IR13">
        <v>0</v>
      </c>
      <c r="IS13">
        <v>1</v>
      </c>
      <c r="IT13">
        <v>0</v>
      </c>
      <c r="IU13">
        <v>0</v>
      </c>
      <c r="IV13">
        <v>0</v>
      </c>
      <c r="IW13">
        <v>1</v>
      </c>
      <c r="IX13">
        <v>0</v>
      </c>
      <c r="IY13">
        <v>0</v>
      </c>
      <c r="IZ13">
        <v>1</v>
      </c>
      <c r="JA13">
        <v>0</v>
      </c>
      <c r="JB13">
        <v>1</v>
      </c>
      <c r="JC13">
        <v>1</v>
      </c>
      <c r="JD13">
        <v>0</v>
      </c>
      <c r="JE13">
        <v>1</v>
      </c>
      <c r="JF13">
        <v>0</v>
      </c>
      <c r="JG13">
        <v>0</v>
      </c>
      <c r="JH13">
        <v>1</v>
      </c>
      <c r="JI13">
        <v>0</v>
      </c>
      <c r="JJ13">
        <v>0</v>
      </c>
      <c r="JK13">
        <v>1</v>
      </c>
      <c r="JL13">
        <v>0</v>
      </c>
      <c r="JM13">
        <v>0</v>
      </c>
      <c r="JN13">
        <v>0</v>
      </c>
      <c r="JO13">
        <v>0</v>
      </c>
      <c r="JP13">
        <v>1</v>
      </c>
      <c r="JQ13">
        <v>1</v>
      </c>
      <c r="JR13">
        <v>0</v>
      </c>
      <c r="JS13">
        <v>0</v>
      </c>
      <c r="JT13">
        <v>0</v>
      </c>
      <c r="JU13">
        <v>0</v>
      </c>
      <c r="JV13">
        <v>1</v>
      </c>
      <c r="JW13">
        <v>0</v>
      </c>
      <c r="JX13">
        <v>1</v>
      </c>
      <c r="JY13">
        <v>0</v>
      </c>
      <c r="JZ13">
        <v>1</v>
      </c>
      <c r="KA13">
        <v>0</v>
      </c>
      <c r="KB13">
        <v>0</v>
      </c>
      <c r="KC13">
        <v>1</v>
      </c>
      <c r="KD13">
        <v>1</v>
      </c>
      <c r="KE13">
        <v>0</v>
      </c>
      <c r="KF13">
        <v>0</v>
      </c>
      <c r="KG13">
        <v>0</v>
      </c>
      <c r="KH13">
        <v>1</v>
      </c>
      <c r="KI13">
        <v>0</v>
      </c>
      <c r="KJ13">
        <v>1</v>
      </c>
      <c r="KK13">
        <v>1</v>
      </c>
      <c r="KL13">
        <v>0</v>
      </c>
      <c r="KM13">
        <v>1</v>
      </c>
      <c r="KN13">
        <v>1</v>
      </c>
      <c r="KO13">
        <v>0</v>
      </c>
      <c r="KP13">
        <v>0</v>
      </c>
      <c r="KQ13">
        <v>1</v>
      </c>
      <c r="KR13">
        <v>0</v>
      </c>
      <c r="KS13">
        <v>1</v>
      </c>
      <c r="KT13">
        <v>0</v>
      </c>
      <c r="KU13">
        <v>0</v>
      </c>
      <c r="KV13">
        <v>0</v>
      </c>
      <c r="KW13">
        <v>0</v>
      </c>
      <c r="KX13">
        <v>0</v>
      </c>
      <c r="KY13">
        <v>0</v>
      </c>
      <c r="KZ13">
        <v>1</v>
      </c>
      <c r="LA13">
        <v>0</v>
      </c>
      <c r="LB13">
        <v>0</v>
      </c>
      <c r="LC13">
        <v>1</v>
      </c>
      <c r="LD13">
        <v>0</v>
      </c>
      <c r="LE13">
        <v>0</v>
      </c>
      <c r="LF13">
        <v>0</v>
      </c>
      <c r="LG13">
        <v>0</v>
      </c>
      <c r="LH13">
        <v>1</v>
      </c>
      <c r="LI13">
        <v>0</v>
      </c>
      <c r="LJ13">
        <v>1</v>
      </c>
      <c r="LK13">
        <v>0</v>
      </c>
      <c r="LL13">
        <v>1</v>
      </c>
      <c r="LM13">
        <v>0</v>
      </c>
      <c r="LN13">
        <v>0</v>
      </c>
      <c r="LO13">
        <v>0</v>
      </c>
      <c r="LP13">
        <v>0</v>
      </c>
      <c r="LQ13">
        <v>1</v>
      </c>
      <c r="LR13">
        <v>0</v>
      </c>
      <c r="LS13">
        <v>0</v>
      </c>
      <c r="LT13">
        <v>1</v>
      </c>
      <c r="LU13">
        <v>1</v>
      </c>
      <c r="LV13">
        <v>0</v>
      </c>
      <c r="LW13">
        <v>1</v>
      </c>
      <c r="LX13">
        <v>1</v>
      </c>
      <c r="LY13">
        <v>0</v>
      </c>
      <c r="LZ13">
        <v>0</v>
      </c>
      <c r="MA13">
        <v>1</v>
      </c>
      <c r="MB13">
        <v>1</v>
      </c>
      <c r="MC13">
        <v>1</v>
      </c>
      <c r="MD13">
        <v>1</v>
      </c>
      <c r="ME13">
        <v>1</v>
      </c>
      <c r="MF13">
        <v>1</v>
      </c>
      <c r="MG13">
        <v>1</v>
      </c>
      <c r="MH13">
        <v>0</v>
      </c>
      <c r="MI13">
        <v>1</v>
      </c>
      <c r="MJ13">
        <v>1</v>
      </c>
      <c r="MK13">
        <v>0</v>
      </c>
      <c r="ML13">
        <v>0</v>
      </c>
      <c r="MM13">
        <v>0</v>
      </c>
      <c r="MN13">
        <v>1</v>
      </c>
      <c r="MO13">
        <v>0</v>
      </c>
      <c r="MP13">
        <v>1</v>
      </c>
      <c r="MQ13">
        <v>0</v>
      </c>
      <c r="MR13">
        <v>0</v>
      </c>
      <c r="MS13">
        <v>0</v>
      </c>
      <c r="MT13">
        <v>1</v>
      </c>
      <c r="MU13">
        <v>1</v>
      </c>
      <c r="MV13">
        <v>0</v>
      </c>
      <c r="MW13">
        <v>0</v>
      </c>
      <c r="MX13">
        <v>0</v>
      </c>
      <c r="MY13">
        <v>0</v>
      </c>
      <c r="MZ13">
        <v>1</v>
      </c>
      <c r="NA13">
        <v>1</v>
      </c>
      <c r="NB13">
        <v>0</v>
      </c>
      <c r="NC13">
        <v>0</v>
      </c>
      <c r="ND13">
        <v>1</v>
      </c>
      <c r="NE13">
        <v>0</v>
      </c>
      <c r="NF13">
        <v>1</v>
      </c>
      <c r="NG13">
        <v>0</v>
      </c>
      <c r="NH13">
        <v>0</v>
      </c>
      <c r="NI13">
        <v>0</v>
      </c>
      <c r="NJ13">
        <v>1</v>
      </c>
      <c r="NK13">
        <v>0</v>
      </c>
      <c r="NL13">
        <v>0</v>
      </c>
      <c r="NM13">
        <v>0</v>
      </c>
      <c r="NN13">
        <v>0</v>
      </c>
      <c r="NO13">
        <v>1</v>
      </c>
      <c r="NP13">
        <v>1</v>
      </c>
      <c r="NQ13">
        <v>0</v>
      </c>
      <c r="NR13">
        <v>0</v>
      </c>
      <c r="NS13">
        <v>0</v>
      </c>
      <c r="NT13">
        <v>0</v>
      </c>
      <c r="NU13">
        <v>1</v>
      </c>
      <c r="NV13">
        <v>0</v>
      </c>
      <c r="NW13">
        <v>0</v>
      </c>
      <c r="NX13">
        <v>1</v>
      </c>
      <c r="NY13">
        <v>0</v>
      </c>
      <c r="NZ13">
        <v>0</v>
      </c>
      <c r="OA13">
        <v>0</v>
      </c>
      <c r="OB13">
        <v>0</v>
      </c>
      <c r="OC13">
        <v>0</v>
      </c>
      <c r="OD13">
        <v>0</v>
      </c>
      <c r="OE13">
        <v>1</v>
      </c>
      <c r="OF13">
        <v>0</v>
      </c>
      <c r="OG13">
        <v>1</v>
      </c>
      <c r="OH13">
        <v>1</v>
      </c>
      <c r="OI13">
        <v>0</v>
      </c>
      <c r="OJ13">
        <v>1</v>
      </c>
      <c r="OK13">
        <v>1</v>
      </c>
      <c r="OL13">
        <v>0</v>
      </c>
      <c r="OM13">
        <v>0</v>
      </c>
      <c r="ON13">
        <v>0</v>
      </c>
      <c r="OO13">
        <v>0</v>
      </c>
      <c r="OP13">
        <v>1</v>
      </c>
      <c r="OQ13">
        <v>0</v>
      </c>
      <c r="OR13">
        <v>0</v>
      </c>
      <c r="OS13">
        <v>1</v>
      </c>
      <c r="OT13">
        <v>0</v>
      </c>
      <c r="OU13">
        <v>0</v>
      </c>
      <c r="OV13">
        <v>1</v>
      </c>
      <c r="OW13">
        <v>0</v>
      </c>
      <c r="OX13">
        <v>0</v>
      </c>
      <c r="OY13">
        <v>0</v>
      </c>
      <c r="OZ13">
        <v>0</v>
      </c>
      <c r="PA13">
        <v>0</v>
      </c>
      <c r="PB13">
        <v>0</v>
      </c>
      <c r="PC13">
        <v>0</v>
      </c>
      <c r="PD13">
        <v>1</v>
      </c>
      <c r="PE13">
        <v>0</v>
      </c>
      <c r="PF13">
        <v>0</v>
      </c>
      <c r="PG13">
        <v>0</v>
      </c>
      <c r="PH13">
        <v>0</v>
      </c>
      <c r="PI13">
        <v>1</v>
      </c>
      <c r="PJ13">
        <v>0</v>
      </c>
      <c r="PK13">
        <v>1</v>
      </c>
      <c r="PL13">
        <v>1</v>
      </c>
      <c r="PM13">
        <v>0</v>
      </c>
      <c r="PN13">
        <v>0</v>
      </c>
      <c r="PO13">
        <v>0</v>
      </c>
      <c r="PP13">
        <v>0</v>
      </c>
      <c r="PQ13">
        <v>0</v>
      </c>
      <c r="PR13">
        <v>1</v>
      </c>
      <c r="PS13">
        <v>1</v>
      </c>
      <c r="PT13">
        <v>0</v>
      </c>
      <c r="PU13">
        <v>1</v>
      </c>
      <c r="PV13">
        <v>0</v>
      </c>
    </row>
    <row r="14" spans="1:446" x14ac:dyDescent="0.3">
      <c r="A14" s="31">
        <v>32</v>
      </c>
      <c r="B14" s="28">
        <v>9.48</v>
      </c>
      <c r="C14" s="30">
        <v>92.76</v>
      </c>
      <c r="D14" s="28">
        <v>3.17</v>
      </c>
      <c r="E14" s="34">
        <f t="shared" si="0"/>
        <v>6.3399999999999998E-2</v>
      </c>
      <c r="F14" s="35">
        <f t="shared" si="1"/>
        <v>23.19</v>
      </c>
      <c r="G14" s="34">
        <f t="shared" si="2"/>
        <v>79.25</v>
      </c>
      <c r="H14" s="33">
        <f t="shared" si="3"/>
        <v>5.4651898734177218</v>
      </c>
      <c r="I14" s="29">
        <f t="shared" ca="1" si="4"/>
        <v>2</v>
      </c>
      <c r="J14">
        <f ca="1">IF(AND(SUMPRODUCT($J$2:J13,$B$2:B13)&lt;500,SUM(B13,SUMPRODUCT($J$2:J13,$B$2:B13))&lt;500),1,0)</f>
        <v>0</v>
      </c>
      <c r="K14">
        <v>3</v>
      </c>
      <c r="L14">
        <v>0</v>
      </c>
      <c r="Q14" t="s">
        <v>167</v>
      </c>
      <c r="W14">
        <v>0</v>
      </c>
      <c r="X14">
        <v>0</v>
      </c>
      <c r="Y14">
        <v>0</v>
      </c>
      <c r="Z14">
        <v>1</v>
      </c>
      <c r="AA14">
        <v>1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1</v>
      </c>
      <c r="AH14">
        <v>0</v>
      </c>
      <c r="AI14">
        <v>1</v>
      </c>
      <c r="AJ14">
        <v>0</v>
      </c>
      <c r="AK14">
        <v>1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1</v>
      </c>
      <c r="AU14">
        <v>0</v>
      </c>
      <c r="AV14">
        <v>1</v>
      </c>
      <c r="AW14">
        <v>0</v>
      </c>
      <c r="AX14">
        <v>1</v>
      </c>
      <c r="AY14">
        <v>1</v>
      </c>
      <c r="AZ14">
        <v>1</v>
      </c>
      <c r="BA14">
        <v>1</v>
      </c>
      <c r="BB14">
        <v>0</v>
      </c>
      <c r="BC14">
        <v>0</v>
      </c>
      <c r="BD14">
        <v>1</v>
      </c>
      <c r="BE14">
        <v>0</v>
      </c>
      <c r="BF14">
        <v>0</v>
      </c>
      <c r="BG14">
        <v>0</v>
      </c>
      <c r="BH14">
        <v>1</v>
      </c>
      <c r="BI14">
        <v>0</v>
      </c>
      <c r="BJ14">
        <v>1</v>
      </c>
      <c r="BK14">
        <v>1</v>
      </c>
      <c r="BL14">
        <v>0</v>
      </c>
      <c r="BM14">
        <v>1</v>
      </c>
      <c r="BN14">
        <v>1</v>
      </c>
      <c r="BO14">
        <v>0</v>
      </c>
      <c r="BP14">
        <v>0</v>
      </c>
      <c r="BQ14">
        <v>0</v>
      </c>
      <c r="BR14">
        <v>0</v>
      </c>
      <c r="BS14">
        <v>1</v>
      </c>
      <c r="BT14">
        <v>0</v>
      </c>
      <c r="BU14">
        <v>0</v>
      </c>
      <c r="BV14">
        <v>1</v>
      </c>
      <c r="BW14">
        <v>0</v>
      </c>
      <c r="BX14">
        <v>0</v>
      </c>
      <c r="BY14">
        <v>0</v>
      </c>
      <c r="BZ14">
        <v>1</v>
      </c>
      <c r="CA14">
        <v>0</v>
      </c>
      <c r="CB14">
        <v>1</v>
      </c>
      <c r="CC14">
        <v>0</v>
      </c>
      <c r="CD14">
        <v>1</v>
      </c>
      <c r="CE14">
        <v>0</v>
      </c>
      <c r="CF14">
        <v>1</v>
      </c>
      <c r="CG14">
        <v>0</v>
      </c>
      <c r="CH14">
        <v>0</v>
      </c>
      <c r="CI14">
        <v>1</v>
      </c>
      <c r="CJ14">
        <v>0</v>
      </c>
      <c r="CK14">
        <v>1</v>
      </c>
      <c r="CL14">
        <v>0</v>
      </c>
      <c r="CM14">
        <v>1</v>
      </c>
      <c r="CN14">
        <v>1</v>
      </c>
      <c r="CO14">
        <v>1</v>
      </c>
      <c r="CP14">
        <v>1</v>
      </c>
      <c r="CQ14">
        <v>0</v>
      </c>
      <c r="CR14">
        <v>1</v>
      </c>
      <c r="CS14">
        <v>1</v>
      </c>
      <c r="CT14">
        <v>0</v>
      </c>
      <c r="CU14">
        <v>0</v>
      </c>
      <c r="CV14">
        <v>0</v>
      </c>
      <c r="CW14">
        <v>1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1</v>
      </c>
      <c r="DE14">
        <v>1</v>
      </c>
      <c r="DF14">
        <v>0</v>
      </c>
      <c r="DG14">
        <v>1</v>
      </c>
      <c r="DH14">
        <v>1</v>
      </c>
      <c r="DI14">
        <v>0</v>
      </c>
      <c r="DJ14">
        <v>0</v>
      </c>
      <c r="DK14">
        <v>1</v>
      </c>
      <c r="DL14">
        <v>0</v>
      </c>
      <c r="DM14">
        <v>0</v>
      </c>
      <c r="DN14">
        <v>0</v>
      </c>
      <c r="DO14">
        <v>0</v>
      </c>
      <c r="DP14">
        <v>1</v>
      </c>
      <c r="DQ14">
        <v>0</v>
      </c>
      <c r="DR14">
        <v>0</v>
      </c>
      <c r="DS14">
        <v>1</v>
      </c>
      <c r="DT14">
        <v>1</v>
      </c>
      <c r="DU14">
        <v>1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1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1</v>
      </c>
      <c r="EN14">
        <v>0</v>
      </c>
      <c r="EO14">
        <v>1</v>
      </c>
      <c r="EP14">
        <v>1</v>
      </c>
      <c r="EQ14">
        <v>0</v>
      </c>
      <c r="ER14">
        <v>0</v>
      </c>
      <c r="ES14">
        <v>1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1</v>
      </c>
      <c r="FA14">
        <v>1</v>
      </c>
      <c r="FB14">
        <v>0</v>
      </c>
      <c r="FC14">
        <v>0</v>
      </c>
      <c r="FD14">
        <v>0</v>
      </c>
      <c r="FE14">
        <v>1</v>
      </c>
      <c r="FF14">
        <v>0</v>
      </c>
      <c r="FG14">
        <v>1</v>
      </c>
      <c r="FH14">
        <v>1</v>
      </c>
      <c r="FI14">
        <v>1</v>
      </c>
      <c r="FJ14">
        <v>1</v>
      </c>
      <c r="FK14">
        <v>0</v>
      </c>
      <c r="FL14">
        <v>0</v>
      </c>
      <c r="FM14">
        <v>1</v>
      </c>
      <c r="FN14">
        <v>0</v>
      </c>
      <c r="FO14">
        <v>1</v>
      </c>
      <c r="FP14">
        <v>0</v>
      </c>
      <c r="FQ14">
        <v>0</v>
      </c>
      <c r="FR14">
        <v>0</v>
      </c>
      <c r="FS14">
        <v>1</v>
      </c>
      <c r="FT14">
        <v>1</v>
      </c>
      <c r="FU14">
        <v>1</v>
      </c>
      <c r="FV14">
        <v>1</v>
      </c>
      <c r="FW14">
        <v>0</v>
      </c>
      <c r="FX14">
        <v>1</v>
      </c>
      <c r="FY14">
        <v>0</v>
      </c>
      <c r="FZ14">
        <v>1</v>
      </c>
      <c r="GA14">
        <v>1</v>
      </c>
      <c r="GB14">
        <v>1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1</v>
      </c>
      <c r="GI14">
        <v>0</v>
      </c>
      <c r="GJ14">
        <v>0</v>
      </c>
      <c r="GK14">
        <v>1</v>
      </c>
      <c r="GL14">
        <v>0</v>
      </c>
      <c r="GM14">
        <v>1</v>
      </c>
      <c r="GN14">
        <v>0</v>
      </c>
      <c r="GO14">
        <v>1</v>
      </c>
      <c r="GP14">
        <v>1</v>
      </c>
      <c r="GQ14">
        <v>0</v>
      </c>
      <c r="GR14">
        <v>0</v>
      </c>
      <c r="GS14">
        <v>1</v>
      </c>
      <c r="GT14">
        <v>1</v>
      </c>
      <c r="GU14">
        <v>0</v>
      </c>
      <c r="GV14">
        <v>1</v>
      </c>
      <c r="GW14">
        <v>1</v>
      </c>
      <c r="GX14">
        <v>0</v>
      </c>
      <c r="GY14">
        <v>1</v>
      </c>
      <c r="GZ14">
        <v>0</v>
      </c>
      <c r="HA14">
        <v>1</v>
      </c>
      <c r="HB14">
        <v>0</v>
      </c>
      <c r="HC14">
        <v>0</v>
      </c>
      <c r="HD14">
        <v>1</v>
      </c>
      <c r="HE14">
        <v>0</v>
      </c>
      <c r="HF14">
        <v>1</v>
      </c>
      <c r="HG14">
        <v>0</v>
      </c>
      <c r="HH14">
        <v>1</v>
      </c>
      <c r="HI14">
        <v>0</v>
      </c>
      <c r="HJ14">
        <v>1</v>
      </c>
      <c r="HK14">
        <v>1</v>
      </c>
      <c r="HL14">
        <v>0</v>
      </c>
      <c r="HM14">
        <v>1</v>
      </c>
      <c r="HN14">
        <v>0</v>
      </c>
      <c r="HO14">
        <v>0</v>
      </c>
      <c r="HP14">
        <v>0</v>
      </c>
      <c r="HQ14">
        <v>1</v>
      </c>
      <c r="HR14">
        <v>0</v>
      </c>
      <c r="HS14">
        <v>0</v>
      </c>
      <c r="HT14">
        <v>0</v>
      </c>
      <c r="HU14">
        <v>1</v>
      </c>
      <c r="HV14">
        <v>0</v>
      </c>
      <c r="HW14">
        <v>1</v>
      </c>
      <c r="HX14">
        <v>1</v>
      </c>
      <c r="HY14">
        <v>1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1</v>
      </c>
      <c r="IG14">
        <v>1</v>
      </c>
      <c r="IH14">
        <v>0</v>
      </c>
      <c r="II14">
        <v>0</v>
      </c>
      <c r="IJ14">
        <v>0</v>
      </c>
      <c r="IK14">
        <v>1</v>
      </c>
      <c r="IL14">
        <v>1</v>
      </c>
      <c r="IM14">
        <v>0</v>
      </c>
      <c r="IN14">
        <v>0</v>
      </c>
      <c r="IO14">
        <v>0</v>
      </c>
      <c r="IP14">
        <v>1</v>
      </c>
      <c r="IQ14">
        <v>0</v>
      </c>
      <c r="IR14">
        <v>0</v>
      </c>
      <c r="IS14">
        <v>1</v>
      </c>
      <c r="IT14">
        <v>0</v>
      </c>
      <c r="IU14">
        <v>0</v>
      </c>
      <c r="IV14">
        <v>0</v>
      </c>
      <c r="IW14">
        <v>0</v>
      </c>
      <c r="IX14">
        <v>1</v>
      </c>
      <c r="IY14">
        <v>0</v>
      </c>
      <c r="IZ14">
        <v>0</v>
      </c>
      <c r="JA14">
        <v>0</v>
      </c>
      <c r="JB14">
        <v>1</v>
      </c>
      <c r="JC14">
        <v>0</v>
      </c>
      <c r="JD14">
        <v>0</v>
      </c>
      <c r="JE14">
        <v>0</v>
      </c>
      <c r="JF14">
        <v>1</v>
      </c>
      <c r="JG14">
        <v>1</v>
      </c>
      <c r="JH14">
        <v>1</v>
      </c>
      <c r="JI14">
        <v>0</v>
      </c>
      <c r="JJ14">
        <v>1</v>
      </c>
      <c r="JK14">
        <v>0</v>
      </c>
      <c r="JL14">
        <v>0</v>
      </c>
      <c r="JM14">
        <v>1</v>
      </c>
      <c r="JN14">
        <v>1</v>
      </c>
      <c r="JO14">
        <v>0</v>
      </c>
      <c r="JP14">
        <v>1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1</v>
      </c>
      <c r="JW14">
        <v>1</v>
      </c>
      <c r="JX14">
        <v>0</v>
      </c>
      <c r="JY14">
        <v>0</v>
      </c>
      <c r="JZ14">
        <v>1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1</v>
      </c>
      <c r="KH14">
        <v>0</v>
      </c>
      <c r="KI14">
        <v>0</v>
      </c>
      <c r="KJ14">
        <v>1</v>
      </c>
      <c r="KK14">
        <v>1</v>
      </c>
      <c r="KL14">
        <v>0</v>
      </c>
      <c r="KM14">
        <v>1</v>
      </c>
      <c r="KN14">
        <v>0</v>
      </c>
      <c r="KO14">
        <v>1</v>
      </c>
      <c r="KP14">
        <v>0</v>
      </c>
      <c r="KQ14">
        <v>0</v>
      </c>
      <c r="KR14">
        <v>0</v>
      </c>
      <c r="KS14">
        <v>1</v>
      </c>
      <c r="KT14">
        <v>0</v>
      </c>
      <c r="KU14">
        <v>1</v>
      </c>
      <c r="KV14">
        <v>0</v>
      </c>
      <c r="KW14">
        <v>0</v>
      </c>
      <c r="KX14">
        <v>0</v>
      </c>
      <c r="KY14">
        <v>1</v>
      </c>
      <c r="KZ14">
        <v>1</v>
      </c>
      <c r="LA14">
        <v>0</v>
      </c>
      <c r="LB14">
        <v>0</v>
      </c>
      <c r="LC14">
        <v>0</v>
      </c>
      <c r="LD14">
        <v>1</v>
      </c>
      <c r="LE14">
        <v>0</v>
      </c>
      <c r="LF14">
        <v>0</v>
      </c>
      <c r="LG14">
        <v>0</v>
      </c>
      <c r="LH14">
        <v>0</v>
      </c>
      <c r="LI14">
        <v>1</v>
      </c>
      <c r="LJ14">
        <v>0</v>
      </c>
      <c r="LK14">
        <v>0</v>
      </c>
      <c r="LL14">
        <v>1</v>
      </c>
      <c r="LM14">
        <v>0</v>
      </c>
      <c r="LN14">
        <v>0</v>
      </c>
      <c r="LO14">
        <v>1</v>
      </c>
      <c r="LP14">
        <v>1</v>
      </c>
      <c r="LQ14">
        <v>1</v>
      </c>
      <c r="LR14">
        <v>0</v>
      </c>
      <c r="LS14">
        <v>0</v>
      </c>
      <c r="LT14">
        <v>0</v>
      </c>
      <c r="LU14">
        <v>1</v>
      </c>
      <c r="LV14">
        <v>0</v>
      </c>
      <c r="LW14">
        <v>1</v>
      </c>
      <c r="LX14">
        <v>1</v>
      </c>
      <c r="LY14">
        <v>0</v>
      </c>
      <c r="LZ14">
        <v>0</v>
      </c>
      <c r="MA14">
        <v>0</v>
      </c>
      <c r="MB14">
        <v>1</v>
      </c>
      <c r="MC14">
        <v>1</v>
      </c>
      <c r="MD14">
        <v>1</v>
      </c>
      <c r="ME14">
        <v>0</v>
      </c>
      <c r="MF14">
        <v>0</v>
      </c>
      <c r="MG14">
        <v>1</v>
      </c>
      <c r="MH14">
        <v>0</v>
      </c>
      <c r="MI14">
        <v>0</v>
      </c>
      <c r="MJ14">
        <v>1</v>
      </c>
      <c r="MK14">
        <v>1</v>
      </c>
      <c r="ML14">
        <v>0</v>
      </c>
      <c r="MM14">
        <v>1</v>
      </c>
      <c r="MN14">
        <v>1</v>
      </c>
      <c r="MO14">
        <v>0</v>
      </c>
      <c r="MP14">
        <v>0</v>
      </c>
      <c r="MQ14">
        <v>0</v>
      </c>
      <c r="MR14">
        <v>0</v>
      </c>
      <c r="MS14">
        <v>1</v>
      </c>
      <c r="MT14">
        <v>1</v>
      </c>
      <c r="MU14">
        <v>1</v>
      </c>
      <c r="MV14">
        <v>0</v>
      </c>
      <c r="MW14">
        <v>0</v>
      </c>
      <c r="MX14">
        <v>0</v>
      </c>
      <c r="MY14">
        <v>1</v>
      </c>
      <c r="MZ14">
        <v>1</v>
      </c>
      <c r="NA14">
        <v>1</v>
      </c>
      <c r="NB14">
        <v>1</v>
      </c>
      <c r="NC14">
        <v>1</v>
      </c>
      <c r="ND14">
        <v>1</v>
      </c>
      <c r="NE14">
        <v>0</v>
      </c>
      <c r="NF14">
        <v>0</v>
      </c>
      <c r="NG14">
        <v>0</v>
      </c>
      <c r="NH14">
        <v>0</v>
      </c>
      <c r="NI14">
        <v>0</v>
      </c>
      <c r="NJ14">
        <v>0</v>
      </c>
      <c r="NK14">
        <v>1</v>
      </c>
      <c r="NL14">
        <v>1</v>
      </c>
      <c r="NM14">
        <v>1</v>
      </c>
      <c r="NN14">
        <v>0</v>
      </c>
      <c r="NO14">
        <v>1</v>
      </c>
      <c r="NP14">
        <v>1</v>
      </c>
      <c r="NQ14">
        <v>1</v>
      </c>
      <c r="NR14">
        <v>0</v>
      </c>
      <c r="NS14">
        <v>1</v>
      </c>
      <c r="NT14">
        <v>1</v>
      </c>
      <c r="NU14">
        <v>0</v>
      </c>
      <c r="NV14">
        <v>0</v>
      </c>
      <c r="NW14">
        <v>1</v>
      </c>
      <c r="NX14">
        <v>1</v>
      </c>
      <c r="NY14">
        <v>0</v>
      </c>
      <c r="NZ14">
        <v>1</v>
      </c>
      <c r="OA14">
        <v>1</v>
      </c>
      <c r="OB14">
        <v>0</v>
      </c>
      <c r="OC14">
        <v>0</v>
      </c>
      <c r="OD14">
        <v>0</v>
      </c>
      <c r="OE14">
        <v>1</v>
      </c>
      <c r="OF14">
        <v>1</v>
      </c>
      <c r="OG14">
        <v>1</v>
      </c>
      <c r="OH14">
        <v>1</v>
      </c>
      <c r="OI14">
        <v>1</v>
      </c>
      <c r="OJ14">
        <v>1</v>
      </c>
      <c r="OK14">
        <v>1</v>
      </c>
      <c r="OL14">
        <v>0</v>
      </c>
      <c r="OM14">
        <v>1</v>
      </c>
      <c r="ON14">
        <v>0</v>
      </c>
      <c r="OO14">
        <v>0</v>
      </c>
      <c r="OP14">
        <v>0</v>
      </c>
      <c r="OQ14">
        <v>0</v>
      </c>
      <c r="OR14">
        <v>0</v>
      </c>
      <c r="OS14">
        <v>1</v>
      </c>
      <c r="OT14">
        <v>0</v>
      </c>
      <c r="OU14">
        <v>0</v>
      </c>
      <c r="OV14">
        <v>1</v>
      </c>
      <c r="OW14">
        <v>0</v>
      </c>
      <c r="OX14">
        <v>0</v>
      </c>
      <c r="OY14">
        <v>0</v>
      </c>
      <c r="OZ14">
        <v>0</v>
      </c>
      <c r="PA14">
        <v>1</v>
      </c>
      <c r="PB14">
        <v>0</v>
      </c>
      <c r="PC14">
        <v>0</v>
      </c>
      <c r="PD14">
        <v>1</v>
      </c>
      <c r="PE14">
        <v>0</v>
      </c>
      <c r="PF14">
        <v>0</v>
      </c>
      <c r="PG14">
        <v>0</v>
      </c>
      <c r="PH14">
        <v>0</v>
      </c>
      <c r="PI14">
        <v>0</v>
      </c>
      <c r="PJ14">
        <v>0</v>
      </c>
      <c r="PK14">
        <v>0</v>
      </c>
      <c r="PL14">
        <v>0</v>
      </c>
      <c r="PM14">
        <v>0</v>
      </c>
      <c r="PN14">
        <v>1</v>
      </c>
      <c r="PO14">
        <v>0</v>
      </c>
      <c r="PP14">
        <v>0</v>
      </c>
      <c r="PQ14">
        <v>1</v>
      </c>
      <c r="PR14">
        <v>1</v>
      </c>
      <c r="PS14">
        <v>0</v>
      </c>
      <c r="PT14">
        <v>0</v>
      </c>
      <c r="PU14">
        <v>1</v>
      </c>
      <c r="PV14">
        <v>1</v>
      </c>
    </row>
    <row r="15" spans="1:446" x14ac:dyDescent="0.3">
      <c r="A15" s="31">
        <v>35</v>
      </c>
      <c r="B15" s="28">
        <v>0.61</v>
      </c>
      <c r="C15" s="30">
        <v>95.09</v>
      </c>
      <c r="D15" s="28">
        <v>0.65</v>
      </c>
      <c r="E15" s="34">
        <f t="shared" si="0"/>
        <v>1.3000000000000001E-2</v>
      </c>
      <c r="F15" s="35">
        <f t="shared" si="1"/>
        <v>23.772500000000001</v>
      </c>
      <c r="G15" s="34">
        <f t="shared" si="2"/>
        <v>16.25</v>
      </c>
      <c r="H15" s="33">
        <f t="shared" si="3"/>
        <v>-38.971311475409841</v>
      </c>
      <c r="I15" s="29">
        <f t="shared" ca="1" si="4"/>
        <v>0</v>
      </c>
      <c r="J15">
        <f ca="1">IF(AND(SUMPRODUCT($J$2:J14,$B$2:B14)&lt;500,SUM(B14,SUMPRODUCT($J$2:J14,$B$2:B14))&lt;500),1,0)</f>
        <v>0</v>
      </c>
      <c r="K15">
        <v>0</v>
      </c>
      <c r="L15">
        <v>0</v>
      </c>
      <c r="Q15" t="s">
        <v>168</v>
      </c>
      <c r="W15">
        <v>1</v>
      </c>
      <c r="X15">
        <v>0</v>
      </c>
      <c r="Y15">
        <v>1</v>
      </c>
      <c r="Z15">
        <v>0</v>
      </c>
      <c r="AA15">
        <v>0</v>
      </c>
      <c r="AB15">
        <v>0</v>
      </c>
      <c r="AC15">
        <v>0</v>
      </c>
      <c r="AD15">
        <v>1</v>
      </c>
      <c r="AE15">
        <v>0</v>
      </c>
      <c r="AF15">
        <v>1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1</v>
      </c>
      <c r="AM15">
        <v>1</v>
      </c>
      <c r="AN15">
        <v>0</v>
      </c>
      <c r="AO15">
        <v>1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1</v>
      </c>
      <c r="AW15">
        <v>0</v>
      </c>
      <c r="AX15">
        <v>1</v>
      </c>
      <c r="AY15">
        <v>0</v>
      </c>
      <c r="AZ15">
        <v>0</v>
      </c>
      <c r="BA15">
        <v>0</v>
      </c>
      <c r="BB15">
        <v>0</v>
      </c>
      <c r="BC15">
        <v>1</v>
      </c>
      <c r="BD15">
        <v>0</v>
      </c>
      <c r="BE15">
        <v>0</v>
      </c>
      <c r="BF15">
        <v>1</v>
      </c>
      <c r="BG15">
        <v>0</v>
      </c>
      <c r="BH15">
        <v>0</v>
      </c>
      <c r="BI15">
        <v>0</v>
      </c>
      <c r="BJ15">
        <v>0</v>
      </c>
      <c r="BK15">
        <v>1</v>
      </c>
      <c r="BL15">
        <v>0</v>
      </c>
      <c r="BM15">
        <v>1</v>
      </c>
      <c r="BN15">
        <v>1</v>
      </c>
      <c r="BO15">
        <v>1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1</v>
      </c>
      <c r="BW15">
        <v>1</v>
      </c>
      <c r="BX15">
        <v>0</v>
      </c>
      <c r="BY15">
        <v>0</v>
      </c>
      <c r="BZ15">
        <v>1</v>
      </c>
      <c r="CA15">
        <v>1</v>
      </c>
      <c r="CB15">
        <v>0</v>
      </c>
      <c r="CC15">
        <v>1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1</v>
      </c>
      <c r="CJ15">
        <v>0</v>
      </c>
      <c r="CK15">
        <v>0</v>
      </c>
      <c r="CL15">
        <v>1</v>
      </c>
      <c r="CM15">
        <v>1</v>
      </c>
      <c r="CN15">
        <v>1</v>
      </c>
      <c r="CO15">
        <v>1</v>
      </c>
      <c r="CP15">
        <v>0</v>
      </c>
      <c r="CQ15">
        <v>0</v>
      </c>
      <c r="CR15">
        <v>1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1</v>
      </c>
      <c r="DB15">
        <v>0</v>
      </c>
      <c r="DC15">
        <v>0</v>
      </c>
      <c r="DD15">
        <v>1</v>
      </c>
      <c r="DE15">
        <v>1</v>
      </c>
      <c r="DF15">
        <v>1</v>
      </c>
      <c r="DG15">
        <v>0</v>
      </c>
      <c r="DH15">
        <v>0</v>
      </c>
      <c r="DI15">
        <v>0</v>
      </c>
      <c r="DJ15">
        <v>0</v>
      </c>
      <c r="DK15">
        <v>1</v>
      </c>
      <c r="DL15">
        <v>1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1</v>
      </c>
      <c r="DT15">
        <v>1</v>
      </c>
      <c r="DU15">
        <v>0</v>
      </c>
      <c r="DV15">
        <v>1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1</v>
      </c>
      <c r="ED15">
        <v>0</v>
      </c>
      <c r="EE15">
        <v>0</v>
      </c>
      <c r="EF15">
        <v>1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1</v>
      </c>
      <c r="EN15">
        <v>0</v>
      </c>
      <c r="EO15">
        <v>1</v>
      </c>
      <c r="EP15">
        <v>0</v>
      </c>
      <c r="EQ15">
        <v>0</v>
      </c>
      <c r="ER15">
        <v>0</v>
      </c>
      <c r="ES15">
        <v>1</v>
      </c>
      <c r="ET15">
        <v>0</v>
      </c>
      <c r="EU15">
        <v>0</v>
      </c>
      <c r="EV15">
        <v>0</v>
      </c>
      <c r="EW15">
        <v>1</v>
      </c>
      <c r="EX15">
        <v>1</v>
      </c>
      <c r="EY15">
        <v>1</v>
      </c>
      <c r="EZ15">
        <v>0</v>
      </c>
      <c r="FA15">
        <v>0</v>
      </c>
      <c r="FB15">
        <v>1</v>
      </c>
      <c r="FC15">
        <v>1</v>
      </c>
      <c r="FD15">
        <v>1</v>
      </c>
      <c r="FE15">
        <v>0</v>
      </c>
      <c r="FF15">
        <v>1</v>
      </c>
      <c r="FG15">
        <v>0</v>
      </c>
      <c r="FH15">
        <v>1</v>
      </c>
      <c r="FI15">
        <v>0</v>
      </c>
      <c r="FJ15">
        <v>1</v>
      </c>
      <c r="FK15">
        <v>0</v>
      </c>
      <c r="FL15">
        <v>0</v>
      </c>
      <c r="FM15">
        <v>1</v>
      </c>
      <c r="FN15">
        <v>0</v>
      </c>
      <c r="FO15">
        <v>1</v>
      </c>
      <c r="FP15">
        <v>0</v>
      </c>
      <c r="FQ15">
        <v>0</v>
      </c>
      <c r="FR15">
        <v>0</v>
      </c>
      <c r="FS15">
        <v>1</v>
      </c>
      <c r="FT15">
        <v>1</v>
      </c>
      <c r="FU15">
        <v>1</v>
      </c>
      <c r="FV15">
        <v>1</v>
      </c>
      <c r="FW15">
        <v>0</v>
      </c>
      <c r="FX15">
        <v>1</v>
      </c>
      <c r="FY15">
        <v>1</v>
      </c>
      <c r="FZ15">
        <v>0</v>
      </c>
      <c r="GA15">
        <v>1</v>
      </c>
      <c r="GB15">
        <v>1</v>
      </c>
      <c r="GC15">
        <v>0</v>
      </c>
      <c r="GD15">
        <v>1</v>
      </c>
      <c r="GE15">
        <v>0</v>
      </c>
      <c r="GF15">
        <v>0</v>
      </c>
      <c r="GG15">
        <v>0</v>
      </c>
      <c r="GH15">
        <v>1</v>
      </c>
      <c r="GI15">
        <v>0</v>
      </c>
      <c r="GJ15">
        <v>0</v>
      </c>
      <c r="GK15">
        <v>1</v>
      </c>
      <c r="GL15">
        <v>0</v>
      </c>
      <c r="GM15">
        <v>0</v>
      </c>
      <c r="GN15">
        <v>0</v>
      </c>
      <c r="GO15">
        <v>0</v>
      </c>
      <c r="GP15">
        <v>1</v>
      </c>
      <c r="GQ15">
        <v>1</v>
      </c>
      <c r="GR15">
        <v>1</v>
      </c>
      <c r="GS15">
        <v>0</v>
      </c>
      <c r="GT15">
        <v>1</v>
      </c>
      <c r="GU15">
        <v>1</v>
      </c>
      <c r="GV15">
        <v>0</v>
      </c>
      <c r="GW15">
        <v>1</v>
      </c>
      <c r="GX15">
        <v>0</v>
      </c>
      <c r="GY15">
        <v>1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1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1</v>
      </c>
      <c r="HM15">
        <v>0</v>
      </c>
      <c r="HN15">
        <v>0</v>
      </c>
      <c r="HO15">
        <v>0</v>
      </c>
      <c r="HP15">
        <v>0</v>
      </c>
      <c r="HQ15">
        <v>1</v>
      </c>
      <c r="HR15">
        <v>0</v>
      </c>
      <c r="HS15">
        <v>0</v>
      </c>
      <c r="HT15">
        <v>1</v>
      </c>
      <c r="HU15">
        <v>1</v>
      </c>
      <c r="HV15">
        <v>1</v>
      </c>
      <c r="HW15">
        <v>0</v>
      </c>
      <c r="HX15">
        <v>1</v>
      </c>
      <c r="HY15">
        <v>0</v>
      </c>
      <c r="HZ15">
        <v>0</v>
      </c>
      <c r="IA15">
        <v>0</v>
      </c>
      <c r="IB15">
        <v>1</v>
      </c>
      <c r="IC15">
        <v>0</v>
      </c>
      <c r="ID15">
        <v>0</v>
      </c>
      <c r="IE15">
        <v>0</v>
      </c>
      <c r="IF15">
        <v>0</v>
      </c>
      <c r="IG15">
        <v>1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1</v>
      </c>
      <c r="IN15">
        <v>1</v>
      </c>
      <c r="IO15">
        <v>0</v>
      </c>
      <c r="IP15">
        <v>1</v>
      </c>
      <c r="IQ15">
        <v>0</v>
      </c>
      <c r="IR15">
        <v>0</v>
      </c>
      <c r="IS15">
        <v>1</v>
      </c>
      <c r="IT15">
        <v>1</v>
      </c>
      <c r="IU15">
        <v>1</v>
      </c>
      <c r="IV15">
        <v>0</v>
      </c>
      <c r="IW15">
        <v>1</v>
      </c>
      <c r="IX15">
        <v>1</v>
      </c>
      <c r="IY15">
        <v>0</v>
      </c>
      <c r="IZ15">
        <v>1</v>
      </c>
      <c r="JA15">
        <v>1</v>
      </c>
      <c r="JB15">
        <v>0</v>
      </c>
      <c r="JC15">
        <v>1</v>
      </c>
      <c r="JD15">
        <v>1</v>
      </c>
      <c r="JE15">
        <v>0</v>
      </c>
      <c r="JF15">
        <v>1</v>
      </c>
      <c r="JG15">
        <v>0</v>
      </c>
      <c r="JH15">
        <v>1</v>
      </c>
      <c r="JI15">
        <v>0</v>
      </c>
      <c r="JJ15">
        <v>0</v>
      </c>
      <c r="JK15">
        <v>1</v>
      </c>
      <c r="JL15">
        <v>0</v>
      </c>
      <c r="JM15">
        <v>1</v>
      </c>
      <c r="JN15">
        <v>1</v>
      </c>
      <c r="JO15">
        <v>0</v>
      </c>
      <c r="JP15">
        <v>1</v>
      </c>
      <c r="JQ15">
        <v>0</v>
      </c>
      <c r="JR15">
        <v>1</v>
      </c>
      <c r="JS15">
        <v>0</v>
      </c>
      <c r="JT15">
        <v>0</v>
      </c>
      <c r="JU15">
        <v>0</v>
      </c>
      <c r="JV15">
        <v>1</v>
      </c>
      <c r="JW15">
        <v>1</v>
      </c>
      <c r="JX15">
        <v>1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1</v>
      </c>
      <c r="KI15">
        <v>0</v>
      </c>
      <c r="KJ15">
        <v>1</v>
      </c>
      <c r="KK15">
        <v>1</v>
      </c>
      <c r="KL15">
        <v>1</v>
      </c>
      <c r="KM15">
        <v>0</v>
      </c>
      <c r="KN15">
        <v>0</v>
      </c>
      <c r="KO15">
        <v>1</v>
      </c>
      <c r="KP15">
        <v>1</v>
      </c>
      <c r="KQ15">
        <v>0</v>
      </c>
      <c r="KR15">
        <v>1</v>
      </c>
      <c r="KS15">
        <v>1</v>
      </c>
      <c r="KT15">
        <v>1</v>
      </c>
      <c r="KU15">
        <v>0</v>
      </c>
      <c r="KV15">
        <v>0</v>
      </c>
      <c r="KW15">
        <v>0</v>
      </c>
      <c r="KX15">
        <v>0</v>
      </c>
      <c r="KY15">
        <v>0</v>
      </c>
      <c r="KZ15">
        <v>1</v>
      </c>
      <c r="LA15">
        <v>1</v>
      </c>
      <c r="LB15">
        <v>0</v>
      </c>
      <c r="LC15">
        <v>0</v>
      </c>
      <c r="LD15">
        <v>1</v>
      </c>
      <c r="LE15">
        <v>1</v>
      </c>
      <c r="LF15">
        <v>1</v>
      </c>
      <c r="LG15">
        <v>1</v>
      </c>
      <c r="LH15">
        <v>1</v>
      </c>
      <c r="LI15">
        <v>0</v>
      </c>
      <c r="LJ15">
        <v>1</v>
      </c>
      <c r="LK15">
        <v>0</v>
      </c>
      <c r="LL15">
        <v>0</v>
      </c>
      <c r="LM15">
        <v>0</v>
      </c>
      <c r="LN15">
        <v>1</v>
      </c>
      <c r="LO15">
        <v>0</v>
      </c>
      <c r="LP15">
        <v>0</v>
      </c>
      <c r="LQ15">
        <v>1</v>
      </c>
      <c r="LR15">
        <v>1</v>
      </c>
      <c r="LS15">
        <v>0</v>
      </c>
      <c r="LT15">
        <v>0</v>
      </c>
      <c r="LU15">
        <v>0</v>
      </c>
      <c r="LV15">
        <v>0</v>
      </c>
      <c r="LW15">
        <v>0</v>
      </c>
      <c r="LX15">
        <v>0</v>
      </c>
      <c r="LY15">
        <v>0</v>
      </c>
      <c r="LZ15">
        <v>0</v>
      </c>
      <c r="MA15">
        <v>1</v>
      </c>
      <c r="MB15">
        <v>0</v>
      </c>
      <c r="MC15">
        <v>0</v>
      </c>
      <c r="MD15">
        <v>0</v>
      </c>
      <c r="ME15">
        <v>0</v>
      </c>
      <c r="MF15">
        <v>1</v>
      </c>
      <c r="MG15">
        <v>1</v>
      </c>
      <c r="MH15">
        <v>0</v>
      </c>
      <c r="MI15">
        <v>0</v>
      </c>
      <c r="MJ15">
        <v>0</v>
      </c>
      <c r="MK15">
        <v>0</v>
      </c>
      <c r="ML15">
        <v>0</v>
      </c>
      <c r="MM15">
        <v>0</v>
      </c>
      <c r="MN15">
        <v>1</v>
      </c>
      <c r="MO15">
        <v>1</v>
      </c>
      <c r="MP15">
        <v>0</v>
      </c>
      <c r="MQ15">
        <v>0</v>
      </c>
      <c r="MR15">
        <v>0</v>
      </c>
      <c r="MS15">
        <v>0</v>
      </c>
      <c r="MT15">
        <v>1</v>
      </c>
      <c r="MU15">
        <v>1</v>
      </c>
      <c r="MV15">
        <v>0</v>
      </c>
      <c r="MW15">
        <v>0</v>
      </c>
      <c r="MX15">
        <v>0</v>
      </c>
      <c r="MY15">
        <v>1</v>
      </c>
      <c r="MZ15">
        <v>0</v>
      </c>
      <c r="NA15">
        <v>1</v>
      </c>
      <c r="NB15">
        <v>0</v>
      </c>
      <c r="NC15">
        <v>0</v>
      </c>
      <c r="ND15">
        <v>0</v>
      </c>
      <c r="NE15">
        <v>0</v>
      </c>
      <c r="NF15">
        <v>0</v>
      </c>
      <c r="NG15">
        <v>1</v>
      </c>
      <c r="NH15">
        <v>0</v>
      </c>
      <c r="NI15">
        <v>0</v>
      </c>
      <c r="NJ15">
        <v>0</v>
      </c>
      <c r="NK15">
        <v>1</v>
      </c>
      <c r="NL15">
        <v>1</v>
      </c>
      <c r="NM15">
        <v>1</v>
      </c>
      <c r="NN15">
        <v>0</v>
      </c>
      <c r="NO15">
        <v>1</v>
      </c>
      <c r="NP15">
        <v>0</v>
      </c>
      <c r="NQ15">
        <v>1</v>
      </c>
      <c r="NR15">
        <v>0</v>
      </c>
      <c r="NS15">
        <v>0</v>
      </c>
      <c r="NT15">
        <v>0</v>
      </c>
      <c r="NU15">
        <v>0</v>
      </c>
      <c r="NV15">
        <v>0</v>
      </c>
      <c r="NW15">
        <v>1</v>
      </c>
      <c r="NX15">
        <v>1</v>
      </c>
      <c r="NY15">
        <v>1</v>
      </c>
      <c r="NZ15">
        <v>0</v>
      </c>
      <c r="OA15">
        <v>0</v>
      </c>
      <c r="OB15">
        <v>0</v>
      </c>
      <c r="OC15">
        <v>1</v>
      </c>
      <c r="OD15">
        <v>0</v>
      </c>
      <c r="OE15">
        <v>1</v>
      </c>
      <c r="OF15">
        <v>1</v>
      </c>
      <c r="OG15">
        <v>1</v>
      </c>
      <c r="OH15">
        <v>0</v>
      </c>
      <c r="OI15">
        <v>0</v>
      </c>
      <c r="OJ15">
        <v>1</v>
      </c>
      <c r="OK15">
        <v>1</v>
      </c>
      <c r="OL15">
        <v>0</v>
      </c>
      <c r="OM15">
        <v>1</v>
      </c>
      <c r="ON15">
        <v>0</v>
      </c>
      <c r="OO15">
        <v>1</v>
      </c>
      <c r="OP15">
        <v>0</v>
      </c>
      <c r="OQ15">
        <v>0</v>
      </c>
      <c r="OR15">
        <v>0</v>
      </c>
      <c r="OS15">
        <v>1</v>
      </c>
      <c r="OT15">
        <v>0</v>
      </c>
      <c r="OU15">
        <v>0</v>
      </c>
      <c r="OV15">
        <v>1</v>
      </c>
      <c r="OW15">
        <v>0</v>
      </c>
      <c r="OX15">
        <v>1</v>
      </c>
      <c r="OY15">
        <v>0</v>
      </c>
      <c r="OZ15">
        <v>1</v>
      </c>
      <c r="PA15">
        <v>0</v>
      </c>
      <c r="PB15">
        <v>0</v>
      </c>
      <c r="PC15">
        <v>0</v>
      </c>
      <c r="PD15">
        <v>0</v>
      </c>
      <c r="PE15">
        <v>0</v>
      </c>
      <c r="PF15">
        <v>0</v>
      </c>
      <c r="PG15">
        <v>0</v>
      </c>
      <c r="PH15">
        <v>0</v>
      </c>
      <c r="PI15">
        <v>0</v>
      </c>
      <c r="PJ15">
        <v>0</v>
      </c>
      <c r="PK15">
        <v>1</v>
      </c>
      <c r="PL15">
        <v>0</v>
      </c>
      <c r="PM15">
        <v>0</v>
      </c>
      <c r="PN15">
        <v>1</v>
      </c>
      <c r="PO15">
        <v>1</v>
      </c>
      <c r="PP15">
        <v>1</v>
      </c>
      <c r="PQ15">
        <v>1</v>
      </c>
      <c r="PR15">
        <v>1</v>
      </c>
      <c r="PS15">
        <v>0</v>
      </c>
      <c r="PT15">
        <v>0</v>
      </c>
      <c r="PU15">
        <v>1</v>
      </c>
      <c r="PV15">
        <v>0</v>
      </c>
    </row>
    <row r="16" spans="1:446" x14ac:dyDescent="0.3">
      <c r="A16" s="31">
        <v>38</v>
      </c>
      <c r="B16" s="28">
        <v>7.57</v>
      </c>
      <c r="C16" s="30">
        <v>4.8099999999999996</v>
      </c>
      <c r="D16" s="28">
        <v>2.93</v>
      </c>
      <c r="E16" s="34">
        <f t="shared" si="0"/>
        <v>5.8600000000000006E-2</v>
      </c>
      <c r="F16" s="35">
        <f t="shared" si="1"/>
        <v>1.2024999999999999</v>
      </c>
      <c r="G16" s="34">
        <f t="shared" si="2"/>
        <v>73.25</v>
      </c>
      <c r="H16" s="33">
        <f t="shared" si="3"/>
        <v>3.1436591809775427</v>
      </c>
      <c r="I16" s="29">
        <f t="shared" ca="1" si="4"/>
        <v>4</v>
      </c>
      <c r="J16">
        <f ca="1">IF(AND(SUMPRODUCT($J$2:J15,$B$2:B15)&lt;500,SUM(B15,SUMPRODUCT($J$2:J15,$B$2:B15))&lt;500),1,0)</f>
        <v>0</v>
      </c>
      <c r="K16">
        <v>1</v>
      </c>
      <c r="L16">
        <v>0</v>
      </c>
      <c r="W16">
        <v>0</v>
      </c>
      <c r="X16">
        <v>0</v>
      </c>
      <c r="Y16">
        <v>1</v>
      </c>
      <c r="Z16">
        <v>0</v>
      </c>
      <c r="AA16">
        <v>0</v>
      </c>
      <c r="AB16">
        <v>1</v>
      </c>
      <c r="AC16">
        <v>0</v>
      </c>
      <c r="AD16">
        <v>1</v>
      </c>
      <c r="AE16">
        <v>0</v>
      </c>
      <c r="AF16">
        <v>1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0</v>
      </c>
      <c r="AM16">
        <v>0</v>
      </c>
      <c r="AN16">
        <v>0</v>
      </c>
      <c r="AO16">
        <v>0</v>
      </c>
      <c r="AP16">
        <v>1</v>
      </c>
      <c r="AQ16">
        <v>0</v>
      </c>
      <c r="AR16">
        <v>1</v>
      </c>
      <c r="AS16">
        <v>1</v>
      </c>
      <c r="AT16">
        <v>0</v>
      </c>
      <c r="AU16">
        <v>1</v>
      </c>
      <c r="AV16">
        <v>0</v>
      </c>
      <c r="AW16">
        <v>1</v>
      </c>
      <c r="AX16">
        <v>0</v>
      </c>
      <c r="AY16">
        <v>1</v>
      </c>
      <c r="AZ16">
        <v>1</v>
      </c>
      <c r="BA16">
        <v>0</v>
      </c>
      <c r="BB16">
        <v>0</v>
      </c>
      <c r="BC16">
        <v>0</v>
      </c>
      <c r="BD16">
        <v>0</v>
      </c>
      <c r="BE16">
        <v>1</v>
      </c>
      <c r="BF16">
        <v>0</v>
      </c>
      <c r="BG16">
        <v>1</v>
      </c>
      <c r="BH16">
        <v>1</v>
      </c>
      <c r="BI16">
        <v>1</v>
      </c>
      <c r="BJ16">
        <v>0</v>
      </c>
      <c r="BK16">
        <v>0</v>
      </c>
      <c r="BL16">
        <v>0</v>
      </c>
      <c r="BM16">
        <v>1</v>
      </c>
      <c r="BN16">
        <v>1</v>
      </c>
      <c r="BO16">
        <v>1</v>
      </c>
      <c r="BP16">
        <v>0</v>
      </c>
      <c r="BQ16">
        <v>0</v>
      </c>
      <c r="BR16">
        <v>1</v>
      </c>
      <c r="BS16">
        <v>0</v>
      </c>
      <c r="BT16">
        <v>0</v>
      </c>
      <c r="BU16">
        <v>0</v>
      </c>
      <c r="BV16">
        <v>1</v>
      </c>
      <c r="BW16">
        <v>0</v>
      </c>
      <c r="BX16">
        <v>1</v>
      </c>
      <c r="BY16">
        <v>0</v>
      </c>
      <c r="BZ16">
        <v>0</v>
      </c>
      <c r="CA16">
        <v>0</v>
      </c>
      <c r="CB16">
        <v>1</v>
      </c>
      <c r="CC16">
        <v>1</v>
      </c>
      <c r="CD16">
        <v>0</v>
      </c>
      <c r="CE16">
        <v>1</v>
      </c>
      <c r="CF16">
        <v>1</v>
      </c>
      <c r="CG16">
        <v>0</v>
      </c>
      <c r="CH16">
        <v>1</v>
      </c>
      <c r="CI16">
        <v>1</v>
      </c>
      <c r="CJ16">
        <v>0</v>
      </c>
      <c r="CK16">
        <v>0</v>
      </c>
      <c r="CL16">
        <v>1</v>
      </c>
      <c r="CM16">
        <v>1</v>
      </c>
      <c r="CN16">
        <v>1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1</v>
      </c>
      <c r="CU16">
        <v>1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1</v>
      </c>
      <c r="DB16">
        <v>1</v>
      </c>
      <c r="DC16">
        <v>0</v>
      </c>
      <c r="DD16">
        <v>0</v>
      </c>
      <c r="DE16">
        <v>0</v>
      </c>
      <c r="DF16">
        <v>0</v>
      </c>
      <c r="DG16">
        <v>1</v>
      </c>
      <c r="DH16">
        <v>0</v>
      </c>
      <c r="DI16">
        <v>0</v>
      </c>
      <c r="DJ16">
        <v>0</v>
      </c>
      <c r="DK16">
        <v>0</v>
      </c>
      <c r="DL16">
        <v>1</v>
      </c>
      <c r="DM16">
        <v>0</v>
      </c>
      <c r="DN16">
        <v>1</v>
      </c>
      <c r="DO16">
        <v>0</v>
      </c>
      <c r="DP16">
        <v>1</v>
      </c>
      <c r="DQ16">
        <v>0</v>
      </c>
      <c r="DR16">
        <v>0</v>
      </c>
      <c r="DS16">
        <v>0</v>
      </c>
      <c r="DT16">
        <v>1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1</v>
      </c>
      <c r="EB16">
        <v>1</v>
      </c>
      <c r="EC16">
        <v>0</v>
      </c>
      <c r="ED16">
        <v>0</v>
      </c>
      <c r="EE16">
        <v>0</v>
      </c>
      <c r="EF16">
        <v>1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1</v>
      </c>
      <c r="EQ16">
        <v>0</v>
      </c>
      <c r="ER16">
        <v>1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1</v>
      </c>
      <c r="EY16">
        <v>1</v>
      </c>
      <c r="EZ16">
        <v>0</v>
      </c>
      <c r="FA16">
        <v>0</v>
      </c>
      <c r="FB16">
        <v>0</v>
      </c>
      <c r="FC16">
        <v>1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1</v>
      </c>
      <c r="FK16">
        <v>0</v>
      </c>
      <c r="FL16">
        <v>1</v>
      </c>
      <c r="FM16">
        <v>0</v>
      </c>
      <c r="FN16">
        <v>0</v>
      </c>
      <c r="FO16">
        <v>1</v>
      </c>
      <c r="FP16">
        <v>0</v>
      </c>
      <c r="FQ16">
        <v>1</v>
      </c>
      <c r="FR16">
        <v>0</v>
      </c>
      <c r="FS16">
        <v>1</v>
      </c>
      <c r="FT16">
        <v>0</v>
      </c>
      <c r="FU16">
        <v>1</v>
      </c>
      <c r="FV16">
        <v>1</v>
      </c>
      <c r="FW16">
        <v>1</v>
      </c>
      <c r="FX16">
        <v>0</v>
      </c>
      <c r="FY16">
        <v>1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1</v>
      </c>
      <c r="GH16">
        <v>0</v>
      </c>
      <c r="GI16">
        <v>0</v>
      </c>
      <c r="GJ16">
        <v>0</v>
      </c>
      <c r="GK16">
        <v>1</v>
      </c>
      <c r="GL16">
        <v>1</v>
      </c>
      <c r="GM16">
        <v>0</v>
      </c>
      <c r="GN16">
        <v>0</v>
      </c>
      <c r="GO16">
        <v>1</v>
      </c>
      <c r="GP16">
        <v>1</v>
      </c>
      <c r="GQ16">
        <v>0</v>
      </c>
      <c r="GR16">
        <v>0</v>
      </c>
      <c r="GS16">
        <v>1</v>
      </c>
      <c r="GT16">
        <v>1</v>
      </c>
      <c r="GU16">
        <v>0</v>
      </c>
      <c r="GV16">
        <v>0</v>
      </c>
      <c r="GW16">
        <v>0</v>
      </c>
      <c r="GX16">
        <v>1</v>
      </c>
      <c r="GY16">
        <v>1</v>
      </c>
      <c r="GZ16">
        <v>0</v>
      </c>
      <c r="HA16">
        <v>0</v>
      </c>
      <c r="HB16">
        <v>0</v>
      </c>
      <c r="HC16">
        <v>1</v>
      </c>
      <c r="HD16">
        <v>1</v>
      </c>
      <c r="HE16">
        <v>0</v>
      </c>
      <c r="HF16">
        <v>0</v>
      </c>
      <c r="HG16">
        <v>0</v>
      </c>
      <c r="HH16">
        <v>0</v>
      </c>
      <c r="HI16">
        <v>1</v>
      </c>
      <c r="HJ16">
        <v>0</v>
      </c>
      <c r="HK16">
        <v>0</v>
      </c>
      <c r="HL16">
        <v>1</v>
      </c>
      <c r="HM16">
        <v>0</v>
      </c>
      <c r="HN16">
        <v>0</v>
      </c>
      <c r="HO16">
        <v>1</v>
      </c>
      <c r="HP16">
        <v>0</v>
      </c>
      <c r="HQ16">
        <v>1</v>
      </c>
      <c r="HR16">
        <v>0</v>
      </c>
      <c r="HS16">
        <v>0</v>
      </c>
      <c r="HT16">
        <v>0</v>
      </c>
      <c r="HU16">
        <v>1</v>
      </c>
      <c r="HV16">
        <v>1</v>
      </c>
      <c r="HW16">
        <v>1</v>
      </c>
      <c r="HX16">
        <v>0</v>
      </c>
      <c r="HY16">
        <v>0</v>
      </c>
      <c r="HZ16">
        <v>1</v>
      </c>
      <c r="IA16">
        <v>0</v>
      </c>
      <c r="IB16">
        <v>1</v>
      </c>
      <c r="IC16">
        <v>0</v>
      </c>
      <c r="ID16">
        <v>1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1</v>
      </c>
      <c r="IO16">
        <v>0</v>
      </c>
      <c r="IP16">
        <v>1</v>
      </c>
      <c r="IQ16">
        <v>0</v>
      </c>
      <c r="IR16">
        <v>1</v>
      </c>
      <c r="IS16">
        <v>1</v>
      </c>
      <c r="IT16">
        <v>0</v>
      </c>
      <c r="IU16">
        <v>0</v>
      </c>
      <c r="IV16">
        <v>1</v>
      </c>
      <c r="IW16">
        <v>0</v>
      </c>
      <c r="IX16">
        <v>1</v>
      </c>
      <c r="IY16">
        <v>0</v>
      </c>
      <c r="IZ16">
        <v>0</v>
      </c>
      <c r="JA16">
        <v>0</v>
      </c>
      <c r="JB16">
        <v>1</v>
      </c>
      <c r="JC16">
        <v>1</v>
      </c>
      <c r="JD16">
        <v>1</v>
      </c>
      <c r="JE16">
        <v>0</v>
      </c>
      <c r="JF16">
        <v>0</v>
      </c>
      <c r="JG16">
        <v>1</v>
      </c>
      <c r="JH16">
        <v>1</v>
      </c>
      <c r="JI16">
        <v>0</v>
      </c>
      <c r="JJ16">
        <v>0</v>
      </c>
      <c r="JK16">
        <v>1</v>
      </c>
      <c r="JL16">
        <v>0</v>
      </c>
      <c r="JM16">
        <v>0</v>
      </c>
      <c r="JN16">
        <v>1</v>
      </c>
      <c r="JO16">
        <v>0</v>
      </c>
      <c r="JP16">
        <v>1</v>
      </c>
      <c r="JQ16">
        <v>1</v>
      </c>
      <c r="JR16">
        <v>1</v>
      </c>
      <c r="JS16">
        <v>1</v>
      </c>
      <c r="JT16">
        <v>0</v>
      </c>
      <c r="JU16">
        <v>1</v>
      </c>
      <c r="JV16">
        <v>1</v>
      </c>
      <c r="JW16">
        <v>1</v>
      </c>
      <c r="JX16">
        <v>1</v>
      </c>
      <c r="JY16">
        <v>0</v>
      </c>
      <c r="JZ16">
        <v>1</v>
      </c>
      <c r="KA16">
        <v>0</v>
      </c>
      <c r="KB16">
        <v>0</v>
      </c>
      <c r="KC16">
        <v>1</v>
      </c>
      <c r="KD16">
        <v>0</v>
      </c>
      <c r="KE16">
        <v>0</v>
      </c>
      <c r="KF16">
        <v>0</v>
      </c>
      <c r="KG16">
        <v>1</v>
      </c>
      <c r="KH16">
        <v>1</v>
      </c>
      <c r="KI16">
        <v>0</v>
      </c>
      <c r="KJ16">
        <v>1</v>
      </c>
      <c r="KK16">
        <v>1</v>
      </c>
      <c r="KL16">
        <v>0</v>
      </c>
      <c r="KM16">
        <v>0</v>
      </c>
      <c r="KN16">
        <v>0</v>
      </c>
      <c r="KO16">
        <v>1</v>
      </c>
      <c r="KP16">
        <v>0</v>
      </c>
      <c r="KQ16">
        <v>1</v>
      </c>
      <c r="KR16">
        <v>1</v>
      </c>
      <c r="KS16">
        <v>1</v>
      </c>
      <c r="KT16">
        <v>1</v>
      </c>
      <c r="KU16">
        <v>0</v>
      </c>
      <c r="KV16">
        <v>0</v>
      </c>
      <c r="KW16">
        <v>0</v>
      </c>
      <c r="KX16">
        <v>1</v>
      </c>
      <c r="KY16">
        <v>0</v>
      </c>
      <c r="KZ16">
        <v>1</v>
      </c>
      <c r="LA16">
        <v>0</v>
      </c>
      <c r="LB16">
        <v>0</v>
      </c>
      <c r="LC16">
        <v>0</v>
      </c>
      <c r="LD16">
        <v>1</v>
      </c>
      <c r="LE16">
        <v>1</v>
      </c>
      <c r="LF16">
        <v>1</v>
      </c>
      <c r="LG16">
        <v>1</v>
      </c>
      <c r="LH16">
        <v>1</v>
      </c>
      <c r="LI16">
        <v>1</v>
      </c>
      <c r="LJ16">
        <v>0</v>
      </c>
      <c r="LK16">
        <v>0</v>
      </c>
      <c r="LL16">
        <v>1</v>
      </c>
      <c r="LM16">
        <v>0</v>
      </c>
      <c r="LN16">
        <v>0</v>
      </c>
      <c r="LO16">
        <v>1</v>
      </c>
      <c r="LP16">
        <v>0</v>
      </c>
      <c r="LQ16">
        <v>1</v>
      </c>
      <c r="LR16">
        <v>1</v>
      </c>
      <c r="LS16">
        <v>0</v>
      </c>
      <c r="LT16">
        <v>0</v>
      </c>
      <c r="LU16">
        <v>0</v>
      </c>
      <c r="LV16">
        <v>0</v>
      </c>
      <c r="LW16">
        <v>1</v>
      </c>
      <c r="LX16">
        <v>0</v>
      </c>
      <c r="LY16">
        <v>0</v>
      </c>
      <c r="LZ16">
        <v>0</v>
      </c>
      <c r="MA16">
        <v>0</v>
      </c>
      <c r="MB16">
        <v>1</v>
      </c>
      <c r="MC16">
        <v>0</v>
      </c>
      <c r="MD16">
        <v>0</v>
      </c>
      <c r="ME16">
        <v>0</v>
      </c>
      <c r="MF16">
        <v>1</v>
      </c>
      <c r="MG16">
        <v>0</v>
      </c>
      <c r="MH16">
        <v>0</v>
      </c>
      <c r="MI16">
        <v>0</v>
      </c>
      <c r="MJ16">
        <v>1</v>
      </c>
      <c r="MK16">
        <v>0</v>
      </c>
      <c r="ML16">
        <v>0</v>
      </c>
      <c r="MM16">
        <v>0</v>
      </c>
      <c r="MN16">
        <v>0</v>
      </c>
      <c r="MO16">
        <v>0</v>
      </c>
      <c r="MP16">
        <v>1</v>
      </c>
      <c r="MQ16">
        <v>0</v>
      </c>
      <c r="MR16">
        <v>0</v>
      </c>
      <c r="MS16">
        <v>0</v>
      </c>
      <c r="MT16">
        <v>0</v>
      </c>
      <c r="MU16">
        <v>0</v>
      </c>
      <c r="MV16">
        <v>0</v>
      </c>
      <c r="MW16">
        <v>0</v>
      </c>
      <c r="MX16">
        <v>0</v>
      </c>
      <c r="MY16">
        <v>0</v>
      </c>
      <c r="MZ16">
        <v>1</v>
      </c>
      <c r="NA16">
        <v>0</v>
      </c>
      <c r="NB16">
        <v>0</v>
      </c>
      <c r="NC16">
        <v>0</v>
      </c>
      <c r="ND16">
        <v>1</v>
      </c>
      <c r="NE16">
        <v>0</v>
      </c>
      <c r="NF16">
        <v>0</v>
      </c>
      <c r="NG16">
        <v>0</v>
      </c>
      <c r="NH16">
        <v>0</v>
      </c>
      <c r="NI16">
        <v>0</v>
      </c>
      <c r="NJ16">
        <v>0</v>
      </c>
      <c r="NK16">
        <v>1</v>
      </c>
      <c r="NL16">
        <v>1</v>
      </c>
      <c r="NM16">
        <v>0</v>
      </c>
      <c r="NN16">
        <v>1</v>
      </c>
      <c r="NO16">
        <v>1</v>
      </c>
      <c r="NP16">
        <v>0</v>
      </c>
      <c r="NQ16">
        <v>0</v>
      </c>
      <c r="NR16">
        <v>1</v>
      </c>
      <c r="NS16">
        <v>0</v>
      </c>
      <c r="NT16">
        <v>0</v>
      </c>
      <c r="NU16">
        <v>0</v>
      </c>
      <c r="NV16">
        <v>1</v>
      </c>
      <c r="NW16">
        <v>0</v>
      </c>
      <c r="NX16">
        <v>1</v>
      </c>
      <c r="NY16">
        <v>0</v>
      </c>
      <c r="NZ16">
        <v>1</v>
      </c>
      <c r="OA16">
        <v>0</v>
      </c>
      <c r="OB16">
        <v>0</v>
      </c>
      <c r="OC16">
        <v>1</v>
      </c>
      <c r="OD16">
        <v>0</v>
      </c>
      <c r="OE16">
        <v>0</v>
      </c>
      <c r="OF16">
        <v>0</v>
      </c>
      <c r="OG16">
        <v>1</v>
      </c>
      <c r="OH16">
        <v>1</v>
      </c>
      <c r="OI16">
        <v>1</v>
      </c>
      <c r="OJ16">
        <v>1</v>
      </c>
      <c r="OK16">
        <v>1</v>
      </c>
      <c r="OL16">
        <v>0</v>
      </c>
      <c r="OM16">
        <v>1</v>
      </c>
      <c r="ON16">
        <v>0</v>
      </c>
      <c r="OO16">
        <v>1</v>
      </c>
      <c r="OP16">
        <v>1</v>
      </c>
      <c r="OQ16">
        <v>0</v>
      </c>
      <c r="OR16">
        <v>0</v>
      </c>
      <c r="OS16">
        <v>1</v>
      </c>
      <c r="OT16">
        <v>0</v>
      </c>
      <c r="OU16">
        <v>0</v>
      </c>
      <c r="OV16">
        <v>1</v>
      </c>
      <c r="OW16">
        <v>0</v>
      </c>
      <c r="OX16">
        <v>0</v>
      </c>
      <c r="OY16">
        <v>0</v>
      </c>
      <c r="OZ16">
        <v>1</v>
      </c>
      <c r="PA16">
        <v>0</v>
      </c>
      <c r="PB16">
        <v>0</v>
      </c>
      <c r="PC16">
        <v>1</v>
      </c>
      <c r="PD16">
        <v>1</v>
      </c>
      <c r="PE16">
        <v>0</v>
      </c>
      <c r="PF16">
        <v>0</v>
      </c>
      <c r="PG16">
        <v>0</v>
      </c>
      <c r="PH16">
        <v>1</v>
      </c>
      <c r="PI16">
        <v>0</v>
      </c>
      <c r="PJ16">
        <v>0</v>
      </c>
      <c r="PK16">
        <v>0</v>
      </c>
      <c r="PL16">
        <v>0</v>
      </c>
      <c r="PM16">
        <v>0</v>
      </c>
      <c r="PN16">
        <v>0</v>
      </c>
      <c r="PO16">
        <v>0</v>
      </c>
      <c r="PP16">
        <v>0</v>
      </c>
      <c r="PQ16">
        <v>0</v>
      </c>
      <c r="PR16">
        <v>0</v>
      </c>
      <c r="PS16">
        <v>0</v>
      </c>
      <c r="PT16">
        <v>0</v>
      </c>
      <c r="PU16">
        <v>1</v>
      </c>
      <c r="PV16">
        <v>0</v>
      </c>
    </row>
    <row r="17" spans="1:438" x14ac:dyDescent="0.3">
      <c r="A17" s="31">
        <v>39</v>
      </c>
      <c r="B17" s="28">
        <v>2.0499999999999998</v>
      </c>
      <c r="C17" s="30">
        <v>42.78</v>
      </c>
      <c r="D17" s="28">
        <v>1.36</v>
      </c>
      <c r="E17" s="34">
        <f t="shared" si="0"/>
        <v>2.7200000000000002E-2</v>
      </c>
      <c r="F17" s="35">
        <f t="shared" si="1"/>
        <v>10.695</v>
      </c>
      <c r="G17" s="34">
        <f t="shared" si="2"/>
        <v>34</v>
      </c>
      <c r="H17" s="33">
        <f t="shared" si="3"/>
        <v>-5.217073170731708</v>
      </c>
      <c r="I17" s="29">
        <f t="shared" ca="1" si="4"/>
        <v>1</v>
      </c>
      <c r="J17">
        <f ca="1">IF(AND(SUMPRODUCT($J$2:J16,$B$2:B16)&lt;500,SUM(B16,SUMPRODUCT($J$2:J16,$B$2:B16))&lt;500),1,0)</f>
        <v>0</v>
      </c>
      <c r="K17">
        <v>0</v>
      </c>
      <c r="L17">
        <v>0</v>
      </c>
      <c r="W17">
        <v>1</v>
      </c>
      <c r="X17">
        <v>1</v>
      </c>
      <c r="Y17">
        <v>0</v>
      </c>
      <c r="Z17">
        <v>0</v>
      </c>
      <c r="AA17">
        <v>1</v>
      </c>
      <c r="AB17">
        <v>1</v>
      </c>
      <c r="AC17">
        <v>0</v>
      </c>
      <c r="AD17">
        <v>1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1</v>
      </c>
      <c r="AM17">
        <v>0</v>
      </c>
      <c r="AN17">
        <v>1</v>
      </c>
      <c r="AO17">
        <v>0</v>
      </c>
      <c r="AP17">
        <v>0</v>
      </c>
      <c r="AQ17">
        <v>0</v>
      </c>
      <c r="AR17">
        <v>0</v>
      </c>
      <c r="AS17">
        <v>1</v>
      </c>
      <c r="AT17">
        <v>0</v>
      </c>
      <c r="AU17">
        <v>0</v>
      </c>
      <c r="AV17">
        <v>1</v>
      </c>
      <c r="AW17">
        <v>0</v>
      </c>
      <c r="AX17">
        <v>1</v>
      </c>
      <c r="AY17">
        <v>0</v>
      </c>
      <c r="AZ17">
        <v>1</v>
      </c>
      <c r="BA17">
        <v>1</v>
      </c>
      <c r="BB17">
        <v>1</v>
      </c>
      <c r="BC17">
        <v>0</v>
      </c>
      <c r="BD17">
        <v>0</v>
      </c>
      <c r="BE17">
        <v>0</v>
      </c>
      <c r="BF17">
        <v>0</v>
      </c>
      <c r="BG17">
        <v>1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1</v>
      </c>
      <c r="BN17">
        <v>1</v>
      </c>
      <c r="BO17">
        <v>0</v>
      </c>
      <c r="BP17">
        <v>1</v>
      </c>
      <c r="BQ17">
        <v>0</v>
      </c>
      <c r="BR17">
        <v>0</v>
      </c>
      <c r="BS17">
        <v>1</v>
      </c>
      <c r="BT17">
        <v>1</v>
      </c>
      <c r="BU17">
        <v>0</v>
      </c>
      <c r="BV17">
        <v>1</v>
      </c>
      <c r="BW17">
        <v>0</v>
      </c>
      <c r="BX17">
        <v>0</v>
      </c>
      <c r="BY17">
        <v>0</v>
      </c>
      <c r="BZ17">
        <v>1</v>
      </c>
      <c r="CA17">
        <v>1</v>
      </c>
      <c r="CB17">
        <v>1</v>
      </c>
      <c r="CC17">
        <v>0</v>
      </c>
      <c r="CD17">
        <v>0</v>
      </c>
      <c r="CE17">
        <v>1</v>
      </c>
      <c r="CF17">
        <v>1</v>
      </c>
      <c r="CG17">
        <v>0</v>
      </c>
      <c r="CH17">
        <v>0</v>
      </c>
      <c r="CI17">
        <v>1</v>
      </c>
      <c r="CJ17">
        <v>0</v>
      </c>
      <c r="CK17">
        <v>1</v>
      </c>
      <c r="CL17">
        <v>1</v>
      </c>
      <c r="CM17">
        <v>1</v>
      </c>
      <c r="CN17">
        <v>0</v>
      </c>
      <c r="CO17">
        <v>1</v>
      </c>
      <c r="CP17">
        <v>1</v>
      </c>
      <c r="CQ17">
        <v>0</v>
      </c>
      <c r="CR17">
        <v>0</v>
      </c>
      <c r="CS17">
        <v>0</v>
      </c>
      <c r="CT17">
        <v>1</v>
      </c>
      <c r="CU17">
        <v>0</v>
      </c>
      <c r="CV17">
        <v>0</v>
      </c>
      <c r="CW17">
        <v>1</v>
      </c>
      <c r="CX17">
        <v>0</v>
      </c>
      <c r="CY17">
        <v>1</v>
      </c>
      <c r="CZ17">
        <v>0</v>
      </c>
      <c r="DA17">
        <v>0</v>
      </c>
      <c r="DB17">
        <v>1</v>
      </c>
      <c r="DC17">
        <v>0</v>
      </c>
      <c r="DD17">
        <v>1</v>
      </c>
      <c r="DE17">
        <v>1</v>
      </c>
      <c r="DF17">
        <v>0</v>
      </c>
      <c r="DG17">
        <v>0</v>
      </c>
      <c r="DH17">
        <v>0</v>
      </c>
      <c r="DI17">
        <v>1</v>
      </c>
      <c r="DJ17">
        <v>0</v>
      </c>
      <c r="DK17">
        <v>0</v>
      </c>
      <c r="DL17">
        <v>1</v>
      </c>
      <c r="DM17">
        <v>0</v>
      </c>
      <c r="DN17">
        <v>0</v>
      </c>
      <c r="DO17">
        <v>0</v>
      </c>
      <c r="DP17">
        <v>1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1</v>
      </c>
      <c r="DY17">
        <v>0</v>
      </c>
      <c r="DZ17">
        <v>1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1</v>
      </c>
      <c r="EM17">
        <v>1</v>
      </c>
      <c r="EN17">
        <v>1</v>
      </c>
      <c r="EO17">
        <v>1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1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1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1</v>
      </c>
      <c r="FJ17">
        <v>1</v>
      </c>
      <c r="FK17">
        <v>0</v>
      </c>
      <c r="FL17">
        <v>0</v>
      </c>
      <c r="FM17">
        <v>1</v>
      </c>
      <c r="FN17">
        <v>0</v>
      </c>
      <c r="FO17">
        <v>1</v>
      </c>
      <c r="FP17">
        <v>0</v>
      </c>
      <c r="FQ17">
        <v>0</v>
      </c>
      <c r="FR17">
        <v>0</v>
      </c>
      <c r="FS17">
        <v>1</v>
      </c>
      <c r="FT17">
        <v>0</v>
      </c>
      <c r="FU17">
        <v>0</v>
      </c>
      <c r="FV17">
        <v>1</v>
      </c>
      <c r="FW17">
        <v>0</v>
      </c>
      <c r="FX17">
        <v>0</v>
      </c>
      <c r="FY17">
        <v>1</v>
      </c>
      <c r="FZ17">
        <v>1</v>
      </c>
      <c r="GA17">
        <v>1</v>
      </c>
      <c r="GB17">
        <v>0</v>
      </c>
      <c r="GC17">
        <v>1</v>
      </c>
      <c r="GD17">
        <v>1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1</v>
      </c>
      <c r="GK17">
        <v>0</v>
      </c>
      <c r="GL17">
        <v>0</v>
      </c>
      <c r="GM17">
        <v>0</v>
      </c>
      <c r="GN17">
        <v>1</v>
      </c>
      <c r="GO17">
        <v>0</v>
      </c>
      <c r="GP17">
        <v>1</v>
      </c>
      <c r="GQ17">
        <v>1</v>
      </c>
      <c r="GR17">
        <v>0</v>
      </c>
      <c r="GS17">
        <v>0</v>
      </c>
      <c r="GT17">
        <v>1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1</v>
      </c>
      <c r="HB17">
        <v>0</v>
      </c>
      <c r="HC17">
        <v>0</v>
      </c>
      <c r="HD17">
        <v>1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1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1</v>
      </c>
      <c r="HR17">
        <v>1</v>
      </c>
      <c r="HS17">
        <v>1</v>
      </c>
      <c r="HT17">
        <v>1</v>
      </c>
      <c r="HU17">
        <v>0</v>
      </c>
      <c r="HV17">
        <v>1</v>
      </c>
      <c r="HW17">
        <v>1</v>
      </c>
      <c r="HX17">
        <v>0</v>
      </c>
      <c r="HY17">
        <v>1</v>
      </c>
      <c r="HZ17">
        <v>0</v>
      </c>
      <c r="IA17">
        <v>0</v>
      </c>
      <c r="IB17">
        <v>1</v>
      </c>
      <c r="IC17">
        <v>0</v>
      </c>
      <c r="ID17">
        <v>0</v>
      </c>
      <c r="IE17">
        <v>1</v>
      </c>
      <c r="IF17">
        <v>1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1</v>
      </c>
      <c r="IM17">
        <v>0</v>
      </c>
      <c r="IN17">
        <v>0</v>
      </c>
      <c r="IO17">
        <v>0</v>
      </c>
      <c r="IP17">
        <v>1</v>
      </c>
      <c r="IQ17">
        <v>0</v>
      </c>
      <c r="IR17">
        <v>0</v>
      </c>
      <c r="IS17">
        <v>1</v>
      </c>
      <c r="IT17">
        <v>0</v>
      </c>
      <c r="IU17">
        <v>0</v>
      </c>
      <c r="IV17">
        <v>0</v>
      </c>
      <c r="IW17">
        <v>0</v>
      </c>
      <c r="IX17">
        <v>1</v>
      </c>
      <c r="IY17">
        <v>0</v>
      </c>
      <c r="IZ17">
        <v>1</v>
      </c>
      <c r="JA17">
        <v>0</v>
      </c>
      <c r="JB17">
        <v>1</v>
      </c>
      <c r="JC17">
        <v>0</v>
      </c>
      <c r="JD17">
        <v>1</v>
      </c>
      <c r="JE17">
        <v>0</v>
      </c>
      <c r="JF17">
        <v>0</v>
      </c>
      <c r="JG17">
        <v>0</v>
      </c>
      <c r="JH17">
        <v>1</v>
      </c>
      <c r="JI17">
        <v>0</v>
      </c>
      <c r="JJ17">
        <v>0</v>
      </c>
      <c r="JK17">
        <v>0</v>
      </c>
      <c r="JL17">
        <v>0</v>
      </c>
      <c r="JM17">
        <v>1</v>
      </c>
      <c r="JN17">
        <v>0</v>
      </c>
      <c r="JO17">
        <v>0</v>
      </c>
      <c r="JP17">
        <v>1</v>
      </c>
      <c r="JQ17">
        <v>0</v>
      </c>
      <c r="JR17">
        <v>0</v>
      </c>
      <c r="JS17">
        <v>1</v>
      </c>
      <c r="JT17">
        <v>0</v>
      </c>
      <c r="JU17">
        <v>0</v>
      </c>
      <c r="JV17">
        <v>0</v>
      </c>
      <c r="JW17">
        <v>1</v>
      </c>
      <c r="JX17">
        <v>1</v>
      </c>
      <c r="JY17">
        <v>1</v>
      </c>
      <c r="JZ17">
        <v>1</v>
      </c>
      <c r="KA17">
        <v>0</v>
      </c>
      <c r="KB17">
        <v>0</v>
      </c>
      <c r="KC17">
        <v>1</v>
      </c>
      <c r="KD17">
        <v>0</v>
      </c>
      <c r="KE17">
        <v>1</v>
      </c>
      <c r="KF17">
        <v>0</v>
      </c>
      <c r="KG17">
        <v>0</v>
      </c>
      <c r="KH17">
        <v>1</v>
      </c>
      <c r="KI17">
        <v>0</v>
      </c>
      <c r="KJ17">
        <v>1</v>
      </c>
      <c r="KK17">
        <v>0</v>
      </c>
      <c r="KL17">
        <v>0</v>
      </c>
      <c r="KM17">
        <v>1</v>
      </c>
      <c r="KN17">
        <v>0</v>
      </c>
      <c r="KO17">
        <v>1</v>
      </c>
      <c r="KP17">
        <v>0</v>
      </c>
      <c r="KQ17">
        <v>1</v>
      </c>
      <c r="KR17">
        <v>1</v>
      </c>
      <c r="KS17">
        <v>1</v>
      </c>
      <c r="KT17">
        <v>0</v>
      </c>
      <c r="KU17">
        <v>0</v>
      </c>
      <c r="KV17">
        <v>0</v>
      </c>
      <c r="KW17">
        <v>0</v>
      </c>
      <c r="KX17">
        <v>1</v>
      </c>
      <c r="KY17">
        <v>1</v>
      </c>
      <c r="KZ17">
        <v>1</v>
      </c>
      <c r="LA17">
        <v>0</v>
      </c>
      <c r="LB17">
        <v>0</v>
      </c>
      <c r="LC17">
        <v>0</v>
      </c>
      <c r="LD17">
        <v>1</v>
      </c>
      <c r="LE17">
        <v>1</v>
      </c>
      <c r="LF17">
        <v>0</v>
      </c>
      <c r="LG17">
        <v>0</v>
      </c>
      <c r="LH17">
        <v>1</v>
      </c>
      <c r="LI17">
        <v>1</v>
      </c>
      <c r="LJ17">
        <v>0</v>
      </c>
      <c r="LK17">
        <v>1</v>
      </c>
      <c r="LL17">
        <v>1</v>
      </c>
      <c r="LM17">
        <v>1</v>
      </c>
      <c r="LN17">
        <v>1</v>
      </c>
      <c r="LO17">
        <v>1</v>
      </c>
      <c r="LP17">
        <v>0</v>
      </c>
      <c r="LQ17">
        <v>0</v>
      </c>
      <c r="LR17">
        <v>0</v>
      </c>
      <c r="LS17">
        <v>0</v>
      </c>
      <c r="LT17">
        <v>1</v>
      </c>
      <c r="LU17">
        <v>0</v>
      </c>
      <c r="LV17">
        <v>0</v>
      </c>
      <c r="LW17">
        <v>1</v>
      </c>
      <c r="LX17">
        <v>0</v>
      </c>
      <c r="LY17">
        <v>0</v>
      </c>
      <c r="LZ17">
        <v>0</v>
      </c>
      <c r="MA17">
        <v>1</v>
      </c>
      <c r="MB17">
        <v>1</v>
      </c>
      <c r="MC17">
        <v>1</v>
      </c>
      <c r="MD17">
        <v>0</v>
      </c>
      <c r="ME17">
        <v>0</v>
      </c>
      <c r="MF17">
        <v>0</v>
      </c>
      <c r="MG17">
        <v>1</v>
      </c>
      <c r="MH17">
        <v>0</v>
      </c>
      <c r="MI17">
        <v>1</v>
      </c>
      <c r="MJ17">
        <v>1</v>
      </c>
      <c r="MK17">
        <v>1</v>
      </c>
      <c r="ML17">
        <v>0</v>
      </c>
      <c r="MM17">
        <v>0</v>
      </c>
      <c r="MN17">
        <v>1</v>
      </c>
      <c r="MO17">
        <v>1</v>
      </c>
      <c r="MP17">
        <v>0</v>
      </c>
      <c r="MQ17">
        <v>1</v>
      </c>
      <c r="MR17">
        <v>0</v>
      </c>
      <c r="MS17">
        <v>0</v>
      </c>
      <c r="MT17">
        <v>1</v>
      </c>
      <c r="MU17">
        <v>1</v>
      </c>
      <c r="MV17">
        <v>0</v>
      </c>
      <c r="MW17">
        <v>0</v>
      </c>
      <c r="MX17">
        <v>0</v>
      </c>
      <c r="MY17">
        <v>1</v>
      </c>
      <c r="MZ17">
        <v>1</v>
      </c>
      <c r="NA17">
        <v>0</v>
      </c>
      <c r="NB17">
        <v>0</v>
      </c>
      <c r="NC17">
        <v>0</v>
      </c>
      <c r="ND17">
        <v>0</v>
      </c>
      <c r="NE17">
        <v>1</v>
      </c>
      <c r="NF17">
        <v>1</v>
      </c>
      <c r="NG17">
        <v>0</v>
      </c>
      <c r="NH17">
        <v>0</v>
      </c>
      <c r="NI17">
        <v>0</v>
      </c>
      <c r="NJ17">
        <v>1</v>
      </c>
      <c r="NK17">
        <v>0</v>
      </c>
      <c r="NL17">
        <v>1</v>
      </c>
      <c r="NM17">
        <v>1</v>
      </c>
      <c r="NN17">
        <v>0</v>
      </c>
      <c r="NO17">
        <v>1</v>
      </c>
      <c r="NP17">
        <v>0</v>
      </c>
      <c r="NQ17">
        <v>0</v>
      </c>
      <c r="NR17">
        <v>0</v>
      </c>
      <c r="NS17">
        <v>0</v>
      </c>
      <c r="NT17">
        <v>0</v>
      </c>
      <c r="NU17">
        <v>0</v>
      </c>
      <c r="NV17">
        <v>0</v>
      </c>
      <c r="NW17">
        <v>0</v>
      </c>
      <c r="NX17">
        <v>1</v>
      </c>
      <c r="NY17">
        <v>0</v>
      </c>
      <c r="NZ17">
        <v>1</v>
      </c>
      <c r="OA17">
        <v>0</v>
      </c>
      <c r="OB17">
        <v>0</v>
      </c>
      <c r="OC17">
        <v>0</v>
      </c>
      <c r="OD17">
        <v>0</v>
      </c>
      <c r="OE17">
        <v>1</v>
      </c>
      <c r="OF17">
        <v>0</v>
      </c>
      <c r="OG17">
        <v>1</v>
      </c>
      <c r="OH17">
        <v>0</v>
      </c>
      <c r="OI17">
        <v>1</v>
      </c>
      <c r="OJ17">
        <v>1</v>
      </c>
      <c r="OK17">
        <v>1</v>
      </c>
      <c r="OL17">
        <v>0</v>
      </c>
      <c r="OM17">
        <v>0</v>
      </c>
      <c r="ON17">
        <v>0</v>
      </c>
      <c r="OO17">
        <v>1</v>
      </c>
      <c r="OP17">
        <v>0</v>
      </c>
      <c r="OQ17">
        <v>0</v>
      </c>
      <c r="OR17">
        <v>0</v>
      </c>
      <c r="OS17">
        <v>1</v>
      </c>
      <c r="OT17">
        <v>0</v>
      </c>
      <c r="OU17">
        <v>0</v>
      </c>
      <c r="OV17">
        <v>1</v>
      </c>
      <c r="OW17">
        <v>1</v>
      </c>
      <c r="OX17">
        <v>0</v>
      </c>
      <c r="OY17">
        <v>1</v>
      </c>
      <c r="OZ17">
        <v>0</v>
      </c>
      <c r="PA17">
        <v>0</v>
      </c>
      <c r="PB17">
        <v>0</v>
      </c>
      <c r="PC17">
        <v>1</v>
      </c>
      <c r="PD17">
        <v>0</v>
      </c>
      <c r="PE17">
        <v>1</v>
      </c>
      <c r="PF17">
        <v>0</v>
      </c>
      <c r="PG17">
        <v>1</v>
      </c>
      <c r="PH17">
        <v>0</v>
      </c>
      <c r="PI17">
        <v>0</v>
      </c>
      <c r="PJ17">
        <v>0</v>
      </c>
      <c r="PK17">
        <v>1</v>
      </c>
      <c r="PL17">
        <v>0</v>
      </c>
      <c r="PM17">
        <v>1</v>
      </c>
      <c r="PN17">
        <v>1</v>
      </c>
      <c r="PO17">
        <v>0</v>
      </c>
      <c r="PP17">
        <v>0</v>
      </c>
      <c r="PQ17">
        <v>0</v>
      </c>
      <c r="PR17">
        <v>1</v>
      </c>
      <c r="PS17">
        <v>0</v>
      </c>
      <c r="PT17">
        <v>0</v>
      </c>
      <c r="PU17">
        <v>1</v>
      </c>
      <c r="PV17">
        <v>1</v>
      </c>
    </row>
    <row r="18" spans="1:438" x14ac:dyDescent="0.3">
      <c r="A18" s="31">
        <v>41</v>
      </c>
      <c r="B18" s="28">
        <v>2.61</v>
      </c>
      <c r="C18" s="30">
        <v>57.87</v>
      </c>
      <c r="D18" s="28">
        <v>2.37</v>
      </c>
      <c r="E18" s="34">
        <f t="shared" si="0"/>
        <v>4.7400000000000005E-2</v>
      </c>
      <c r="F18" s="35">
        <f t="shared" si="1"/>
        <v>14.467499999999999</v>
      </c>
      <c r="G18" s="34">
        <f t="shared" si="2"/>
        <v>59.25</v>
      </c>
      <c r="H18" s="33">
        <f t="shared" si="3"/>
        <v>-5.5431034482758621</v>
      </c>
      <c r="I18" s="29">
        <f t="shared" ca="1" si="4"/>
        <v>0</v>
      </c>
      <c r="J18">
        <f ca="1">IF(AND(SUMPRODUCT($J$2:J17,$B$2:B17)&lt;500,SUM(B17,SUMPRODUCT($J$2:J17,$B$2:B17))&lt;500),1,0)</f>
        <v>0</v>
      </c>
      <c r="K18">
        <v>0</v>
      </c>
      <c r="L18">
        <v>0</v>
      </c>
      <c r="W18">
        <v>0</v>
      </c>
      <c r="X18">
        <v>0</v>
      </c>
      <c r="Y18">
        <v>0</v>
      </c>
      <c r="Z18">
        <v>1</v>
      </c>
      <c r="AA18">
        <v>0</v>
      </c>
      <c r="AB18">
        <v>0</v>
      </c>
      <c r="AC18">
        <v>0</v>
      </c>
      <c r="AD18">
        <v>1</v>
      </c>
      <c r="AE18">
        <v>0</v>
      </c>
      <c r="AF18">
        <v>1</v>
      </c>
      <c r="AG18">
        <v>1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1</v>
      </c>
      <c r="AN18">
        <v>1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1</v>
      </c>
      <c r="AY18">
        <v>0</v>
      </c>
      <c r="AZ18">
        <v>1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H18">
        <v>1</v>
      </c>
      <c r="BI18">
        <v>0</v>
      </c>
      <c r="BJ18">
        <v>1</v>
      </c>
      <c r="BK18">
        <v>1</v>
      </c>
      <c r="BL18">
        <v>0</v>
      </c>
      <c r="BM18">
        <v>1</v>
      </c>
      <c r="BN18">
        <v>1</v>
      </c>
      <c r="BO18">
        <v>1</v>
      </c>
      <c r="BP18">
        <v>1</v>
      </c>
      <c r="BQ18">
        <v>0</v>
      </c>
      <c r="BR18">
        <v>0</v>
      </c>
      <c r="BS18">
        <v>1</v>
      </c>
      <c r="BT18">
        <v>0</v>
      </c>
      <c r="BU18">
        <v>1</v>
      </c>
      <c r="BV18">
        <v>1</v>
      </c>
      <c r="BW18">
        <v>0</v>
      </c>
      <c r="BX18">
        <v>1</v>
      </c>
      <c r="BY18">
        <v>0</v>
      </c>
      <c r="BZ18">
        <v>1</v>
      </c>
      <c r="CA18">
        <v>0</v>
      </c>
      <c r="CB18">
        <v>1</v>
      </c>
      <c r="CC18">
        <v>0</v>
      </c>
      <c r="CD18">
        <v>0</v>
      </c>
      <c r="CE18">
        <v>1</v>
      </c>
      <c r="CF18">
        <v>1</v>
      </c>
      <c r="CG18">
        <v>1</v>
      </c>
      <c r="CH18">
        <v>1</v>
      </c>
      <c r="CI18">
        <v>1</v>
      </c>
      <c r="CJ18">
        <v>0</v>
      </c>
      <c r="CK18">
        <v>1</v>
      </c>
      <c r="CL18">
        <v>1</v>
      </c>
      <c r="CM18">
        <v>1</v>
      </c>
      <c r="CN18">
        <v>1</v>
      </c>
      <c r="CO18">
        <v>0</v>
      </c>
      <c r="CP18">
        <v>0</v>
      </c>
      <c r="CQ18">
        <v>0</v>
      </c>
      <c r="CR18">
        <v>1</v>
      </c>
      <c r="CS18">
        <v>0</v>
      </c>
      <c r="CT18">
        <v>1</v>
      </c>
      <c r="CU18">
        <v>0</v>
      </c>
      <c r="CV18">
        <v>0</v>
      </c>
      <c r="CW18">
        <v>0</v>
      </c>
      <c r="CX18">
        <v>1</v>
      </c>
      <c r="CY18">
        <v>0</v>
      </c>
      <c r="CZ18">
        <v>1</v>
      </c>
      <c r="DA18">
        <v>0</v>
      </c>
      <c r="DB18">
        <v>1</v>
      </c>
      <c r="DC18">
        <v>0</v>
      </c>
      <c r="DD18">
        <v>0</v>
      </c>
      <c r="DE18">
        <v>1</v>
      </c>
      <c r="DF18">
        <v>1</v>
      </c>
      <c r="DG18">
        <v>0</v>
      </c>
      <c r="DH18">
        <v>1</v>
      </c>
      <c r="DI18">
        <v>0</v>
      </c>
      <c r="DJ18">
        <v>0</v>
      </c>
      <c r="DK18">
        <v>0</v>
      </c>
      <c r="DL18">
        <v>0</v>
      </c>
      <c r="DM18">
        <v>1</v>
      </c>
      <c r="DN18">
        <v>0</v>
      </c>
      <c r="DO18">
        <v>0</v>
      </c>
      <c r="DP18">
        <v>1</v>
      </c>
      <c r="DQ18">
        <v>0</v>
      </c>
      <c r="DR18">
        <v>1</v>
      </c>
      <c r="DS18">
        <v>0</v>
      </c>
      <c r="DT18">
        <v>1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1</v>
      </c>
      <c r="ED18">
        <v>1</v>
      </c>
      <c r="EE18">
        <v>1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1</v>
      </c>
      <c r="EM18">
        <v>0</v>
      </c>
      <c r="EN18">
        <v>0</v>
      </c>
      <c r="EO18">
        <v>0</v>
      </c>
      <c r="EP18">
        <v>1</v>
      </c>
      <c r="EQ18">
        <v>1</v>
      </c>
      <c r="ER18">
        <v>1</v>
      </c>
      <c r="ES18">
        <v>1</v>
      </c>
      <c r="ET18">
        <v>0</v>
      </c>
      <c r="EU18">
        <v>0</v>
      </c>
      <c r="EV18">
        <v>0</v>
      </c>
      <c r="EW18">
        <v>1</v>
      </c>
      <c r="EX18">
        <v>0</v>
      </c>
      <c r="EY18">
        <v>1</v>
      </c>
      <c r="EZ18">
        <v>1</v>
      </c>
      <c r="FA18">
        <v>1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1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1</v>
      </c>
      <c r="FN18">
        <v>1</v>
      </c>
      <c r="FO18">
        <v>1</v>
      </c>
      <c r="FP18">
        <v>0</v>
      </c>
      <c r="FQ18">
        <v>0</v>
      </c>
      <c r="FR18">
        <v>0</v>
      </c>
      <c r="FS18">
        <v>1</v>
      </c>
      <c r="FT18">
        <v>1</v>
      </c>
      <c r="FU18">
        <v>1</v>
      </c>
      <c r="FV18">
        <v>1</v>
      </c>
      <c r="FW18">
        <v>0</v>
      </c>
      <c r="FX18">
        <v>0</v>
      </c>
      <c r="FY18">
        <v>0</v>
      </c>
      <c r="FZ18">
        <v>0</v>
      </c>
      <c r="GA18">
        <v>1</v>
      </c>
      <c r="GB18">
        <v>1</v>
      </c>
      <c r="GC18">
        <v>0</v>
      </c>
      <c r="GD18">
        <v>0</v>
      </c>
      <c r="GE18">
        <v>1</v>
      </c>
      <c r="GF18">
        <v>0</v>
      </c>
      <c r="GG18">
        <v>1</v>
      </c>
      <c r="GH18">
        <v>1</v>
      </c>
      <c r="GI18">
        <v>0</v>
      </c>
      <c r="GJ18">
        <v>1</v>
      </c>
      <c r="GK18">
        <v>1</v>
      </c>
      <c r="GL18">
        <v>0</v>
      </c>
      <c r="GM18">
        <v>1</v>
      </c>
      <c r="GN18">
        <v>0</v>
      </c>
      <c r="GO18">
        <v>0</v>
      </c>
      <c r="GP18">
        <v>1</v>
      </c>
      <c r="GQ18">
        <v>1</v>
      </c>
      <c r="GR18">
        <v>1</v>
      </c>
      <c r="GS18">
        <v>1</v>
      </c>
      <c r="GT18">
        <v>1</v>
      </c>
      <c r="GU18">
        <v>0</v>
      </c>
      <c r="GV18">
        <v>0</v>
      </c>
      <c r="GW18">
        <v>1</v>
      </c>
      <c r="GX18">
        <v>1</v>
      </c>
      <c r="GY18">
        <v>0</v>
      </c>
      <c r="GZ18">
        <v>0</v>
      </c>
      <c r="HA18">
        <v>1</v>
      </c>
      <c r="HB18">
        <v>1</v>
      </c>
      <c r="HC18">
        <v>1</v>
      </c>
      <c r="HD18">
        <v>1</v>
      </c>
      <c r="HE18">
        <v>0</v>
      </c>
      <c r="HF18">
        <v>1</v>
      </c>
      <c r="HG18">
        <v>0</v>
      </c>
      <c r="HH18">
        <v>0</v>
      </c>
      <c r="HI18">
        <v>0</v>
      </c>
      <c r="HJ18">
        <v>0</v>
      </c>
      <c r="HK18">
        <v>1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1</v>
      </c>
      <c r="HU18">
        <v>0</v>
      </c>
      <c r="HV18">
        <v>0</v>
      </c>
      <c r="HW18">
        <v>1</v>
      </c>
      <c r="HX18">
        <v>0</v>
      </c>
      <c r="HY18">
        <v>1</v>
      </c>
      <c r="HZ18">
        <v>0</v>
      </c>
      <c r="IA18">
        <v>1</v>
      </c>
      <c r="IB18">
        <v>1</v>
      </c>
      <c r="IC18">
        <v>1</v>
      </c>
      <c r="ID18">
        <v>0</v>
      </c>
      <c r="IE18">
        <v>1</v>
      </c>
      <c r="IF18">
        <v>1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1</v>
      </c>
      <c r="IM18">
        <v>0</v>
      </c>
      <c r="IN18">
        <v>0</v>
      </c>
      <c r="IO18">
        <v>0</v>
      </c>
      <c r="IP18">
        <v>1</v>
      </c>
      <c r="IQ18">
        <v>0</v>
      </c>
      <c r="IR18">
        <v>0</v>
      </c>
      <c r="IS18">
        <v>0</v>
      </c>
      <c r="IT18">
        <v>1</v>
      </c>
      <c r="IU18">
        <v>0</v>
      </c>
      <c r="IV18">
        <v>0</v>
      </c>
      <c r="IW18">
        <v>0</v>
      </c>
      <c r="IX18">
        <v>0</v>
      </c>
      <c r="IY18">
        <v>1</v>
      </c>
      <c r="IZ18">
        <v>0</v>
      </c>
      <c r="JA18">
        <v>0</v>
      </c>
      <c r="JB18">
        <v>0</v>
      </c>
      <c r="JC18">
        <v>0</v>
      </c>
      <c r="JD18">
        <v>1</v>
      </c>
      <c r="JE18">
        <v>0</v>
      </c>
      <c r="JF18">
        <v>1</v>
      </c>
      <c r="JG18">
        <v>0</v>
      </c>
      <c r="JH18">
        <v>0</v>
      </c>
      <c r="JI18">
        <v>0</v>
      </c>
      <c r="JJ18">
        <v>0</v>
      </c>
      <c r="JK18">
        <v>1</v>
      </c>
      <c r="JL18">
        <v>0</v>
      </c>
      <c r="JM18">
        <v>1</v>
      </c>
      <c r="JN18">
        <v>0</v>
      </c>
      <c r="JO18">
        <v>0</v>
      </c>
      <c r="JP18">
        <v>1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1</v>
      </c>
      <c r="JY18">
        <v>0</v>
      </c>
      <c r="JZ18">
        <v>1</v>
      </c>
      <c r="KA18">
        <v>0</v>
      </c>
      <c r="KB18">
        <v>1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1</v>
      </c>
      <c r="KK18">
        <v>1</v>
      </c>
      <c r="KL18">
        <v>0</v>
      </c>
      <c r="KM18">
        <v>0</v>
      </c>
      <c r="KN18">
        <v>1</v>
      </c>
      <c r="KO18">
        <v>1</v>
      </c>
      <c r="KP18">
        <v>0</v>
      </c>
      <c r="KQ18">
        <v>0</v>
      </c>
      <c r="KR18">
        <v>0</v>
      </c>
      <c r="KS18">
        <v>1</v>
      </c>
      <c r="KT18">
        <v>1</v>
      </c>
      <c r="KU18">
        <v>0</v>
      </c>
      <c r="KV18">
        <v>0</v>
      </c>
      <c r="KW18">
        <v>0</v>
      </c>
      <c r="KX18">
        <v>1</v>
      </c>
      <c r="KY18">
        <v>1</v>
      </c>
      <c r="KZ18">
        <v>1</v>
      </c>
      <c r="LA18">
        <v>0</v>
      </c>
      <c r="LB18">
        <v>0</v>
      </c>
      <c r="LC18">
        <v>0</v>
      </c>
      <c r="LD18">
        <v>1</v>
      </c>
      <c r="LE18">
        <v>1</v>
      </c>
      <c r="LF18">
        <v>1</v>
      </c>
      <c r="LG18">
        <v>0</v>
      </c>
      <c r="LH18">
        <v>0</v>
      </c>
      <c r="LI18">
        <v>0</v>
      </c>
      <c r="LJ18">
        <v>0</v>
      </c>
      <c r="LK18">
        <v>1</v>
      </c>
      <c r="LL18">
        <v>1</v>
      </c>
      <c r="LM18">
        <v>1</v>
      </c>
      <c r="LN18">
        <v>0</v>
      </c>
      <c r="LO18">
        <v>1</v>
      </c>
      <c r="LP18">
        <v>0</v>
      </c>
      <c r="LQ18">
        <v>0</v>
      </c>
      <c r="LR18">
        <v>1</v>
      </c>
      <c r="LS18">
        <v>1</v>
      </c>
      <c r="LT18">
        <v>0</v>
      </c>
      <c r="LU18">
        <v>0</v>
      </c>
      <c r="LV18">
        <v>0</v>
      </c>
      <c r="LW18">
        <v>0</v>
      </c>
      <c r="LX18">
        <v>1</v>
      </c>
      <c r="LY18">
        <v>0</v>
      </c>
      <c r="LZ18">
        <v>0</v>
      </c>
      <c r="MA18">
        <v>1</v>
      </c>
      <c r="MB18">
        <v>1</v>
      </c>
      <c r="MC18">
        <v>1</v>
      </c>
      <c r="MD18">
        <v>0</v>
      </c>
      <c r="ME18">
        <v>0</v>
      </c>
      <c r="MF18">
        <v>0</v>
      </c>
      <c r="MG18">
        <v>1</v>
      </c>
      <c r="MH18">
        <v>0</v>
      </c>
      <c r="MI18">
        <v>1</v>
      </c>
      <c r="MJ18">
        <v>1</v>
      </c>
      <c r="MK18">
        <v>0</v>
      </c>
      <c r="ML18">
        <v>0</v>
      </c>
      <c r="MM18">
        <v>1</v>
      </c>
      <c r="MN18">
        <v>0</v>
      </c>
      <c r="MO18">
        <v>0</v>
      </c>
      <c r="MP18">
        <v>1</v>
      </c>
      <c r="MQ18">
        <v>0</v>
      </c>
      <c r="MR18">
        <v>0</v>
      </c>
      <c r="MS18">
        <v>1</v>
      </c>
      <c r="MT18">
        <v>0</v>
      </c>
      <c r="MU18">
        <v>1</v>
      </c>
      <c r="MV18">
        <v>0</v>
      </c>
      <c r="MW18">
        <v>0</v>
      </c>
      <c r="MX18">
        <v>0</v>
      </c>
      <c r="MY18">
        <v>1</v>
      </c>
      <c r="MZ18">
        <v>1</v>
      </c>
      <c r="NA18">
        <v>0</v>
      </c>
      <c r="NB18">
        <v>0</v>
      </c>
      <c r="NC18">
        <v>1</v>
      </c>
      <c r="ND18">
        <v>1</v>
      </c>
      <c r="NE18">
        <v>0</v>
      </c>
      <c r="NF18">
        <v>1</v>
      </c>
      <c r="NG18">
        <v>0</v>
      </c>
      <c r="NH18">
        <v>0</v>
      </c>
      <c r="NI18">
        <v>0</v>
      </c>
      <c r="NJ18">
        <v>1</v>
      </c>
      <c r="NK18">
        <v>1</v>
      </c>
      <c r="NL18">
        <v>0</v>
      </c>
      <c r="NM18">
        <v>0</v>
      </c>
      <c r="NN18">
        <v>0</v>
      </c>
      <c r="NO18">
        <v>1</v>
      </c>
      <c r="NP18">
        <v>0</v>
      </c>
      <c r="NQ18">
        <v>0</v>
      </c>
      <c r="NR18">
        <v>0</v>
      </c>
      <c r="NS18">
        <v>0</v>
      </c>
      <c r="NT18">
        <v>0</v>
      </c>
      <c r="NU18">
        <v>0</v>
      </c>
      <c r="NV18">
        <v>1</v>
      </c>
      <c r="NW18">
        <v>0</v>
      </c>
      <c r="NX18">
        <v>1</v>
      </c>
      <c r="NY18">
        <v>1</v>
      </c>
      <c r="NZ18">
        <v>0</v>
      </c>
      <c r="OA18">
        <v>1</v>
      </c>
      <c r="OB18">
        <v>0</v>
      </c>
      <c r="OC18">
        <v>0</v>
      </c>
      <c r="OD18">
        <v>0</v>
      </c>
      <c r="OE18">
        <v>1</v>
      </c>
      <c r="OF18">
        <v>1</v>
      </c>
      <c r="OG18">
        <v>1</v>
      </c>
      <c r="OH18">
        <v>0</v>
      </c>
      <c r="OI18">
        <v>1</v>
      </c>
      <c r="OJ18">
        <v>1</v>
      </c>
      <c r="OK18">
        <v>1</v>
      </c>
      <c r="OL18">
        <v>0</v>
      </c>
      <c r="OM18">
        <v>0</v>
      </c>
      <c r="ON18">
        <v>0</v>
      </c>
      <c r="OO18">
        <v>1</v>
      </c>
      <c r="OP18">
        <v>0</v>
      </c>
      <c r="OQ18">
        <v>0</v>
      </c>
      <c r="OR18">
        <v>0</v>
      </c>
      <c r="OS18">
        <v>1</v>
      </c>
      <c r="OT18">
        <v>0</v>
      </c>
      <c r="OU18">
        <v>0</v>
      </c>
      <c r="OV18">
        <v>1</v>
      </c>
      <c r="OW18">
        <v>0</v>
      </c>
      <c r="OX18">
        <v>0</v>
      </c>
      <c r="OY18">
        <v>1</v>
      </c>
      <c r="OZ18">
        <v>0</v>
      </c>
      <c r="PA18">
        <v>0</v>
      </c>
      <c r="PB18">
        <v>0</v>
      </c>
      <c r="PC18">
        <v>0</v>
      </c>
      <c r="PD18">
        <v>0</v>
      </c>
      <c r="PE18">
        <v>0</v>
      </c>
      <c r="PF18">
        <v>1</v>
      </c>
      <c r="PG18">
        <v>1</v>
      </c>
      <c r="PH18">
        <v>0</v>
      </c>
      <c r="PI18">
        <v>0</v>
      </c>
      <c r="PJ18">
        <v>0</v>
      </c>
      <c r="PK18">
        <v>1</v>
      </c>
      <c r="PL18">
        <v>0</v>
      </c>
      <c r="PM18">
        <v>0</v>
      </c>
      <c r="PN18">
        <v>0</v>
      </c>
      <c r="PO18">
        <v>0</v>
      </c>
      <c r="PP18">
        <v>0</v>
      </c>
      <c r="PQ18">
        <v>0</v>
      </c>
      <c r="PR18">
        <v>0</v>
      </c>
      <c r="PS18">
        <v>0</v>
      </c>
      <c r="PT18">
        <v>0</v>
      </c>
      <c r="PU18">
        <v>1</v>
      </c>
      <c r="PV18">
        <v>1</v>
      </c>
    </row>
    <row r="19" spans="1:438" x14ac:dyDescent="0.3">
      <c r="A19" s="31">
        <v>43</v>
      </c>
      <c r="B19" s="28">
        <v>7.6</v>
      </c>
      <c r="C19" s="30">
        <v>6.11</v>
      </c>
      <c r="D19" s="28">
        <v>2.0499999999999998</v>
      </c>
      <c r="E19" s="34">
        <f t="shared" si="0"/>
        <v>4.0999999999999995E-2</v>
      </c>
      <c r="F19" s="35">
        <f t="shared" si="1"/>
        <v>1.5275000000000001</v>
      </c>
      <c r="G19" s="34">
        <f t="shared" si="2"/>
        <v>51.249999999999993</v>
      </c>
      <c r="H19" s="33">
        <f t="shared" si="3"/>
        <v>9.6674342105263165</v>
      </c>
      <c r="I19" s="29">
        <f t="shared" ca="1" si="4"/>
        <v>0</v>
      </c>
      <c r="J19">
        <f ca="1">IF(AND(SUMPRODUCT($J$2:J18,$B$2:B18)&lt;500,SUM(B18,SUMPRODUCT($J$2:J18,$B$2:B18))&lt;500),1,0)</f>
        <v>0</v>
      </c>
      <c r="K19">
        <v>3</v>
      </c>
      <c r="L19">
        <v>0</v>
      </c>
      <c r="W19">
        <v>0</v>
      </c>
      <c r="X19">
        <v>0</v>
      </c>
      <c r="Y19">
        <v>1</v>
      </c>
      <c r="Z19">
        <v>1</v>
      </c>
      <c r="AA19">
        <v>1</v>
      </c>
      <c r="AB19">
        <v>0</v>
      </c>
      <c r="AC19">
        <v>1</v>
      </c>
      <c r="AD19">
        <v>1</v>
      </c>
      <c r="AE19">
        <v>0</v>
      </c>
      <c r="AF19">
        <v>0</v>
      </c>
      <c r="AG19">
        <v>1</v>
      </c>
      <c r="AH19">
        <v>0</v>
      </c>
      <c r="AI19">
        <v>0</v>
      </c>
      <c r="AJ19">
        <v>0</v>
      </c>
      <c r="AK19">
        <v>1</v>
      </c>
      <c r="AL19">
        <v>1</v>
      </c>
      <c r="AM19">
        <v>1</v>
      </c>
      <c r="AN19">
        <v>0</v>
      </c>
      <c r="AO19">
        <v>1</v>
      </c>
      <c r="AP19">
        <v>0</v>
      </c>
      <c r="AQ19">
        <v>0</v>
      </c>
      <c r="AR19">
        <v>1</v>
      </c>
      <c r="AS19">
        <v>1</v>
      </c>
      <c r="AT19">
        <v>0</v>
      </c>
      <c r="AU19">
        <v>0</v>
      </c>
      <c r="AV19">
        <v>1</v>
      </c>
      <c r="AW19">
        <v>0</v>
      </c>
      <c r="AX19">
        <v>0</v>
      </c>
      <c r="AY19">
        <v>1</v>
      </c>
      <c r="AZ19">
        <v>1</v>
      </c>
      <c r="BA19">
        <v>0</v>
      </c>
      <c r="BB19">
        <v>1</v>
      </c>
      <c r="BC19">
        <v>1</v>
      </c>
      <c r="BD19">
        <v>1</v>
      </c>
      <c r="BE19">
        <v>0</v>
      </c>
      <c r="BF19">
        <v>1</v>
      </c>
      <c r="BG19">
        <v>0</v>
      </c>
      <c r="BH19">
        <v>0</v>
      </c>
      <c r="BI19">
        <v>0</v>
      </c>
      <c r="BJ19">
        <v>1</v>
      </c>
      <c r="BK19">
        <v>1</v>
      </c>
      <c r="BL19">
        <v>0</v>
      </c>
      <c r="BM19">
        <v>1</v>
      </c>
      <c r="BN19">
        <v>1</v>
      </c>
      <c r="BO19">
        <v>1</v>
      </c>
      <c r="BP19">
        <v>0</v>
      </c>
      <c r="BQ19">
        <v>0</v>
      </c>
      <c r="BR19">
        <v>1</v>
      </c>
      <c r="BS19">
        <v>0</v>
      </c>
      <c r="BT19">
        <v>0</v>
      </c>
      <c r="BU19">
        <v>1</v>
      </c>
      <c r="BV19">
        <v>1</v>
      </c>
      <c r="BW19">
        <v>1</v>
      </c>
      <c r="BX19">
        <v>0</v>
      </c>
      <c r="BY19">
        <v>0</v>
      </c>
      <c r="BZ19">
        <v>0</v>
      </c>
      <c r="CA19">
        <v>1</v>
      </c>
      <c r="CB19">
        <v>1</v>
      </c>
      <c r="CC19">
        <v>1</v>
      </c>
      <c r="CD19">
        <v>1</v>
      </c>
      <c r="CE19">
        <v>0</v>
      </c>
      <c r="CF19">
        <v>1</v>
      </c>
      <c r="CG19">
        <v>0</v>
      </c>
      <c r="CH19">
        <v>0</v>
      </c>
      <c r="CI19">
        <v>0</v>
      </c>
      <c r="CJ19">
        <v>1</v>
      </c>
      <c r="CK19">
        <v>0</v>
      </c>
      <c r="CL19">
        <v>1</v>
      </c>
      <c r="CM19">
        <v>1</v>
      </c>
      <c r="CN19">
        <v>0</v>
      </c>
      <c r="CO19">
        <v>0</v>
      </c>
      <c r="CP19">
        <v>0</v>
      </c>
      <c r="CQ19">
        <v>0</v>
      </c>
      <c r="CR19">
        <v>1</v>
      </c>
      <c r="CS19">
        <v>0</v>
      </c>
      <c r="CT19">
        <v>0</v>
      </c>
      <c r="CU19">
        <v>0</v>
      </c>
      <c r="CV19">
        <v>1</v>
      </c>
      <c r="CW19">
        <v>1</v>
      </c>
      <c r="CX19">
        <v>1</v>
      </c>
      <c r="CY19">
        <v>1</v>
      </c>
      <c r="CZ19">
        <v>0</v>
      </c>
      <c r="DA19">
        <v>0</v>
      </c>
      <c r="DB19">
        <v>1</v>
      </c>
      <c r="DC19">
        <v>0</v>
      </c>
      <c r="DD19">
        <v>0</v>
      </c>
      <c r="DE19">
        <v>0</v>
      </c>
      <c r="DF19">
        <v>1</v>
      </c>
      <c r="DG19">
        <v>1</v>
      </c>
      <c r="DH19">
        <v>0</v>
      </c>
      <c r="DI19">
        <v>0</v>
      </c>
      <c r="DJ19">
        <v>0</v>
      </c>
      <c r="DK19">
        <v>1</v>
      </c>
      <c r="DL19">
        <v>0</v>
      </c>
      <c r="DM19">
        <v>0</v>
      </c>
      <c r="DN19">
        <v>0</v>
      </c>
      <c r="DO19">
        <v>0</v>
      </c>
      <c r="DP19">
        <v>1</v>
      </c>
      <c r="DQ19">
        <v>1</v>
      </c>
      <c r="DR19">
        <v>0</v>
      </c>
      <c r="DS19">
        <v>0</v>
      </c>
      <c r="DT19">
        <v>1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1</v>
      </c>
      <c r="ED19">
        <v>0</v>
      </c>
      <c r="EE19">
        <v>0</v>
      </c>
      <c r="EF19">
        <v>1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1</v>
      </c>
      <c r="EN19">
        <v>0</v>
      </c>
      <c r="EO19">
        <v>1</v>
      </c>
      <c r="EP19">
        <v>1</v>
      </c>
      <c r="EQ19">
        <v>0</v>
      </c>
      <c r="ER19">
        <v>1</v>
      </c>
      <c r="ES19">
        <v>1</v>
      </c>
      <c r="ET19">
        <v>0</v>
      </c>
      <c r="EU19">
        <v>1</v>
      </c>
      <c r="EV19">
        <v>1</v>
      </c>
      <c r="EW19">
        <v>0</v>
      </c>
      <c r="EX19">
        <v>1</v>
      </c>
      <c r="EY19">
        <v>0</v>
      </c>
      <c r="EZ19">
        <v>1</v>
      </c>
      <c r="FA19">
        <v>0</v>
      </c>
      <c r="FB19">
        <v>0</v>
      </c>
      <c r="FC19">
        <v>1</v>
      </c>
      <c r="FD19">
        <v>0</v>
      </c>
      <c r="FE19">
        <v>1</v>
      </c>
      <c r="FF19">
        <v>1</v>
      </c>
      <c r="FG19">
        <v>0</v>
      </c>
      <c r="FH19">
        <v>1</v>
      </c>
      <c r="FI19">
        <v>1</v>
      </c>
      <c r="FJ19">
        <v>1</v>
      </c>
      <c r="FK19">
        <v>1</v>
      </c>
      <c r="FL19">
        <v>0</v>
      </c>
      <c r="FM19">
        <v>1</v>
      </c>
      <c r="FN19">
        <v>0</v>
      </c>
      <c r="FO19">
        <v>1</v>
      </c>
      <c r="FP19">
        <v>1</v>
      </c>
      <c r="FQ19">
        <v>0</v>
      </c>
      <c r="FR19">
        <v>0</v>
      </c>
      <c r="FS19">
        <v>1</v>
      </c>
      <c r="FT19">
        <v>1</v>
      </c>
      <c r="FU19">
        <v>0</v>
      </c>
      <c r="FV19">
        <v>1</v>
      </c>
      <c r="FW19">
        <v>1</v>
      </c>
      <c r="FX19">
        <v>0</v>
      </c>
      <c r="FY19">
        <v>0</v>
      </c>
      <c r="FZ19">
        <v>0</v>
      </c>
      <c r="GA19">
        <v>1</v>
      </c>
      <c r="GB19">
        <v>1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1</v>
      </c>
      <c r="GI19">
        <v>0</v>
      </c>
      <c r="GJ19">
        <v>1</v>
      </c>
      <c r="GK19">
        <v>1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1</v>
      </c>
      <c r="GR19">
        <v>0</v>
      </c>
      <c r="GS19">
        <v>1</v>
      </c>
      <c r="GT19">
        <v>1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1</v>
      </c>
      <c r="HD19">
        <v>1</v>
      </c>
      <c r="HE19">
        <v>0</v>
      </c>
      <c r="HF19">
        <v>1</v>
      </c>
      <c r="HG19">
        <v>1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1</v>
      </c>
      <c r="HR19">
        <v>1</v>
      </c>
      <c r="HS19">
        <v>0</v>
      </c>
      <c r="HT19">
        <v>0</v>
      </c>
      <c r="HU19">
        <v>0</v>
      </c>
      <c r="HV19">
        <v>0</v>
      </c>
      <c r="HW19">
        <v>1</v>
      </c>
      <c r="HX19">
        <v>1</v>
      </c>
      <c r="HY19">
        <v>1</v>
      </c>
      <c r="HZ19">
        <v>1</v>
      </c>
      <c r="IA19">
        <v>0</v>
      </c>
      <c r="IB19">
        <v>1</v>
      </c>
      <c r="IC19">
        <v>0</v>
      </c>
      <c r="ID19">
        <v>0</v>
      </c>
      <c r="IE19">
        <v>0</v>
      </c>
      <c r="IF19">
        <v>1</v>
      </c>
      <c r="IG19">
        <v>1</v>
      </c>
      <c r="IH19">
        <v>0</v>
      </c>
      <c r="II19">
        <v>0</v>
      </c>
      <c r="IJ19">
        <v>0</v>
      </c>
      <c r="IK19">
        <v>0</v>
      </c>
      <c r="IL19">
        <v>1</v>
      </c>
      <c r="IM19">
        <v>1</v>
      </c>
      <c r="IN19">
        <v>0</v>
      </c>
      <c r="IO19">
        <v>0</v>
      </c>
      <c r="IP19">
        <v>1</v>
      </c>
      <c r="IQ19">
        <v>0</v>
      </c>
      <c r="IR19">
        <v>0</v>
      </c>
      <c r="IS19">
        <v>1</v>
      </c>
      <c r="IT19">
        <v>0</v>
      </c>
      <c r="IU19">
        <v>0</v>
      </c>
      <c r="IV19">
        <v>1</v>
      </c>
      <c r="IW19">
        <v>0</v>
      </c>
      <c r="IX19">
        <v>0</v>
      </c>
      <c r="IY19">
        <v>0</v>
      </c>
      <c r="IZ19">
        <v>0</v>
      </c>
      <c r="JA19">
        <v>1</v>
      </c>
      <c r="JB19">
        <v>1</v>
      </c>
      <c r="JC19">
        <v>0</v>
      </c>
      <c r="JD19">
        <v>1</v>
      </c>
      <c r="JE19">
        <v>0</v>
      </c>
      <c r="JF19">
        <v>1</v>
      </c>
      <c r="JG19">
        <v>1</v>
      </c>
      <c r="JH19">
        <v>0</v>
      </c>
      <c r="JI19">
        <v>0</v>
      </c>
      <c r="JJ19">
        <v>0</v>
      </c>
      <c r="JK19">
        <v>1</v>
      </c>
      <c r="JL19">
        <v>0</v>
      </c>
      <c r="JM19">
        <v>1</v>
      </c>
      <c r="JN19">
        <v>1</v>
      </c>
      <c r="JO19">
        <v>0</v>
      </c>
      <c r="JP19">
        <v>1</v>
      </c>
      <c r="JQ19">
        <v>1</v>
      </c>
      <c r="JR19">
        <v>0</v>
      </c>
      <c r="JS19">
        <v>1</v>
      </c>
      <c r="JT19">
        <v>0</v>
      </c>
      <c r="JU19">
        <v>0</v>
      </c>
      <c r="JV19">
        <v>1</v>
      </c>
      <c r="JW19">
        <v>1</v>
      </c>
      <c r="JX19">
        <v>1</v>
      </c>
      <c r="JY19">
        <v>1</v>
      </c>
      <c r="JZ19">
        <v>1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1</v>
      </c>
      <c r="KI19">
        <v>0</v>
      </c>
      <c r="KJ19">
        <v>1</v>
      </c>
      <c r="KK19">
        <v>0</v>
      </c>
      <c r="KL19">
        <v>0</v>
      </c>
      <c r="KM19">
        <v>0</v>
      </c>
      <c r="KN19">
        <v>0</v>
      </c>
      <c r="KO19">
        <v>1</v>
      </c>
      <c r="KP19">
        <v>0</v>
      </c>
      <c r="KQ19">
        <v>0</v>
      </c>
      <c r="KR19">
        <v>0</v>
      </c>
      <c r="KS19">
        <v>1</v>
      </c>
      <c r="KT19">
        <v>1</v>
      </c>
      <c r="KU19">
        <v>0</v>
      </c>
      <c r="KV19">
        <v>0</v>
      </c>
      <c r="KW19">
        <v>0</v>
      </c>
      <c r="KX19">
        <v>1</v>
      </c>
      <c r="KY19">
        <v>1</v>
      </c>
      <c r="KZ19">
        <v>1</v>
      </c>
      <c r="LA19">
        <v>0</v>
      </c>
      <c r="LB19">
        <v>0</v>
      </c>
      <c r="LC19">
        <v>0</v>
      </c>
      <c r="LD19">
        <v>0</v>
      </c>
      <c r="LE19">
        <v>1</v>
      </c>
      <c r="LF19">
        <v>0</v>
      </c>
      <c r="LG19">
        <v>0</v>
      </c>
      <c r="LH19">
        <v>0</v>
      </c>
      <c r="LI19">
        <v>1</v>
      </c>
      <c r="LJ19">
        <v>1</v>
      </c>
      <c r="LK19">
        <v>1</v>
      </c>
      <c r="LL19">
        <v>0</v>
      </c>
      <c r="LM19">
        <v>0</v>
      </c>
      <c r="LN19">
        <v>0</v>
      </c>
      <c r="LO19">
        <v>1</v>
      </c>
      <c r="LP19">
        <v>0</v>
      </c>
      <c r="LQ19">
        <v>0</v>
      </c>
      <c r="LR19">
        <v>0</v>
      </c>
      <c r="LS19">
        <v>1</v>
      </c>
      <c r="LT19">
        <v>1</v>
      </c>
      <c r="LU19">
        <v>1</v>
      </c>
      <c r="LV19">
        <v>0</v>
      </c>
      <c r="LW19">
        <v>1</v>
      </c>
      <c r="LX19">
        <v>1</v>
      </c>
      <c r="LY19">
        <v>0</v>
      </c>
      <c r="LZ19">
        <v>1</v>
      </c>
      <c r="MA19">
        <v>0</v>
      </c>
      <c r="MB19">
        <v>1</v>
      </c>
      <c r="MC19">
        <v>0</v>
      </c>
      <c r="MD19">
        <v>0</v>
      </c>
      <c r="ME19">
        <v>0</v>
      </c>
      <c r="MF19">
        <v>0</v>
      </c>
      <c r="MG19">
        <v>1</v>
      </c>
      <c r="MH19">
        <v>0</v>
      </c>
      <c r="MI19">
        <v>0</v>
      </c>
      <c r="MJ19">
        <v>0</v>
      </c>
      <c r="MK19">
        <v>0</v>
      </c>
      <c r="ML19">
        <v>1</v>
      </c>
      <c r="MM19">
        <v>1</v>
      </c>
      <c r="MN19">
        <v>0</v>
      </c>
      <c r="MO19">
        <v>0</v>
      </c>
      <c r="MP19">
        <v>1</v>
      </c>
      <c r="MQ19">
        <v>0</v>
      </c>
      <c r="MR19">
        <v>0</v>
      </c>
      <c r="MS19">
        <v>0</v>
      </c>
      <c r="MT19">
        <v>1</v>
      </c>
      <c r="MU19">
        <v>0</v>
      </c>
      <c r="MV19">
        <v>0</v>
      </c>
      <c r="MW19">
        <v>1</v>
      </c>
      <c r="MX19">
        <v>1</v>
      </c>
      <c r="MY19">
        <v>0</v>
      </c>
      <c r="MZ19">
        <v>1</v>
      </c>
      <c r="NA19">
        <v>0</v>
      </c>
      <c r="NB19">
        <v>0</v>
      </c>
      <c r="NC19">
        <v>0</v>
      </c>
      <c r="ND19">
        <v>1</v>
      </c>
      <c r="NE19">
        <v>0</v>
      </c>
      <c r="NF19">
        <v>0</v>
      </c>
      <c r="NG19">
        <v>0</v>
      </c>
      <c r="NH19">
        <v>0</v>
      </c>
      <c r="NI19">
        <v>0</v>
      </c>
      <c r="NJ19">
        <v>1</v>
      </c>
      <c r="NK19">
        <v>1</v>
      </c>
      <c r="NL19">
        <v>1</v>
      </c>
      <c r="NM19">
        <v>1</v>
      </c>
      <c r="NN19">
        <v>1</v>
      </c>
      <c r="NO19">
        <v>1</v>
      </c>
      <c r="NP19">
        <v>0</v>
      </c>
      <c r="NQ19">
        <v>0</v>
      </c>
      <c r="NR19">
        <v>0</v>
      </c>
      <c r="NS19">
        <v>0</v>
      </c>
      <c r="NT19">
        <v>1</v>
      </c>
      <c r="NU19">
        <v>0</v>
      </c>
      <c r="NV19">
        <v>1</v>
      </c>
      <c r="NW19">
        <v>0</v>
      </c>
      <c r="NX19">
        <v>1</v>
      </c>
      <c r="NY19">
        <v>1</v>
      </c>
      <c r="NZ19">
        <v>0</v>
      </c>
      <c r="OA19">
        <v>0</v>
      </c>
      <c r="OB19">
        <v>0</v>
      </c>
      <c r="OC19">
        <v>0</v>
      </c>
      <c r="OD19">
        <v>0</v>
      </c>
      <c r="OE19">
        <v>0</v>
      </c>
      <c r="OF19">
        <v>0</v>
      </c>
      <c r="OG19">
        <v>1</v>
      </c>
      <c r="OH19">
        <v>1</v>
      </c>
      <c r="OI19">
        <v>0</v>
      </c>
      <c r="OJ19">
        <v>1</v>
      </c>
      <c r="OK19">
        <v>1</v>
      </c>
      <c r="OL19">
        <v>1</v>
      </c>
      <c r="OM19">
        <v>0</v>
      </c>
      <c r="ON19">
        <v>0</v>
      </c>
      <c r="OO19">
        <v>0</v>
      </c>
      <c r="OP19">
        <v>1</v>
      </c>
      <c r="OQ19">
        <v>1</v>
      </c>
      <c r="OR19">
        <v>0</v>
      </c>
      <c r="OS19">
        <v>1</v>
      </c>
      <c r="OT19">
        <v>0</v>
      </c>
      <c r="OU19">
        <v>0</v>
      </c>
      <c r="OV19">
        <v>1</v>
      </c>
      <c r="OW19">
        <v>1</v>
      </c>
      <c r="OX19">
        <v>1</v>
      </c>
      <c r="OY19">
        <v>1</v>
      </c>
      <c r="OZ19">
        <v>0</v>
      </c>
      <c r="PA19">
        <v>1</v>
      </c>
      <c r="PB19">
        <v>0</v>
      </c>
      <c r="PC19">
        <v>0</v>
      </c>
      <c r="PD19">
        <v>1</v>
      </c>
      <c r="PE19">
        <v>1</v>
      </c>
      <c r="PF19">
        <v>0</v>
      </c>
      <c r="PG19">
        <v>0</v>
      </c>
      <c r="PH19">
        <v>1</v>
      </c>
      <c r="PI19">
        <v>0</v>
      </c>
      <c r="PJ19">
        <v>0</v>
      </c>
      <c r="PK19">
        <v>0</v>
      </c>
      <c r="PL19">
        <v>0</v>
      </c>
      <c r="PM19">
        <v>0</v>
      </c>
      <c r="PN19">
        <v>1</v>
      </c>
      <c r="PO19">
        <v>0</v>
      </c>
      <c r="PP19">
        <v>0</v>
      </c>
      <c r="PQ19">
        <v>1</v>
      </c>
      <c r="PR19">
        <v>1</v>
      </c>
      <c r="PS19">
        <v>0</v>
      </c>
      <c r="PT19">
        <v>1</v>
      </c>
      <c r="PU19">
        <v>1</v>
      </c>
      <c r="PV19">
        <v>1</v>
      </c>
    </row>
    <row r="20" spans="1:438" x14ac:dyDescent="0.3">
      <c r="A20" s="31">
        <v>47</v>
      </c>
      <c r="B20" s="28">
        <v>1.51</v>
      </c>
      <c r="C20" s="30">
        <v>66.63</v>
      </c>
      <c r="D20" s="28">
        <v>0.93</v>
      </c>
      <c r="E20" s="34">
        <f t="shared" si="0"/>
        <v>1.8600000000000002E-2</v>
      </c>
      <c r="F20" s="35">
        <f t="shared" si="1"/>
        <v>16.657499999999999</v>
      </c>
      <c r="G20" s="34">
        <f t="shared" si="2"/>
        <v>23.25</v>
      </c>
      <c r="H20" s="33">
        <f t="shared" si="3"/>
        <v>22.081125827814571</v>
      </c>
      <c r="I20" s="29">
        <f t="shared" ca="1" si="4"/>
        <v>0</v>
      </c>
      <c r="J20">
        <f ca="1">IF(AND(SUMPRODUCT($J$2:J19,$B$2:B19)&lt;500,SUM(B19,SUMPRODUCT($J$2:J19,$B$2:B19))&lt;500),1,0)</f>
        <v>1</v>
      </c>
      <c r="K20">
        <v>2</v>
      </c>
      <c r="L20">
        <v>1</v>
      </c>
      <c r="W20">
        <v>0</v>
      </c>
      <c r="X20">
        <v>0</v>
      </c>
      <c r="Y20">
        <v>0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0</v>
      </c>
      <c r="AF20">
        <v>0</v>
      </c>
      <c r="AG20">
        <v>1</v>
      </c>
      <c r="AH20">
        <v>0</v>
      </c>
      <c r="AI20">
        <v>0</v>
      </c>
      <c r="AJ20">
        <v>0</v>
      </c>
      <c r="AK20">
        <v>0</v>
      </c>
      <c r="AL20">
        <v>1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1</v>
      </c>
      <c r="AZ20">
        <v>1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H20">
        <v>1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1</v>
      </c>
      <c r="BO20">
        <v>1</v>
      </c>
      <c r="BP20">
        <v>1</v>
      </c>
      <c r="BQ20">
        <v>1</v>
      </c>
      <c r="BR20">
        <v>0</v>
      </c>
      <c r="BS20">
        <v>1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1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1</v>
      </c>
      <c r="CG20">
        <v>0</v>
      </c>
      <c r="CH20">
        <v>1</v>
      </c>
      <c r="CI20">
        <v>1</v>
      </c>
      <c r="CJ20">
        <v>0</v>
      </c>
      <c r="CK20">
        <v>0</v>
      </c>
      <c r="CL20">
        <v>0</v>
      </c>
      <c r="CM20">
        <v>1</v>
      </c>
      <c r="CN20">
        <v>1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1</v>
      </c>
      <c r="CX20">
        <v>0</v>
      </c>
      <c r="CY20">
        <v>0</v>
      </c>
      <c r="CZ20">
        <v>0</v>
      </c>
      <c r="DA20">
        <v>1</v>
      </c>
      <c r="DB20">
        <v>1</v>
      </c>
      <c r="DC20">
        <v>0</v>
      </c>
      <c r="DD20">
        <v>0</v>
      </c>
      <c r="DE20">
        <v>0</v>
      </c>
      <c r="DF20">
        <v>1</v>
      </c>
      <c r="DG20">
        <v>0</v>
      </c>
      <c r="DH20">
        <v>0</v>
      </c>
      <c r="DI20">
        <v>1</v>
      </c>
      <c r="DJ20">
        <v>0</v>
      </c>
      <c r="DK20">
        <v>1</v>
      </c>
      <c r="DL20">
        <v>0</v>
      </c>
      <c r="DM20">
        <v>0</v>
      </c>
      <c r="DN20">
        <v>0</v>
      </c>
      <c r="DO20">
        <v>1</v>
      </c>
      <c r="DP20">
        <v>1</v>
      </c>
      <c r="DQ20">
        <v>0</v>
      </c>
      <c r="DR20">
        <v>1</v>
      </c>
      <c r="DS20">
        <v>0</v>
      </c>
      <c r="DT20">
        <v>1</v>
      </c>
      <c r="DU20">
        <v>0</v>
      </c>
      <c r="DV20">
        <v>1</v>
      </c>
      <c r="DW20">
        <v>0</v>
      </c>
      <c r="DX20">
        <v>1</v>
      </c>
      <c r="DY20">
        <v>0</v>
      </c>
      <c r="DZ20">
        <v>1</v>
      </c>
      <c r="EA20">
        <v>0</v>
      </c>
      <c r="EB20">
        <v>0</v>
      </c>
      <c r="EC20">
        <v>0</v>
      </c>
      <c r="ED20">
        <v>0</v>
      </c>
      <c r="EE20">
        <v>1</v>
      </c>
      <c r="EF20">
        <v>0</v>
      </c>
      <c r="EG20">
        <v>0</v>
      </c>
      <c r="EH20">
        <v>0</v>
      </c>
      <c r="EI20">
        <v>1</v>
      </c>
      <c r="EJ20">
        <v>0</v>
      </c>
      <c r="EK20">
        <v>1</v>
      </c>
      <c r="EL20">
        <v>0</v>
      </c>
      <c r="EM20">
        <v>1</v>
      </c>
      <c r="EN20">
        <v>1</v>
      </c>
      <c r="EO20">
        <v>1</v>
      </c>
      <c r="EP20">
        <v>0</v>
      </c>
      <c r="EQ20">
        <v>0</v>
      </c>
      <c r="ER20">
        <v>1</v>
      </c>
      <c r="ES20">
        <v>0</v>
      </c>
      <c r="ET20">
        <v>0</v>
      </c>
      <c r="EU20">
        <v>1</v>
      </c>
      <c r="EV20">
        <v>0</v>
      </c>
      <c r="EW20">
        <v>1</v>
      </c>
      <c r="EX20">
        <v>1</v>
      </c>
      <c r="EY20">
        <v>1</v>
      </c>
      <c r="EZ20">
        <v>0</v>
      </c>
      <c r="FA20">
        <v>1</v>
      </c>
      <c r="FB20">
        <v>0</v>
      </c>
      <c r="FC20">
        <v>1</v>
      </c>
      <c r="FD20">
        <v>0</v>
      </c>
      <c r="FE20">
        <v>0</v>
      </c>
      <c r="FF20">
        <v>1</v>
      </c>
      <c r="FG20">
        <v>0</v>
      </c>
      <c r="FH20">
        <v>0</v>
      </c>
      <c r="FI20">
        <v>0</v>
      </c>
      <c r="FJ20">
        <v>1</v>
      </c>
      <c r="FK20">
        <v>1</v>
      </c>
      <c r="FL20">
        <v>0</v>
      </c>
      <c r="FM20">
        <v>1</v>
      </c>
      <c r="FN20">
        <v>1</v>
      </c>
      <c r="FO20">
        <v>1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1</v>
      </c>
      <c r="FW20">
        <v>0</v>
      </c>
      <c r="FX20">
        <v>0</v>
      </c>
      <c r="FY20">
        <v>1</v>
      </c>
      <c r="FZ20">
        <v>0</v>
      </c>
      <c r="GA20">
        <v>1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1</v>
      </c>
      <c r="GL20">
        <v>0</v>
      </c>
      <c r="GM20">
        <v>1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1</v>
      </c>
      <c r="GT20">
        <v>1</v>
      </c>
      <c r="GU20">
        <v>0</v>
      </c>
      <c r="GV20">
        <v>0</v>
      </c>
      <c r="GW20">
        <v>0</v>
      </c>
      <c r="GX20">
        <v>0</v>
      </c>
      <c r="GY20">
        <v>1</v>
      </c>
      <c r="GZ20">
        <v>0</v>
      </c>
      <c r="HA20">
        <v>1</v>
      </c>
      <c r="HB20">
        <v>0</v>
      </c>
      <c r="HC20">
        <v>0</v>
      </c>
      <c r="HD20">
        <v>1</v>
      </c>
      <c r="HE20">
        <v>1</v>
      </c>
      <c r="HF20">
        <v>1</v>
      </c>
      <c r="HG20">
        <v>0</v>
      </c>
      <c r="HH20">
        <v>0</v>
      </c>
      <c r="HI20">
        <v>1</v>
      </c>
      <c r="HJ20">
        <v>1</v>
      </c>
      <c r="HK20">
        <v>0</v>
      </c>
      <c r="HL20">
        <v>0</v>
      </c>
      <c r="HM20">
        <v>1</v>
      </c>
      <c r="HN20">
        <v>0</v>
      </c>
      <c r="HO20">
        <v>1</v>
      </c>
      <c r="HP20">
        <v>0</v>
      </c>
      <c r="HQ20">
        <v>1</v>
      </c>
      <c r="HR20">
        <v>1</v>
      </c>
      <c r="HS20">
        <v>1</v>
      </c>
      <c r="HT20">
        <v>1</v>
      </c>
      <c r="HU20">
        <v>1</v>
      </c>
      <c r="HV20">
        <v>0</v>
      </c>
      <c r="HW20">
        <v>1</v>
      </c>
      <c r="HX20">
        <v>0</v>
      </c>
      <c r="HY20">
        <v>1</v>
      </c>
      <c r="HZ20">
        <v>0</v>
      </c>
      <c r="IA20">
        <v>0</v>
      </c>
      <c r="IB20">
        <v>0</v>
      </c>
      <c r="IC20">
        <v>0</v>
      </c>
      <c r="ID20">
        <v>1</v>
      </c>
      <c r="IE20">
        <v>1</v>
      </c>
      <c r="IF20">
        <v>1</v>
      </c>
      <c r="IG20">
        <v>0</v>
      </c>
      <c r="IH20">
        <v>0</v>
      </c>
      <c r="II20">
        <v>0</v>
      </c>
      <c r="IJ20">
        <v>1</v>
      </c>
      <c r="IK20">
        <v>0</v>
      </c>
      <c r="IL20">
        <v>0</v>
      </c>
      <c r="IM20">
        <v>0</v>
      </c>
      <c r="IN20">
        <v>1</v>
      </c>
      <c r="IO20">
        <v>0</v>
      </c>
      <c r="IP20">
        <v>1</v>
      </c>
      <c r="IQ20">
        <v>0</v>
      </c>
      <c r="IR20">
        <v>0</v>
      </c>
      <c r="IS20">
        <v>0</v>
      </c>
      <c r="IT20">
        <v>1</v>
      </c>
      <c r="IU20">
        <v>1</v>
      </c>
      <c r="IV20">
        <v>1</v>
      </c>
      <c r="IW20">
        <v>0</v>
      </c>
      <c r="IX20">
        <v>1</v>
      </c>
      <c r="IY20">
        <v>0</v>
      </c>
      <c r="IZ20">
        <v>1</v>
      </c>
      <c r="JA20">
        <v>0</v>
      </c>
      <c r="JB20">
        <v>1</v>
      </c>
      <c r="JC20">
        <v>1</v>
      </c>
      <c r="JD20">
        <v>1</v>
      </c>
      <c r="JE20">
        <v>1</v>
      </c>
      <c r="JF20">
        <v>0</v>
      </c>
      <c r="JG20">
        <v>1</v>
      </c>
      <c r="JH20">
        <v>1</v>
      </c>
      <c r="JI20">
        <v>0</v>
      </c>
      <c r="JJ20">
        <v>0</v>
      </c>
      <c r="JK20">
        <v>1</v>
      </c>
      <c r="JL20">
        <v>0</v>
      </c>
      <c r="JM20">
        <v>1</v>
      </c>
      <c r="JN20">
        <v>0</v>
      </c>
      <c r="JO20">
        <v>0</v>
      </c>
      <c r="JP20">
        <v>1</v>
      </c>
      <c r="JQ20">
        <v>1</v>
      </c>
      <c r="JR20">
        <v>0</v>
      </c>
      <c r="JS20">
        <v>0</v>
      </c>
      <c r="JT20">
        <v>0</v>
      </c>
      <c r="JU20">
        <v>0</v>
      </c>
      <c r="JV20">
        <v>1</v>
      </c>
      <c r="JW20">
        <v>0</v>
      </c>
      <c r="JX20">
        <v>1</v>
      </c>
      <c r="JY20">
        <v>1</v>
      </c>
      <c r="JZ20">
        <v>1</v>
      </c>
      <c r="KA20">
        <v>0</v>
      </c>
      <c r="KB20">
        <v>0</v>
      </c>
      <c r="KC20">
        <v>1</v>
      </c>
      <c r="KD20">
        <v>0</v>
      </c>
      <c r="KE20">
        <v>1</v>
      </c>
      <c r="KF20">
        <v>0</v>
      </c>
      <c r="KG20">
        <v>0</v>
      </c>
      <c r="KH20">
        <v>1</v>
      </c>
      <c r="KI20">
        <v>0</v>
      </c>
      <c r="KJ20">
        <v>1</v>
      </c>
      <c r="KK20">
        <v>1</v>
      </c>
      <c r="KL20">
        <v>0</v>
      </c>
      <c r="KM20">
        <v>1</v>
      </c>
      <c r="KN20">
        <v>0</v>
      </c>
      <c r="KO20">
        <v>0</v>
      </c>
      <c r="KP20">
        <v>1</v>
      </c>
      <c r="KQ20">
        <v>1</v>
      </c>
      <c r="KR20">
        <v>0</v>
      </c>
      <c r="KS20">
        <v>1</v>
      </c>
      <c r="KT20">
        <v>0</v>
      </c>
      <c r="KU20">
        <v>1</v>
      </c>
      <c r="KV20">
        <v>0</v>
      </c>
      <c r="KW20">
        <v>0</v>
      </c>
      <c r="KX20">
        <v>1</v>
      </c>
      <c r="KY20">
        <v>1</v>
      </c>
      <c r="KZ20">
        <v>1</v>
      </c>
      <c r="LA20">
        <v>0</v>
      </c>
      <c r="LB20">
        <v>1</v>
      </c>
      <c r="LC20">
        <v>1</v>
      </c>
      <c r="LD20">
        <v>1</v>
      </c>
      <c r="LE20">
        <v>1</v>
      </c>
      <c r="LF20">
        <v>1</v>
      </c>
      <c r="LG20">
        <v>1</v>
      </c>
      <c r="LH20">
        <v>1</v>
      </c>
      <c r="LI20">
        <v>0</v>
      </c>
      <c r="LJ20">
        <v>0</v>
      </c>
      <c r="LK20">
        <v>1</v>
      </c>
      <c r="LL20">
        <v>1</v>
      </c>
      <c r="LM20">
        <v>0</v>
      </c>
      <c r="LN20">
        <v>1</v>
      </c>
      <c r="LO20">
        <v>1</v>
      </c>
      <c r="LP20">
        <v>0</v>
      </c>
      <c r="LQ20">
        <v>0</v>
      </c>
      <c r="LR20">
        <v>0</v>
      </c>
      <c r="LS20">
        <v>1</v>
      </c>
      <c r="LT20">
        <v>1</v>
      </c>
      <c r="LU20">
        <v>1</v>
      </c>
      <c r="LV20">
        <v>0</v>
      </c>
      <c r="LW20">
        <v>1</v>
      </c>
      <c r="LX20">
        <v>0</v>
      </c>
      <c r="LY20">
        <v>1</v>
      </c>
      <c r="LZ20">
        <v>0</v>
      </c>
      <c r="MA20">
        <v>1</v>
      </c>
      <c r="MB20">
        <v>0</v>
      </c>
      <c r="MC20">
        <v>1</v>
      </c>
      <c r="MD20">
        <v>1</v>
      </c>
      <c r="ME20">
        <v>0</v>
      </c>
      <c r="MF20">
        <v>1</v>
      </c>
      <c r="MG20">
        <v>1</v>
      </c>
      <c r="MH20">
        <v>0</v>
      </c>
      <c r="MI20">
        <v>0</v>
      </c>
      <c r="MJ20">
        <v>0</v>
      </c>
      <c r="MK20">
        <v>1</v>
      </c>
      <c r="ML20">
        <v>0</v>
      </c>
      <c r="MM20">
        <v>1</v>
      </c>
      <c r="MN20">
        <v>1</v>
      </c>
      <c r="MO20">
        <v>0</v>
      </c>
      <c r="MP20">
        <v>0</v>
      </c>
      <c r="MQ20">
        <v>0</v>
      </c>
      <c r="MR20">
        <v>1</v>
      </c>
      <c r="MS20">
        <v>1</v>
      </c>
      <c r="MT20">
        <v>1</v>
      </c>
      <c r="MU20">
        <v>0</v>
      </c>
      <c r="MV20">
        <v>0</v>
      </c>
      <c r="MW20">
        <v>0</v>
      </c>
      <c r="MX20">
        <v>0</v>
      </c>
      <c r="MY20">
        <v>0</v>
      </c>
      <c r="MZ20">
        <v>1</v>
      </c>
      <c r="NA20">
        <v>0</v>
      </c>
      <c r="NB20">
        <v>0</v>
      </c>
      <c r="NC20">
        <v>0</v>
      </c>
      <c r="ND20">
        <v>0</v>
      </c>
      <c r="NE20">
        <v>0</v>
      </c>
      <c r="NF20">
        <v>0</v>
      </c>
      <c r="NG20">
        <v>1</v>
      </c>
      <c r="NH20">
        <v>0</v>
      </c>
      <c r="NI20">
        <v>0</v>
      </c>
      <c r="NJ20">
        <v>1</v>
      </c>
      <c r="NK20">
        <v>1</v>
      </c>
      <c r="NL20">
        <v>0</v>
      </c>
      <c r="NM20">
        <v>1</v>
      </c>
      <c r="NN20">
        <v>0</v>
      </c>
      <c r="NO20">
        <v>1</v>
      </c>
      <c r="NP20">
        <v>1</v>
      </c>
      <c r="NQ20">
        <v>0</v>
      </c>
      <c r="NR20">
        <v>0</v>
      </c>
      <c r="NS20">
        <v>0</v>
      </c>
      <c r="NT20">
        <v>0</v>
      </c>
      <c r="NU20">
        <v>0</v>
      </c>
      <c r="NV20">
        <v>0</v>
      </c>
      <c r="NW20">
        <v>1</v>
      </c>
      <c r="NX20">
        <v>0</v>
      </c>
      <c r="NY20">
        <v>0</v>
      </c>
      <c r="NZ20">
        <v>1</v>
      </c>
      <c r="OA20">
        <v>0</v>
      </c>
      <c r="OB20">
        <v>0</v>
      </c>
      <c r="OC20">
        <v>1</v>
      </c>
      <c r="OD20">
        <v>0</v>
      </c>
      <c r="OE20">
        <v>0</v>
      </c>
      <c r="OF20">
        <v>0</v>
      </c>
      <c r="OG20">
        <v>1</v>
      </c>
      <c r="OH20">
        <v>1</v>
      </c>
      <c r="OI20">
        <v>1</v>
      </c>
      <c r="OJ20">
        <v>1</v>
      </c>
      <c r="OK20">
        <v>1</v>
      </c>
      <c r="OL20">
        <v>0</v>
      </c>
      <c r="OM20">
        <v>0</v>
      </c>
      <c r="ON20">
        <v>0</v>
      </c>
      <c r="OO20">
        <v>0</v>
      </c>
      <c r="OP20">
        <v>0</v>
      </c>
      <c r="OQ20">
        <v>0</v>
      </c>
      <c r="OR20">
        <v>0</v>
      </c>
      <c r="OS20">
        <v>1</v>
      </c>
      <c r="OT20">
        <v>0</v>
      </c>
      <c r="OU20">
        <v>0</v>
      </c>
      <c r="OV20">
        <v>1</v>
      </c>
      <c r="OW20">
        <v>0</v>
      </c>
      <c r="OX20">
        <v>0</v>
      </c>
      <c r="OY20">
        <v>1</v>
      </c>
      <c r="OZ20">
        <v>0</v>
      </c>
      <c r="PA20">
        <v>0</v>
      </c>
      <c r="PB20">
        <v>0</v>
      </c>
      <c r="PC20">
        <v>0</v>
      </c>
      <c r="PD20">
        <v>1</v>
      </c>
      <c r="PE20">
        <v>1</v>
      </c>
      <c r="PF20">
        <v>0</v>
      </c>
      <c r="PG20">
        <v>0</v>
      </c>
      <c r="PH20">
        <v>0</v>
      </c>
      <c r="PI20">
        <v>0</v>
      </c>
      <c r="PJ20">
        <v>1</v>
      </c>
      <c r="PK20">
        <v>0</v>
      </c>
      <c r="PL20">
        <v>0</v>
      </c>
      <c r="PM20">
        <v>0</v>
      </c>
      <c r="PN20">
        <v>0</v>
      </c>
      <c r="PO20">
        <v>0</v>
      </c>
      <c r="PP20">
        <v>0</v>
      </c>
      <c r="PQ20">
        <v>0</v>
      </c>
      <c r="PR20">
        <v>0</v>
      </c>
      <c r="PS20">
        <v>0</v>
      </c>
      <c r="PT20">
        <v>1</v>
      </c>
      <c r="PU20">
        <v>1</v>
      </c>
      <c r="PV20">
        <v>1</v>
      </c>
    </row>
    <row r="21" spans="1:438" x14ac:dyDescent="0.3">
      <c r="A21" s="31">
        <v>48</v>
      </c>
      <c r="B21" s="28">
        <v>2.36</v>
      </c>
      <c r="C21" s="30">
        <v>2.42</v>
      </c>
      <c r="D21" s="28">
        <v>0.95</v>
      </c>
      <c r="E21" s="34">
        <f t="shared" si="0"/>
        <v>1.9E-2</v>
      </c>
      <c r="F21" s="35">
        <f t="shared" si="1"/>
        <v>0.60499999999999998</v>
      </c>
      <c r="G21" s="34">
        <f t="shared" si="2"/>
        <v>23.75</v>
      </c>
      <c r="H21" s="33">
        <f t="shared" si="3"/>
        <v>-0.25635593220338981</v>
      </c>
      <c r="I21" s="29">
        <f t="shared" ca="1" si="4"/>
        <v>1</v>
      </c>
      <c r="J21">
        <f ca="1">IF(AND(SUMPRODUCT($J$2:J20,$B$2:B20)&lt;500,SUM(B20,SUMPRODUCT($J$2:J20,$B$2:B20))&lt;500),1,0)</f>
        <v>0</v>
      </c>
      <c r="K21">
        <v>0</v>
      </c>
      <c r="L21">
        <v>0</v>
      </c>
      <c r="W21">
        <v>0</v>
      </c>
      <c r="X21">
        <v>0</v>
      </c>
      <c r="Y21">
        <v>0</v>
      </c>
      <c r="Z21">
        <v>1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1</v>
      </c>
      <c r="AG21">
        <v>1</v>
      </c>
      <c r="AH21">
        <v>0</v>
      </c>
      <c r="AI21">
        <v>1</v>
      </c>
      <c r="AJ21">
        <v>0</v>
      </c>
      <c r="AK21">
        <v>0</v>
      </c>
      <c r="AL21">
        <v>1</v>
      </c>
      <c r="AM21">
        <v>1</v>
      </c>
      <c r="AN21">
        <v>1</v>
      </c>
      <c r="AO21">
        <v>1</v>
      </c>
      <c r="AP21">
        <v>0</v>
      </c>
      <c r="AQ21">
        <v>0</v>
      </c>
      <c r="AR21">
        <v>0</v>
      </c>
      <c r="AS21">
        <v>1</v>
      </c>
      <c r="AT21">
        <v>0</v>
      </c>
      <c r="AU21">
        <v>1</v>
      </c>
      <c r="AV21">
        <v>0</v>
      </c>
      <c r="AW21">
        <v>0</v>
      </c>
      <c r="AX21">
        <v>0</v>
      </c>
      <c r="AY21">
        <v>0</v>
      </c>
      <c r="AZ21">
        <v>1</v>
      </c>
      <c r="BA21">
        <v>1</v>
      </c>
      <c r="BB21">
        <v>0</v>
      </c>
      <c r="BC21">
        <v>1</v>
      </c>
      <c r="BD21">
        <v>1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0</v>
      </c>
      <c r="BK21">
        <v>0</v>
      </c>
      <c r="BL21">
        <v>0</v>
      </c>
      <c r="BM21">
        <v>1</v>
      </c>
      <c r="BN21">
        <v>1</v>
      </c>
      <c r="BO21">
        <v>1</v>
      </c>
      <c r="BP21">
        <v>0</v>
      </c>
      <c r="BQ21">
        <v>1</v>
      </c>
      <c r="BR21">
        <v>0</v>
      </c>
      <c r="BS21">
        <v>0</v>
      </c>
      <c r="BT21">
        <v>0</v>
      </c>
      <c r="BU21">
        <v>1</v>
      </c>
      <c r="BV21">
        <v>0</v>
      </c>
      <c r="BW21">
        <v>1</v>
      </c>
      <c r="BX21">
        <v>1</v>
      </c>
      <c r="BY21">
        <v>0</v>
      </c>
      <c r="BZ21">
        <v>1</v>
      </c>
      <c r="CA21">
        <v>1</v>
      </c>
      <c r="CB21">
        <v>0</v>
      </c>
      <c r="CC21">
        <v>0</v>
      </c>
      <c r="CD21">
        <v>0</v>
      </c>
      <c r="CE21">
        <v>1</v>
      </c>
      <c r="CF21">
        <v>1</v>
      </c>
      <c r="CG21">
        <v>1</v>
      </c>
      <c r="CH21">
        <v>0</v>
      </c>
      <c r="CI21">
        <v>1</v>
      </c>
      <c r="CJ21">
        <v>0</v>
      </c>
      <c r="CK21">
        <v>0</v>
      </c>
      <c r="CL21">
        <v>1</v>
      </c>
      <c r="CM21">
        <v>1</v>
      </c>
      <c r="CN21">
        <v>1</v>
      </c>
      <c r="CO21">
        <v>1</v>
      </c>
      <c r="CP21">
        <v>0</v>
      </c>
      <c r="CQ21">
        <v>0</v>
      </c>
      <c r="CR21">
        <v>1</v>
      </c>
      <c r="CS21">
        <v>1</v>
      </c>
      <c r="CT21">
        <v>1</v>
      </c>
      <c r="CU21">
        <v>0</v>
      </c>
      <c r="CV21">
        <v>0</v>
      </c>
      <c r="CW21">
        <v>1</v>
      </c>
      <c r="CX21">
        <v>1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1</v>
      </c>
      <c r="DF21">
        <v>1</v>
      </c>
      <c r="DG21">
        <v>0</v>
      </c>
      <c r="DH21">
        <v>0</v>
      </c>
      <c r="DI21">
        <v>0</v>
      </c>
      <c r="DJ21">
        <v>0</v>
      </c>
      <c r="DK21">
        <v>1</v>
      </c>
      <c r="DL21">
        <v>0</v>
      </c>
      <c r="DM21">
        <v>0</v>
      </c>
      <c r="DN21">
        <v>0</v>
      </c>
      <c r="DO21">
        <v>0</v>
      </c>
      <c r="DP21">
        <v>1</v>
      </c>
      <c r="DQ21">
        <v>0</v>
      </c>
      <c r="DR21">
        <v>1</v>
      </c>
      <c r="DS21">
        <v>0</v>
      </c>
      <c r="DT21">
        <v>0</v>
      </c>
      <c r="DU21">
        <v>1</v>
      </c>
      <c r="DV21">
        <v>0</v>
      </c>
      <c r="DW21">
        <v>0</v>
      </c>
      <c r="DX21">
        <v>0</v>
      </c>
      <c r="DY21">
        <v>1</v>
      </c>
      <c r="DZ21">
        <v>0</v>
      </c>
      <c r="EA21">
        <v>1</v>
      </c>
      <c r="EB21">
        <v>1</v>
      </c>
      <c r="EC21">
        <v>0</v>
      </c>
      <c r="ED21">
        <v>1</v>
      </c>
      <c r="EE21">
        <v>0</v>
      </c>
      <c r="EF21">
        <v>0</v>
      </c>
      <c r="EG21">
        <v>1</v>
      </c>
      <c r="EH21">
        <v>0</v>
      </c>
      <c r="EI21">
        <v>1</v>
      </c>
      <c r="EJ21">
        <v>0</v>
      </c>
      <c r="EK21">
        <v>0</v>
      </c>
      <c r="EL21">
        <v>0</v>
      </c>
      <c r="EM21">
        <v>1</v>
      </c>
      <c r="EN21">
        <v>1</v>
      </c>
      <c r="EO21">
        <v>1</v>
      </c>
      <c r="EP21">
        <v>1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1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1</v>
      </c>
      <c r="FH21">
        <v>0</v>
      </c>
      <c r="FI21">
        <v>1</v>
      </c>
      <c r="FJ21">
        <v>0</v>
      </c>
      <c r="FK21">
        <v>0</v>
      </c>
      <c r="FL21">
        <v>0</v>
      </c>
      <c r="FM21">
        <v>0</v>
      </c>
      <c r="FN21">
        <v>1</v>
      </c>
      <c r="FO21">
        <v>1</v>
      </c>
      <c r="FP21">
        <v>0</v>
      </c>
      <c r="FQ21">
        <v>1</v>
      </c>
      <c r="FR21">
        <v>0</v>
      </c>
      <c r="FS21">
        <v>1</v>
      </c>
      <c r="FT21">
        <v>1</v>
      </c>
      <c r="FU21">
        <v>0</v>
      </c>
      <c r="FV21">
        <v>1</v>
      </c>
      <c r="FW21">
        <v>1</v>
      </c>
      <c r="FX21">
        <v>0</v>
      </c>
      <c r="FY21">
        <v>1</v>
      </c>
      <c r="FZ21">
        <v>1</v>
      </c>
      <c r="GA21">
        <v>1</v>
      </c>
      <c r="GB21">
        <v>1</v>
      </c>
      <c r="GC21">
        <v>0</v>
      </c>
      <c r="GD21">
        <v>0</v>
      </c>
      <c r="GE21">
        <v>1</v>
      </c>
      <c r="GF21">
        <v>1</v>
      </c>
      <c r="GG21">
        <v>0</v>
      </c>
      <c r="GH21">
        <v>0</v>
      </c>
      <c r="GI21">
        <v>0</v>
      </c>
      <c r="GJ21">
        <v>0</v>
      </c>
      <c r="GK21">
        <v>1</v>
      </c>
      <c r="GL21">
        <v>0</v>
      </c>
      <c r="GM21">
        <v>0</v>
      </c>
      <c r="GN21">
        <v>0</v>
      </c>
      <c r="GO21">
        <v>0</v>
      </c>
      <c r="GP21">
        <v>1</v>
      </c>
      <c r="GQ21">
        <v>1</v>
      </c>
      <c r="GR21">
        <v>0</v>
      </c>
      <c r="GS21">
        <v>1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1</v>
      </c>
      <c r="HE21">
        <v>1</v>
      </c>
      <c r="HF21">
        <v>1</v>
      </c>
      <c r="HG21">
        <v>0</v>
      </c>
      <c r="HH21">
        <v>0</v>
      </c>
      <c r="HI21">
        <v>0</v>
      </c>
      <c r="HJ21">
        <v>1</v>
      </c>
      <c r="HK21">
        <v>0</v>
      </c>
      <c r="HL21">
        <v>0</v>
      </c>
      <c r="HM21">
        <v>0</v>
      </c>
      <c r="HN21">
        <v>0</v>
      </c>
      <c r="HO21">
        <v>1</v>
      </c>
      <c r="HP21">
        <v>0</v>
      </c>
      <c r="HQ21">
        <v>1</v>
      </c>
      <c r="HR21">
        <v>1</v>
      </c>
      <c r="HS21">
        <v>0</v>
      </c>
      <c r="HT21">
        <v>1</v>
      </c>
      <c r="HU21">
        <v>1</v>
      </c>
      <c r="HV21">
        <v>0</v>
      </c>
      <c r="HW21">
        <v>1</v>
      </c>
      <c r="HX21">
        <v>0</v>
      </c>
      <c r="HY21">
        <v>1</v>
      </c>
      <c r="HZ21">
        <v>1</v>
      </c>
      <c r="IA21">
        <v>0</v>
      </c>
      <c r="IB21">
        <v>1</v>
      </c>
      <c r="IC21">
        <v>0</v>
      </c>
      <c r="ID21">
        <v>0</v>
      </c>
      <c r="IE21">
        <v>0</v>
      </c>
      <c r="IF21">
        <v>1</v>
      </c>
      <c r="IG21">
        <v>0</v>
      </c>
      <c r="IH21">
        <v>1</v>
      </c>
      <c r="II21">
        <v>0</v>
      </c>
      <c r="IJ21">
        <v>0</v>
      </c>
      <c r="IK21">
        <v>0</v>
      </c>
      <c r="IL21">
        <v>1</v>
      </c>
      <c r="IM21">
        <v>0</v>
      </c>
      <c r="IN21">
        <v>0</v>
      </c>
      <c r="IO21">
        <v>0</v>
      </c>
      <c r="IP21">
        <v>1</v>
      </c>
      <c r="IQ21">
        <v>0</v>
      </c>
      <c r="IR21">
        <v>0</v>
      </c>
      <c r="IS21">
        <v>0</v>
      </c>
      <c r="IT21">
        <v>0</v>
      </c>
      <c r="IU21">
        <v>1</v>
      </c>
      <c r="IV21">
        <v>1</v>
      </c>
      <c r="IW21">
        <v>0</v>
      </c>
      <c r="IX21">
        <v>0</v>
      </c>
      <c r="IY21">
        <v>0</v>
      </c>
      <c r="IZ21">
        <v>1</v>
      </c>
      <c r="JA21">
        <v>1</v>
      </c>
      <c r="JB21">
        <v>1</v>
      </c>
      <c r="JC21">
        <v>1</v>
      </c>
      <c r="JD21">
        <v>1</v>
      </c>
      <c r="JE21">
        <v>0</v>
      </c>
      <c r="JF21">
        <v>1</v>
      </c>
      <c r="JG21">
        <v>1</v>
      </c>
      <c r="JH21">
        <v>1</v>
      </c>
      <c r="JI21">
        <v>0</v>
      </c>
      <c r="JJ21">
        <v>0</v>
      </c>
      <c r="JK21">
        <v>1</v>
      </c>
      <c r="JL21">
        <v>0</v>
      </c>
      <c r="JM21">
        <v>1</v>
      </c>
      <c r="JN21">
        <v>0</v>
      </c>
      <c r="JO21">
        <v>0</v>
      </c>
      <c r="JP21">
        <v>1</v>
      </c>
      <c r="JQ21">
        <v>0</v>
      </c>
      <c r="JR21">
        <v>1</v>
      </c>
      <c r="JS21">
        <v>1</v>
      </c>
      <c r="JT21">
        <v>0</v>
      </c>
      <c r="JU21">
        <v>0</v>
      </c>
      <c r="JV21">
        <v>0</v>
      </c>
      <c r="JW21">
        <v>1</v>
      </c>
      <c r="JX21">
        <v>0</v>
      </c>
      <c r="JY21">
        <v>0</v>
      </c>
      <c r="JZ21">
        <v>1</v>
      </c>
      <c r="KA21">
        <v>0</v>
      </c>
      <c r="KB21">
        <v>0</v>
      </c>
      <c r="KC21">
        <v>1</v>
      </c>
      <c r="KD21">
        <v>0</v>
      </c>
      <c r="KE21">
        <v>0</v>
      </c>
      <c r="KF21">
        <v>0</v>
      </c>
      <c r="KG21">
        <v>0</v>
      </c>
      <c r="KH21">
        <v>1</v>
      </c>
      <c r="KI21">
        <v>0</v>
      </c>
      <c r="KJ21">
        <v>1</v>
      </c>
      <c r="KK21">
        <v>0</v>
      </c>
      <c r="KL21">
        <v>0</v>
      </c>
      <c r="KM21">
        <v>1</v>
      </c>
      <c r="KN21">
        <v>0</v>
      </c>
      <c r="KO21">
        <v>0</v>
      </c>
      <c r="KP21">
        <v>1</v>
      </c>
      <c r="KQ21">
        <v>1</v>
      </c>
      <c r="KR21">
        <v>0</v>
      </c>
      <c r="KS21">
        <v>1</v>
      </c>
      <c r="KT21">
        <v>0</v>
      </c>
      <c r="KU21">
        <v>0</v>
      </c>
      <c r="KV21">
        <v>0</v>
      </c>
      <c r="KW21">
        <v>0</v>
      </c>
      <c r="KX21">
        <v>1</v>
      </c>
      <c r="KY21">
        <v>1</v>
      </c>
      <c r="KZ21">
        <v>1</v>
      </c>
      <c r="LA21">
        <v>0</v>
      </c>
      <c r="LB21">
        <v>0</v>
      </c>
      <c r="LC21">
        <v>1</v>
      </c>
      <c r="LD21">
        <v>0</v>
      </c>
      <c r="LE21">
        <v>1</v>
      </c>
      <c r="LF21">
        <v>0</v>
      </c>
      <c r="LG21">
        <v>1</v>
      </c>
      <c r="LH21">
        <v>1</v>
      </c>
      <c r="LI21">
        <v>0</v>
      </c>
      <c r="LJ21">
        <v>0</v>
      </c>
      <c r="LK21">
        <v>1</v>
      </c>
      <c r="LL21">
        <v>1</v>
      </c>
      <c r="LM21">
        <v>0</v>
      </c>
      <c r="LN21">
        <v>0</v>
      </c>
      <c r="LO21">
        <v>0</v>
      </c>
      <c r="LP21">
        <v>0</v>
      </c>
      <c r="LQ21">
        <v>1</v>
      </c>
      <c r="LR21">
        <v>0</v>
      </c>
      <c r="LS21">
        <v>0</v>
      </c>
      <c r="LT21">
        <v>0</v>
      </c>
      <c r="LU21">
        <v>1</v>
      </c>
      <c r="LV21">
        <v>0</v>
      </c>
      <c r="LW21">
        <v>1</v>
      </c>
      <c r="LX21">
        <v>0</v>
      </c>
      <c r="LY21">
        <v>0</v>
      </c>
      <c r="LZ21">
        <v>0</v>
      </c>
      <c r="MA21">
        <v>0</v>
      </c>
      <c r="MB21">
        <v>0</v>
      </c>
      <c r="MC21">
        <v>1</v>
      </c>
      <c r="MD21">
        <v>1</v>
      </c>
      <c r="ME21">
        <v>0</v>
      </c>
      <c r="MF21">
        <v>1</v>
      </c>
      <c r="MG21">
        <v>0</v>
      </c>
      <c r="MH21">
        <v>0</v>
      </c>
      <c r="MI21">
        <v>0</v>
      </c>
      <c r="MJ21">
        <v>1</v>
      </c>
      <c r="MK21">
        <v>0</v>
      </c>
      <c r="ML21">
        <v>0</v>
      </c>
      <c r="MM21">
        <v>1</v>
      </c>
      <c r="MN21">
        <v>0</v>
      </c>
      <c r="MO21">
        <v>1</v>
      </c>
      <c r="MP21">
        <v>0</v>
      </c>
      <c r="MQ21">
        <v>0</v>
      </c>
      <c r="MR21">
        <v>1</v>
      </c>
      <c r="MS21">
        <v>0</v>
      </c>
      <c r="MT21">
        <v>1</v>
      </c>
      <c r="MU21">
        <v>0</v>
      </c>
      <c r="MV21">
        <v>0</v>
      </c>
      <c r="MW21">
        <v>0</v>
      </c>
      <c r="MX21">
        <v>0</v>
      </c>
      <c r="MY21">
        <v>0</v>
      </c>
      <c r="MZ21">
        <v>0</v>
      </c>
      <c r="NA21">
        <v>0</v>
      </c>
      <c r="NB21">
        <v>0</v>
      </c>
      <c r="NC21">
        <v>0</v>
      </c>
      <c r="ND21">
        <v>0</v>
      </c>
      <c r="NE21">
        <v>0</v>
      </c>
      <c r="NF21">
        <v>0</v>
      </c>
      <c r="NG21">
        <v>0</v>
      </c>
      <c r="NH21">
        <v>0</v>
      </c>
      <c r="NI21">
        <v>0</v>
      </c>
      <c r="NJ21">
        <v>0</v>
      </c>
      <c r="NK21">
        <v>1</v>
      </c>
      <c r="NL21">
        <v>1</v>
      </c>
      <c r="NM21">
        <v>1</v>
      </c>
      <c r="NN21">
        <v>0</v>
      </c>
      <c r="NO21">
        <v>1</v>
      </c>
      <c r="NP21">
        <v>1</v>
      </c>
      <c r="NQ21">
        <v>0</v>
      </c>
      <c r="NR21">
        <v>1</v>
      </c>
      <c r="NS21">
        <v>0</v>
      </c>
      <c r="NT21">
        <v>0</v>
      </c>
      <c r="NU21">
        <v>0</v>
      </c>
      <c r="NV21">
        <v>0</v>
      </c>
      <c r="NW21">
        <v>0</v>
      </c>
      <c r="NX21">
        <v>1</v>
      </c>
      <c r="NY21">
        <v>0</v>
      </c>
      <c r="NZ21">
        <v>1</v>
      </c>
      <c r="OA21">
        <v>0</v>
      </c>
      <c r="OB21">
        <v>0</v>
      </c>
      <c r="OC21">
        <v>1</v>
      </c>
      <c r="OD21">
        <v>0</v>
      </c>
      <c r="OE21">
        <v>0</v>
      </c>
      <c r="OF21">
        <v>0</v>
      </c>
      <c r="OG21">
        <v>0</v>
      </c>
      <c r="OH21">
        <v>1</v>
      </c>
      <c r="OI21">
        <v>0</v>
      </c>
      <c r="OJ21">
        <v>1</v>
      </c>
      <c r="OK21">
        <v>0</v>
      </c>
      <c r="OL21">
        <v>0</v>
      </c>
      <c r="OM21">
        <v>0</v>
      </c>
      <c r="ON21">
        <v>0</v>
      </c>
      <c r="OO21">
        <v>1</v>
      </c>
      <c r="OP21">
        <v>1</v>
      </c>
      <c r="OQ21">
        <v>0</v>
      </c>
      <c r="OR21">
        <v>0</v>
      </c>
      <c r="OS21">
        <v>1</v>
      </c>
      <c r="OT21">
        <v>1</v>
      </c>
      <c r="OU21">
        <v>0</v>
      </c>
      <c r="OV21">
        <v>1</v>
      </c>
      <c r="OW21">
        <v>0</v>
      </c>
      <c r="OX21">
        <v>0</v>
      </c>
      <c r="OY21">
        <v>0</v>
      </c>
      <c r="OZ21">
        <v>0</v>
      </c>
      <c r="PA21">
        <v>0</v>
      </c>
      <c r="PB21">
        <v>0</v>
      </c>
      <c r="PC21">
        <v>0</v>
      </c>
      <c r="PD21">
        <v>0</v>
      </c>
      <c r="PE21">
        <v>0</v>
      </c>
      <c r="PF21">
        <v>0</v>
      </c>
      <c r="PG21">
        <v>1</v>
      </c>
      <c r="PH21">
        <v>1</v>
      </c>
      <c r="PI21">
        <v>0</v>
      </c>
      <c r="PJ21">
        <v>1</v>
      </c>
      <c r="PK21">
        <v>1</v>
      </c>
      <c r="PL21">
        <v>0</v>
      </c>
      <c r="PM21">
        <v>0</v>
      </c>
      <c r="PN21">
        <v>1</v>
      </c>
      <c r="PO21">
        <v>0</v>
      </c>
      <c r="PP21">
        <v>0</v>
      </c>
      <c r="PQ21">
        <v>0</v>
      </c>
      <c r="PR21">
        <v>0</v>
      </c>
      <c r="PS21">
        <v>0</v>
      </c>
      <c r="PT21">
        <v>0</v>
      </c>
      <c r="PU21">
        <v>1</v>
      </c>
      <c r="PV21">
        <v>1</v>
      </c>
    </row>
    <row r="22" spans="1:438" x14ac:dyDescent="0.3">
      <c r="A22" s="31">
        <v>55</v>
      </c>
      <c r="B22" s="28">
        <v>8.9600000000000009</v>
      </c>
      <c r="C22" s="30">
        <v>8.01</v>
      </c>
      <c r="D22" s="28">
        <v>1.1200000000000001</v>
      </c>
      <c r="E22" s="34">
        <f t="shared" si="0"/>
        <v>2.2400000000000003E-2</v>
      </c>
      <c r="F22" s="35">
        <f t="shared" si="1"/>
        <v>2.0024999999999999</v>
      </c>
      <c r="G22" s="34">
        <f t="shared" si="2"/>
        <v>28.000000000000004</v>
      </c>
      <c r="H22" s="33">
        <f t="shared" si="3"/>
        <v>10.937220982142856</v>
      </c>
      <c r="I22" s="29">
        <f t="shared" ca="1" si="4"/>
        <v>0</v>
      </c>
      <c r="J22">
        <f ca="1">IF(AND(SUMPRODUCT($J$2:J21,$B$2:B21)&lt;500,SUM(B21,SUMPRODUCT($J$2:J21,$B$2:B21))&lt;500),1,0)</f>
        <v>0</v>
      </c>
      <c r="K22">
        <v>4</v>
      </c>
      <c r="L22">
        <v>0</v>
      </c>
      <c r="W22">
        <v>0</v>
      </c>
      <c r="X22">
        <v>1</v>
      </c>
      <c r="Y22">
        <v>0</v>
      </c>
      <c r="Z22">
        <v>1</v>
      </c>
      <c r="AA22">
        <v>0</v>
      </c>
      <c r="AB22">
        <v>0</v>
      </c>
      <c r="AC22">
        <v>1</v>
      </c>
      <c r="AD22">
        <v>0</v>
      </c>
      <c r="AE22">
        <v>0</v>
      </c>
      <c r="AF22">
        <v>1</v>
      </c>
      <c r="AG22">
        <v>1</v>
      </c>
      <c r="AH22">
        <v>0</v>
      </c>
      <c r="AI22">
        <v>0</v>
      </c>
      <c r="AJ22">
        <v>1</v>
      </c>
      <c r="AK22">
        <v>1</v>
      </c>
      <c r="AL22">
        <v>0</v>
      </c>
      <c r="AM22">
        <v>1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1</v>
      </c>
      <c r="AT22">
        <v>0</v>
      </c>
      <c r="AU22">
        <v>0</v>
      </c>
      <c r="AV22">
        <v>1</v>
      </c>
      <c r="AW22">
        <v>0</v>
      </c>
      <c r="AX22">
        <v>0</v>
      </c>
      <c r="AY22">
        <v>0</v>
      </c>
      <c r="AZ22">
        <v>1</v>
      </c>
      <c r="BA22">
        <v>1</v>
      </c>
      <c r="BB22">
        <v>0</v>
      </c>
      <c r="BC22">
        <v>1</v>
      </c>
      <c r="BD22">
        <v>0</v>
      </c>
      <c r="BE22">
        <v>0</v>
      </c>
      <c r="BF22">
        <v>1</v>
      </c>
      <c r="BG22">
        <v>1</v>
      </c>
      <c r="BH22">
        <v>0</v>
      </c>
      <c r="BI22">
        <v>1</v>
      </c>
      <c r="BJ22">
        <v>0</v>
      </c>
      <c r="BK22">
        <v>0</v>
      </c>
      <c r="BL22">
        <v>0</v>
      </c>
      <c r="BM22">
        <v>1</v>
      </c>
      <c r="BN22">
        <v>1</v>
      </c>
      <c r="BO22">
        <v>1</v>
      </c>
      <c r="BP22">
        <v>0</v>
      </c>
      <c r="BQ22">
        <v>0</v>
      </c>
      <c r="BR22">
        <v>1</v>
      </c>
      <c r="BS22">
        <v>0</v>
      </c>
      <c r="BT22">
        <v>0</v>
      </c>
      <c r="BU22">
        <v>1</v>
      </c>
      <c r="BV22">
        <v>1</v>
      </c>
      <c r="BW22">
        <v>0</v>
      </c>
      <c r="BX22">
        <v>1</v>
      </c>
      <c r="BY22">
        <v>0</v>
      </c>
      <c r="BZ22">
        <v>0</v>
      </c>
      <c r="CA22">
        <v>0</v>
      </c>
      <c r="CB22">
        <v>1</v>
      </c>
      <c r="CC22">
        <v>0</v>
      </c>
      <c r="CD22">
        <v>0</v>
      </c>
      <c r="CE22">
        <v>1</v>
      </c>
      <c r="CF22">
        <v>0</v>
      </c>
      <c r="CG22">
        <v>1</v>
      </c>
      <c r="CH22">
        <v>0</v>
      </c>
      <c r="CI22">
        <v>1</v>
      </c>
      <c r="CJ22">
        <v>0</v>
      </c>
      <c r="CK22">
        <v>1</v>
      </c>
      <c r="CL22">
        <v>1</v>
      </c>
      <c r="CM22">
        <v>1</v>
      </c>
      <c r="CN22">
        <v>1</v>
      </c>
      <c r="CO22">
        <v>1</v>
      </c>
      <c r="CP22">
        <v>0</v>
      </c>
      <c r="CQ22">
        <v>0</v>
      </c>
      <c r="CR22">
        <v>1</v>
      </c>
      <c r="CS22">
        <v>0</v>
      </c>
      <c r="CT22">
        <v>1</v>
      </c>
      <c r="CU22">
        <v>0</v>
      </c>
      <c r="CV22">
        <v>0</v>
      </c>
      <c r="CW22">
        <v>0</v>
      </c>
      <c r="CX22">
        <v>1</v>
      </c>
      <c r="CY22">
        <v>1</v>
      </c>
      <c r="CZ22">
        <v>0</v>
      </c>
      <c r="DA22">
        <v>0</v>
      </c>
      <c r="DB22">
        <v>1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1</v>
      </c>
      <c r="DL22">
        <v>0</v>
      </c>
      <c r="DM22">
        <v>0</v>
      </c>
      <c r="DN22">
        <v>0</v>
      </c>
      <c r="DO22">
        <v>0</v>
      </c>
      <c r="DP22">
        <v>1</v>
      </c>
      <c r="DQ22">
        <v>0</v>
      </c>
      <c r="DR22">
        <v>0</v>
      </c>
      <c r="DS22">
        <v>1</v>
      </c>
      <c r="DT22">
        <v>0</v>
      </c>
      <c r="DU22">
        <v>0</v>
      </c>
      <c r="DV22">
        <v>1</v>
      </c>
      <c r="DW22">
        <v>0</v>
      </c>
      <c r="DX22">
        <v>1</v>
      </c>
      <c r="DY22">
        <v>0</v>
      </c>
      <c r="DZ22">
        <v>1</v>
      </c>
      <c r="EA22">
        <v>0</v>
      </c>
      <c r="EB22">
        <v>0</v>
      </c>
      <c r="EC22">
        <v>1</v>
      </c>
      <c r="ED22">
        <v>0</v>
      </c>
      <c r="EE22">
        <v>1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1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1</v>
      </c>
      <c r="EX22">
        <v>1</v>
      </c>
      <c r="EY22">
        <v>0</v>
      </c>
      <c r="EZ22">
        <v>1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1</v>
      </c>
      <c r="FG22">
        <v>1</v>
      </c>
      <c r="FH22">
        <v>1</v>
      </c>
      <c r="FI22">
        <v>1</v>
      </c>
      <c r="FJ22">
        <v>1</v>
      </c>
      <c r="FK22">
        <v>0</v>
      </c>
      <c r="FL22">
        <v>0</v>
      </c>
      <c r="FM22">
        <v>1</v>
      </c>
      <c r="FN22">
        <v>1</v>
      </c>
      <c r="FO22">
        <v>1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1</v>
      </c>
      <c r="FW22">
        <v>0</v>
      </c>
      <c r="FX22">
        <v>0</v>
      </c>
      <c r="FY22">
        <v>0</v>
      </c>
      <c r="FZ22">
        <v>0</v>
      </c>
      <c r="GA22">
        <v>1</v>
      </c>
      <c r="GB22">
        <v>0</v>
      </c>
      <c r="GC22">
        <v>0</v>
      </c>
      <c r="GD22">
        <v>0</v>
      </c>
      <c r="GE22">
        <v>1</v>
      </c>
      <c r="GF22">
        <v>0</v>
      </c>
      <c r="GG22">
        <v>0</v>
      </c>
      <c r="GH22">
        <v>0</v>
      </c>
      <c r="GI22">
        <v>0</v>
      </c>
      <c r="GJ22">
        <v>1</v>
      </c>
      <c r="GK22">
        <v>1</v>
      </c>
      <c r="GL22">
        <v>0</v>
      </c>
      <c r="GM22">
        <v>0</v>
      </c>
      <c r="GN22">
        <v>0</v>
      </c>
      <c r="GO22">
        <v>1</v>
      </c>
      <c r="GP22">
        <v>1</v>
      </c>
      <c r="GQ22">
        <v>0</v>
      </c>
      <c r="GR22">
        <v>0</v>
      </c>
      <c r="GS22">
        <v>1</v>
      </c>
      <c r="GT22">
        <v>0</v>
      </c>
      <c r="GU22">
        <v>0</v>
      </c>
      <c r="GV22">
        <v>1</v>
      </c>
      <c r="GW22">
        <v>0</v>
      </c>
      <c r="GX22">
        <v>1</v>
      </c>
      <c r="GY22">
        <v>0</v>
      </c>
      <c r="GZ22">
        <v>0</v>
      </c>
      <c r="HA22">
        <v>1</v>
      </c>
      <c r="HB22">
        <v>0</v>
      </c>
      <c r="HC22">
        <v>0</v>
      </c>
      <c r="HD22">
        <v>1</v>
      </c>
      <c r="HE22">
        <v>0</v>
      </c>
      <c r="HF22">
        <v>1</v>
      </c>
      <c r="HG22">
        <v>0</v>
      </c>
      <c r="HH22">
        <v>0</v>
      </c>
      <c r="HI22">
        <v>0</v>
      </c>
      <c r="HJ22">
        <v>1</v>
      </c>
      <c r="HK22">
        <v>0</v>
      </c>
      <c r="HL22">
        <v>1</v>
      </c>
      <c r="HM22">
        <v>1</v>
      </c>
      <c r="HN22">
        <v>0</v>
      </c>
      <c r="HO22">
        <v>0</v>
      </c>
      <c r="HP22">
        <v>0</v>
      </c>
      <c r="HQ22">
        <v>1</v>
      </c>
      <c r="HR22">
        <v>1</v>
      </c>
      <c r="HS22">
        <v>0</v>
      </c>
      <c r="HT22">
        <v>0</v>
      </c>
      <c r="HU22">
        <v>0</v>
      </c>
      <c r="HV22">
        <v>0</v>
      </c>
      <c r="HW22">
        <v>1</v>
      </c>
      <c r="HX22">
        <v>0</v>
      </c>
      <c r="HY22">
        <v>1</v>
      </c>
      <c r="HZ22">
        <v>1</v>
      </c>
      <c r="IA22">
        <v>1</v>
      </c>
      <c r="IB22">
        <v>0</v>
      </c>
      <c r="IC22">
        <v>0</v>
      </c>
      <c r="ID22">
        <v>0</v>
      </c>
      <c r="IE22">
        <v>0</v>
      </c>
      <c r="IF22">
        <v>1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1</v>
      </c>
      <c r="IO22">
        <v>0</v>
      </c>
      <c r="IP22">
        <v>0</v>
      </c>
      <c r="IQ22">
        <v>0</v>
      </c>
      <c r="IR22">
        <v>1</v>
      </c>
      <c r="IS22">
        <v>1</v>
      </c>
      <c r="IT22">
        <v>1</v>
      </c>
      <c r="IU22">
        <v>0</v>
      </c>
      <c r="IV22">
        <v>0</v>
      </c>
      <c r="IW22">
        <v>1</v>
      </c>
      <c r="IX22">
        <v>1</v>
      </c>
      <c r="IY22">
        <v>0</v>
      </c>
      <c r="IZ22">
        <v>0</v>
      </c>
      <c r="JA22">
        <v>0</v>
      </c>
      <c r="JB22">
        <v>0</v>
      </c>
      <c r="JC22">
        <v>1</v>
      </c>
      <c r="JD22">
        <v>0</v>
      </c>
      <c r="JE22">
        <v>0</v>
      </c>
      <c r="JF22">
        <v>0</v>
      </c>
      <c r="JG22">
        <v>0</v>
      </c>
      <c r="JH22">
        <v>1</v>
      </c>
      <c r="JI22">
        <v>0</v>
      </c>
      <c r="JJ22">
        <v>1</v>
      </c>
      <c r="JK22">
        <v>1</v>
      </c>
      <c r="JL22">
        <v>0</v>
      </c>
      <c r="JM22">
        <v>1</v>
      </c>
      <c r="JN22">
        <v>0</v>
      </c>
      <c r="JO22">
        <v>1</v>
      </c>
      <c r="JP22">
        <v>1</v>
      </c>
      <c r="JQ22">
        <v>1</v>
      </c>
      <c r="JR22">
        <v>0</v>
      </c>
      <c r="JS22">
        <v>0</v>
      </c>
      <c r="JT22">
        <v>1</v>
      </c>
      <c r="JU22">
        <v>1</v>
      </c>
      <c r="JV22">
        <v>0</v>
      </c>
      <c r="JW22">
        <v>1</v>
      </c>
      <c r="JX22">
        <v>1</v>
      </c>
      <c r="JY22">
        <v>0</v>
      </c>
      <c r="JZ22">
        <v>0</v>
      </c>
      <c r="KA22">
        <v>0</v>
      </c>
      <c r="KB22">
        <v>1</v>
      </c>
      <c r="KC22">
        <v>0</v>
      </c>
      <c r="KD22">
        <v>0</v>
      </c>
      <c r="KE22">
        <v>0</v>
      </c>
      <c r="KF22">
        <v>0</v>
      </c>
      <c r="KG22">
        <v>0</v>
      </c>
      <c r="KH22">
        <v>1</v>
      </c>
      <c r="KI22">
        <v>0</v>
      </c>
      <c r="KJ22">
        <v>1</v>
      </c>
      <c r="KK22">
        <v>1</v>
      </c>
      <c r="KL22">
        <v>0</v>
      </c>
      <c r="KM22">
        <v>0</v>
      </c>
      <c r="KN22">
        <v>0</v>
      </c>
      <c r="KO22">
        <v>0</v>
      </c>
      <c r="KP22">
        <v>1</v>
      </c>
      <c r="KQ22">
        <v>1</v>
      </c>
      <c r="KR22">
        <v>0</v>
      </c>
      <c r="KS22">
        <v>1</v>
      </c>
      <c r="KT22">
        <v>0</v>
      </c>
      <c r="KU22">
        <v>1</v>
      </c>
      <c r="KV22">
        <v>0</v>
      </c>
      <c r="KW22">
        <v>0</v>
      </c>
      <c r="KX22">
        <v>0</v>
      </c>
      <c r="KY22">
        <v>1</v>
      </c>
      <c r="KZ22">
        <v>1</v>
      </c>
      <c r="LA22">
        <v>0</v>
      </c>
      <c r="LB22">
        <v>0</v>
      </c>
      <c r="LC22">
        <v>1</v>
      </c>
      <c r="LD22">
        <v>1</v>
      </c>
      <c r="LE22">
        <v>1</v>
      </c>
      <c r="LF22">
        <v>0</v>
      </c>
      <c r="LG22">
        <v>0</v>
      </c>
      <c r="LH22">
        <v>1</v>
      </c>
      <c r="LI22">
        <v>0</v>
      </c>
      <c r="LJ22">
        <v>0</v>
      </c>
      <c r="LK22">
        <v>1</v>
      </c>
      <c r="LL22">
        <v>1</v>
      </c>
      <c r="LM22">
        <v>0</v>
      </c>
      <c r="LN22">
        <v>1</v>
      </c>
      <c r="LO22">
        <v>0</v>
      </c>
      <c r="LP22">
        <v>0</v>
      </c>
      <c r="LQ22">
        <v>0</v>
      </c>
      <c r="LR22">
        <v>1</v>
      </c>
      <c r="LS22">
        <v>0</v>
      </c>
      <c r="LT22">
        <v>0</v>
      </c>
      <c r="LU22">
        <v>0</v>
      </c>
      <c r="LV22">
        <v>0</v>
      </c>
      <c r="LW22">
        <v>1</v>
      </c>
      <c r="LX22">
        <v>0</v>
      </c>
      <c r="LY22">
        <v>0</v>
      </c>
      <c r="LZ22">
        <v>0</v>
      </c>
      <c r="MA22">
        <v>0</v>
      </c>
      <c r="MB22">
        <v>1</v>
      </c>
      <c r="MC22">
        <v>1</v>
      </c>
      <c r="MD22">
        <v>0</v>
      </c>
      <c r="ME22">
        <v>0</v>
      </c>
      <c r="MF22">
        <v>0</v>
      </c>
      <c r="MG22">
        <v>0</v>
      </c>
      <c r="MH22">
        <v>0</v>
      </c>
      <c r="MI22">
        <v>0</v>
      </c>
      <c r="MJ22">
        <v>0</v>
      </c>
      <c r="MK22">
        <v>0</v>
      </c>
      <c r="ML22">
        <v>0</v>
      </c>
      <c r="MM22">
        <v>0</v>
      </c>
      <c r="MN22">
        <v>1</v>
      </c>
      <c r="MO22">
        <v>0</v>
      </c>
      <c r="MP22">
        <v>0</v>
      </c>
      <c r="MQ22">
        <v>1</v>
      </c>
      <c r="MR22">
        <v>0</v>
      </c>
      <c r="MS22">
        <v>0</v>
      </c>
      <c r="MT22">
        <v>0</v>
      </c>
      <c r="MU22">
        <v>1</v>
      </c>
      <c r="MV22">
        <v>0</v>
      </c>
      <c r="MW22">
        <v>0</v>
      </c>
      <c r="MX22">
        <v>0</v>
      </c>
      <c r="MY22">
        <v>1</v>
      </c>
      <c r="MZ22">
        <v>0</v>
      </c>
      <c r="NA22">
        <v>0</v>
      </c>
      <c r="NB22">
        <v>1</v>
      </c>
      <c r="NC22">
        <v>0</v>
      </c>
      <c r="ND22">
        <v>1</v>
      </c>
      <c r="NE22">
        <v>0</v>
      </c>
      <c r="NF22">
        <v>0</v>
      </c>
      <c r="NG22">
        <v>1</v>
      </c>
      <c r="NH22">
        <v>0</v>
      </c>
      <c r="NI22">
        <v>0</v>
      </c>
      <c r="NJ22">
        <v>0</v>
      </c>
      <c r="NK22">
        <v>1</v>
      </c>
      <c r="NL22">
        <v>1</v>
      </c>
      <c r="NM22">
        <v>0</v>
      </c>
      <c r="NN22">
        <v>0</v>
      </c>
      <c r="NO22">
        <v>1</v>
      </c>
      <c r="NP22">
        <v>0</v>
      </c>
      <c r="NQ22">
        <v>0</v>
      </c>
      <c r="NR22">
        <v>0</v>
      </c>
      <c r="NS22">
        <v>0</v>
      </c>
      <c r="NT22">
        <v>0</v>
      </c>
      <c r="NU22">
        <v>1</v>
      </c>
      <c r="NV22">
        <v>1</v>
      </c>
      <c r="NW22">
        <v>0</v>
      </c>
      <c r="NX22">
        <v>1</v>
      </c>
      <c r="NY22">
        <v>1</v>
      </c>
      <c r="NZ22">
        <v>1</v>
      </c>
      <c r="OA22">
        <v>0</v>
      </c>
      <c r="OB22">
        <v>0</v>
      </c>
      <c r="OC22">
        <v>0</v>
      </c>
      <c r="OD22">
        <v>0</v>
      </c>
      <c r="OE22">
        <v>0</v>
      </c>
      <c r="OF22">
        <v>0</v>
      </c>
      <c r="OG22">
        <v>1</v>
      </c>
      <c r="OH22">
        <v>1</v>
      </c>
      <c r="OI22">
        <v>1</v>
      </c>
      <c r="OJ22">
        <v>1</v>
      </c>
      <c r="OK22">
        <v>1</v>
      </c>
      <c r="OL22">
        <v>0</v>
      </c>
      <c r="OM22">
        <v>1</v>
      </c>
      <c r="ON22">
        <v>0</v>
      </c>
      <c r="OO22">
        <v>1</v>
      </c>
      <c r="OP22">
        <v>0</v>
      </c>
      <c r="OQ22">
        <v>1</v>
      </c>
      <c r="OR22">
        <v>0</v>
      </c>
      <c r="OS22">
        <v>0</v>
      </c>
      <c r="OT22">
        <v>0</v>
      </c>
      <c r="OU22">
        <v>0</v>
      </c>
      <c r="OV22">
        <v>1</v>
      </c>
      <c r="OW22">
        <v>0</v>
      </c>
      <c r="OX22">
        <v>0</v>
      </c>
      <c r="OY22">
        <v>0</v>
      </c>
      <c r="OZ22">
        <v>1</v>
      </c>
      <c r="PA22">
        <v>0</v>
      </c>
      <c r="PB22">
        <v>0</v>
      </c>
      <c r="PC22">
        <v>0</v>
      </c>
      <c r="PD22">
        <v>0</v>
      </c>
      <c r="PE22">
        <v>0</v>
      </c>
      <c r="PF22">
        <v>0</v>
      </c>
      <c r="PG22">
        <v>0</v>
      </c>
      <c r="PH22">
        <v>1</v>
      </c>
      <c r="PI22">
        <v>0</v>
      </c>
      <c r="PJ22">
        <v>0</v>
      </c>
      <c r="PK22">
        <v>0</v>
      </c>
      <c r="PL22">
        <v>0</v>
      </c>
      <c r="PM22">
        <v>0</v>
      </c>
      <c r="PN22">
        <v>0</v>
      </c>
      <c r="PO22">
        <v>0</v>
      </c>
      <c r="PP22">
        <v>0</v>
      </c>
      <c r="PQ22">
        <v>1</v>
      </c>
      <c r="PR22">
        <v>1</v>
      </c>
      <c r="PS22">
        <v>0</v>
      </c>
      <c r="PT22">
        <v>0</v>
      </c>
      <c r="PU22">
        <v>1</v>
      </c>
      <c r="PV22">
        <v>1</v>
      </c>
    </row>
    <row r="23" spans="1:438" x14ac:dyDescent="0.3">
      <c r="A23" s="31">
        <v>58</v>
      </c>
      <c r="B23" s="28">
        <v>3.44</v>
      </c>
      <c r="C23" s="30">
        <v>66.34</v>
      </c>
      <c r="D23" s="28">
        <v>2.4900000000000002</v>
      </c>
      <c r="E23" s="34">
        <f t="shared" si="0"/>
        <v>4.9800000000000004E-2</v>
      </c>
      <c r="F23" s="35">
        <f t="shared" si="1"/>
        <v>16.585000000000001</v>
      </c>
      <c r="G23" s="34">
        <f t="shared" si="2"/>
        <v>62.250000000000007</v>
      </c>
      <c r="H23" s="33">
        <f t="shared" si="3"/>
        <v>31.515988372093023</v>
      </c>
      <c r="I23" s="29">
        <f t="shared" ca="1" si="4"/>
        <v>6</v>
      </c>
      <c r="J23">
        <f ca="1">IF(AND(SUMPRODUCT($J$2:J22,$B$2:B22)&lt;500,SUM(B22,SUMPRODUCT($J$2:J22,$B$2:B22))&lt;500),1,0)</f>
        <v>1</v>
      </c>
      <c r="K23">
        <v>5</v>
      </c>
      <c r="L23">
        <v>1</v>
      </c>
      <c r="W23">
        <v>0</v>
      </c>
      <c r="X23">
        <v>0</v>
      </c>
      <c r="Y23">
        <v>0</v>
      </c>
      <c r="Z23">
        <v>0</v>
      </c>
      <c r="AA23">
        <v>1</v>
      </c>
      <c r="AB23">
        <v>1</v>
      </c>
      <c r="AC23">
        <v>0</v>
      </c>
      <c r="AD23">
        <v>1</v>
      </c>
      <c r="AE23">
        <v>0</v>
      </c>
      <c r="AF23">
        <v>0</v>
      </c>
      <c r="AG23">
        <v>0</v>
      </c>
      <c r="AH23">
        <v>0</v>
      </c>
      <c r="AI23">
        <v>1</v>
      </c>
      <c r="AJ23">
        <v>0</v>
      </c>
      <c r="AK23">
        <v>1</v>
      </c>
      <c r="AL23">
        <v>1</v>
      </c>
      <c r="AM23">
        <v>1</v>
      </c>
      <c r="AN23">
        <v>0</v>
      </c>
      <c r="AO23">
        <v>0</v>
      </c>
      <c r="AP23">
        <v>0</v>
      </c>
      <c r="AQ23">
        <v>0</v>
      </c>
      <c r="AR23">
        <v>1</v>
      </c>
      <c r="AS23">
        <v>1</v>
      </c>
      <c r="AT23">
        <v>1</v>
      </c>
      <c r="AU23">
        <v>0</v>
      </c>
      <c r="AV23">
        <v>0</v>
      </c>
      <c r="AW23">
        <v>0</v>
      </c>
      <c r="AX23">
        <v>0</v>
      </c>
      <c r="AY23">
        <v>1</v>
      </c>
      <c r="AZ23">
        <v>0</v>
      </c>
      <c r="BA23">
        <v>1</v>
      </c>
      <c r="BB23">
        <v>1</v>
      </c>
      <c r="BC23">
        <v>1</v>
      </c>
      <c r="BD23">
        <v>1</v>
      </c>
      <c r="BE23">
        <v>0</v>
      </c>
      <c r="BF23">
        <v>0</v>
      </c>
      <c r="BG23">
        <v>0</v>
      </c>
      <c r="BH23">
        <v>1</v>
      </c>
      <c r="BI23">
        <v>1</v>
      </c>
      <c r="BJ23">
        <v>1</v>
      </c>
      <c r="BK23">
        <v>0</v>
      </c>
      <c r="BL23">
        <v>0</v>
      </c>
      <c r="BM23">
        <v>1</v>
      </c>
      <c r="BN23">
        <v>0</v>
      </c>
      <c r="BO23">
        <v>0</v>
      </c>
      <c r="BP23">
        <v>0</v>
      </c>
      <c r="BQ23">
        <v>0</v>
      </c>
      <c r="BR23">
        <v>1</v>
      </c>
      <c r="BS23">
        <v>0</v>
      </c>
      <c r="BT23">
        <v>0</v>
      </c>
      <c r="BU23">
        <v>1</v>
      </c>
      <c r="BV23">
        <v>1</v>
      </c>
      <c r="BW23">
        <v>1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1</v>
      </c>
      <c r="CG23">
        <v>1</v>
      </c>
      <c r="CH23">
        <v>1</v>
      </c>
      <c r="CI23">
        <v>1</v>
      </c>
      <c r="CJ23">
        <v>1</v>
      </c>
      <c r="CK23">
        <v>0</v>
      </c>
      <c r="CL23">
        <v>1</v>
      </c>
      <c r="CM23">
        <v>1</v>
      </c>
      <c r="CN23">
        <v>1</v>
      </c>
      <c r="CO23">
        <v>1</v>
      </c>
      <c r="CP23">
        <v>0</v>
      </c>
      <c r="CQ23">
        <v>0</v>
      </c>
      <c r="CR23">
        <v>1</v>
      </c>
      <c r="CS23">
        <v>0</v>
      </c>
      <c r="CT23">
        <v>1</v>
      </c>
      <c r="CU23">
        <v>0</v>
      </c>
      <c r="CV23">
        <v>0</v>
      </c>
      <c r="CW23">
        <v>1</v>
      </c>
      <c r="CX23">
        <v>0</v>
      </c>
      <c r="CY23">
        <v>1</v>
      </c>
      <c r="CZ23">
        <v>0</v>
      </c>
      <c r="DA23">
        <v>0</v>
      </c>
      <c r="DB23">
        <v>1</v>
      </c>
      <c r="DC23">
        <v>0</v>
      </c>
      <c r="DD23">
        <v>0</v>
      </c>
      <c r="DE23">
        <v>1</v>
      </c>
      <c r="DF23">
        <v>0</v>
      </c>
      <c r="DG23">
        <v>1</v>
      </c>
      <c r="DH23">
        <v>0</v>
      </c>
      <c r="DI23">
        <v>0</v>
      </c>
      <c r="DJ23">
        <v>0</v>
      </c>
      <c r="DK23">
        <v>1</v>
      </c>
      <c r="DL23">
        <v>1</v>
      </c>
      <c r="DM23">
        <v>0</v>
      </c>
      <c r="DN23">
        <v>1</v>
      </c>
      <c r="DO23">
        <v>0</v>
      </c>
      <c r="DP23">
        <v>1</v>
      </c>
      <c r="DQ23">
        <v>0</v>
      </c>
      <c r="DR23">
        <v>1</v>
      </c>
      <c r="DS23">
        <v>0</v>
      </c>
      <c r="DT23">
        <v>1</v>
      </c>
      <c r="DU23">
        <v>0</v>
      </c>
      <c r="DV23">
        <v>0</v>
      </c>
      <c r="DW23">
        <v>0</v>
      </c>
      <c r="DX23">
        <v>0</v>
      </c>
      <c r="DY23">
        <v>1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1</v>
      </c>
      <c r="EF23">
        <v>0</v>
      </c>
      <c r="EG23">
        <v>1</v>
      </c>
      <c r="EH23">
        <v>0</v>
      </c>
      <c r="EI23">
        <v>1</v>
      </c>
      <c r="EJ23">
        <v>0</v>
      </c>
      <c r="EK23">
        <v>1</v>
      </c>
      <c r="EL23">
        <v>0</v>
      </c>
      <c r="EM23">
        <v>0</v>
      </c>
      <c r="EN23">
        <v>1</v>
      </c>
      <c r="EO23">
        <v>1</v>
      </c>
      <c r="EP23">
        <v>1</v>
      </c>
      <c r="EQ23">
        <v>1</v>
      </c>
      <c r="ER23">
        <v>0</v>
      </c>
      <c r="ES23">
        <v>1</v>
      </c>
      <c r="ET23">
        <v>0</v>
      </c>
      <c r="EU23">
        <v>0</v>
      </c>
      <c r="EV23">
        <v>0</v>
      </c>
      <c r="EW23">
        <v>1</v>
      </c>
      <c r="EX23">
        <v>1</v>
      </c>
      <c r="EY23">
        <v>0</v>
      </c>
      <c r="EZ23">
        <v>0</v>
      </c>
      <c r="FA23">
        <v>0</v>
      </c>
      <c r="FB23">
        <v>0</v>
      </c>
      <c r="FC23">
        <v>1</v>
      </c>
      <c r="FD23">
        <v>0</v>
      </c>
      <c r="FE23">
        <v>1</v>
      </c>
      <c r="FF23">
        <v>0</v>
      </c>
      <c r="FG23">
        <v>1</v>
      </c>
      <c r="FH23">
        <v>1</v>
      </c>
      <c r="FI23">
        <v>0</v>
      </c>
      <c r="FJ23">
        <v>1</v>
      </c>
      <c r="FK23">
        <v>1</v>
      </c>
      <c r="FL23">
        <v>0</v>
      </c>
      <c r="FM23">
        <v>0</v>
      </c>
      <c r="FN23">
        <v>0</v>
      </c>
      <c r="FO23">
        <v>1</v>
      </c>
      <c r="FP23">
        <v>1</v>
      </c>
      <c r="FQ23">
        <v>0</v>
      </c>
      <c r="FR23">
        <v>1</v>
      </c>
      <c r="FS23">
        <v>1</v>
      </c>
      <c r="FT23">
        <v>1</v>
      </c>
      <c r="FU23">
        <v>0</v>
      </c>
      <c r="FV23">
        <v>1</v>
      </c>
      <c r="FW23">
        <v>0</v>
      </c>
      <c r="FX23">
        <v>0</v>
      </c>
      <c r="FY23">
        <v>1</v>
      </c>
      <c r="FZ23">
        <v>0</v>
      </c>
      <c r="GA23">
        <v>1</v>
      </c>
      <c r="GB23">
        <v>1</v>
      </c>
      <c r="GC23">
        <v>0</v>
      </c>
      <c r="GD23">
        <v>1</v>
      </c>
      <c r="GE23">
        <v>1</v>
      </c>
      <c r="GF23">
        <v>0</v>
      </c>
      <c r="GG23">
        <v>0</v>
      </c>
      <c r="GH23">
        <v>0</v>
      </c>
      <c r="GI23">
        <v>0</v>
      </c>
      <c r="GJ23">
        <v>1</v>
      </c>
      <c r="GK23">
        <v>0</v>
      </c>
      <c r="GL23">
        <v>0</v>
      </c>
      <c r="GM23">
        <v>1</v>
      </c>
      <c r="GN23">
        <v>0</v>
      </c>
      <c r="GO23">
        <v>0</v>
      </c>
      <c r="GP23">
        <v>1</v>
      </c>
      <c r="GQ23">
        <v>0</v>
      </c>
      <c r="GR23">
        <v>0</v>
      </c>
      <c r="GS23">
        <v>0</v>
      </c>
      <c r="GT23">
        <v>1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1</v>
      </c>
      <c r="HB23">
        <v>0</v>
      </c>
      <c r="HC23">
        <v>1</v>
      </c>
      <c r="HD23">
        <v>1</v>
      </c>
      <c r="HE23">
        <v>0</v>
      </c>
      <c r="HF23">
        <v>1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1</v>
      </c>
      <c r="HN23">
        <v>0</v>
      </c>
      <c r="HO23">
        <v>1</v>
      </c>
      <c r="HP23">
        <v>0</v>
      </c>
      <c r="HQ23">
        <v>0</v>
      </c>
      <c r="HR23">
        <v>1</v>
      </c>
      <c r="HS23">
        <v>0</v>
      </c>
      <c r="HT23">
        <v>1</v>
      </c>
      <c r="HU23">
        <v>0</v>
      </c>
      <c r="HV23">
        <v>1</v>
      </c>
      <c r="HW23">
        <v>1</v>
      </c>
      <c r="HX23">
        <v>0</v>
      </c>
      <c r="HY23">
        <v>1</v>
      </c>
      <c r="HZ23">
        <v>0</v>
      </c>
      <c r="IA23">
        <v>1</v>
      </c>
      <c r="IB23">
        <v>1</v>
      </c>
      <c r="IC23">
        <v>0</v>
      </c>
      <c r="ID23">
        <v>0</v>
      </c>
      <c r="IE23">
        <v>1</v>
      </c>
      <c r="IF23">
        <v>0</v>
      </c>
      <c r="IG23">
        <v>0</v>
      </c>
      <c r="IH23">
        <v>0</v>
      </c>
      <c r="II23">
        <v>0</v>
      </c>
      <c r="IJ23">
        <v>1</v>
      </c>
      <c r="IK23">
        <v>1</v>
      </c>
      <c r="IL23">
        <v>0</v>
      </c>
      <c r="IM23">
        <v>0</v>
      </c>
      <c r="IN23">
        <v>0</v>
      </c>
      <c r="IO23">
        <v>0</v>
      </c>
      <c r="IP23">
        <v>1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1</v>
      </c>
      <c r="IY23">
        <v>0</v>
      </c>
      <c r="IZ23">
        <v>1</v>
      </c>
      <c r="JA23">
        <v>0</v>
      </c>
      <c r="JB23">
        <v>1</v>
      </c>
      <c r="JC23">
        <v>0</v>
      </c>
      <c r="JD23">
        <v>1</v>
      </c>
      <c r="JE23">
        <v>0</v>
      </c>
      <c r="JF23">
        <v>0</v>
      </c>
      <c r="JG23">
        <v>0</v>
      </c>
      <c r="JH23">
        <v>1</v>
      </c>
      <c r="JI23">
        <v>0</v>
      </c>
      <c r="JJ23">
        <v>0</v>
      </c>
      <c r="JK23">
        <v>1</v>
      </c>
      <c r="JL23">
        <v>0</v>
      </c>
      <c r="JM23">
        <v>1</v>
      </c>
      <c r="JN23">
        <v>0</v>
      </c>
      <c r="JO23">
        <v>0</v>
      </c>
      <c r="JP23">
        <v>1</v>
      </c>
      <c r="JQ23">
        <v>0</v>
      </c>
      <c r="JR23">
        <v>0</v>
      </c>
      <c r="JS23">
        <v>1</v>
      </c>
      <c r="JT23">
        <v>0</v>
      </c>
      <c r="JU23">
        <v>0</v>
      </c>
      <c r="JV23">
        <v>1</v>
      </c>
      <c r="JW23">
        <v>0</v>
      </c>
      <c r="JX23">
        <v>1</v>
      </c>
      <c r="JY23">
        <v>0</v>
      </c>
      <c r="JZ23">
        <v>0</v>
      </c>
      <c r="KA23">
        <v>0</v>
      </c>
      <c r="KB23">
        <v>1</v>
      </c>
      <c r="KC23">
        <v>0</v>
      </c>
      <c r="KD23">
        <v>0</v>
      </c>
      <c r="KE23">
        <v>1</v>
      </c>
      <c r="KF23">
        <v>0</v>
      </c>
      <c r="KG23">
        <v>0</v>
      </c>
      <c r="KH23">
        <v>0</v>
      </c>
      <c r="KI23">
        <v>1</v>
      </c>
      <c r="KJ23">
        <v>0</v>
      </c>
      <c r="KK23">
        <v>0</v>
      </c>
      <c r="KL23">
        <v>1</v>
      </c>
      <c r="KM23">
        <v>1</v>
      </c>
      <c r="KN23">
        <v>0</v>
      </c>
      <c r="KO23">
        <v>0</v>
      </c>
      <c r="KP23">
        <v>0</v>
      </c>
      <c r="KQ23">
        <v>0</v>
      </c>
      <c r="KR23">
        <v>0</v>
      </c>
      <c r="KS23">
        <v>1</v>
      </c>
      <c r="KT23">
        <v>1</v>
      </c>
      <c r="KU23">
        <v>0</v>
      </c>
      <c r="KV23">
        <v>0</v>
      </c>
      <c r="KW23">
        <v>0</v>
      </c>
      <c r="KX23">
        <v>0</v>
      </c>
      <c r="KY23">
        <v>1</v>
      </c>
      <c r="KZ23">
        <v>1</v>
      </c>
      <c r="LA23">
        <v>0</v>
      </c>
      <c r="LB23">
        <v>0</v>
      </c>
      <c r="LC23">
        <v>0</v>
      </c>
      <c r="LD23">
        <v>0</v>
      </c>
      <c r="LE23">
        <v>0</v>
      </c>
      <c r="LF23">
        <v>0</v>
      </c>
      <c r="LG23">
        <v>0</v>
      </c>
      <c r="LH23">
        <v>1</v>
      </c>
      <c r="LI23">
        <v>0</v>
      </c>
      <c r="LJ23">
        <v>1</v>
      </c>
      <c r="LK23">
        <v>1</v>
      </c>
      <c r="LL23">
        <v>1</v>
      </c>
      <c r="LM23">
        <v>1</v>
      </c>
      <c r="LN23">
        <v>0</v>
      </c>
      <c r="LO23">
        <v>1</v>
      </c>
      <c r="LP23">
        <v>0</v>
      </c>
      <c r="LQ23">
        <v>0</v>
      </c>
      <c r="LR23">
        <v>0</v>
      </c>
      <c r="LS23">
        <v>1</v>
      </c>
      <c r="LT23">
        <v>0</v>
      </c>
      <c r="LU23">
        <v>1</v>
      </c>
      <c r="LV23">
        <v>0</v>
      </c>
      <c r="LW23">
        <v>1</v>
      </c>
      <c r="LX23">
        <v>1</v>
      </c>
      <c r="LY23">
        <v>0</v>
      </c>
      <c r="LZ23">
        <v>0</v>
      </c>
      <c r="MA23">
        <v>0</v>
      </c>
      <c r="MB23">
        <v>1</v>
      </c>
      <c r="MC23">
        <v>1</v>
      </c>
      <c r="MD23">
        <v>1</v>
      </c>
      <c r="ME23">
        <v>0</v>
      </c>
      <c r="MF23">
        <v>1</v>
      </c>
      <c r="MG23">
        <v>0</v>
      </c>
      <c r="MH23">
        <v>0</v>
      </c>
      <c r="MI23">
        <v>1</v>
      </c>
      <c r="MJ23">
        <v>0</v>
      </c>
      <c r="MK23">
        <v>0</v>
      </c>
      <c r="ML23">
        <v>0</v>
      </c>
      <c r="MM23">
        <v>1</v>
      </c>
      <c r="MN23">
        <v>1</v>
      </c>
      <c r="MO23">
        <v>0</v>
      </c>
      <c r="MP23">
        <v>0</v>
      </c>
      <c r="MQ23">
        <v>1</v>
      </c>
      <c r="MR23">
        <v>0</v>
      </c>
      <c r="MS23">
        <v>1</v>
      </c>
      <c r="MT23">
        <v>0</v>
      </c>
      <c r="MU23">
        <v>1</v>
      </c>
      <c r="MV23">
        <v>0</v>
      </c>
      <c r="MW23">
        <v>1</v>
      </c>
      <c r="MX23">
        <v>0</v>
      </c>
      <c r="MY23">
        <v>0</v>
      </c>
      <c r="MZ23">
        <v>1</v>
      </c>
      <c r="NA23">
        <v>0</v>
      </c>
      <c r="NB23">
        <v>0</v>
      </c>
      <c r="NC23">
        <v>0</v>
      </c>
      <c r="ND23">
        <v>0</v>
      </c>
      <c r="NE23">
        <v>1</v>
      </c>
      <c r="NF23">
        <v>0</v>
      </c>
      <c r="NG23">
        <v>0</v>
      </c>
      <c r="NH23">
        <v>0</v>
      </c>
      <c r="NI23">
        <v>1</v>
      </c>
      <c r="NJ23">
        <v>0</v>
      </c>
      <c r="NK23">
        <v>1</v>
      </c>
      <c r="NL23">
        <v>1</v>
      </c>
      <c r="NM23">
        <v>0</v>
      </c>
      <c r="NN23">
        <v>1</v>
      </c>
      <c r="NO23">
        <v>1</v>
      </c>
      <c r="NP23">
        <v>1</v>
      </c>
      <c r="NQ23">
        <v>0</v>
      </c>
      <c r="NR23">
        <v>0</v>
      </c>
      <c r="NS23">
        <v>0</v>
      </c>
      <c r="NT23">
        <v>0</v>
      </c>
      <c r="NU23">
        <v>0</v>
      </c>
      <c r="NV23">
        <v>0</v>
      </c>
      <c r="NW23">
        <v>1</v>
      </c>
      <c r="NX23">
        <v>1</v>
      </c>
      <c r="NY23">
        <v>0</v>
      </c>
      <c r="NZ23">
        <v>0</v>
      </c>
      <c r="OA23">
        <v>0</v>
      </c>
      <c r="OB23">
        <v>0</v>
      </c>
      <c r="OC23">
        <v>0</v>
      </c>
      <c r="OD23">
        <v>0</v>
      </c>
      <c r="OE23">
        <v>0</v>
      </c>
      <c r="OF23">
        <v>1</v>
      </c>
      <c r="OG23">
        <v>1</v>
      </c>
      <c r="OH23">
        <v>1</v>
      </c>
      <c r="OI23">
        <v>1</v>
      </c>
      <c r="OJ23">
        <v>1</v>
      </c>
      <c r="OK23">
        <v>1</v>
      </c>
      <c r="OL23">
        <v>0</v>
      </c>
      <c r="OM23">
        <v>1</v>
      </c>
      <c r="ON23">
        <v>0</v>
      </c>
      <c r="OO23">
        <v>0</v>
      </c>
      <c r="OP23">
        <v>1</v>
      </c>
      <c r="OQ23">
        <v>1</v>
      </c>
      <c r="OR23">
        <v>0</v>
      </c>
      <c r="OS23">
        <v>1</v>
      </c>
      <c r="OT23">
        <v>0</v>
      </c>
      <c r="OU23">
        <v>0</v>
      </c>
      <c r="OV23">
        <v>1</v>
      </c>
      <c r="OW23">
        <v>1</v>
      </c>
      <c r="OX23">
        <v>0</v>
      </c>
      <c r="OY23">
        <v>0</v>
      </c>
      <c r="OZ23">
        <v>1</v>
      </c>
      <c r="PA23">
        <v>0</v>
      </c>
      <c r="PB23">
        <v>0</v>
      </c>
      <c r="PC23">
        <v>0</v>
      </c>
      <c r="PD23">
        <v>0</v>
      </c>
      <c r="PE23">
        <v>0</v>
      </c>
      <c r="PF23">
        <v>0</v>
      </c>
      <c r="PG23">
        <v>0</v>
      </c>
      <c r="PH23">
        <v>0</v>
      </c>
      <c r="PI23">
        <v>0</v>
      </c>
      <c r="PJ23">
        <v>1</v>
      </c>
      <c r="PK23">
        <v>1</v>
      </c>
      <c r="PL23">
        <v>0</v>
      </c>
      <c r="PM23">
        <v>0</v>
      </c>
      <c r="PN23">
        <v>0</v>
      </c>
      <c r="PO23">
        <v>0</v>
      </c>
      <c r="PP23">
        <v>0</v>
      </c>
      <c r="PQ23">
        <v>0</v>
      </c>
      <c r="PR23">
        <v>0</v>
      </c>
      <c r="PS23">
        <v>0</v>
      </c>
      <c r="PT23">
        <v>1</v>
      </c>
      <c r="PU23">
        <v>0</v>
      </c>
      <c r="PV23">
        <v>1</v>
      </c>
    </row>
    <row r="24" spans="1:438" x14ac:dyDescent="0.3">
      <c r="A24" s="31">
        <v>61</v>
      </c>
      <c r="B24" s="28">
        <v>5</v>
      </c>
      <c r="C24" s="30">
        <v>57.37</v>
      </c>
      <c r="D24" s="28">
        <v>3.02</v>
      </c>
      <c r="E24" s="34">
        <f t="shared" si="0"/>
        <v>6.0400000000000002E-2</v>
      </c>
      <c r="F24" s="35">
        <f t="shared" si="1"/>
        <v>14.342499999999999</v>
      </c>
      <c r="G24" s="34">
        <f t="shared" si="2"/>
        <v>75.5</v>
      </c>
      <c r="H24" s="33">
        <f t="shared" si="3"/>
        <v>27.131499999999999</v>
      </c>
      <c r="I24" s="29">
        <f t="shared" ca="1" si="4"/>
        <v>4</v>
      </c>
      <c r="J24">
        <f ca="1">IF(AND(SUMPRODUCT($J$2:J23,$B$2:B23)&lt;500,SUM(B23,SUMPRODUCT($J$2:J23,$B$2:B23))&lt;500),1,0)</f>
        <v>1</v>
      </c>
      <c r="K24">
        <v>6</v>
      </c>
      <c r="L24">
        <v>1</v>
      </c>
      <c r="W24">
        <v>1</v>
      </c>
      <c r="X24">
        <v>1</v>
      </c>
      <c r="Y24">
        <v>1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1</v>
      </c>
      <c r="AL24">
        <v>1</v>
      </c>
      <c r="AM24">
        <v>1</v>
      </c>
      <c r="AN24">
        <v>0</v>
      </c>
      <c r="AO24">
        <v>1</v>
      </c>
      <c r="AP24">
        <v>0</v>
      </c>
      <c r="AQ24">
        <v>0</v>
      </c>
      <c r="AR24">
        <v>1</v>
      </c>
      <c r="AS24">
        <v>1</v>
      </c>
      <c r="AT24">
        <v>1</v>
      </c>
      <c r="AU24">
        <v>0</v>
      </c>
      <c r="AV24">
        <v>0</v>
      </c>
      <c r="AW24">
        <v>0</v>
      </c>
      <c r="AX24">
        <v>0</v>
      </c>
      <c r="AY24">
        <v>1</v>
      </c>
      <c r="AZ24">
        <v>1</v>
      </c>
      <c r="BA24">
        <v>0</v>
      </c>
      <c r="BB24">
        <v>0</v>
      </c>
      <c r="BC24">
        <v>1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1</v>
      </c>
      <c r="BO24">
        <v>1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1</v>
      </c>
      <c r="BV24">
        <v>0</v>
      </c>
      <c r="BW24">
        <v>0</v>
      </c>
      <c r="BX24">
        <v>0</v>
      </c>
      <c r="BY24">
        <v>0</v>
      </c>
      <c r="BZ24">
        <v>1</v>
      </c>
      <c r="CA24">
        <v>1</v>
      </c>
      <c r="CB24">
        <v>1</v>
      </c>
      <c r="CC24">
        <v>0</v>
      </c>
      <c r="CD24">
        <v>0</v>
      </c>
      <c r="CE24">
        <v>0</v>
      </c>
      <c r="CF24">
        <v>1</v>
      </c>
      <c r="CG24">
        <v>0</v>
      </c>
      <c r="CH24">
        <v>0</v>
      </c>
      <c r="CI24">
        <v>1</v>
      </c>
      <c r="CJ24">
        <v>0</v>
      </c>
      <c r="CK24">
        <v>0</v>
      </c>
      <c r="CL24">
        <v>1</v>
      </c>
      <c r="CM24">
        <v>1</v>
      </c>
      <c r="CN24">
        <v>1</v>
      </c>
      <c r="CO24">
        <v>0</v>
      </c>
      <c r="CP24">
        <v>0</v>
      </c>
      <c r="CQ24">
        <v>0</v>
      </c>
      <c r="CR24">
        <v>1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1</v>
      </c>
      <c r="CY24">
        <v>0</v>
      </c>
      <c r="CZ24">
        <v>0</v>
      </c>
      <c r="DA24">
        <v>0</v>
      </c>
      <c r="DB24">
        <v>1</v>
      </c>
      <c r="DC24">
        <v>0</v>
      </c>
      <c r="DD24">
        <v>0</v>
      </c>
      <c r="DE24">
        <v>1</v>
      </c>
      <c r="DF24">
        <v>1</v>
      </c>
      <c r="DG24">
        <v>1</v>
      </c>
      <c r="DH24">
        <v>0</v>
      </c>
      <c r="DI24">
        <v>0</v>
      </c>
      <c r="DJ24">
        <v>0</v>
      </c>
      <c r="DK24">
        <v>1</v>
      </c>
      <c r="DL24">
        <v>0</v>
      </c>
      <c r="DM24">
        <v>1</v>
      </c>
      <c r="DN24">
        <v>0</v>
      </c>
      <c r="DO24">
        <v>1</v>
      </c>
      <c r="DP24">
        <v>1</v>
      </c>
      <c r="DQ24">
        <v>0</v>
      </c>
      <c r="DR24">
        <v>0</v>
      </c>
      <c r="DS24">
        <v>1</v>
      </c>
      <c r="DT24">
        <v>1</v>
      </c>
      <c r="DU24">
        <v>0</v>
      </c>
      <c r="DV24">
        <v>1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1</v>
      </c>
      <c r="EC24">
        <v>0</v>
      </c>
      <c r="ED24">
        <v>0</v>
      </c>
      <c r="EE24">
        <v>1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1</v>
      </c>
      <c r="EL24">
        <v>0</v>
      </c>
      <c r="EM24">
        <v>1</v>
      </c>
      <c r="EN24">
        <v>0</v>
      </c>
      <c r="EO24">
        <v>1</v>
      </c>
      <c r="EP24">
        <v>1</v>
      </c>
      <c r="EQ24">
        <v>1</v>
      </c>
      <c r="ER24">
        <v>0</v>
      </c>
      <c r="ES24">
        <v>1</v>
      </c>
      <c r="ET24">
        <v>0</v>
      </c>
      <c r="EU24">
        <v>0</v>
      </c>
      <c r="EV24">
        <v>0</v>
      </c>
      <c r="EW24">
        <v>1</v>
      </c>
      <c r="EX24">
        <v>0</v>
      </c>
      <c r="EY24">
        <v>0</v>
      </c>
      <c r="EZ24">
        <v>0</v>
      </c>
      <c r="FA24">
        <v>0</v>
      </c>
      <c r="FB24">
        <v>1</v>
      </c>
      <c r="FC24">
        <v>0</v>
      </c>
      <c r="FD24">
        <v>0</v>
      </c>
      <c r="FE24">
        <v>0</v>
      </c>
      <c r="FF24">
        <v>1</v>
      </c>
      <c r="FG24">
        <v>0</v>
      </c>
      <c r="FH24">
        <v>1</v>
      </c>
      <c r="FI24">
        <v>1</v>
      </c>
      <c r="FJ24">
        <v>1</v>
      </c>
      <c r="FK24">
        <v>0</v>
      </c>
      <c r="FL24">
        <v>0</v>
      </c>
      <c r="FM24">
        <v>1</v>
      </c>
      <c r="FN24">
        <v>0</v>
      </c>
      <c r="FO24">
        <v>1</v>
      </c>
      <c r="FP24">
        <v>1</v>
      </c>
      <c r="FQ24">
        <v>1</v>
      </c>
      <c r="FR24">
        <v>0</v>
      </c>
      <c r="FS24">
        <v>0</v>
      </c>
      <c r="FT24">
        <v>0</v>
      </c>
      <c r="FU24">
        <v>0</v>
      </c>
      <c r="FV24">
        <v>1</v>
      </c>
      <c r="FW24">
        <v>0</v>
      </c>
      <c r="FX24">
        <v>0</v>
      </c>
      <c r="FY24">
        <v>1</v>
      </c>
      <c r="FZ24">
        <v>0</v>
      </c>
      <c r="GA24">
        <v>1</v>
      </c>
      <c r="GB24">
        <v>0</v>
      </c>
      <c r="GC24">
        <v>0</v>
      </c>
      <c r="GD24">
        <v>1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1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1</v>
      </c>
      <c r="GQ24">
        <v>1</v>
      </c>
      <c r="GR24">
        <v>0</v>
      </c>
      <c r="GS24">
        <v>1</v>
      </c>
      <c r="GT24">
        <v>1</v>
      </c>
      <c r="GU24">
        <v>0</v>
      </c>
      <c r="GV24">
        <v>0</v>
      </c>
      <c r="GW24">
        <v>1</v>
      </c>
      <c r="GX24">
        <v>1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1</v>
      </c>
      <c r="HE24">
        <v>1</v>
      </c>
      <c r="HF24">
        <v>1</v>
      </c>
      <c r="HG24">
        <v>0</v>
      </c>
      <c r="HH24">
        <v>0</v>
      </c>
      <c r="HI24">
        <v>0</v>
      </c>
      <c r="HJ24">
        <v>1</v>
      </c>
      <c r="HK24">
        <v>0</v>
      </c>
      <c r="HL24">
        <v>0</v>
      </c>
      <c r="HM24">
        <v>1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1</v>
      </c>
      <c r="HT24">
        <v>0</v>
      </c>
      <c r="HU24">
        <v>1</v>
      </c>
      <c r="HV24">
        <v>1</v>
      </c>
      <c r="HW24">
        <v>1</v>
      </c>
      <c r="HX24">
        <v>0</v>
      </c>
      <c r="HY24">
        <v>1</v>
      </c>
      <c r="HZ24">
        <v>0</v>
      </c>
      <c r="IA24">
        <v>0</v>
      </c>
      <c r="IB24">
        <v>0</v>
      </c>
      <c r="IC24">
        <v>0</v>
      </c>
      <c r="ID24">
        <v>1</v>
      </c>
      <c r="IE24">
        <v>0</v>
      </c>
      <c r="IF24">
        <v>1</v>
      </c>
      <c r="IG24">
        <v>0</v>
      </c>
      <c r="IH24">
        <v>0</v>
      </c>
      <c r="II24">
        <v>0</v>
      </c>
      <c r="IJ24">
        <v>1</v>
      </c>
      <c r="IK24">
        <v>0</v>
      </c>
      <c r="IL24">
        <v>1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1</v>
      </c>
      <c r="IS24">
        <v>1</v>
      </c>
      <c r="IT24">
        <v>0</v>
      </c>
      <c r="IU24">
        <v>1</v>
      </c>
      <c r="IV24">
        <v>0</v>
      </c>
      <c r="IW24">
        <v>0</v>
      </c>
      <c r="IX24">
        <v>1</v>
      </c>
      <c r="IY24">
        <v>1</v>
      </c>
      <c r="IZ24">
        <v>1</v>
      </c>
      <c r="JA24">
        <v>1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1</v>
      </c>
      <c r="JH24">
        <v>0</v>
      </c>
      <c r="JI24">
        <v>0</v>
      </c>
      <c r="JJ24">
        <v>0</v>
      </c>
      <c r="JK24">
        <v>1</v>
      </c>
      <c r="JL24">
        <v>0</v>
      </c>
      <c r="JM24">
        <v>0</v>
      </c>
      <c r="JN24">
        <v>1</v>
      </c>
      <c r="JO24">
        <v>0</v>
      </c>
      <c r="JP24">
        <v>1</v>
      </c>
      <c r="JQ24">
        <v>0</v>
      </c>
      <c r="JR24">
        <v>0</v>
      </c>
      <c r="JS24">
        <v>1</v>
      </c>
      <c r="JT24">
        <v>0</v>
      </c>
      <c r="JU24">
        <v>0</v>
      </c>
      <c r="JV24">
        <v>1</v>
      </c>
      <c r="JW24">
        <v>1</v>
      </c>
      <c r="JX24">
        <v>1</v>
      </c>
      <c r="JY24">
        <v>0</v>
      </c>
      <c r="JZ24">
        <v>0</v>
      </c>
      <c r="KA24">
        <v>0</v>
      </c>
      <c r="KB24">
        <v>0</v>
      </c>
      <c r="KC24">
        <v>1</v>
      </c>
      <c r="KD24">
        <v>0</v>
      </c>
      <c r="KE24">
        <v>0</v>
      </c>
      <c r="KF24">
        <v>0</v>
      </c>
      <c r="KG24">
        <v>0</v>
      </c>
      <c r="KH24">
        <v>1</v>
      </c>
      <c r="KI24">
        <v>1</v>
      </c>
      <c r="KJ24">
        <v>1</v>
      </c>
      <c r="KK24">
        <v>1</v>
      </c>
      <c r="KL24">
        <v>0</v>
      </c>
      <c r="KM24">
        <v>1</v>
      </c>
      <c r="KN24">
        <v>0</v>
      </c>
      <c r="KO24">
        <v>0</v>
      </c>
      <c r="KP24">
        <v>1</v>
      </c>
      <c r="KQ24">
        <v>0</v>
      </c>
      <c r="KR24">
        <v>1</v>
      </c>
      <c r="KS24">
        <v>1</v>
      </c>
      <c r="KT24">
        <v>0</v>
      </c>
      <c r="KU24">
        <v>0</v>
      </c>
      <c r="KV24">
        <v>0</v>
      </c>
      <c r="KW24">
        <v>0</v>
      </c>
      <c r="KX24">
        <v>1</v>
      </c>
      <c r="KY24">
        <v>1</v>
      </c>
      <c r="KZ24">
        <v>1</v>
      </c>
      <c r="LA24">
        <v>0</v>
      </c>
      <c r="LB24">
        <v>0</v>
      </c>
      <c r="LC24">
        <v>0</v>
      </c>
      <c r="LD24">
        <v>1</v>
      </c>
      <c r="LE24">
        <v>1</v>
      </c>
      <c r="LF24">
        <v>0</v>
      </c>
      <c r="LG24">
        <v>0</v>
      </c>
      <c r="LH24">
        <v>0</v>
      </c>
      <c r="LI24">
        <v>0</v>
      </c>
      <c r="LJ24">
        <v>0</v>
      </c>
      <c r="LK24">
        <v>0</v>
      </c>
      <c r="LL24">
        <v>1</v>
      </c>
      <c r="LM24">
        <v>0</v>
      </c>
      <c r="LN24">
        <v>1</v>
      </c>
      <c r="LO24">
        <v>0</v>
      </c>
      <c r="LP24">
        <v>1</v>
      </c>
      <c r="LQ24">
        <v>1</v>
      </c>
      <c r="LR24">
        <v>0</v>
      </c>
      <c r="LS24">
        <v>1</v>
      </c>
      <c r="LT24">
        <v>0</v>
      </c>
      <c r="LU24">
        <v>1</v>
      </c>
      <c r="LV24">
        <v>0</v>
      </c>
      <c r="LW24">
        <v>1</v>
      </c>
      <c r="LX24">
        <v>1</v>
      </c>
      <c r="LY24">
        <v>0</v>
      </c>
      <c r="LZ24">
        <v>1</v>
      </c>
      <c r="MA24">
        <v>1</v>
      </c>
      <c r="MB24">
        <v>1</v>
      </c>
      <c r="MC24">
        <v>1</v>
      </c>
      <c r="MD24">
        <v>0</v>
      </c>
      <c r="ME24">
        <v>0</v>
      </c>
      <c r="MF24">
        <v>0</v>
      </c>
      <c r="MG24">
        <v>1</v>
      </c>
      <c r="MH24">
        <v>0</v>
      </c>
      <c r="MI24">
        <v>1</v>
      </c>
      <c r="MJ24">
        <v>1</v>
      </c>
      <c r="MK24">
        <v>0</v>
      </c>
      <c r="ML24">
        <v>0</v>
      </c>
      <c r="MM24">
        <v>1</v>
      </c>
      <c r="MN24">
        <v>1</v>
      </c>
      <c r="MO24">
        <v>1</v>
      </c>
      <c r="MP24">
        <v>0</v>
      </c>
      <c r="MQ24">
        <v>1</v>
      </c>
      <c r="MR24">
        <v>0</v>
      </c>
      <c r="MS24">
        <v>0</v>
      </c>
      <c r="MT24">
        <v>1</v>
      </c>
      <c r="MU24">
        <v>0</v>
      </c>
      <c r="MV24">
        <v>1</v>
      </c>
      <c r="MW24">
        <v>0</v>
      </c>
      <c r="MX24">
        <v>0</v>
      </c>
      <c r="MY24">
        <v>1</v>
      </c>
      <c r="MZ24">
        <v>1</v>
      </c>
      <c r="NA24">
        <v>0</v>
      </c>
      <c r="NB24">
        <v>1</v>
      </c>
      <c r="NC24">
        <v>0</v>
      </c>
      <c r="ND24">
        <v>1</v>
      </c>
      <c r="NE24">
        <v>0</v>
      </c>
      <c r="NF24">
        <v>1</v>
      </c>
      <c r="NG24">
        <v>0</v>
      </c>
      <c r="NH24">
        <v>0</v>
      </c>
      <c r="NI24">
        <v>0</v>
      </c>
      <c r="NJ24">
        <v>1</v>
      </c>
      <c r="NK24">
        <v>0</v>
      </c>
      <c r="NL24">
        <v>1</v>
      </c>
      <c r="NM24">
        <v>0</v>
      </c>
      <c r="NN24">
        <v>0</v>
      </c>
      <c r="NO24">
        <v>1</v>
      </c>
      <c r="NP24">
        <v>0</v>
      </c>
      <c r="NQ24">
        <v>0</v>
      </c>
      <c r="NR24">
        <v>0</v>
      </c>
      <c r="NS24">
        <v>0</v>
      </c>
      <c r="NT24">
        <v>0</v>
      </c>
      <c r="NU24">
        <v>0</v>
      </c>
      <c r="NV24">
        <v>1</v>
      </c>
      <c r="NW24">
        <v>0</v>
      </c>
      <c r="NX24">
        <v>1</v>
      </c>
      <c r="NY24">
        <v>1</v>
      </c>
      <c r="NZ24">
        <v>0</v>
      </c>
      <c r="OA24">
        <v>0</v>
      </c>
      <c r="OB24">
        <v>0</v>
      </c>
      <c r="OC24">
        <v>0</v>
      </c>
      <c r="OD24">
        <v>0</v>
      </c>
      <c r="OE24">
        <v>0</v>
      </c>
      <c r="OF24">
        <v>1</v>
      </c>
      <c r="OG24">
        <v>1</v>
      </c>
      <c r="OH24">
        <v>1</v>
      </c>
      <c r="OI24">
        <v>0</v>
      </c>
      <c r="OJ24">
        <v>1</v>
      </c>
      <c r="OK24">
        <v>1</v>
      </c>
      <c r="OL24">
        <v>0</v>
      </c>
      <c r="OM24">
        <v>1</v>
      </c>
      <c r="ON24">
        <v>0</v>
      </c>
      <c r="OO24">
        <v>0</v>
      </c>
      <c r="OP24">
        <v>1</v>
      </c>
      <c r="OQ24">
        <v>1</v>
      </c>
      <c r="OR24">
        <v>0</v>
      </c>
      <c r="OS24">
        <v>1</v>
      </c>
      <c r="OT24">
        <v>0</v>
      </c>
      <c r="OU24">
        <v>0</v>
      </c>
      <c r="OV24">
        <v>1</v>
      </c>
      <c r="OW24">
        <v>0</v>
      </c>
      <c r="OX24">
        <v>0</v>
      </c>
      <c r="OY24">
        <v>1</v>
      </c>
      <c r="OZ24">
        <v>0</v>
      </c>
      <c r="PA24">
        <v>0</v>
      </c>
      <c r="PB24">
        <v>1</v>
      </c>
      <c r="PC24">
        <v>0</v>
      </c>
      <c r="PD24">
        <v>0</v>
      </c>
      <c r="PE24">
        <v>0</v>
      </c>
      <c r="PF24">
        <v>0</v>
      </c>
      <c r="PG24">
        <v>0</v>
      </c>
      <c r="PH24">
        <v>0</v>
      </c>
      <c r="PI24">
        <v>0</v>
      </c>
      <c r="PJ24">
        <v>0</v>
      </c>
      <c r="PK24">
        <v>0</v>
      </c>
      <c r="PL24">
        <v>0</v>
      </c>
      <c r="PM24">
        <v>0</v>
      </c>
      <c r="PN24">
        <v>0</v>
      </c>
      <c r="PO24">
        <v>0</v>
      </c>
      <c r="PP24">
        <v>0</v>
      </c>
      <c r="PQ24">
        <v>1</v>
      </c>
      <c r="PR24">
        <v>1</v>
      </c>
      <c r="PS24">
        <v>0</v>
      </c>
      <c r="PT24">
        <v>0</v>
      </c>
      <c r="PU24">
        <v>1</v>
      </c>
      <c r="PV24">
        <v>1</v>
      </c>
    </row>
    <row r="25" spans="1:438" x14ac:dyDescent="0.3">
      <c r="A25" s="31">
        <v>63</v>
      </c>
      <c r="B25" s="28">
        <v>4.33</v>
      </c>
      <c r="C25" s="30">
        <v>6.55</v>
      </c>
      <c r="D25" s="28">
        <v>1.25</v>
      </c>
      <c r="E25" s="34">
        <f t="shared" si="0"/>
        <v>2.5000000000000001E-2</v>
      </c>
      <c r="F25" s="35">
        <f t="shared" si="1"/>
        <v>1.6375</v>
      </c>
      <c r="G25" s="34">
        <f t="shared" si="2"/>
        <v>31.25</v>
      </c>
      <c r="H25" s="33">
        <f t="shared" si="3"/>
        <v>5.3954965357967666</v>
      </c>
      <c r="I25" s="29">
        <f t="shared" ca="1" si="4"/>
        <v>0</v>
      </c>
      <c r="J25">
        <f ca="1">IF(AND(SUMPRODUCT($J$2:J24,$B$2:B24)&lt;500,SUM(B24,SUMPRODUCT($J$2:J24,$B$2:B24))&lt;500),1,0)</f>
        <v>0</v>
      </c>
      <c r="K25">
        <v>1</v>
      </c>
      <c r="L25">
        <v>0</v>
      </c>
      <c r="W25">
        <v>0</v>
      </c>
      <c r="X25">
        <v>0</v>
      </c>
      <c r="Y25">
        <v>0</v>
      </c>
      <c r="Z25">
        <v>0</v>
      </c>
      <c r="AA25">
        <v>1</v>
      </c>
      <c r="AB25">
        <v>0</v>
      </c>
      <c r="AC25">
        <v>1</v>
      </c>
      <c r="AD25">
        <v>0</v>
      </c>
      <c r="AE25">
        <v>0</v>
      </c>
      <c r="AF25">
        <v>0</v>
      </c>
      <c r="AG25">
        <v>0</v>
      </c>
      <c r="AH25">
        <v>1</v>
      </c>
      <c r="AI25">
        <v>0</v>
      </c>
      <c r="AJ25">
        <v>0</v>
      </c>
      <c r="AK25">
        <v>0</v>
      </c>
      <c r="AL25">
        <v>0</v>
      </c>
      <c r="AM25">
        <v>1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1</v>
      </c>
      <c r="AU25">
        <v>1</v>
      </c>
      <c r="AV25">
        <v>1</v>
      </c>
      <c r="AW25">
        <v>0</v>
      </c>
      <c r="AX25">
        <v>0</v>
      </c>
      <c r="AY25">
        <v>0</v>
      </c>
      <c r="AZ25">
        <v>1</v>
      </c>
      <c r="BA25">
        <v>1</v>
      </c>
      <c r="BB25">
        <v>1</v>
      </c>
      <c r="BC25">
        <v>0</v>
      </c>
      <c r="BD25">
        <v>1</v>
      </c>
      <c r="BE25">
        <v>0</v>
      </c>
      <c r="BF25">
        <v>1</v>
      </c>
      <c r="BG25">
        <v>1</v>
      </c>
      <c r="BH25">
        <v>1</v>
      </c>
      <c r="BI25">
        <v>0</v>
      </c>
      <c r="BJ25">
        <v>1</v>
      </c>
      <c r="BK25">
        <v>1</v>
      </c>
      <c r="BL25">
        <v>1</v>
      </c>
      <c r="BM25">
        <v>1</v>
      </c>
      <c r="BN25">
        <v>0</v>
      </c>
      <c r="BO25">
        <v>1</v>
      </c>
      <c r="BP25">
        <v>0</v>
      </c>
      <c r="BQ25">
        <v>0</v>
      </c>
      <c r="BR25">
        <v>1</v>
      </c>
      <c r="BS25">
        <v>0</v>
      </c>
      <c r="BT25">
        <v>0</v>
      </c>
      <c r="BU25">
        <v>1</v>
      </c>
      <c r="BV25">
        <v>0</v>
      </c>
      <c r="BW25">
        <v>1</v>
      </c>
      <c r="BX25">
        <v>0</v>
      </c>
      <c r="BY25">
        <v>0</v>
      </c>
      <c r="BZ25">
        <v>1</v>
      </c>
      <c r="CA25">
        <v>0</v>
      </c>
      <c r="CB25">
        <v>1</v>
      </c>
      <c r="CC25">
        <v>0</v>
      </c>
      <c r="CD25">
        <v>1</v>
      </c>
      <c r="CE25">
        <v>0</v>
      </c>
      <c r="CF25">
        <v>1</v>
      </c>
      <c r="CG25">
        <v>0</v>
      </c>
      <c r="CH25">
        <v>1</v>
      </c>
      <c r="CI25">
        <v>1</v>
      </c>
      <c r="CJ25">
        <v>0</v>
      </c>
      <c r="CK25">
        <v>0</v>
      </c>
      <c r="CL25">
        <v>1</v>
      </c>
      <c r="CM25">
        <v>1</v>
      </c>
      <c r="CN25">
        <v>1</v>
      </c>
      <c r="CO25">
        <v>0</v>
      </c>
      <c r="CP25">
        <v>0</v>
      </c>
      <c r="CQ25">
        <v>0</v>
      </c>
      <c r="CR25">
        <v>1</v>
      </c>
      <c r="CS25">
        <v>0</v>
      </c>
      <c r="CT25">
        <v>0</v>
      </c>
      <c r="CU25">
        <v>1</v>
      </c>
      <c r="CV25">
        <v>0</v>
      </c>
      <c r="CW25">
        <v>1</v>
      </c>
      <c r="CX25">
        <v>1</v>
      </c>
      <c r="CY25">
        <v>0</v>
      </c>
      <c r="CZ25">
        <v>0</v>
      </c>
      <c r="DA25">
        <v>0</v>
      </c>
      <c r="DB25">
        <v>1</v>
      </c>
      <c r="DC25">
        <v>1</v>
      </c>
      <c r="DD25">
        <v>1</v>
      </c>
      <c r="DE25">
        <v>0</v>
      </c>
      <c r="DF25">
        <v>1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1</v>
      </c>
      <c r="DQ25">
        <v>0</v>
      </c>
      <c r="DR25">
        <v>0</v>
      </c>
      <c r="DS25">
        <v>1</v>
      </c>
      <c r="DT25">
        <v>1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1</v>
      </c>
      <c r="EC25">
        <v>1</v>
      </c>
      <c r="ED25">
        <v>1</v>
      </c>
      <c r="EE25">
        <v>1</v>
      </c>
      <c r="EF25">
        <v>0</v>
      </c>
      <c r="EG25">
        <v>1</v>
      </c>
      <c r="EH25">
        <v>0</v>
      </c>
      <c r="EI25">
        <v>0</v>
      </c>
      <c r="EJ25">
        <v>0</v>
      </c>
      <c r="EK25">
        <v>1</v>
      </c>
      <c r="EL25">
        <v>0</v>
      </c>
      <c r="EM25">
        <v>1</v>
      </c>
      <c r="EN25">
        <v>1</v>
      </c>
      <c r="EO25">
        <v>0</v>
      </c>
      <c r="EP25">
        <v>1</v>
      </c>
      <c r="EQ25">
        <v>0</v>
      </c>
      <c r="ER25">
        <v>0</v>
      </c>
      <c r="ES25">
        <v>1</v>
      </c>
      <c r="ET25">
        <v>0</v>
      </c>
      <c r="EU25">
        <v>1</v>
      </c>
      <c r="EV25">
        <v>0</v>
      </c>
      <c r="EW25">
        <v>0</v>
      </c>
      <c r="EX25">
        <v>0</v>
      </c>
      <c r="EY25">
        <v>1</v>
      </c>
      <c r="EZ25">
        <v>0</v>
      </c>
      <c r="FA25">
        <v>0</v>
      </c>
      <c r="FB25">
        <v>0</v>
      </c>
      <c r="FC25">
        <v>1</v>
      </c>
      <c r="FD25">
        <v>0</v>
      </c>
      <c r="FE25">
        <v>0</v>
      </c>
      <c r="FF25">
        <v>0</v>
      </c>
      <c r="FG25">
        <v>1</v>
      </c>
      <c r="FH25">
        <v>0</v>
      </c>
      <c r="FI25">
        <v>0</v>
      </c>
      <c r="FJ25">
        <v>1</v>
      </c>
      <c r="FK25">
        <v>0</v>
      </c>
      <c r="FL25">
        <v>1</v>
      </c>
      <c r="FM25">
        <v>1</v>
      </c>
      <c r="FN25">
        <v>0</v>
      </c>
      <c r="FO25">
        <v>1</v>
      </c>
      <c r="FP25">
        <v>0</v>
      </c>
      <c r="FQ25">
        <v>0</v>
      </c>
      <c r="FR25">
        <v>0</v>
      </c>
      <c r="FS25">
        <v>1</v>
      </c>
      <c r="FT25">
        <v>1</v>
      </c>
      <c r="FU25">
        <v>0</v>
      </c>
      <c r="FV25">
        <v>1</v>
      </c>
      <c r="FW25">
        <v>0</v>
      </c>
      <c r="FX25">
        <v>0</v>
      </c>
      <c r="FY25">
        <v>1</v>
      </c>
      <c r="FZ25">
        <v>0</v>
      </c>
      <c r="GA25">
        <v>1</v>
      </c>
      <c r="GB25">
        <v>1</v>
      </c>
      <c r="GC25">
        <v>0</v>
      </c>
      <c r="GD25">
        <v>0</v>
      </c>
      <c r="GE25">
        <v>1</v>
      </c>
      <c r="GF25">
        <v>0</v>
      </c>
      <c r="GG25">
        <v>0</v>
      </c>
      <c r="GH25">
        <v>0</v>
      </c>
      <c r="GI25">
        <v>0</v>
      </c>
      <c r="GJ25">
        <v>1</v>
      </c>
      <c r="GK25">
        <v>1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1</v>
      </c>
      <c r="GT25">
        <v>0</v>
      </c>
      <c r="GU25">
        <v>0</v>
      </c>
      <c r="GV25">
        <v>0</v>
      </c>
      <c r="GW25">
        <v>1</v>
      </c>
      <c r="GX25">
        <v>0</v>
      </c>
      <c r="GY25">
        <v>1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1</v>
      </c>
      <c r="HG25">
        <v>0</v>
      </c>
      <c r="HH25">
        <v>0</v>
      </c>
      <c r="HI25">
        <v>1</v>
      </c>
      <c r="HJ25">
        <v>1</v>
      </c>
      <c r="HK25">
        <v>0</v>
      </c>
      <c r="HL25">
        <v>1</v>
      </c>
      <c r="HM25">
        <v>1</v>
      </c>
      <c r="HN25">
        <v>0</v>
      </c>
      <c r="HO25">
        <v>1</v>
      </c>
      <c r="HP25">
        <v>0</v>
      </c>
      <c r="HQ25">
        <v>1</v>
      </c>
      <c r="HR25">
        <v>0</v>
      </c>
      <c r="HS25">
        <v>1</v>
      </c>
      <c r="HT25">
        <v>0</v>
      </c>
      <c r="HU25">
        <v>1</v>
      </c>
      <c r="HV25">
        <v>1</v>
      </c>
      <c r="HW25">
        <v>1</v>
      </c>
      <c r="HX25">
        <v>0</v>
      </c>
      <c r="HY25">
        <v>1</v>
      </c>
      <c r="HZ25">
        <v>0</v>
      </c>
      <c r="IA25">
        <v>0</v>
      </c>
      <c r="IB25">
        <v>0</v>
      </c>
      <c r="IC25">
        <v>0</v>
      </c>
      <c r="ID25">
        <v>1</v>
      </c>
      <c r="IE25">
        <v>1</v>
      </c>
      <c r="IF25">
        <v>0</v>
      </c>
      <c r="IG25">
        <v>0</v>
      </c>
      <c r="IH25">
        <v>1</v>
      </c>
      <c r="II25">
        <v>0</v>
      </c>
      <c r="IJ25">
        <v>1</v>
      </c>
      <c r="IK25">
        <v>0</v>
      </c>
      <c r="IL25">
        <v>0</v>
      </c>
      <c r="IM25">
        <v>0</v>
      </c>
      <c r="IN25">
        <v>1</v>
      </c>
      <c r="IO25">
        <v>0</v>
      </c>
      <c r="IP25">
        <v>1</v>
      </c>
      <c r="IQ25">
        <v>0</v>
      </c>
      <c r="IR25">
        <v>0</v>
      </c>
      <c r="IS25">
        <v>0</v>
      </c>
      <c r="IT25">
        <v>1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1</v>
      </c>
      <c r="JA25">
        <v>0</v>
      </c>
      <c r="JB25">
        <v>1</v>
      </c>
      <c r="JC25">
        <v>0</v>
      </c>
      <c r="JD25">
        <v>1</v>
      </c>
      <c r="JE25">
        <v>0</v>
      </c>
      <c r="JF25">
        <v>0</v>
      </c>
      <c r="JG25">
        <v>0</v>
      </c>
      <c r="JH25">
        <v>1</v>
      </c>
      <c r="JI25">
        <v>0</v>
      </c>
      <c r="JJ25">
        <v>0</v>
      </c>
      <c r="JK25">
        <v>1</v>
      </c>
      <c r="JL25">
        <v>0</v>
      </c>
      <c r="JM25">
        <v>1</v>
      </c>
      <c r="JN25">
        <v>0</v>
      </c>
      <c r="JO25">
        <v>0</v>
      </c>
      <c r="JP25">
        <v>1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1</v>
      </c>
      <c r="JX25">
        <v>1</v>
      </c>
      <c r="JY25">
        <v>0</v>
      </c>
      <c r="JZ25">
        <v>1</v>
      </c>
      <c r="KA25">
        <v>0</v>
      </c>
      <c r="KB25">
        <v>0</v>
      </c>
      <c r="KC25">
        <v>0</v>
      </c>
      <c r="KD25">
        <v>1</v>
      </c>
      <c r="KE25">
        <v>1</v>
      </c>
      <c r="KF25">
        <v>0</v>
      </c>
      <c r="KG25">
        <v>0</v>
      </c>
      <c r="KH25">
        <v>0</v>
      </c>
      <c r="KI25">
        <v>0</v>
      </c>
      <c r="KJ25">
        <v>0</v>
      </c>
      <c r="KK25">
        <v>0</v>
      </c>
      <c r="KL25">
        <v>0</v>
      </c>
      <c r="KM25">
        <v>0</v>
      </c>
      <c r="KN25">
        <v>0</v>
      </c>
      <c r="KO25">
        <v>1</v>
      </c>
      <c r="KP25">
        <v>0</v>
      </c>
      <c r="KQ25">
        <v>1</v>
      </c>
      <c r="KR25">
        <v>1</v>
      </c>
      <c r="KS25">
        <v>1</v>
      </c>
      <c r="KT25">
        <v>1</v>
      </c>
      <c r="KU25">
        <v>0</v>
      </c>
      <c r="KV25">
        <v>1</v>
      </c>
      <c r="KW25">
        <v>0</v>
      </c>
      <c r="KX25">
        <v>1</v>
      </c>
      <c r="KY25">
        <v>1</v>
      </c>
      <c r="KZ25">
        <v>1</v>
      </c>
      <c r="LA25">
        <v>0</v>
      </c>
      <c r="LB25">
        <v>0</v>
      </c>
      <c r="LC25">
        <v>1</v>
      </c>
      <c r="LD25">
        <v>0</v>
      </c>
      <c r="LE25">
        <v>1</v>
      </c>
      <c r="LF25">
        <v>0</v>
      </c>
      <c r="LG25">
        <v>0</v>
      </c>
      <c r="LH25">
        <v>1</v>
      </c>
      <c r="LI25">
        <v>1</v>
      </c>
      <c r="LJ25">
        <v>1</v>
      </c>
      <c r="LK25">
        <v>1</v>
      </c>
      <c r="LL25">
        <v>1</v>
      </c>
      <c r="LM25">
        <v>0</v>
      </c>
      <c r="LN25">
        <v>1</v>
      </c>
      <c r="LO25">
        <v>1</v>
      </c>
      <c r="LP25">
        <v>1</v>
      </c>
      <c r="LQ25">
        <v>0</v>
      </c>
      <c r="LR25">
        <v>0</v>
      </c>
      <c r="LS25">
        <v>1</v>
      </c>
      <c r="LT25">
        <v>1</v>
      </c>
      <c r="LU25">
        <v>1</v>
      </c>
      <c r="LV25">
        <v>0</v>
      </c>
      <c r="LW25">
        <v>0</v>
      </c>
      <c r="LX25">
        <v>1</v>
      </c>
      <c r="LY25">
        <v>0</v>
      </c>
      <c r="LZ25">
        <v>0</v>
      </c>
      <c r="MA25">
        <v>0</v>
      </c>
      <c r="MB25">
        <v>1</v>
      </c>
      <c r="MC25">
        <v>0</v>
      </c>
      <c r="MD25">
        <v>1</v>
      </c>
      <c r="ME25">
        <v>0</v>
      </c>
      <c r="MF25">
        <v>1</v>
      </c>
      <c r="MG25">
        <v>0</v>
      </c>
      <c r="MH25">
        <v>0</v>
      </c>
      <c r="MI25">
        <v>1</v>
      </c>
      <c r="MJ25">
        <v>0</v>
      </c>
      <c r="MK25">
        <v>0</v>
      </c>
      <c r="ML25">
        <v>1</v>
      </c>
      <c r="MM25">
        <v>1</v>
      </c>
      <c r="MN25">
        <v>1</v>
      </c>
      <c r="MO25">
        <v>0</v>
      </c>
      <c r="MP25">
        <v>0</v>
      </c>
      <c r="MQ25">
        <v>0</v>
      </c>
      <c r="MR25">
        <v>0</v>
      </c>
      <c r="MS25">
        <v>0</v>
      </c>
      <c r="MT25">
        <v>0</v>
      </c>
      <c r="MU25">
        <v>1</v>
      </c>
      <c r="MV25">
        <v>0</v>
      </c>
      <c r="MW25">
        <v>0</v>
      </c>
      <c r="MX25">
        <v>1</v>
      </c>
      <c r="MY25">
        <v>1</v>
      </c>
      <c r="MZ25">
        <v>1</v>
      </c>
      <c r="NA25">
        <v>1</v>
      </c>
      <c r="NB25">
        <v>0</v>
      </c>
      <c r="NC25">
        <v>0</v>
      </c>
      <c r="ND25">
        <v>0</v>
      </c>
      <c r="NE25">
        <v>0</v>
      </c>
      <c r="NF25">
        <v>0</v>
      </c>
      <c r="NG25">
        <v>0</v>
      </c>
      <c r="NH25">
        <v>0</v>
      </c>
      <c r="NI25">
        <v>0</v>
      </c>
      <c r="NJ25">
        <v>0</v>
      </c>
      <c r="NK25">
        <v>1</v>
      </c>
      <c r="NL25">
        <v>0</v>
      </c>
      <c r="NM25">
        <v>1</v>
      </c>
      <c r="NN25">
        <v>0</v>
      </c>
      <c r="NO25">
        <v>1</v>
      </c>
      <c r="NP25">
        <v>1</v>
      </c>
      <c r="NQ25">
        <v>0</v>
      </c>
      <c r="NR25">
        <v>1</v>
      </c>
      <c r="NS25">
        <v>0</v>
      </c>
      <c r="NT25">
        <v>0</v>
      </c>
      <c r="NU25">
        <v>1</v>
      </c>
      <c r="NV25">
        <v>0</v>
      </c>
      <c r="NW25">
        <v>0</v>
      </c>
      <c r="NX25">
        <v>1</v>
      </c>
      <c r="NY25">
        <v>0</v>
      </c>
      <c r="NZ25">
        <v>1</v>
      </c>
      <c r="OA25">
        <v>0</v>
      </c>
      <c r="OB25">
        <v>0</v>
      </c>
      <c r="OC25">
        <v>0</v>
      </c>
      <c r="OD25">
        <v>0</v>
      </c>
      <c r="OE25">
        <v>0</v>
      </c>
      <c r="OF25">
        <v>0</v>
      </c>
      <c r="OG25">
        <v>1</v>
      </c>
      <c r="OH25">
        <v>1</v>
      </c>
      <c r="OI25">
        <v>1</v>
      </c>
      <c r="OJ25">
        <v>1</v>
      </c>
      <c r="OK25">
        <v>1</v>
      </c>
      <c r="OL25">
        <v>0</v>
      </c>
      <c r="OM25">
        <v>0</v>
      </c>
      <c r="ON25">
        <v>0</v>
      </c>
      <c r="OO25">
        <v>1</v>
      </c>
      <c r="OP25">
        <v>0</v>
      </c>
      <c r="OQ25">
        <v>0</v>
      </c>
      <c r="OR25">
        <v>0</v>
      </c>
      <c r="OS25">
        <v>1</v>
      </c>
      <c r="OT25">
        <v>0</v>
      </c>
      <c r="OU25">
        <v>0</v>
      </c>
      <c r="OV25">
        <v>0</v>
      </c>
      <c r="OW25">
        <v>0</v>
      </c>
      <c r="OX25">
        <v>0</v>
      </c>
      <c r="OY25">
        <v>1</v>
      </c>
      <c r="OZ25">
        <v>0</v>
      </c>
      <c r="PA25">
        <v>0</v>
      </c>
      <c r="PB25">
        <v>0</v>
      </c>
      <c r="PC25">
        <v>0</v>
      </c>
      <c r="PD25">
        <v>1</v>
      </c>
      <c r="PE25">
        <v>0</v>
      </c>
      <c r="PF25">
        <v>0</v>
      </c>
      <c r="PG25">
        <v>0</v>
      </c>
      <c r="PH25">
        <v>0</v>
      </c>
      <c r="PI25">
        <v>0</v>
      </c>
      <c r="PJ25">
        <v>1</v>
      </c>
      <c r="PK25">
        <v>0</v>
      </c>
      <c r="PL25">
        <v>0</v>
      </c>
      <c r="PM25">
        <v>0</v>
      </c>
      <c r="PN25">
        <v>0</v>
      </c>
      <c r="PO25">
        <v>0</v>
      </c>
      <c r="PP25">
        <v>0</v>
      </c>
      <c r="PQ25">
        <v>1</v>
      </c>
      <c r="PR25">
        <v>0</v>
      </c>
      <c r="PS25">
        <v>0</v>
      </c>
      <c r="PT25">
        <v>1</v>
      </c>
      <c r="PU25">
        <v>1</v>
      </c>
      <c r="PV25">
        <v>1</v>
      </c>
    </row>
    <row r="26" spans="1:438" x14ac:dyDescent="0.3">
      <c r="A26" s="31">
        <v>64</v>
      </c>
      <c r="B26" s="28">
        <v>5.69</v>
      </c>
      <c r="C26" s="30">
        <v>3.08</v>
      </c>
      <c r="D26" s="28">
        <v>1.73</v>
      </c>
      <c r="E26" s="34">
        <f t="shared" si="0"/>
        <v>3.4599999999999999E-2</v>
      </c>
      <c r="F26" s="35">
        <f t="shared" si="1"/>
        <v>0.77</v>
      </c>
      <c r="G26" s="34">
        <f t="shared" si="2"/>
        <v>43.25</v>
      </c>
      <c r="H26" s="33">
        <f t="shared" si="3"/>
        <v>4.2583479789103684</v>
      </c>
      <c r="I26" s="29">
        <f t="shared" ca="1" si="4"/>
        <v>1</v>
      </c>
      <c r="J26">
        <f ca="1">IF(AND(SUMPRODUCT($J$2:J25,$B$2:B25)&lt;500,SUM(B25,SUMPRODUCT($J$2:J25,$B$2:B25))&lt;500),1,0)</f>
        <v>0</v>
      </c>
      <c r="K26">
        <v>1</v>
      </c>
      <c r="L26">
        <v>0</v>
      </c>
      <c r="W26">
        <v>0</v>
      </c>
      <c r="X26">
        <v>0</v>
      </c>
      <c r="Y26">
        <v>1</v>
      </c>
      <c r="Z26">
        <v>0</v>
      </c>
      <c r="AA26">
        <v>0</v>
      </c>
      <c r="AB26">
        <v>1</v>
      </c>
      <c r="AC26">
        <v>1</v>
      </c>
      <c r="AD26">
        <v>0</v>
      </c>
      <c r="AE26">
        <v>0</v>
      </c>
      <c r="AF26">
        <v>1</v>
      </c>
      <c r="AG26">
        <v>1</v>
      </c>
      <c r="AH26">
        <v>0</v>
      </c>
      <c r="AI26">
        <v>0</v>
      </c>
      <c r="AJ26">
        <v>0</v>
      </c>
      <c r="AK26">
        <v>0</v>
      </c>
      <c r="AL26">
        <v>1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1</v>
      </c>
      <c r="AS26">
        <v>0</v>
      </c>
      <c r="AT26">
        <v>1</v>
      </c>
      <c r="AU26">
        <v>0</v>
      </c>
      <c r="AV26">
        <v>1</v>
      </c>
      <c r="AW26">
        <v>0</v>
      </c>
      <c r="AX26">
        <v>0</v>
      </c>
      <c r="AY26">
        <v>0</v>
      </c>
      <c r="AZ26">
        <v>1</v>
      </c>
      <c r="BA26">
        <v>1</v>
      </c>
      <c r="BB26">
        <v>0</v>
      </c>
      <c r="BC26">
        <v>1</v>
      </c>
      <c r="BD26">
        <v>1</v>
      </c>
      <c r="BE26">
        <v>0</v>
      </c>
      <c r="BF26">
        <v>0</v>
      </c>
      <c r="BG26">
        <v>1</v>
      </c>
      <c r="BH26">
        <v>0</v>
      </c>
      <c r="BI26">
        <v>0</v>
      </c>
      <c r="BJ26">
        <v>0</v>
      </c>
      <c r="BK26">
        <v>1</v>
      </c>
      <c r="BL26">
        <v>0</v>
      </c>
      <c r="BM26">
        <v>1</v>
      </c>
      <c r="BN26">
        <v>1</v>
      </c>
      <c r="BO26">
        <v>0</v>
      </c>
      <c r="BP26">
        <v>1</v>
      </c>
      <c r="BQ26">
        <v>0</v>
      </c>
      <c r="BR26">
        <v>0</v>
      </c>
      <c r="BS26">
        <v>0</v>
      </c>
      <c r="BT26">
        <v>0</v>
      </c>
      <c r="BU26">
        <v>1</v>
      </c>
      <c r="BV26">
        <v>1</v>
      </c>
      <c r="BW26">
        <v>1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1</v>
      </c>
      <c r="CD26">
        <v>1</v>
      </c>
      <c r="CE26">
        <v>1</v>
      </c>
      <c r="CF26">
        <v>1</v>
      </c>
      <c r="CG26">
        <v>1</v>
      </c>
      <c r="CH26">
        <v>0</v>
      </c>
      <c r="CI26">
        <v>1</v>
      </c>
      <c r="CJ26">
        <v>0</v>
      </c>
      <c r="CK26">
        <v>0</v>
      </c>
      <c r="CL26">
        <v>1</v>
      </c>
      <c r="CM26">
        <v>1</v>
      </c>
      <c r="CN26">
        <v>1</v>
      </c>
      <c r="CO26">
        <v>0</v>
      </c>
      <c r="CP26">
        <v>0</v>
      </c>
      <c r="CQ26">
        <v>0</v>
      </c>
      <c r="CR26">
        <v>0</v>
      </c>
      <c r="CS26">
        <v>1</v>
      </c>
      <c r="CT26">
        <v>0</v>
      </c>
      <c r="CU26">
        <v>1</v>
      </c>
      <c r="CV26">
        <v>0</v>
      </c>
      <c r="CW26">
        <v>0</v>
      </c>
      <c r="CX26">
        <v>1</v>
      </c>
      <c r="CY26">
        <v>0</v>
      </c>
      <c r="CZ26">
        <v>0</v>
      </c>
      <c r="DA26">
        <v>1</v>
      </c>
      <c r="DB26">
        <v>1</v>
      </c>
      <c r="DC26">
        <v>0</v>
      </c>
      <c r="DD26">
        <v>1</v>
      </c>
      <c r="DE26">
        <v>0</v>
      </c>
      <c r="DF26">
        <v>0</v>
      </c>
      <c r="DG26">
        <v>0</v>
      </c>
      <c r="DH26">
        <v>1</v>
      </c>
      <c r="DI26">
        <v>0</v>
      </c>
      <c r="DJ26">
        <v>0</v>
      </c>
      <c r="DK26">
        <v>1</v>
      </c>
      <c r="DL26">
        <v>1</v>
      </c>
      <c r="DM26">
        <v>0</v>
      </c>
      <c r="DN26">
        <v>0</v>
      </c>
      <c r="DO26">
        <v>0</v>
      </c>
      <c r="DP26">
        <v>1</v>
      </c>
      <c r="DQ26">
        <v>1</v>
      </c>
      <c r="DR26">
        <v>0</v>
      </c>
      <c r="DS26">
        <v>0</v>
      </c>
      <c r="DT26">
        <v>1</v>
      </c>
      <c r="DU26">
        <v>0</v>
      </c>
      <c r="DV26">
        <v>0</v>
      </c>
      <c r="DW26">
        <v>0</v>
      </c>
      <c r="DX26">
        <v>0</v>
      </c>
      <c r="DY26">
        <v>1</v>
      </c>
      <c r="DZ26">
        <v>0</v>
      </c>
      <c r="EA26">
        <v>0</v>
      </c>
      <c r="EB26">
        <v>1</v>
      </c>
      <c r="EC26">
        <v>0</v>
      </c>
      <c r="ED26">
        <v>0</v>
      </c>
      <c r="EE26">
        <v>0</v>
      </c>
      <c r="EF26">
        <v>1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1</v>
      </c>
      <c r="EN26">
        <v>0</v>
      </c>
      <c r="EO26">
        <v>1</v>
      </c>
      <c r="EP26">
        <v>1</v>
      </c>
      <c r="EQ26">
        <v>0</v>
      </c>
      <c r="ER26">
        <v>0</v>
      </c>
      <c r="ES26">
        <v>0</v>
      </c>
      <c r="ET26">
        <v>0</v>
      </c>
      <c r="EU26">
        <v>1</v>
      </c>
      <c r="EV26">
        <v>0</v>
      </c>
      <c r="EW26">
        <v>0</v>
      </c>
      <c r="EX26">
        <v>0</v>
      </c>
      <c r="EY26">
        <v>1</v>
      </c>
      <c r="EZ26">
        <v>0</v>
      </c>
      <c r="FA26">
        <v>1</v>
      </c>
      <c r="FB26">
        <v>0</v>
      </c>
      <c r="FC26">
        <v>1</v>
      </c>
      <c r="FD26">
        <v>0</v>
      </c>
      <c r="FE26">
        <v>0</v>
      </c>
      <c r="FF26">
        <v>0</v>
      </c>
      <c r="FG26">
        <v>0</v>
      </c>
      <c r="FH26">
        <v>1</v>
      </c>
      <c r="FI26">
        <v>1</v>
      </c>
      <c r="FJ26">
        <v>1</v>
      </c>
      <c r="FK26">
        <v>1</v>
      </c>
      <c r="FL26">
        <v>0</v>
      </c>
      <c r="FM26">
        <v>0</v>
      </c>
      <c r="FN26">
        <v>1</v>
      </c>
      <c r="FO26">
        <v>0</v>
      </c>
      <c r="FP26">
        <v>1</v>
      </c>
      <c r="FQ26">
        <v>0</v>
      </c>
      <c r="FR26">
        <v>0</v>
      </c>
      <c r="FS26">
        <v>0</v>
      </c>
      <c r="FT26">
        <v>1</v>
      </c>
      <c r="FU26">
        <v>1</v>
      </c>
      <c r="FV26">
        <v>1</v>
      </c>
      <c r="FW26">
        <v>0</v>
      </c>
      <c r="FX26">
        <v>0</v>
      </c>
      <c r="FY26">
        <v>1</v>
      </c>
      <c r="FZ26">
        <v>1</v>
      </c>
      <c r="GA26">
        <v>1</v>
      </c>
      <c r="GB26">
        <v>1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1</v>
      </c>
      <c r="GI26">
        <v>0</v>
      </c>
      <c r="GJ26">
        <v>1</v>
      </c>
      <c r="GK26">
        <v>1</v>
      </c>
      <c r="GL26">
        <v>0</v>
      </c>
      <c r="GM26">
        <v>1</v>
      </c>
      <c r="GN26">
        <v>0</v>
      </c>
      <c r="GO26">
        <v>0</v>
      </c>
      <c r="GP26">
        <v>1</v>
      </c>
      <c r="GQ26">
        <v>1</v>
      </c>
      <c r="GR26">
        <v>0</v>
      </c>
      <c r="GS26">
        <v>1</v>
      </c>
      <c r="GT26">
        <v>1</v>
      </c>
      <c r="GU26">
        <v>0</v>
      </c>
      <c r="GV26">
        <v>0</v>
      </c>
      <c r="GW26">
        <v>0</v>
      </c>
      <c r="GX26">
        <v>1</v>
      </c>
      <c r="GY26">
        <v>1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1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1</v>
      </c>
      <c r="HN26">
        <v>0</v>
      </c>
      <c r="HO26">
        <v>0</v>
      </c>
      <c r="HP26">
        <v>0</v>
      </c>
      <c r="HQ26">
        <v>1</v>
      </c>
      <c r="HR26">
        <v>0</v>
      </c>
      <c r="HS26">
        <v>0</v>
      </c>
      <c r="HT26">
        <v>0</v>
      </c>
      <c r="HU26">
        <v>0</v>
      </c>
      <c r="HV26">
        <v>1</v>
      </c>
      <c r="HW26">
        <v>0</v>
      </c>
      <c r="HX26">
        <v>0</v>
      </c>
      <c r="HY26">
        <v>1</v>
      </c>
      <c r="HZ26">
        <v>1</v>
      </c>
      <c r="IA26">
        <v>1</v>
      </c>
      <c r="IB26">
        <v>1</v>
      </c>
      <c r="IC26">
        <v>0</v>
      </c>
      <c r="ID26">
        <v>1</v>
      </c>
      <c r="IE26">
        <v>1</v>
      </c>
      <c r="IF26">
        <v>1</v>
      </c>
      <c r="IG26">
        <v>0</v>
      </c>
      <c r="IH26">
        <v>0</v>
      </c>
      <c r="II26">
        <v>0</v>
      </c>
      <c r="IJ26">
        <v>1</v>
      </c>
      <c r="IK26">
        <v>0</v>
      </c>
      <c r="IL26">
        <v>1</v>
      </c>
      <c r="IM26">
        <v>1</v>
      </c>
      <c r="IN26">
        <v>1</v>
      </c>
      <c r="IO26">
        <v>0</v>
      </c>
      <c r="IP26">
        <v>1</v>
      </c>
      <c r="IQ26">
        <v>0</v>
      </c>
      <c r="IR26">
        <v>1</v>
      </c>
      <c r="IS26">
        <v>1</v>
      </c>
      <c r="IT26">
        <v>1</v>
      </c>
      <c r="IU26">
        <v>0</v>
      </c>
      <c r="IV26">
        <v>0</v>
      </c>
      <c r="IW26">
        <v>0</v>
      </c>
      <c r="IX26">
        <v>1</v>
      </c>
      <c r="IY26">
        <v>0</v>
      </c>
      <c r="IZ26">
        <v>0</v>
      </c>
      <c r="JA26">
        <v>1</v>
      </c>
      <c r="JB26">
        <v>1</v>
      </c>
      <c r="JC26">
        <v>0</v>
      </c>
      <c r="JD26">
        <v>1</v>
      </c>
      <c r="JE26">
        <v>0</v>
      </c>
      <c r="JF26">
        <v>0</v>
      </c>
      <c r="JG26">
        <v>1</v>
      </c>
      <c r="JH26">
        <v>1</v>
      </c>
      <c r="JI26">
        <v>0</v>
      </c>
      <c r="JJ26">
        <v>1</v>
      </c>
      <c r="JK26">
        <v>1</v>
      </c>
      <c r="JL26">
        <v>0</v>
      </c>
      <c r="JM26">
        <v>1</v>
      </c>
      <c r="JN26">
        <v>0</v>
      </c>
      <c r="JO26">
        <v>0</v>
      </c>
      <c r="JP26">
        <v>1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1</v>
      </c>
      <c r="JW26">
        <v>0</v>
      </c>
      <c r="JX26">
        <v>1</v>
      </c>
      <c r="JY26">
        <v>0</v>
      </c>
      <c r="JZ26">
        <v>1</v>
      </c>
      <c r="KA26">
        <v>0</v>
      </c>
      <c r="KB26">
        <v>0</v>
      </c>
      <c r="KC26">
        <v>1</v>
      </c>
      <c r="KD26">
        <v>0</v>
      </c>
      <c r="KE26">
        <v>0</v>
      </c>
      <c r="KF26">
        <v>0</v>
      </c>
      <c r="KG26">
        <v>0</v>
      </c>
      <c r="KH26">
        <v>0</v>
      </c>
      <c r="KI26">
        <v>0</v>
      </c>
      <c r="KJ26">
        <v>0</v>
      </c>
      <c r="KK26">
        <v>1</v>
      </c>
      <c r="KL26">
        <v>0</v>
      </c>
      <c r="KM26">
        <v>0</v>
      </c>
      <c r="KN26">
        <v>0</v>
      </c>
      <c r="KO26">
        <v>1</v>
      </c>
      <c r="KP26">
        <v>0</v>
      </c>
      <c r="KQ26">
        <v>0</v>
      </c>
      <c r="KR26">
        <v>0</v>
      </c>
      <c r="KS26">
        <v>1</v>
      </c>
      <c r="KT26">
        <v>1</v>
      </c>
      <c r="KU26">
        <v>1</v>
      </c>
      <c r="KV26">
        <v>0</v>
      </c>
      <c r="KW26">
        <v>1</v>
      </c>
      <c r="KX26">
        <v>0</v>
      </c>
      <c r="KY26">
        <v>1</v>
      </c>
      <c r="KZ26">
        <v>1</v>
      </c>
      <c r="LA26">
        <v>0</v>
      </c>
      <c r="LB26">
        <v>0</v>
      </c>
      <c r="LC26">
        <v>1</v>
      </c>
      <c r="LD26">
        <v>1</v>
      </c>
      <c r="LE26">
        <v>1</v>
      </c>
      <c r="LF26">
        <v>1</v>
      </c>
      <c r="LG26">
        <v>0</v>
      </c>
      <c r="LH26">
        <v>1</v>
      </c>
      <c r="LI26">
        <v>1</v>
      </c>
      <c r="LJ26">
        <v>0</v>
      </c>
      <c r="LK26">
        <v>1</v>
      </c>
      <c r="LL26">
        <v>1</v>
      </c>
      <c r="LM26">
        <v>0</v>
      </c>
      <c r="LN26">
        <v>1</v>
      </c>
      <c r="LO26">
        <v>1</v>
      </c>
      <c r="LP26">
        <v>0</v>
      </c>
      <c r="LQ26">
        <v>1</v>
      </c>
      <c r="LR26">
        <v>1</v>
      </c>
      <c r="LS26">
        <v>0</v>
      </c>
      <c r="LT26">
        <v>1</v>
      </c>
      <c r="LU26">
        <v>0</v>
      </c>
      <c r="LV26">
        <v>0</v>
      </c>
      <c r="LW26">
        <v>1</v>
      </c>
      <c r="LX26">
        <v>0</v>
      </c>
      <c r="LY26">
        <v>0</v>
      </c>
      <c r="LZ26">
        <v>0</v>
      </c>
      <c r="MA26">
        <v>1</v>
      </c>
      <c r="MB26">
        <v>1</v>
      </c>
      <c r="MC26">
        <v>1</v>
      </c>
      <c r="MD26">
        <v>0</v>
      </c>
      <c r="ME26">
        <v>0</v>
      </c>
      <c r="MF26">
        <v>0</v>
      </c>
      <c r="MG26">
        <v>1</v>
      </c>
      <c r="MH26">
        <v>0</v>
      </c>
      <c r="MI26">
        <v>0</v>
      </c>
      <c r="MJ26">
        <v>1</v>
      </c>
      <c r="MK26">
        <v>1</v>
      </c>
      <c r="ML26">
        <v>0</v>
      </c>
      <c r="MM26">
        <v>1</v>
      </c>
      <c r="MN26">
        <v>1</v>
      </c>
      <c r="MO26">
        <v>1</v>
      </c>
      <c r="MP26">
        <v>0</v>
      </c>
      <c r="MQ26">
        <v>0</v>
      </c>
      <c r="MR26">
        <v>0</v>
      </c>
      <c r="MS26">
        <v>1</v>
      </c>
      <c r="MT26">
        <v>1</v>
      </c>
      <c r="MU26">
        <v>0</v>
      </c>
      <c r="MV26">
        <v>0</v>
      </c>
      <c r="MW26">
        <v>0</v>
      </c>
      <c r="MX26">
        <v>0</v>
      </c>
      <c r="MY26">
        <v>1</v>
      </c>
      <c r="MZ26">
        <v>1</v>
      </c>
      <c r="NA26">
        <v>0</v>
      </c>
      <c r="NB26">
        <v>0</v>
      </c>
      <c r="NC26">
        <v>1</v>
      </c>
      <c r="ND26">
        <v>0</v>
      </c>
      <c r="NE26">
        <v>0</v>
      </c>
      <c r="NF26">
        <v>1</v>
      </c>
      <c r="NG26">
        <v>0</v>
      </c>
      <c r="NH26">
        <v>0</v>
      </c>
      <c r="NI26">
        <v>0</v>
      </c>
      <c r="NJ26">
        <v>1</v>
      </c>
      <c r="NK26">
        <v>1</v>
      </c>
      <c r="NL26">
        <v>0</v>
      </c>
      <c r="NM26">
        <v>1</v>
      </c>
      <c r="NN26">
        <v>0</v>
      </c>
      <c r="NO26">
        <v>1</v>
      </c>
      <c r="NP26">
        <v>0</v>
      </c>
      <c r="NQ26">
        <v>0</v>
      </c>
      <c r="NR26">
        <v>0</v>
      </c>
      <c r="NS26">
        <v>0</v>
      </c>
      <c r="NT26">
        <v>0</v>
      </c>
      <c r="NU26">
        <v>0</v>
      </c>
      <c r="NV26">
        <v>0</v>
      </c>
      <c r="NW26">
        <v>0</v>
      </c>
      <c r="NX26">
        <v>0</v>
      </c>
      <c r="NY26">
        <v>1</v>
      </c>
      <c r="NZ26">
        <v>0</v>
      </c>
      <c r="OA26">
        <v>1</v>
      </c>
      <c r="OB26">
        <v>0</v>
      </c>
      <c r="OC26">
        <v>0</v>
      </c>
      <c r="OD26">
        <v>0</v>
      </c>
      <c r="OE26">
        <v>0</v>
      </c>
      <c r="OF26">
        <v>0</v>
      </c>
      <c r="OG26">
        <v>0</v>
      </c>
      <c r="OH26">
        <v>0</v>
      </c>
      <c r="OI26">
        <v>1</v>
      </c>
      <c r="OJ26">
        <v>1</v>
      </c>
      <c r="OK26">
        <v>1</v>
      </c>
      <c r="OL26">
        <v>0</v>
      </c>
      <c r="OM26">
        <v>1</v>
      </c>
      <c r="ON26">
        <v>0</v>
      </c>
      <c r="OO26">
        <v>1</v>
      </c>
      <c r="OP26">
        <v>1</v>
      </c>
      <c r="OQ26">
        <v>1</v>
      </c>
      <c r="OR26">
        <v>0</v>
      </c>
      <c r="OS26">
        <v>1</v>
      </c>
      <c r="OT26">
        <v>0</v>
      </c>
      <c r="OU26">
        <v>0</v>
      </c>
      <c r="OV26">
        <v>0</v>
      </c>
      <c r="OW26">
        <v>1</v>
      </c>
      <c r="OX26">
        <v>0</v>
      </c>
      <c r="OY26">
        <v>0</v>
      </c>
      <c r="OZ26">
        <v>1</v>
      </c>
      <c r="PA26">
        <v>0</v>
      </c>
      <c r="PB26">
        <v>1</v>
      </c>
      <c r="PC26">
        <v>0</v>
      </c>
      <c r="PD26">
        <v>0</v>
      </c>
      <c r="PE26">
        <v>0</v>
      </c>
      <c r="PF26">
        <v>0</v>
      </c>
      <c r="PG26">
        <v>0</v>
      </c>
      <c r="PH26">
        <v>0</v>
      </c>
      <c r="PI26">
        <v>0</v>
      </c>
      <c r="PJ26">
        <v>1</v>
      </c>
      <c r="PK26">
        <v>1</v>
      </c>
      <c r="PL26">
        <v>0</v>
      </c>
      <c r="PM26">
        <v>0</v>
      </c>
      <c r="PN26">
        <v>0</v>
      </c>
      <c r="PO26">
        <v>0</v>
      </c>
      <c r="PP26">
        <v>0</v>
      </c>
      <c r="PQ26">
        <v>1</v>
      </c>
      <c r="PR26">
        <v>0</v>
      </c>
      <c r="PS26">
        <v>0</v>
      </c>
      <c r="PT26">
        <v>1</v>
      </c>
      <c r="PU26">
        <v>1</v>
      </c>
      <c r="PV26">
        <v>0</v>
      </c>
    </row>
    <row r="27" spans="1:438" x14ac:dyDescent="0.3">
      <c r="A27" s="31">
        <v>75</v>
      </c>
      <c r="B27" s="28">
        <v>5.86</v>
      </c>
      <c r="C27" s="30">
        <v>31.84</v>
      </c>
      <c r="D27" s="28">
        <v>3.08</v>
      </c>
      <c r="E27" s="34">
        <f t="shared" si="0"/>
        <v>6.1600000000000002E-2</v>
      </c>
      <c r="F27" s="35">
        <f t="shared" si="1"/>
        <v>7.96</v>
      </c>
      <c r="G27" s="34">
        <f t="shared" si="2"/>
        <v>77</v>
      </c>
      <c r="H27" s="33">
        <f t="shared" si="3"/>
        <v>7.1740614334470987</v>
      </c>
      <c r="I27" s="29">
        <f t="shared" ca="1" si="4"/>
        <v>4</v>
      </c>
      <c r="J27">
        <f ca="1">IF(AND(SUMPRODUCT($J$2:J26,$B$2:B26)&lt;500,SUM(B26,SUMPRODUCT($J$2:J26,$B$2:B26))&lt;500),1,0)</f>
        <v>0</v>
      </c>
      <c r="K27">
        <v>2</v>
      </c>
      <c r="L27">
        <v>0</v>
      </c>
      <c r="W27">
        <v>0</v>
      </c>
      <c r="X27">
        <v>1</v>
      </c>
      <c r="Y27">
        <v>0</v>
      </c>
      <c r="Z27">
        <v>0</v>
      </c>
      <c r="AA27">
        <v>0</v>
      </c>
      <c r="AB27">
        <v>0</v>
      </c>
      <c r="AC27">
        <v>0</v>
      </c>
      <c r="AD27">
        <v>1</v>
      </c>
      <c r="AE27">
        <v>0</v>
      </c>
      <c r="AF27">
        <v>1</v>
      </c>
      <c r="AG27">
        <v>1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1</v>
      </c>
      <c r="AN27">
        <v>1</v>
      </c>
      <c r="AO27">
        <v>1</v>
      </c>
      <c r="AP27">
        <v>1</v>
      </c>
      <c r="AQ27">
        <v>0</v>
      </c>
      <c r="AR27">
        <v>0</v>
      </c>
      <c r="AS27">
        <v>1</v>
      </c>
      <c r="AT27">
        <v>0</v>
      </c>
      <c r="AU27">
        <v>0</v>
      </c>
      <c r="AV27">
        <v>1</v>
      </c>
      <c r="AW27">
        <v>0</v>
      </c>
      <c r="AX27">
        <v>0</v>
      </c>
      <c r="AY27">
        <v>0</v>
      </c>
      <c r="AZ27">
        <v>1</v>
      </c>
      <c r="BA27">
        <v>0</v>
      </c>
      <c r="BB27">
        <v>1</v>
      </c>
      <c r="BC27">
        <v>0</v>
      </c>
      <c r="BD27">
        <v>0</v>
      </c>
      <c r="BE27">
        <v>0</v>
      </c>
      <c r="BF27">
        <v>0</v>
      </c>
      <c r="BG27">
        <v>1</v>
      </c>
      <c r="BH27">
        <v>0</v>
      </c>
      <c r="BI27">
        <v>0</v>
      </c>
      <c r="BJ27">
        <v>0</v>
      </c>
      <c r="BK27">
        <v>1</v>
      </c>
      <c r="BL27">
        <v>0</v>
      </c>
      <c r="BM27">
        <v>1</v>
      </c>
      <c r="BN27">
        <v>0</v>
      </c>
      <c r="BO27">
        <v>1</v>
      </c>
      <c r="BP27">
        <v>1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1</v>
      </c>
      <c r="BW27">
        <v>1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1</v>
      </c>
      <c r="CF27">
        <v>1</v>
      </c>
      <c r="CG27">
        <v>1</v>
      </c>
      <c r="CH27">
        <v>0</v>
      </c>
      <c r="CI27">
        <v>1</v>
      </c>
      <c r="CJ27">
        <v>0</v>
      </c>
      <c r="CK27">
        <v>0</v>
      </c>
      <c r="CL27">
        <v>1</v>
      </c>
      <c r="CM27">
        <v>1</v>
      </c>
      <c r="CN27">
        <v>1</v>
      </c>
      <c r="CO27">
        <v>0</v>
      </c>
      <c r="CP27">
        <v>0</v>
      </c>
      <c r="CQ27">
        <v>0</v>
      </c>
      <c r="CR27">
        <v>1</v>
      </c>
      <c r="CS27">
        <v>0</v>
      </c>
      <c r="CT27">
        <v>1</v>
      </c>
      <c r="CU27">
        <v>0</v>
      </c>
      <c r="CV27">
        <v>0</v>
      </c>
      <c r="CW27">
        <v>1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1</v>
      </c>
      <c r="DF27">
        <v>1</v>
      </c>
      <c r="DG27">
        <v>1</v>
      </c>
      <c r="DH27">
        <v>0</v>
      </c>
      <c r="DI27">
        <v>0</v>
      </c>
      <c r="DJ27">
        <v>0</v>
      </c>
      <c r="DK27">
        <v>1</v>
      </c>
      <c r="DL27">
        <v>1</v>
      </c>
      <c r="DM27">
        <v>0</v>
      </c>
      <c r="DN27">
        <v>0</v>
      </c>
      <c r="DO27">
        <v>0</v>
      </c>
      <c r="DP27">
        <v>1</v>
      </c>
      <c r="DQ27">
        <v>1</v>
      </c>
      <c r="DR27">
        <v>1</v>
      </c>
      <c r="DS27">
        <v>1</v>
      </c>
      <c r="DT27">
        <v>1</v>
      </c>
      <c r="DU27">
        <v>1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1</v>
      </c>
      <c r="ED27">
        <v>0</v>
      </c>
      <c r="EE27">
        <v>1</v>
      </c>
      <c r="EF27">
        <v>0</v>
      </c>
      <c r="EG27">
        <v>0</v>
      </c>
      <c r="EH27">
        <v>1</v>
      </c>
      <c r="EI27">
        <v>0</v>
      </c>
      <c r="EJ27">
        <v>0</v>
      </c>
      <c r="EK27">
        <v>0</v>
      </c>
      <c r="EL27">
        <v>0</v>
      </c>
      <c r="EM27">
        <v>1</v>
      </c>
      <c r="EN27">
        <v>0</v>
      </c>
      <c r="EO27">
        <v>0</v>
      </c>
      <c r="EP27">
        <v>1</v>
      </c>
      <c r="EQ27">
        <v>1</v>
      </c>
      <c r="ER27">
        <v>1</v>
      </c>
      <c r="ES27">
        <v>0</v>
      </c>
      <c r="ET27">
        <v>0</v>
      </c>
      <c r="EU27">
        <v>1</v>
      </c>
      <c r="EV27">
        <v>0</v>
      </c>
      <c r="EW27">
        <v>1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1</v>
      </c>
      <c r="FE27">
        <v>0</v>
      </c>
      <c r="FF27">
        <v>0</v>
      </c>
      <c r="FG27">
        <v>1</v>
      </c>
      <c r="FH27">
        <v>1</v>
      </c>
      <c r="FI27">
        <v>1</v>
      </c>
      <c r="FJ27">
        <v>0</v>
      </c>
      <c r="FK27">
        <v>1</v>
      </c>
      <c r="FL27">
        <v>1</v>
      </c>
      <c r="FM27">
        <v>1</v>
      </c>
      <c r="FN27">
        <v>1</v>
      </c>
      <c r="FO27">
        <v>0</v>
      </c>
      <c r="FP27">
        <v>0</v>
      </c>
      <c r="FQ27">
        <v>0</v>
      </c>
      <c r="FR27">
        <v>0</v>
      </c>
      <c r="FS27">
        <v>1</v>
      </c>
      <c r="FT27">
        <v>0</v>
      </c>
      <c r="FU27">
        <v>1</v>
      </c>
      <c r="FV27">
        <v>1</v>
      </c>
      <c r="FW27">
        <v>0</v>
      </c>
      <c r="FX27">
        <v>0</v>
      </c>
      <c r="FY27">
        <v>1</v>
      </c>
      <c r="FZ27">
        <v>1</v>
      </c>
      <c r="GA27">
        <v>1</v>
      </c>
      <c r="GB27">
        <v>1</v>
      </c>
      <c r="GC27">
        <v>0</v>
      </c>
      <c r="GD27">
        <v>0</v>
      </c>
      <c r="GE27">
        <v>0</v>
      </c>
      <c r="GF27">
        <v>0</v>
      </c>
      <c r="GG27">
        <v>1</v>
      </c>
      <c r="GH27">
        <v>1</v>
      </c>
      <c r="GI27">
        <v>0</v>
      </c>
      <c r="GJ27">
        <v>0</v>
      </c>
      <c r="GK27">
        <v>1</v>
      </c>
      <c r="GL27">
        <v>1</v>
      </c>
      <c r="GM27">
        <v>0</v>
      </c>
      <c r="GN27">
        <v>1</v>
      </c>
      <c r="GO27">
        <v>1</v>
      </c>
      <c r="GP27">
        <v>0</v>
      </c>
      <c r="GQ27">
        <v>0</v>
      </c>
      <c r="GR27">
        <v>1</v>
      </c>
      <c r="GS27">
        <v>1</v>
      </c>
      <c r="GT27">
        <v>1</v>
      </c>
      <c r="GU27">
        <v>0</v>
      </c>
      <c r="GV27">
        <v>0</v>
      </c>
      <c r="GW27">
        <v>0</v>
      </c>
      <c r="GX27">
        <v>1</v>
      </c>
      <c r="GY27">
        <v>0</v>
      </c>
      <c r="GZ27">
        <v>0</v>
      </c>
      <c r="HA27">
        <v>0</v>
      </c>
      <c r="HB27">
        <v>0</v>
      </c>
      <c r="HC27">
        <v>1</v>
      </c>
      <c r="HD27">
        <v>0</v>
      </c>
      <c r="HE27">
        <v>1</v>
      </c>
      <c r="HF27">
        <v>1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1</v>
      </c>
      <c r="HR27">
        <v>1</v>
      </c>
      <c r="HS27">
        <v>1</v>
      </c>
      <c r="HT27">
        <v>1</v>
      </c>
      <c r="HU27">
        <v>0</v>
      </c>
      <c r="HV27">
        <v>0</v>
      </c>
      <c r="HW27">
        <v>1</v>
      </c>
      <c r="HX27">
        <v>0</v>
      </c>
      <c r="HY27">
        <v>1</v>
      </c>
      <c r="HZ27">
        <v>0</v>
      </c>
      <c r="IA27">
        <v>0</v>
      </c>
      <c r="IB27">
        <v>1</v>
      </c>
      <c r="IC27">
        <v>0</v>
      </c>
      <c r="ID27">
        <v>0</v>
      </c>
      <c r="IE27">
        <v>1</v>
      </c>
      <c r="IF27">
        <v>0</v>
      </c>
      <c r="IG27">
        <v>1</v>
      </c>
      <c r="IH27">
        <v>0</v>
      </c>
      <c r="II27">
        <v>0</v>
      </c>
      <c r="IJ27">
        <v>1</v>
      </c>
      <c r="IK27">
        <v>0</v>
      </c>
      <c r="IL27">
        <v>1</v>
      </c>
      <c r="IM27">
        <v>0</v>
      </c>
      <c r="IN27">
        <v>0</v>
      </c>
      <c r="IO27">
        <v>0</v>
      </c>
      <c r="IP27">
        <v>1</v>
      </c>
      <c r="IQ27">
        <v>0</v>
      </c>
      <c r="IR27">
        <v>0</v>
      </c>
      <c r="IS27">
        <v>0</v>
      </c>
      <c r="IT27">
        <v>1</v>
      </c>
      <c r="IU27">
        <v>0</v>
      </c>
      <c r="IV27">
        <v>0</v>
      </c>
      <c r="IW27">
        <v>1</v>
      </c>
      <c r="IX27">
        <v>1</v>
      </c>
      <c r="IY27">
        <v>0</v>
      </c>
      <c r="IZ27">
        <v>0</v>
      </c>
      <c r="JA27">
        <v>0</v>
      </c>
      <c r="JB27">
        <v>1</v>
      </c>
      <c r="JC27">
        <v>1</v>
      </c>
      <c r="JD27">
        <v>1</v>
      </c>
      <c r="JE27">
        <v>0</v>
      </c>
      <c r="JF27">
        <v>1</v>
      </c>
      <c r="JG27">
        <v>1</v>
      </c>
      <c r="JH27">
        <v>1</v>
      </c>
      <c r="JI27">
        <v>0</v>
      </c>
      <c r="JJ27">
        <v>0</v>
      </c>
      <c r="JK27">
        <v>0</v>
      </c>
      <c r="JL27">
        <v>0</v>
      </c>
      <c r="JM27">
        <v>1</v>
      </c>
      <c r="JN27">
        <v>1</v>
      </c>
      <c r="JO27">
        <v>0</v>
      </c>
      <c r="JP27">
        <v>1</v>
      </c>
      <c r="JQ27">
        <v>1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1</v>
      </c>
      <c r="JX27">
        <v>1</v>
      </c>
      <c r="JY27">
        <v>0</v>
      </c>
      <c r="JZ27">
        <v>1</v>
      </c>
      <c r="KA27">
        <v>0</v>
      </c>
      <c r="KB27">
        <v>0</v>
      </c>
      <c r="KC27">
        <v>0</v>
      </c>
      <c r="KD27">
        <v>0</v>
      </c>
      <c r="KE27">
        <v>0</v>
      </c>
      <c r="KF27">
        <v>0</v>
      </c>
      <c r="KG27">
        <v>0</v>
      </c>
      <c r="KH27">
        <v>0</v>
      </c>
      <c r="KI27">
        <v>1</v>
      </c>
      <c r="KJ27">
        <v>0</v>
      </c>
      <c r="KK27">
        <v>1</v>
      </c>
      <c r="KL27">
        <v>0</v>
      </c>
      <c r="KM27">
        <v>1</v>
      </c>
      <c r="KN27">
        <v>0</v>
      </c>
      <c r="KO27">
        <v>0</v>
      </c>
      <c r="KP27">
        <v>0</v>
      </c>
      <c r="KQ27">
        <v>1</v>
      </c>
      <c r="KR27">
        <v>0</v>
      </c>
      <c r="KS27">
        <v>1</v>
      </c>
      <c r="KT27">
        <v>0</v>
      </c>
      <c r="KU27">
        <v>0</v>
      </c>
      <c r="KV27">
        <v>1</v>
      </c>
      <c r="KW27">
        <v>0</v>
      </c>
      <c r="KX27">
        <v>1</v>
      </c>
      <c r="KY27">
        <v>0</v>
      </c>
      <c r="KZ27">
        <v>1</v>
      </c>
      <c r="LA27">
        <v>0</v>
      </c>
      <c r="LB27">
        <v>0</v>
      </c>
      <c r="LC27">
        <v>0</v>
      </c>
      <c r="LD27">
        <v>0</v>
      </c>
      <c r="LE27">
        <v>1</v>
      </c>
      <c r="LF27">
        <v>1</v>
      </c>
      <c r="LG27">
        <v>1</v>
      </c>
      <c r="LH27">
        <v>1</v>
      </c>
      <c r="LI27">
        <v>0</v>
      </c>
      <c r="LJ27">
        <v>0</v>
      </c>
      <c r="LK27">
        <v>1</v>
      </c>
      <c r="LL27">
        <v>1</v>
      </c>
      <c r="LM27">
        <v>0</v>
      </c>
      <c r="LN27">
        <v>0</v>
      </c>
      <c r="LO27">
        <v>1</v>
      </c>
      <c r="LP27">
        <v>0</v>
      </c>
      <c r="LQ27">
        <v>0</v>
      </c>
      <c r="LR27">
        <v>1</v>
      </c>
      <c r="LS27">
        <v>0</v>
      </c>
      <c r="LT27">
        <v>0</v>
      </c>
      <c r="LU27">
        <v>1</v>
      </c>
      <c r="LV27">
        <v>0</v>
      </c>
      <c r="LW27">
        <v>1</v>
      </c>
      <c r="LX27">
        <v>1</v>
      </c>
      <c r="LY27">
        <v>0</v>
      </c>
      <c r="LZ27">
        <v>1</v>
      </c>
      <c r="MA27">
        <v>0</v>
      </c>
      <c r="MB27">
        <v>0</v>
      </c>
      <c r="MC27">
        <v>1</v>
      </c>
      <c r="MD27">
        <v>1</v>
      </c>
      <c r="ME27">
        <v>1</v>
      </c>
      <c r="MF27">
        <v>1</v>
      </c>
      <c r="MG27">
        <v>1</v>
      </c>
      <c r="MH27">
        <v>0</v>
      </c>
      <c r="MI27">
        <v>1</v>
      </c>
      <c r="MJ27">
        <v>0</v>
      </c>
      <c r="MK27">
        <v>1</v>
      </c>
      <c r="ML27">
        <v>0</v>
      </c>
      <c r="MM27">
        <v>1</v>
      </c>
      <c r="MN27">
        <v>1</v>
      </c>
      <c r="MO27">
        <v>1</v>
      </c>
      <c r="MP27">
        <v>0</v>
      </c>
      <c r="MQ27">
        <v>1</v>
      </c>
      <c r="MR27">
        <v>0</v>
      </c>
      <c r="MS27">
        <v>0</v>
      </c>
      <c r="MT27">
        <v>1</v>
      </c>
      <c r="MU27">
        <v>1</v>
      </c>
      <c r="MV27">
        <v>0</v>
      </c>
      <c r="MW27">
        <v>0</v>
      </c>
      <c r="MX27">
        <v>1</v>
      </c>
      <c r="MY27">
        <v>1</v>
      </c>
      <c r="MZ27">
        <v>1</v>
      </c>
      <c r="NA27">
        <v>0</v>
      </c>
      <c r="NB27">
        <v>0</v>
      </c>
      <c r="NC27">
        <v>1</v>
      </c>
      <c r="ND27">
        <v>0</v>
      </c>
      <c r="NE27">
        <v>0</v>
      </c>
      <c r="NF27">
        <v>1</v>
      </c>
      <c r="NG27">
        <v>0</v>
      </c>
      <c r="NH27">
        <v>1</v>
      </c>
      <c r="NI27">
        <v>1</v>
      </c>
      <c r="NJ27">
        <v>1</v>
      </c>
      <c r="NK27">
        <v>1</v>
      </c>
      <c r="NL27">
        <v>1</v>
      </c>
      <c r="NM27">
        <v>0</v>
      </c>
      <c r="NN27">
        <v>0</v>
      </c>
      <c r="NO27">
        <v>0</v>
      </c>
      <c r="NP27">
        <v>0</v>
      </c>
      <c r="NQ27">
        <v>0</v>
      </c>
      <c r="NR27">
        <v>0</v>
      </c>
      <c r="NS27">
        <v>0</v>
      </c>
      <c r="NT27">
        <v>0</v>
      </c>
      <c r="NU27">
        <v>0</v>
      </c>
      <c r="NV27">
        <v>1</v>
      </c>
      <c r="NW27">
        <v>0</v>
      </c>
      <c r="NX27">
        <v>1</v>
      </c>
      <c r="NY27">
        <v>0</v>
      </c>
      <c r="NZ27">
        <v>0</v>
      </c>
      <c r="OA27">
        <v>0</v>
      </c>
      <c r="OB27">
        <v>0</v>
      </c>
      <c r="OC27">
        <v>0</v>
      </c>
      <c r="OD27">
        <v>0</v>
      </c>
      <c r="OE27">
        <v>0</v>
      </c>
      <c r="OF27">
        <v>0</v>
      </c>
      <c r="OG27">
        <v>0</v>
      </c>
      <c r="OH27">
        <v>1</v>
      </c>
      <c r="OI27">
        <v>1</v>
      </c>
      <c r="OJ27">
        <v>1</v>
      </c>
      <c r="OK27">
        <v>1</v>
      </c>
      <c r="OL27">
        <v>0</v>
      </c>
      <c r="OM27">
        <v>0</v>
      </c>
      <c r="ON27">
        <v>0</v>
      </c>
      <c r="OO27">
        <v>0</v>
      </c>
      <c r="OP27">
        <v>0</v>
      </c>
      <c r="OQ27">
        <v>0</v>
      </c>
      <c r="OR27">
        <v>0</v>
      </c>
      <c r="OS27">
        <v>1</v>
      </c>
      <c r="OT27">
        <v>0</v>
      </c>
      <c r="OU27">
        <v>0</v>
      </c>
      <c r="OV27">
        <v>1</v>
      </c>
      <c r="OW27">
        <v>1</v>
      </c>
      <c r="OX27">
        <v>0</v>
      </c>
      <c r="OY27">
        <v>0</v>
      </c>
      <c r="OZ27">
        <v>1</v>
      </c>
      <c r="PA27">
        <v>0</v>
      </c>
      <c r="PB27">
        <v>0</v>
      </c>
      <c r="PC27">
        <v>0</v>
      </c>
      <c r="PD27">
        <v>0</v>
      </c>
      <c r="PE27">
        <v>0</v>
      </c>
      <c r="PF27">
        <v>0</v>
      </c>
      <c r="PG27">
        <v>0</v>
      </c>
      <c r="PH27">
        <v>0</v>
      </c>
      <c r="PI27">
        <v>0</v>
      </c>
      <c r="PJ27">
        <v>1</v>
      </c>
      <c r="PK27">
        <v>1</v>
      </c>
      <c r="PL27">
        <v>0</v>
      </c>
      <c r="PM27">
        <v>0</v>
      </c>
      <c r="PN27">
        <v>0</v>
      </c>
      <c r="PO27">
        <v>0</v>
      </c>
      <c r="PP27">
        <v>0</v>
      </c>
      <c r="PQ27">
        <v>1</v>
      </c>
      <c r="PR27">
        <v>1</v>
      </c>
      <c r="PS27">
        <v>0</v>
      </c>
      <c r="PT27">
        <v>1</v>
      </c>
      <c r="PU27">
        <v>1</v>
      </c>
      <c r="PV27">
        <v>1</v>
      </c>
    </row>
    <row r="28" spans="1:438" x14ac:dyDescent="0.3">
      <c r="A28" s="31">
        <v>81</v>
      </c>
      <c r="B28" s="28">
        <v>1.6</v>
      </c>
      <c r="C28" s="30">
        <v>47.27</v>
      </c>
      <c r="D28" s="28">
        <v>0.36</v>
      </c>
      <c r="E28" s="34">
        <f t="shared" si="0"/>
        <v>7.1999999999999998E-3</v>
      </c>
      <c r="F28" s="35">
        <f t="shared" si="1"/>
        <v>11.817500000000001</v>
      </c>
      <c r="G28" s="34">
        <f t="shared" si="2"/>
        <v>9</v>
      </c>
      <c r="H28" s="33">
        <f t="shared" si="3"/>
        <v>-7.3859374999999998</v>
      </c>
      <c r="I28" s="29">
        <f t="shared" ca="1" si="4"/>
        <v>1</v>
      </c>
      <c r="J28">
        <f ca="1">IF(AND(SUMPRODUCT($J$2:J27,$B$2:B27)&lt;500,SUM(B27,SUMPRODUCT($J$2:J27,$B$2:B27))&lt;500),1,0)</f>
        <v>0</v>
      </c>
      <c r="K28">
        <v>0</v>
      </c>
      <c r="L28">
        <v>0</v>
      </c>
      <c r="W28">
        <v>0</v>
      </c>
      <c r="X28">
        <v>1</v>
      </c>
      <c r="Y28">
        <v>0</v>
      </c>
      <c r="Z28">
        <v>1</v>
      </c>
      <c r="AA28">
        <v>0</v>
      </c>
      <c r="AB28">
        <v>0</v>
      </c>
      <c r="AC28">
        <v>0</v>
      </c>
      <c r="AD28">
        <v>1</v>
      </c>
      <c r="AE28">
        <v>1</v>
      </c>
      <c r="AF28">
        <v>1</v>
      </c>
      <c r="AG28">
        <v>1</v>
      </c>
      <c r="AH28">
        <v>0</v>
      </c>
      <c r="AI28">
        <v>0</v>
      </c>
      <c r="AJ28">
        <v>0</v>
      </c>
      <c r="AK28">
        <v>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1</v>
      </c>
      <c r="AS28">
        <v>1</v>
      </c>
      <c r="AT28">
        <v>0</v>
      </c>
      <c r="AU28">
        <v>0</v>
      </c>
      <c r="AV28">
        <v>1</v>
      </c>
      <c r="AW28">
        <v>0</v>
      </c>
      <c r="AX28">
        <v>0</v>
      </c>
      <c r="AY28">
        <v>0</v>
      </c>
      <c r="AZ28">
        <v>1</v>
      </c>
      <c r="BA28">
        <v>1</v>
      </c>
      <c r="BB28">
        <v>0</v>
      </c>
      <c r="BC28">
        <v>1</v>
      </c>
      <c r="BD28">
        <v>0</v>
      </c>
      <c r="BE28">
        <v>0</v>
      </c>
      <c r="BF28">
        <v>0</v>
      </c>
      <c r="BG28">
        <v>0</v>
      </c>
      <c r="BH28">
        <v>1</v>
      </c>
      <c r="BI28">
        <v>0</v>
      </c>
      <c r="BJ28">
        <v>0</v>
      </c>
      <c r="BK28">
        <v>0</v>
      </c>
      <c r="BL28">
        <v>0</v>
      </c>
      <c r="BM28">
        <v>1</v>
      </c>
      <c r="BN28">
        <v>1</v>
      </c>
      <c r="BO28">
        <v>0</v>
      </c>
      <c r="BP28">
        <v>0</v>
      </c>
      <c r="BQ28">
        <v>1</v>
      </c>
      <c r="BR28">
        <v>0</v>
      </c>
      <c r="BS28">
        <v>0</v>
      </c>
      <c r="BT28">
        <v>0</v>
      </c>
      <c r="BU28">
        <v>0</v>
      </c>
      <c r="BV28">
        <v>1</v>
      </c>
      <c r="BW28">
        <v>0</v>
      </c>
      <c r="BX28">
        <v>0</v>
      </c>
      <c r="BY28">
        <v>0</v>
      </c>
      <c r="BZ28">
        <v>0</v>
      </c>
      <c r="CA28">
        <v>1</v>
      </c>
      <c r="CB28">
        <v>1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</v>
      </c>
      <c r="CI28">
        <v>0</v>
      </c>
      <c r="CJ28">
        <v>0</v>
      </c>
      <c r="CK28">
        <v>0</v>
      </c>
      <c r="CL28">
        <v>1</v>
      </c>
      <c r="CM28">
        <v>1</v>
      </c>
      <c r="CN28">
        <v>1</v>
      </c>
      <c r="CO28">
        <v>1</v>
      </c>
      <c r="CP28">
        <v>1</v>
      </c>
      <c r="CQ28">
        <v>1</v>
      </c>
      <c r="CR28">
        <v>1</v>
      </c>
      <c r="CS28">
        <v>0</v>
      </c>
      <c r="CT28">
        <v>1</v>
      </c>
      <c r="CU28">
        <v>0</v>
      </c>
      <c r="CV28">
        <v>0</v>
      </c>
      <c r="CW28">
        <v>0</v>
      </c>
      <c r="CX28">
        <v>0</v>
      </c>
      <c r="CY28">
        <v>1</v>
      </c>
      <c r="CZ28">
        <v>0</v>
      </c>
      <c r="DA28">
        <v>0</v>
      </c>
      <c r="DB28">
        <v>0</v>
      </c>
      <c r="DC28">
        <v>1</v>
      </c>
      <c r="DD28">
        <v>0</v>
      </c>
      <c r="DE28">
        <v>1</v>
      </c>
      <c r="DF28">
        <v>1</v>
      </c>
      <c r="DG28">
        <v>0</v>
      </c>
      <c r="DH28">
        <v>0</v>
      </c>
      <c r="DI28">
        <v>1</v>
      </c>
      <c r="DJ28">
        <v>0</v>
      </c>
      <c r="DK28">
        <v>1</v>
      </c>
      <c r="DL28">
        <v>1</v>
      </c>
      <c r="DM28">
        <v>1</v>
      </c>
      <c r="DN28">
        <v>0</v>
      </c>
      <c r="DO28">
        <v>0</v>
      </c>
      <c r="DP28">
        <v>1</v>
      </c>
      <c r="DQ28">
        <v>0</v>
      </c>
      <c r="DR28">
        <v>0</v>
      </c>
      <c r="DS28">
        <v>0</v>
      </c>
      <c r="DT28">
        <v>0</v>
      </c>
      <c r="DU28">
        <v>1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1</v>
      </c>
      <c r="EC28">
        <v>1</v>
      </c>
      <c r="ED28">
        <v>0</v>
      </c>
      <c r="EE28">
        <v>1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1</v>
      </c>
      <c r="EM28">
        <v>1</v>
      </c>
      <c r="EN28">
        <v>1</v>
      </c>
      <c r="EO28">
        <v>0</v>
      </c>
      <c r="EP28">
        <v>1</v>
      </c>
      <c r="EQ28">
        <v>1</v>
      </c>
      <c r="ER28">
        <v>1</v>
      </c>
      <c r="ES28">
        <v>1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1</v>
      </c>
      <c r="EZ28">
        <v>0</v>
      </c>
      <c r="FA28">
        <v>0</v>
      </c>
      <c r="FB28">
        <v>0</v>
      </c>
      <c r="FC28">
        <v>1</v>
      </c>
      <c r="FD28">
        <v>0</v>
      </c>
      <c r="FE28">
        <v>0</v>
      </c>
      <c r="FF28">
        <v>0</v>
      </c>
      <c r="FG28">
        <v>0</v>
      </c>
      <c r="FH28">
        <v>1</v>
      </c>
      <c r="FI28">
        <v>1</v>
      </c>
      <c r="FJ28">
        <v>0</v>
      </c>
      <c r="FK28">
        <v>1</v>
      </c>
      <c r="FL28">
        <v>0</v>
      </c>
      <c r="FM28">
        <v>1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1</v>
      </c>
      <c r="FT28">
        <v>0</v>
      </c>
      <c r="FU28">
        <v>1</v>
      </c>
      <c r="FV28">
        <v>1</v>
      </c>
      <c r="FW28">
        <v>1</v>
      </c>
      <c r="FX28">
        <v>0</v>
      </c>
      <c r="FY28">
        <v>1</v>
      </c>
      <c r="FZ28">
        <v>0</v>
      </c>
      <c r="GA28">
        <v>1</v>
      </c>
      <c r="GB28">
        <v>1</v>
      </c>
      <c r="GC28">
        <v>0</v>
      </c>
      <c r="GD28">
        <v>0</v>
      </c>
      <c r="GE28">
        <v>0</v>
      </c>
      <c r="GF28">
        <v>0</v>
      </c>
      <c r="GG28">
        <v>1</v>
      </c>
      <c r="GH28">
        <v>0</v>
      </c>
      <c r="GI28">
        <v>0</v>
      </c>
      <c r="GJ28">
        <v>0</v>
      </c>
      <c r="GK28">
        <v>1</v>
      </c>
      <c r="GL28">
        <v>0</v>
      </c>
      <c r="GM28">
        <v>1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1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1</v>
      </c>
      <c r="GZ28">
        <v>0</v>
      </c>
      <c r="HA28">
        <v>1</v>
      </c>
      <c r="HB28">
        <v>0</v>
      </c>
      <c r="HC28">
        <v>0</v>
      </c>
      <c r="HD28">
        <v>1</v>
      </c>
      <c r="HE28">
        <v>0</v>
      </c>
      <c r="HF28">
        <v>1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1</v>
      </c>
      <c r="HN28">
        <v>0</v>
      </c>
      <c r="HO28">
        <v>1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1</v>
      </c>
      <c r="HX28">
        <v>0</v>
      </c>
      <c r="HY28">
        <v>1</v>
      </c>
      <c r="HZ28">
        <v>0</v>
      </c>
      <c r="IA28">
        <v>0</v>
      </c>
      <c r="IB28">
        <v>1</v>
      </c>
      <c r="IC28">
        <v>0</v>
      </c>
      <c r="ID28">
        <v>0</v>
      </c>
      <c r="IE28">
        <v>1</v>
      </c>
      <c r="IF28">
        <v>0</v>
      </c>
      <c r="IG28">
        <v>0</v>
      </c>
      <c r="IH28">
        <v>0</v>
      </c>
      <c r="II28">
        <v>0</v>
      </c>
      <c r="IJ28">
        <v>1</v>
      </c>
      <c r="IK28">
        <v>0</v>
      </c>
      <c r="IL28">
        <v>0</v>
      </c>
      <c r="IM28">
        <v>1</v>
      </c>
      <c r="IN28">
        <v>0</v>
      </c>
      <c r="IO28">
        <v>0</v>
      </c>
      <c r="IP28">
        <v>1</v>
      </c>
      <c r="IQ28">
        <v>0</v>
      </c>
      <c r="IR28">
        <v>0</v>
      </c>
      <c r="IS28">
        <v>1</v>
      </c>
      <c r="IT28">
        <v>1</v>
      </c>
      <c r="IU28">
        <v>0</v>
      </c>
      <c r="IV28">
        <v>1</v>
      </c>
      <c r="IW28">
        <v>0</v>
      </c>
      <c r="IX28">
        <v>1</v>
      </c>
      <c r="IY28">
        <v>1</v>
      </c>
      <c r="IZ28">
        <v>1</v>
      </c>
      <c r="JA28">
        <v>1</v>
      </c>
      <c r="JB28">
        <v>1</v>
      </c>
      <c r="JC28">
        <v>1</v>
      </c>
      <c r="JD28">
        <v>1</v>
      </c>
      <c r="JE28">
        <v>0</v>
      </c>
      <c r="JF28">
        <v>1</v>
      </c>
      <c r="JG28">
        <v>1</v>
      </c>
      <c r="JH28">
        <v>1</v>
      </c>
      <c r="JI28">
        <v>0</v>
      </c>
      <c r="JJ28">
        <v>0</v>
      </c>
      <c r="JK28">
        <v>1</v>
      </c>
      <c r="JL28">
        <v>0</v>
      </c>
      <c r="JM28">
        <v>1</v>
      </c>
      <c r="JN28">
        <v>0</v>
      </c>
      <c r="JO28">
        <v>1</v>
      </c>
      <c r="JP28">
        <v>1</v>
      </c>
      <c r="JQ28">
        <v>1</v>
      </c>
      <c r="JR28">
        <v>0</v>
      </c>
      <c r="JS28">
        <v>0</v>
      </c>
      <c r="JT28">
        <v>1</v>
      </c>
      <c r="JU28">
        <v>0</v>
      </c>
      <c r="JV28">
        <v>1</v>
      </c>
      <c r="JW28">
        <v>0</v>
      </c>
      <c r="JX28">
        <v>1</v>
      </c>
      <c r="JY28">
        <v>1</v>
      </c>
      <c r="JZ28">
        <v>1</v>
      </c>
      <c r="KA28">
        <v>0</v>
      </c>
      <c r="KB28">
        <v>0</v>
      </c>
      <c r="KC28">
        <v>0</v>
      </c>
      <c r="KD28">
        <v>0</v>
      </c>
      <c r="KE28">
        <v>0</v>
      </c>
      <c r="KF28">
        <v>0</v>
      </c>
      <c r="KG28">
        <v>0</v>
      </c>
      <c r="KH28">
        <v>0</v>
      </c>
      <c r="KI28">
        <v>1</v>
      </c>
      <c r="KJ28">
        <v>1</v>
      </c>
      <c r="KK28">
        <v>1</v>
      </c>
      <c r="KL28">
        <v>0</v>
      </c>
      <c r="KM28">
        <v>0</v>
      </c>
      <c r="KN28">
        <v>0</v>
      </c>
      <c r="KO28">
        <v>1</v>
      </c>
      <c r="KP28">
        <v>1</v>
      </c>
      <c r="KQ28">
        <v>1</v>
      </c>
      <c r="KR28">
        <v>1</v>
      </c>
      <c r="KS28">
        <v>1</v>
      </c>
      <c r="KT28">
        <v>1</v>
      </c>
      <c r="KU28">
        <v>0</v>
      </c>
      <c r="KV28">
        <v>0</v>
      </c>
      <c r="KW28">
        <v>0</v>
      </c>
      <c r="KX28">
        <v>1</v>
      </c>
      <c r="KY28">
        <v>1</v>
      </c>
      <c r="KZ28">
        <v>1</v>
      </c>
      <c r="LA28">
        <v>0</v>
      </c>
      <c r="LB28">
        <v>0</v>
      </c>
      <c r="LC28">
        <v>0</v>
      </c>
      <c r="LD28">
        <v>0</v>
      </c>
      <c r="LE28">
        <v>1</v>
      </c>
      <c r="LF28">
        <v>0</v>
      </c>
      <c r="LG28">
        <v>0</v>
      </c>
      <c r="LH28">
        <v>1</v>
      </c>
      <c r="LI28">
        <v>0</v>
      </c>
      <c r="LJ28">
        <v>1</v>
      </c>
      <c r="LK28">
        <v>1</v>
      </c>
      <c r="LL28">
        <v>1</v>
      </c>
      <c r="LM28">
        <v>0</v>
      </c>
      <c r="LN28">
        <v>0</v>
      </c>
      <c r="LO28">
        <v>0</v>
      </c>
      <c r="LP28">
        <v>0</v>
      </c>
      <c r="LQ28">
        <v>0</v>
      </c>
      <c r="LR28">
        <v>0</v>
      </c>
      <c r="LS28">
        <v>0</v>
      </c>
      <c r="LT28">
        <v>0</v>
      </c>
      <c r="LU28">
        <v>0</v>
      </c>
      <c r="LV28">
        <v>0</v>
      </c>
      <c r="LW28">
        <v>1</v>
      </c>
      <c r="LX28">
        <v>1</v>
      </c>
      <c r="LY28">
        <v>0</v>
      </c>
      <c r="LZ28">
        <v>0</v>
      </c>
      <c r="MA28">
        <v>0</v>
      </c>
      <c r="MB28">
        <v>1</v>
      </c>
      <c r="MC28">
        <v>1</v>
      </c>
      <c r="MD28">
        <v>0</v>
      </c>
      <c r="ME28">
        <v>0</v>
      </c>
      <c r="MF28">
        <v>0</v>
      </c>
      <c r="MG28">
        <v>0</v>
      </c>
      <c r="MH28">
        <v>0</v>
      </c>
      <c r="MI28">
        <v>0</v>
      </c>
      <c r="MJ28">
        <v>0</v>
      </c>
      <c r="MK28">
        <v>0</v>
      </c>
      <c r="ML28">
        <v>0</v>
      </c>
      <c r="MM28">
        <v>0</v>
      </c>
      <c r="MN28">
        <v>1</v>
      </c>
      <c r="MO28">
        <v>0</v>
      </c>
      <c r="MP28">
        <v>0</v>
      </c>
      <c r="MQ28">
        <v>0</v>
      </c>
      <c r="MR28">
        <v>1</v>
      </c>
      <c r="MS28">
        <v>0</v>
      </c>
      <c r="MT28">
        <v>1</v>
      </c>
      <c r="MU28">
        <v>1</v>
      </c>
      <c r="MV28">
        <v>0</v>
      </c>
      <c r="MW28">
        <v>0</v>
      </c>
      <c r="MX28">
        <v>0</v>
      </c>
      <c r="MY28">
        <v>1</v>
      </c>
      <c r="MZ28">
        <v>1</v>
      </c>
      <c r="NA28">
        <v>1</v>
      </c>
      <c r="NB28">
        <v>0</v>
      </c>
      <c r="NC28">
        <v>0</v>
      </c>
      <c r="ND28">
        <v>1</v>
      </c>
      <c r="NE28">
        <v>0</v>
      </c>
      <c r="NF28">
        <v>0</v>
      </c>
      <c r="NG28">
        <v>1</v>
      </c>
      <c r="NH28">
        <v>0</v>
      </c>
      <c r="NI28">
        <v>0</v>
      </c>
      <c r="NJ28">
        <v>1</v>
      </c>
      <c r="NK28">
        <v>1</v>
      </c>
      <c r="NL28">
        <v>1</v>
      </c>
      <c r="NM28">
        <v>0</v>
      </c>
      <c r="NN28">
        <v>0</v>
      </c>
      <c r="NO28">
        <v>1</v>
      </c>
      <c r="NP28">
        <v>1</v>
      </c>
      <c r="NQ28">
        <v>1</v>
      </c>
      <c r="NR28">
        <v>1</v>
      </c>
      <c r="NS28">
        <v>0</v>
      </c>
      <c r="NT28">
        <v>0</v>
      </c>
      <c r="NU28">
        <v>0</v>
      </c>
      <c r="NV28">
        <v>1</v>
      </c>
      <c r="NW28">
        <v>0</v>
      </c>
      <c r="NX28">
        <v>0</v>
      </c>
      <c r="NY28">
        <v>1</v>
      </c>
      <c r="NZ28">
        <v>1</v>
      </c>
      <c r="OA28">
        <v>0</v>
      </c>
      <c r="OB28">
        <v>0</v>
      </c>
      <c r="OC28">
        <v>0</v>
      </c>
      <c r="OD28">
        <v>0</v>
      </c>
      <c r="OE28">
        <v>0</v>
      </c>
      <c r="OF28">
        <v>0</v>
      </c>
      <c r="OG28">
        <v>0</v>
      </c>
      <c r="OH28">
        <v>1</v>
      </c>
      <c r="OI28">
        <v>0</v>
      </c>
      <c r="OJ28">
        <v>0</v>
      </c>
      <c r="OK28">
        <v>1</v>
      </c>
      <c r="OL28">
        <v>1</v>
      </c>
      <c r="OM28">
        <v>1</v>
      </c>
      <c r="ON28">
        <v>0</v>
      </c>
      <c r="OO28">
        <v>1</v>
      </c>
      <c r="OP28">
        <v>0</v>
      </c>
      <c r="OQ28">
        <v>0</v>
      </c>
      <c r="OR28">
        <v>0</v>
      </c>
      <c r="OS28">
        <v>1</v>
      </c>
      <c r="OT28">
        <v>0</v>
      </c>
      <c r="OU28">
        <v>0</v>
      </c>
      <c r="OV28">
        <v>1</v>
      </c>
      <c r="OW28">
        <v>0</v>
      </c>
      <c r="OX28">
        <v>0</v>
      </c>
      <c r="OY28">
        <v>1</v>
      </c>
      <c r="OZ28">
        <v>0</v>
      </c>
      <c r="PA28">
        <v>0</v>
      </c>
      <c r="PB28">
        <v>0</v>
      </c>
      <c r="PC28">
        <v>0</v>
      </c>
      <c r="PD28">
        <v>0</v>
      </c>
      <c r="PE28">
        <v>0</v>
      </c>
      <c r="PF28">
        <v>1</v>
      </c>
      <c r="PG28">
        <v>0</v>
      </c>
      <c r="PH28">
        <v>0</v>
      </c>
      <c r="PI28">
        <v>0</v>
      </c>
      <c r="PJ28">
        <v>0</v>
      </c>
      <c r="PK28">
        <v>1</v>
      </c>
      <c r="PL28">
        <v>0</v>
      </c>
      <c r="PM28">
        <v>1</v>
      </c>
      <c r="PN28">
        <v>0</v>
      </c>
      <c r="PO28">
        <v>0</v>
      </c>
      <c r="PP28">
        <v>0</v>
      </c>
      <c r="PQ28">
        <v>1</v>
      </c>
      <c r="PR28">
        <v>0</v>
      </c>
      <c r="PS28">
        <v>0</v>
      </c>
      <c r="PT28">
        <v>1</v>
      </c>
      <c r="PU28">
        <v>1</v>
      </c>
      <c r="PV28">
        <v>0</v>
      </c>
    </row>
    <row r="29" spans="1:438" x14ac:dyDescent="0.3">
      <c r="A29" s="31">
        <v>82</v>
      </c>
      <c r="B29" s="28">
        <v>3.25</v>
      </c>
      <c r="C29" s="30">
        <v>84.69</v>
      </c>
      <c r="D29" s="28">
        <v>1.6</v>
      </c>
      <c r="E29" s="34">
        <f t="shared" si="0"/>
        <v>3.2000000000000001E-2</v>
      </c>
      <c r="F29" s="35">
        <f t="shared" si="1"/>
        <v>21.172499999999999</v>
      </c>
      <c r="G29" s="34">
        <f t="shared" si="2"/>
        <v>40</v>
      </c>
      <c r="H29" s="33">
        <f t="shared" si="3"/>
        <v>8.870000000000001</v>
      </c>
      <c r="I29" s="29">
        <f t="shared" ca="1" si="4"/>
        <v>2</v>
      </c>
      <c r="J29">
        <f ca="1">IF(AND(SUMPRODUCT($J$2:J28,$B$2:B28)&lt;500,SUM(B28,SUMPRODUCT($J$2:J28,$B$2:B28))&lt;500),1,0)</f>
        <v>0</v>
      </c>
      <c r="K29">
        <v>2</v>
      </c>
      <c r="L29">
        <v>0</v>
      </c>
      <c r="W29">
        <v>0</v>
      </c>
      <c r="X29">
        <v>1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0</v>
      </c>
      <c r="AF29">
        <v>0</v>
      </c>
      <c r="AG29">
        <v>1</v>
      </c>
      <c r="AH29">
        <v>0</v>
      </c>
      <c r="AI29">
        <v>0</v>
      </c>
      <c r="AJ29">
        <v>0</v>
      </c>
      <c r="AK29">
        <v>0</v>
      </c>
      <c r="AL29">
        <v>1</v>
      </c>
      <c r="AM29">
        <v>1</v>
      </c>
      <c r="AN29">
        <v>1</v>
      </c>
      <c r="AO29">
        <v>1</v>
      </c>
      <c r="AP29">
        <v>0</v>
      </c>
      <c r="AQ29">
        <v>0</v>
      </c>
      <c r="AR29">
        <v>0</v>
      </c>
      <c r="AS29">
        <v>1</v>
      </c>
      <c r="AT29">
        <v>0</v>
      </c>
      <c r="AU29">
        <v>0</v>
      </c>
      <c r="AV29">
        <v>1</v>
      </c>
      <c r="AW29">
        <v>0</v>
      </c>
      <c r="AX29">
        <v>1</v>
      </c>
      <c r="AY29">
        <v>1</v>
      </c>
      <c r="AZ29">
        <v>1</v>
      </c>
      <c r="BA29">
        <v>1</v>
      </c>
      <c r="BB29">
        <v>0</v>
      </c>
      <c r="BC29">
        <v>1</v>
      </c>
      <c r="BD29">
        <v>0</v>
      </c>
      <c r="BE29">
        <v>0</v>
      </c>
      <c r="BF29">
        <v>1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1</v>
      </c>
      <c r="BN29">
        <v>1</v>
      </c>
      <c r="BO29">
        <v>0</v>
      </c>
      <c r="BP29">
        <v>1</v>
      </c>
      <c r="BQ29">
        <v>0</v>
      </c>
      <c r="BR29">
        <v>1</v>
      </c>
      <c r="BS29">
        <v>1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1</v>
      </c>
      <c r="CB29">
        <v>1</v>
      </c>
      <c r="CC29">
        <v>0</v>
      </c>
      <c r="CD29">
        <v>1</v>
      </c>
      <c r="CE29">
        <v>0</v>
      </c>
      <c r="CF29">
        <v>1</v>
      </c>
      <c r="CG29">
        <v>0</v>
      </c>
      <c r="CH29">
        <v>1</v>
      </c>
      <c r="CI29">
        <v>1</v>
      </c>
      <c r="CJ29">
        <v>1</v>
      </c>
      <c r="CK29">
        <v>1</v>
      </c>
      <c r="CL29">
        <v>1</v>
      </c>
      <c r="CM29">
        <v>1</v>
      </c>
      <c r="CN29">
        <v>1</v>
      </c>
      <c r="CO29">
        <v>0</v>
      </c>
      <c r="CP29">
        <v>0</v>
      </c>
      <c r="CQ29">
        <v>0</v>
      </c>
      <c r="CR29">
        <v>1</v>
      </c>
      <c r="CS29">
        <v>1</v>
      </c>
      <c r="CT29">
        <v>0</v>
      </c>
      <c r="CU29">
        <v>0</v>
      </c>
      <c r="CV29">
        <v>0</v>
      </c>
      <c r="CW29">
        <v>1</v>
      </c>
      <c r="CX29">
        <v>1</v>
      </c>
      <c r="CY29">
        <v>0</v>
      </c>
      <c r="CZ29">
        <v>0</v>
      </c>
      <c r="DA29">
        <v>1</v>
      </c>
      <c r="DB29">
        <v>0</v>
      </c>
      <c r="DC29">
        <v>0</v>
      </c>
      <c r="DD29">
        <v>1</v>
      </c>
      <c r="DE29">
        <v>0</v>
      </c>
      <c r="DF29">
        <v>0</v>
      </c>
      <c r="DG29">
        <v>1</v>
      </c>
      <c r="DH29">
        <v>0</v>
      </c>
      <c r="DI29">
        <v>0</v>
      </c>
      <c r="DJ29">
        <v>0</v>
      </c>
      <c r="DK29">
        <v>1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1</v>
      </c>
      <c r="DU29">
        <v>0</v>
      </c>
      <c r="DV29">
        <v>0</v>
      </c>
      <c r="DW29">
        <v>0</v>
      </c>
      <c r="DX29">
        <v>0</v>
      </c>
      <c r="DY29">
        <v>1</v>
      </c>
      <c r="DZ29">
        <v>1</v>
      </c>
      <c r="EA29">
        <v>0</v>
      </c>
      <c r="EB29">
        <v>0</v>
      </c>
      <c r="EC29">
        <v>1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1</v>
      </c>
      <c r="EN29">
        <v>1</v>
      </c>
      <c r="EO29">
        <v>1</v>
      </c>
      <c r="EP29">
        <v>0</v>
      </c>
      <c r="EQ29">
        <v>0</v>
      </c>
      <c r="ER29">
        <v>1</v>
      </c>
      <c r="ES29">
        <v>1</v>
      </c>
      <c r="ET29">
        <v>0</v>
      </c>
      <c r="EU29">
        <v>0</v>
      </c>
      <c r="EV29">
        <v>0</v>
      </c>
      <c r="EW29">
        <v>0</v>
      </c>
      <c r="EX29">
        <v>1</v>
      </c>
      <c r="EY29">
        <v>1</v>
      </c>
      <c r="EZ29">
        <v>1</v>
      </c>
      <c r="FA29">
        <v>0</v>
      </c>
      <c r="FB29">
        <v>0</v>
      </c>
      <c r="FC29">
        <v>1</v>
      </c>
      <c r="FD29">
        <v>1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1</v>
      </c>
      <c r="FK29">
        <v>1</v>
      </c>
      <c r="FL29">
        <v>0</v>
      </c>
      <c r="FM29">
        <v>1</v>
      </c>
      <c r="FN29">
        <v>1</v>
      </c>
      <c r="FO29">
        <v>1</v>
      </c>
      <c r="FP29">
        <v>0</v>
      </c>
      <c r="FQ29">
        <v>0</v>
      </c>
      <c r="FR29">
        <v>1</v>
      </c>
      <c r="FS29">
        <v>1</v>
      </c>
      <c r="FT29">
        <v>0</v>
      </c>
      <c r="FU29">
        <v>0</v>
      </c>
      <c r="FV29">
        <v>1</v>
      </c>
      <c r="FW29">
        <v>1</v>
      </c>
      <c r="FX29">
        <v>0</v>
      </c>
      <c r="FY29">
        <v>1</v>
      </c>
      <c r="FZ29">
        <v>0</v>
      </c>
      <c r="GA29">
        <v>1</v>
      </c>
      <c r="GB29">
        <v>1</v>
      </c>
      <c r="GC29">
        <v>0</v>
      </c>
      <c r="GD29">
        <v>0</v>
      </c>
      <c r="GE29">
        <v>0</v>
      </c>
      <c r="GF29">
        <v>0</v>
      </c>
      <c r="GG29">
        <v>1</v>
      </c>
      <c r="GH29">
        <v>0</v>
      </c>
      <c r="GI29">
        <v>0</v>
      </c>
      <c r="GJ29">
        <v>0</v>
      </c>
      <c r="GK29">
        <v>1</v>
      </c>
      <c r="GL29">
        <v>0</v>
      </c>
      <c r="GM29">
        <v>1</v>
      </c>
      <c r="GN29">
        <v>0</v>
      </c>
      <c r="GO29">
        <v>0</v>
      </c>
      <c r="GP29">
        <v>0</v>
      </c>
      <c r="GQ29">
        <v>0</v>
      </c>
      <c r="GR29">
        <v>1</v>
      </c>
      <c r="GS29">
        <v>1</v>
      </c>
      <c r="GT29">
        <v>1</v>
      </c>
      <c r="GU29">
        <v>0</v>
      </c>
      <c r="GV29">
        <v>0</v>
      </c>
      <c r="GW29">
        <v>0</v>
      </c>
      <c r="GX29">
        <v>1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1</v>
      </c>
      <c r="HE29">
        <v>1</v>
      </c>
      <c r="HF29">
        <v>0</v>
      </c>
      <c r="HG29">
        <v>0</v>
      </c>
      <c r="HH29">
        <v>0</v>
      </c>
      <c r="HI29">
        <v>1</v>
      </c>
      <c r="HJ29">
        <v>0</v>
      </c>
      <c r="HK29">
        <v>0</v>
      </c>
      <c r="HL29">
        <v>0</v>
      </c>
      <c r="HM29">
        <v>1</v>
      </c>
      <c r="HN29">
        <v>0</v>
      </c>
      <c r="HO29">
        <v>1</v>
      </c>
      <c r="HP29">
        <v>0</v>
      </c>
      <c r="HQ29">
        <v>0</v>
      </c>
      <c r="HR29">
        <v>0</v>
      </c>
      <c r="HS29">
        <v>0</v>
      </c>
      <c r="HT29">
        <v>1</v>
      </c>
      <c r="HU29">
        <v>0</v>
      </c>
      <c r="HV29">
        <v>0</v>
      </c>
      <c r="HW29">
        <v>1</v>
      </c>
      <c r="HX29">
        <v>0</v>
      </c>
      <c r="HY29">
        <v>1</v>
      </c>
      <c r="HZ29">
        <v>1</v>
      </c>
      <c r="IA29">
        <v>1</v>
      </c>
      <c r="IB29">
        <v>1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1</v>
      </c>
      <c r="II29">
        <v>1</v>
      </c>
      <c r="IJ29">
        <v>0</v>
      </c>
      <c r="IK29">
        <v>0</v>
      </c>
      <c r="IL29">
        <v>1</v>
      </c>
      <c r="IM29">
        <v>1</v>
      </c>
      <c r="IN29">
        <v>0</v>
      </c>
      <c r="IO29">
        <v>0</v>
      </c>
      <c r="IP29">
        <v>1</v>
      </c>
      <c r="IQ29">
        <v>0</v>
      </c>
      <c r="IR29">
        <v>0</v>
      </c>
      <c r="IS29">
        <v>0</v>
      </c>
      <c r="IT29">
        <v>0</v>
      </c>
      <c r="IU29">
        <v>0</v>
      </c>
      <c r="IV29">
        <v>0</v>
      </c>
      <c r="IW29">
        <v>0</v>
      </c>
      <c r="IX29">
        <v>1</v>
      </c>
      <c r="IY29">
        <v>1</v>
      </c>
      <c r="IZ29">
        <v>1</v>
      </c>
      <c r="JA29">
        <v>1</v>
      </c>
      <c r="JB29">
        <v>0</v>
      </c>
      <c r="JC29">
        <v>1</v>
      </c>
      <c r="JD29">
        <v>1</v>
      </c>
      <c r="JE29">
        <v>0</v>
      </c>
      <c r="JF29">
        <v>1</v>
      </c>
      <c r="JG29">
        <v>1</v>
      </c>
      <c r="JH29">
        <v>0</v>
      </c>
      <c r="JI29">
        <v>0</v>
      </c>
      <c r="JJ29">
        <v>0</v>
      </c>
      <c r="JK29">
        <v>1</v>
      </c>
      <c r="JL29">
        <v>0</v>
      </c>
      <c r="JM29">
        <v>1</v>
      </c>
      <c r="JN29">
        <v>1</v>
      </c>
      <c r="JO29">
        <v>0</v>
      </c>
      <c r="JP29">
        <v>1</v>
      </c>
      <c r="JQ29">
        <v>0</v>
      </c>
      <c r="JR29">
        <v>1</v>
      </c>
      <c r="JS29">
        <v>0</v>
      </c>
      <c r="JT29">
        <v>1</v>
      </c>
      <c r="JU29">
        <v>0</v>
      </c>
      <c r="JV29">
        <v>1</v>
      </c>
      <c r="JW29">
        <v>0</v>
      </c>
      <c r="JX29">
        <v>0</v>
      </c>
      <c r="JY29">
        <v>1</v>
      </c>
      <c r="JZ29">
        <v>0</v>
      </c>
      <c r="KA29">
        <v>0</v>
      </c>
      <c r="KB29">
        <v>0</v>
      </c>
      <c r="KC29">
        <v>1</v>
      </c>
      <c r="KD29">
        <v>0</v>
      </c>
      <c r="KE29">
        <v>0</v>
      </c>
      <c r="KF29">
        <v>0</v>
      </c>
      <c r="KG29">
        <v>0</v>
      </c>
      <c r="KH29">
        <v>1</v>
      </c>
      <c r="KI29">
        <v>0</v>
      </c>
      <c r="KJ29">
        <v>0</v>
      </c>
      <c r="KK29">
        <v>0</v>
      </c>
      <c r="KL29">
        <v>0</v>
      </c>
      <c r="KM29">
        <v>0</v>
      </c>
      <c r="KN29">
        <v>0</v>
      </c>
      <c r="KO29">
        <v>1</v>
      </c>
      <c r="KP29">
        <v>0</v>
      </c>
      <c r="KQ29">
        <v>0</v>
      </c>
      <c r="KR29">
        <v>1</v>
      </c>
      <c r="KS29">
        <v>1</v>
      </c>
      <c r="KT29">
        <v>1</v>
      </c>
      <c r="KU29">
        <v>0</v>
      </c>
      <c r="KV29">
        <v>1</v>
      </c>
      <c r="KW29">
        <v>0</v>
      </c>
      <c r="KX29">
        <v>1</v>
      </c>
      <c r="KY29">
        <v>0</v>
      </c>
      <c r="KZ29">
        <v>1</v>
      </c>
      <c r="LA29">
        <v>0</v>
      </c>
      <c r="LB29">
        <v>0</v>
      </c>
      <c r="LC29">
        <v>0</v>
      </c>
      <c r="LD29">
        <v>0</v>
      </c>
      <c r="LE29">
        <v>1</v>
      </c>
      <c r="LF29">
        <v>0</v>
      </c>
      <c r="LG29">
        <v>0</v>
      </c>
      <c r="LH29">
        <v>1</v>
      </c>
      <c r="LI29">
        <v>0</v>
      </c>
      <c r="LJ29">
        <v>0</v>
      </c>
      <c r="LK29">
        <v>0</v>
      </c>
      <c r="LL29">
        <v>1</v>
      </c>
      <c r="LM29">
        <v>0</v>
      </c>
      <c r="LN29">
        <v>0</v>
      </c>
      <c r="LO29">
        <v>1</v>
      </c>
      <c r="LP29">
        <v>1</v>
      </c>
      <c r="LQ29">
        <v>1</v>
      </c>
      <c r="LR29">
        <v>0</v>
      </c>
      <c r="LS29">
        <v>0</v>
      </c>
      <c r="LT29">
        <v>1</v>
      </c>
      <c r="LU29">
        <v>1</v>
      </c>
      <c r="LV29">
        <v>1</v>
      </c>
      <c r="LW29">
        <v>1</v>
      </c>
      <c r="LX29">
        <v>1</v>
      </c>
      <c r="LY29">
        <v>0</v>
      </c>
      <c r="LZ29">
        <v>0</v>
      </c>
      <c r="MA29">
        <v>1</v>
      </c>
      <c r="MB29">
        <v>1</v>
      </c>
      <c r="MC29">
        <v>0</v>
      </c>
      <c r="MD29">
        <v>0</v>
      </c>
      <c r="ME29">
        <v>0</v>
      </c>
      <c r="MF29">
        <v>1</v>
      </c>
      <c r="MG29">
        <v>0</v>
      </c>
      <c r="MH29">
        <v>0</v>
      </c>
      <c r="MI29">
        <v>0</v>
      </c>
      <c r="MJ29">
        <v>1</v>
      </c>
      <c r="MK29">
        <v>0</v>
      </c>
      <c r="ML29">
        <v>0</v>
      </c>
      <c r="MM29">
        <v>1</v>
      </c>
      <c r="MN29">
        <v>0</v>
      </c>
      <c r="MO29">
        <v>0</v>
      </c>
      <c r="MP29">
        <v>0</v>
      </c>
      <c r="MQ29">
        <v>0</v>
      </c>
      <c r="MR29">
        <v>0</v>
      </c>
      <c r="MS29">
        <v>0</v>
      </c>
      <c r="MT29">
        <v>0</v>
      </c>
      <c r="MU29">
        <v>1</v>
      </c>
      <c r="MV29">
        <v>1</v>
      </c>
      <c r="MW29">
        <v>0</v>
      </c>
      <c r="MX29">
        <v>0</v>
      </c>
      <c r="MY29">
        <v>0</v>
      </c>
      <c r="MZ29">
        <v>1</v>
      </c>
      <c r="NA29">
        <v>0</v>
      </c>
      <c r="NB29">
        <v>0</v>
      </c>
      <c r="NC29">
        <v>0</v>
      </c>
      <c r="ND29">
        <v>1</v>
      </c>
      <c r="NE29">
        <v>0</v>
      </c>
      <c r="NF29">
        <v>0</v>
      </c>
      <c r="NG29">
        <v>0</v>
      </c>
      <c r="NH29">
        <v>0</v>
      </c>
      <c r="NI29">
        <v>1</v>
      </c>
      <c r="NJ29">
        <v>1</v>
      </c>
      <c r="NK29">
        <v>0</v>
      </c>
      <c r="NL29">
        <v>1</v>
      </c>
      <c r="NM29">
        <v>0</v>
      </c>
      <c r="NN29">
        <v>0</v>
      </c>
      <c r="NO29">
        <v>1</v>
      </c>
      <c r="NP29">
        <v>1</v>
      </c>
      <c r="NQ29">
        <v>0</v>
      </c>
      <c r="NR29">
        <v>0</v>
      </c>
      <c r="NS29">
        <v>0</v>
      </c>
      <c r="NT29">
        <v>0</v>
      </c>
      <c r="NU29">
        <v>1</v>
      </c>
      <c r="NV29">
        <v>0</v>
      </c>
      <c r="NW29">
        <v>0</v>
      </c>
      <c r="NX29">
        <v>1</v>
      </c>
      <c r="NY29">
        <v>0</v>
      </c>
      <c r="NZ29">
        <v>1</v>
      </c>
      <c r="OA29">
        <v>0</v>
      </c>
      <c r="OB29">
        <v>0</v>
      </c>
      <c r="OC29">
        <v>1</v>
      </c>
      <c r="OD29">
        <v>0</v>
      </c>
      <c r="OE29">
        <v>0</v>
      </c>
      <c r="OF29">
        <v>0</v>
      </c>
      <c r="OG29">
        <v>1</v>
      </c>
      <c r="OH29">
        <v>1</v>
      </c>
      <c r="OI29">
        <v>1</v>
      </c>
      <c r="OJ29">
        <v>1</v>
      </c>
      <c r="OK29">
        <v>1</v>
      </c>
      <c r="OL29">
        <v>0</v>
      </c>
      <c r="OM29">
        <v>1</v>
      </c>
      <c r="ON29">
        <v>0</v>
      </c>
      <c r="OO29">
        <v>1</v>
      </c>
      <c r="OP29">
        <v>0</v>
      </c>
      <c r="OQ29">
        <v>0</v>
      </c>
      <c r="OR29">
        <v>0</v>
      </c>
      <c r="OS29">
        <v>1</v>
      </c>
      <c r="OT29">
        <v>0</v>
      </c>
      <c r="OU29">
        <v>0</v>
      </c>
      <c r="OV29">
        <v>1</v>
      </c>
      <c r="OW29">
        <v>1</v>
      </c>
      <c r="OX29">
        <v>0</v>
      </c>
      <c r="OY29">
        <v>0</v>
      </c>
      <c r="OZ29">
        <v>1</v>
      </c>
      <c r="PA29">
        <v>0</v>
      </c>
      <c r="PB29">
        <v>0</v>
      </c>
      <c r="PC29">
        <v>1</v>
      </c>
      <c r="PD29">
        <v>1</v>
      </c>
      <c r="PE29">
        <v>0</v>
      </c>
      <c r="PF29">
        <v>0</v>
      </c>
      <c r="PG29">
        <v>0</v>
      </c>
      <c r="PH29">
        <v>0</v>
      </c>
      <c r="PI29">
        <v>1</v>
      </c>
      <c r="PJ29">
        <v>1</v>
      </c>
      <c r="PK29">
        <v>0</v>
      </c>
      <c r="PL29">
        <v>0</v>
      </c>
      <c r="PM29">
        <v>0</v>
      </c>
      <c r="PN29">
        <v>0</v>
      </c>
      <c r="PO29">
        <v>0</v>
      </c>
      <c r="PP29">
        <v>0</v>
      </c>
      <c r="PQ29">
        <v>0</v>
      </c>
      <c r="PR29">
        <v>0</v>
      </c>
      <c r="PS29">
        <v>1</v>
      </c>
      <c r="PT29">
        <v>0</v>
      </c>
      <c r="PU29">
        <v>0</v>
      </c>
      <c r="PV29">
        <v>1</v>
      </c>
    </row>
    <row r="30" spans="1:438" x14ac:dyDescent="0.3">
      <c r="A30" s="31">
        <v>85</v>
      </c>
      <c r="B30" s="28">
        <v>0.86</v>
      </c>
      <c r="C30" s="30">
        <v>53.18</v>
      </c>
      <c r="D30" s="28">
        <v>0.59</v>
      </c>
      <c r="E30" s="34">
        <f t="shared" si="0"/>
        <v>1.18E-2</v>
      </c>
      <c r="F30" s="35">
        <f t="shared" si="1"/>
        <v>13.295</v>
      </c>
      <c r="G30" s="34">
        <f t="shared" si="2"/>
        <v>14.75</v>
      </c>
      <c r="H30" s="33">
        <f t="shared" si="3"/>
        <v>42.680232558139537</v>
      </c>
      <c r="I30" s="29">
        <f t="shared" ca="1" si="4"/>
        <v>1</v>
      </c>
      <c r="J30">
        <f ca="1">IF(AND(SUMPRODUCT($J$2:J29,$B$2:B29)&lt;500,SUM(B29,SUMPRODUCT($J$2:J29,$B$2:B29))&lt;500),1,0)</f>
        <v>1</v>
      </c>
      <c r="K30">
        <v>2</v>
      </c>
      <c r="L30">
        <v>1</v>
      </c>
      <c r="W30">
        <v>1</v>
      </c>
      <c r="X30">
        <v>0</v>
      </c>
      <c r="Y30">
        <v>1</v>
      </c>
      <c r="Z30">
        <v>0</v>
      </c>
      <c r="AA30">
        <v>0</v>
      </c>
      <c r="AB30">
        <v>1</v>
      </c>
      <c r="AC30">
        <v>1</v>
      </c>
      <c r="AD30">
        <v>1</v>
      </c>
      <c r="AE30">
        <v>0</v>
      </c>
      <c r="AF30">
        <v>1</v>
      </c>
      <c r="AG30">
        <v>0</v>
      </c>
      <c r="AH30">
        <v>0</v>
      </c>
      <c r="AI30">
        <v>0</v>
      </c>
      <c r="AJ30">
        <v>1</v>
      </c>
      <c r="AK30">
        <v>1</v>
      </c>
      <c r="AL30">
        <v>0</v>
      </c>
      <c r="AM30">
        <v>1</v>
      </c>
      <c r="AN30">
        <v>1</v>
      </c>
      <c r="AO30">
        <v>0</v>
      </c>
      <c r="AP30">
        <v>0</v>
      </c>
      <c r="AQ30">
        <v>0</v>
      </c>
      <c r="AR30">
        <v>0</v>
      </c>
      <c r="AS30">
        <v>1</v>
      </c>
      <c r="AT30">
        <v>0</v>
      </c>
      <c r="AU30">
        <v>0</v>
      </c>
      <c r="AV30">
        <v>1</v>
      </c>
      <c r="AW30">
        <v>1</v>
      </c>
      <c r="AX30">
        <v>0</v>
      </c>
      <c r="AY30">
        <v>1</v>
      </c>
      <c r="AZ30">
        <v>1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  <c r="BO30">
        <v>1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1</v>
      </c>
      <c r="BV30">
        <v>1</v>
      </c>
      <c r="BW30">
        <v>1</v>
      </c>
      <c r="BX30">
        <v>0</v>
      </c>
      <c r="BY30">
        <v>0</v>
      </c>
      <c r="BZ30">
        <v>1</v>
      </c>
      <c r="CA30">
        <v>0</v>
      </c>
      <c r="CB30">
        <v>1</v>
      </c>
      <c r="CC30">
        <v>0</v>
      </c>
      <c r="CD30">
        <v>0</v>
      </c>
      <c r="CE30">
        <v>0</v>
      </c>
      <c r="CF30">
        <v>1</v>
      </c>
      <c r="CG30">
        <v>1</v>
      </c>
      <c r="CH30">
        <v>1</v>
      </c>
      <c r="CI30">
        <v>1</v>
      </c>
      <c r="CJ30">
        <v>0</v>
      </c>
      <c r="CK30">
        <v>1</v>
      </c>
      <c r="CL30">
        <v>1</v>
      </c>
      <c r="CM30">
        <v>1</v>
      </c>
      <c r="CN30">
        <v>1</v>
      </c>
      <c r="CO30">
        <v>0</v>
      </c>
      <c r="CP30">
        <v>0</v>
      </c>
      <c r="CQ30">
        <v>0</v>
      </c>
      <c r="CR30">
        <v>1</v>
      </c>
      <c r="CS30">
        <v>1</v>
      </c>
      <c r="CT30">
        <v>1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1</v>
      </c>
      <c r="DF30">
        <v>1</v>
      </c>
      <c r="DG30">
        <v>1</v>
      </c>
      <c r="DH30">
        <v>0</v>
      </c>
      <c r="DI30">
        <v>0</v>
      </c>
      <c r="DJ30">
        <v>0</v>
      </c>
      <c r="DK30">
        <v>1</v>
      </c>
      <c r="DL30">
        <v>0</v>
      </c>
      <c r="DM30">
        <v>0</v>
      </c>
      <c r="DN30">
        <v>0</v>
      </c>
      <c r="DO30">
        <v>0</v>
      </c>
      <c r="DP30">
        <v>1</v>
      </c>
      <c r="DQ30">
        <v>0</v>
      </c>
      <c r="DR30">
        <v>1</v>
      </c>
      <c r="DS30">
        <v>1</v>
      </c>
      <c r="DT30">
        <v>1</v>
      </c>
      <c r="DU30">
        <v>0</v>
      </c>
      <c r="DV30">
        <v>0</v>
      </c>
      <c r="DW30">
        <v>0</v>
      </c>
      <c r="DX30">
        <v>1</v>
      </c>
      <c r="DY30">
        <v>1</v>
      </c>
      <c r="DZ30">
        <v>1</v>
      </c>
      <c r="EA30">
        <v>0</v>
      </c>
      <c r="EB30">
        <v>0</v>
      </c>
      <c r="EC30">
        <v>1</v>
      </c>
      <c r="ED30">
        <v>0</v>
      </c>
      <c r="EE30">
        <v>0</v>
      </c>
      <c r="EF30">
        <v>1</v>
      </c>
      <c r="EG30">
        <v>0</v>
      </c>
      <c r="EH30">
        <v>0</v>
      </c>
      <c r="EI30">
        <v>0</v>
      </c>
      <c r="EJ30">
        <v>0</v>
      </c>
      <c r="EK30">
        <v>1</v>
      </c>
      <c r="EL30">
        <v>0</v>
      </c>
      <c r="EM30">
        <v>1</v>
      </c>
      <c r="EN30">
        <v>0</v>
      </c>
      <c r="EO30">
        <v>0</v>
      </c>
      <c r="EP30">
        <v>1</v>
      </c>
      <c r="EQ30">
        <v>0</v>
      </c>
      <c r="ER30">
        <v>1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1</v>
      </c>
      <c r="EY30">
        <v>0</v>
      </c>
      <c r="EZ30">
        <v>0</v>
      </c>
      <c r="FA30">
        <v>0</v>
      </c>
      <c r="FB30">
        <v>0</v>
      </c>
      <c r="FC30">
        <v>1</v>
      </c>
      <c r="FD30">
        <v>0</v>
      </c>
      <c r="FE30">
        <v>0</v>
      </c>
      <c r="FF30">
        <v>1</v>
      </c>
      <c r="FG30">
        <v>1</v>
      </c>
      <c r="FH30">
        <v>0</v>
      </c>
      <c r="FI30">
        <v>0</v>
      </c>
      <c r="FJ30">
        <v>1</v>
      </c>
      <c r="FK30">
        <v>0</v>
      </c>
      <c r="FL30">
        <v>1</v>
      </c>
      <c r="FM30">
        <v>0</v>
      </c>
      <c r="FN30">
        <v>1</v>
      </c>
      <c r="FO30">
        <v>1</v>
      </c>
      <c r="FP30">
        <v>0</v>
      </c>
      <c r="FQ30">
        <v>1</v>
      </c>
      <c r="FR30">
        <v>0</v>
      </c>
      <c r="FS30">
        <v>1</v>
      </c>
      <c r="FT30">
        <v>0</v>
      </c>
      <c r="FU30">
        <v>1</v>
      </c>
      <c r="FV30">
        <v>1</v>
      </c>
      <c r="FW30">
        <v>0</v>
      </c>
      <c r="FX30">
        <v>0</v>
      </c>
      <c r="FY30">
        <v>1</v>
      </c>
      <c r="FZ30">
        <v>0</v>
      </c>
      <c r="GA30">
        <v>1</v>
      </c>
      <c r="GB30">
        <v>0</v>
      </c>
      <c r="GC30">
        <v>0</v>
      </c>
      <c r="GD30">
        <v>0</v>
      </c>
      <c r="GE30">
        <v>1</v>
      </c>
      <c r="GF30">
        <v>0</v>
      </c>
      <c r="GG30">
        <v>1</v>
      </c>
      <c r="GH30">
        <v>1</v>
      </c>
      <c r="GI30">
        <v>0</v>
      </c>
      <c r="GJ30">
        <v>1</v>
      </c>
      <c r="GK30">
        <v>0</v>
      </c>
      <c r="GL30">
        <v>1</v>
      </c>
      <c r="GM30">
        <v>1</v>
      </c>
      <c r="GN30">
        <v>0</v>
      </c>
      <c r="GO30">
        <v>0</v>
      </c>
      <c r="GP30">
        <v>0</v>
      </c>
      <c r="GQ30">
        <v>1</v>
      </c>
      <c r="GR30">
        <v>0</v>
      </c>
      <c r="GS30">
        <v>0</v>
      </c>
      <c r="GT30">
        <v>1</v>
      </c>
      <c r="GU30">
        <v>0</v>
      </c>
      <c r="GV30">
        <v>0</v>
      </c>
      <c r="GW30">
        <v>0</v>
      </c>
      <c r="GX30">
        <v>1</v>
      </c>
      <c r="GY30">
        <v>1</v>
      </c>
      <c r="GZ30">
        <v>0</v>
      </c>
      <c r="HA30">
        <v>0</v>
      </c>
      <c r="HB30">
        <v>1</v>
      </c>
      <c r="HC30">
        <v>0</v>
      </c>
      <c r="HD30">
        <v>1</v>
      </c>
      <c r="HE30">
        <v>0</v>
      </c>
      <c r="HF30">
        <v>1</v>
      </c>
      <c r="HG30">
        <v>0</v>
      </c>
      <c r="HH30">
        <v>0</v>
      </c>
      <c r="HI30">
        <v>1</v>
      </c>
      <c r="HJ30">
        <v>1</v>
      </c>
      <c r="HK30">
        <v>0</v>
      </c>
      <c r="HL30">
        <v>0</v>
      </c>
      <c r="HM30">
        <v>0</v>
      </c>
      <c r="HN30">
        <v>0</v>
      </c>
      <c r="HO30">
        <v>1</v>
      </c>
      <c r="HP30">
        <v>0</v>
      </c>
      <c r="HQ30">
        <v>1</v>
      </c>
      <c r="HR30">
        <v>0</v>
      </c>
      <c r="HS30">
        <v>0</v>
      </c>
      <c r="HT30">
        <v>1</v>
      </c>
      <c r="HU30">
        <v>0</v>
      </c>
      <c r="HV30">
        <v>0</v>
      </c>
      <c r="HW30">
        <v>1</v>
      </c>
      <c r="HX30">
        <v>0</v>
      </c>
      <c r="HY30">
        <v>1</v>
      </c>
      <c r="HZ30">
        <v>0</v>
      </c>
      <c r="IA30">
        <v>1</v>
      </c>
      <c r="IB30">
        <v>1</v>
      </c>
      <c r="IC30">
        <v>0</v>
      </c>
      <c r="ID30">
        <v>0</v>
      </c>
      <c r="IE30">
        <v>1</v>
      </c>
      <c r="IF30">
        <v>1</v>
      </c>
      <c r="IG30">
        <v>0</v>
      </c>
      <c r="IH30">
        <v>0</v>
      </c>
      <c r="II30">
        <v>1</v>
      </c>
      <c r="IJ30">
        <v>1</v>
      </c>
      <c r="IK30">
        <v>0</v>
      </c>
      <c r="IL30">
        <v>1</v>
      </c>
      <c r="IM30">
        <v>1</v>
      </c>
      <c r="IN30">
        <v>1</v>
      </c>
      <c r="IO30">
        <v>0</v>
      </c>
      <c r="IP30">
        <v>1</v>
      </c>
      <c r="IQ30">
        <v>0</v>
      </c>
      <c r="IR30">
        <v>0</v>
      </c>
      <c r="IS30">
        <v>0</v>
      </c>
      <c r="IT30">
        <v>0</v>
      </c>
      <c r="IU30">
        <v>0</v>
      </c>
      <c r="IV30">
        <v>0</v>
      </c>
      <c r="IW30">
        <v>1</v>
      </c>
      <c r="IX30">
        <v>1</v>
      </c>
      <c r="IY30">
        <v>0</v>
      </c>
      <c r="IZ30">
        <v>0</v>
      </c>
      <c r="JA30">
        <v>0</v>
      </c>
      <c r="JB30">
        <v>1</v>
      </c>
      <c r="JC30">
        <v>0</v>
      </c>
      <c r="JD30">
        <v>0</v>
      </c>
      <c r="JE30">
        <v>0</v>
      </c>
      <c r="JF30">
        <v>1</v>
      </c>
      <c r="JG30">
        <v>0</v>
      </c>
      <c r="JH30">
        <v>1</v>
      </c>
      <c r="JI30">
        <v>0</v>
      </c>
      <c r="JJ30">
        <v>0</v>
      </c>
      <c r="JK30">
        <v>1</v>
      </c>
      <c r="JL30">
        <v>0</v>
      </c>
      <c r="JM30">
        <v>1</v>
      </c>
      <c r="JN30">
        <v>1</v>
      </c>
      <c r="JO30">
        <v>0</v>
      </c>
      <c r="JP30">
        <v>1</v>
      </c>
      <c r="JQ30">
        <v>0</v>
      </c>
      <c r="JR30">
        <v>0</v>
      </c>
      <c r="JS30">
        <v>1</v>
      </c>
      <c r="JT30">
        <v>0</v>
      </c>
      <c r="JU30">
        <v>0</v>
      </c>
      <c r="JV30">
        <v>1</v>
      </c>
      <c r="JW30">
        <v>1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1</v>
      </c>
      <c r="KD30">
        <v>1</v>
      </c>
      <c r="KE30">
        <v>1</v>
      </c>
      <c r="KF30">
        <v>0</v>
      </c>
      <c r="KG30">
        <v>0</v>
      </c>
      <c r="KH30">
        <v>0</v>
      </c>
      <c r="KI30">
        <v>0</v>
      </c>
      <c r="KJ30">
        <v>1</v>
      </c>
      <c r="KK30">
        <v>1</v>
      </c>
      <c r="KL30">
        <v>0</v>
      </c>
      <c r="KM30">
        <v>0</v>
      </c>
      <c r="KN30">
        <v>0</v>
      </c>
      <c r="KO30">
        <v>1</v>
      </c>
      <c r="KP30">
        <v>0</v>
      </c>
      <c r="KQ30">
        <v>0</v>
      </c>
      <c r="KR30">
        <v>0</v>
      </c>
      <c r="KS30">
        <v>1</v>
      </c>
      <c r="KT30">
        <v>1</v>
      </c>
      <c r="KU30">
        <v>1</v>
      </c>
      <c r="KV30">
        <v>0</v>
      </c>
      <c r="KW30">
        <v>0</v>
      </c>
      <c r="KX30">
        <v>0</v>
      </c>
      <c r="KY30">
        <v>1</v>
      </c>
      <c r="KZ30">
        <v>1</v>
      </c>
      <c r="LA30">
        <v>0</v>
      </c>
      <c r="LB30">
        <v>0</v>
      </c>
      <c r="LC30">
        <v>0</v>
      </c>
      <c r="LD30">
        <v>1</v>
      </c>
      <c r="LE30">
        <v>0</v>
      </c>
      <c r="LF30">
        <v>0</v>
      </c>
      <c r="LG30">
        <v>1</v>
      </c>
      <c r="LH30">
        <v>1</v>
      </c>
      <c r="LI30">
        <v>0</v>
      </c>
      <c r="LJ30">
        <v>0</v>
      </c>
      <c r="LK30">
        <v>1</v>
      </c>
      <c r="LL30">
        <v>0</v>
      </c>
      <c r="LM30">
        <v>0</v>
      </c>
      <c r="LN30">
        <v>1</v>
      </c>
      <c r="LO30">
        <v>0</v>
      </c>
      <c r="LP30">
        <v>0</v>
      </c>
      <c r="LQ30">
        <v>0</v>
      </c>
      <c r="LR30">
        <v>1</v>
      </c>
      <c r="LS30">
        <v>1</v>
      </c>
      <c r="LT30">
        <v>1</v>
      </c>
      <c r="LU30">
        <v>1</v>
      </c>
      <c r="LV30">
        <v>0</v>
      </c>
      <c r="LW30">
        <v>1</v>
      </c>
      <c r="LX30">
        <v>1</v>
      </c>
      <c r="LY30">
        <v>1</v>
      </c>
      <c r="LZ30">
        <v>0</v>
      </c>
      <c r="MA30">
        <v>1</v>
      </c>
      <c r="MB30">
        <v>1</v>
      </c>
      <c r="MC30">
        <v>1</v>
      </c>
      <c r="MD30">
        <v>0</v>
      </c>
      <c r="ME30">
        <v>0</v>
      </c>
      <c r="MF30">
        <v>1</v>
      </c>
      <c r="MG30">
        <v>1</v>
      </c>
      <c r="MH30">
        <v>0</v>
      </c>
      <c r="MI30">
        <v>1</v>
      </c>
      <c r="MJ30">
        <v>0</v>
      </c>
      <c r="MK30">
        <v>1</v>
      </c>
      <c r="ML30">
        <v>0</v>
      </c>
      <c r="MM30">
        <v>1</v>
      </c>
      <c r="MN30">
        <v>0</v>
      </c>
      <c r="MO30">
        <v>0</v>
      </c>
      <c r="MP30">
        <v>0</v>
      </c>
      <c r="MQ30">
        <v>0</v>
      </c>
      <c r="MR30">
        <v>0</v>
      </c>
      <c r="MS30">
        <v>1</v>
      </c>
      <c r="MT30">
        <v>0</v>
      </c>
      <c r="MU30">
        <v>1</v>
      </c>
      <c r="MV30">
        <v>0</v>
      </c>
      <c r="MW30">
        <v>0</v>
      </c>
      <c r="MX30">
        <v>0</v>
      </c>
      <c r="MY30">
        <v>1</v>
      </c>
      <c r="MZ30">
        <v>0</v>
      </c>
      <c r="NA30">
        <v>1</v>
      </c>
      <c r="NB30">
        <v>1</v>
      </c>
      <c r="NC30">
        <v>0</v>
      </c>
      <c r="ND30">
        <v>1</v>
      </c>
      <c r="NE30">
        <v>0</v>
      </c>
      <c r="NF30">
        <v>0</v>
      </c>
      <c r="NG30">
        <v>1</v>
      </c>
      <c r="NH30">
        <v>0</v>
      </c>
      <c r="NI30">
        <v>1</v>
      </c>
      <c r="NJ30">
        <v>1</v>
      </c>
      <c r="NK30">
        <v>1</v>
      </c>
      <c r="NL30">
        <v>1</v>
      </c>
      <c r="NM30">
        <v>1</v>
      </c>
      <c r="NN30">
        <v>0</v>
      </c>
      <c r="NO30">
        <v>1</v>
      </c>
      <c r="NP30">
        <v>0</v>
      </c>
      <c r="NQ30">
        <v>0</v>
      </c>
      <c r="NR30">
        <v>0</v>
      </c>
      <c r="NS30">
        <v>0</v>
      </c>
      <c r="NT30">
        <v>0</v>
      </c>
      <c r="NU30">
        <v>0</v>
      </c>
      <c r="NV30">
        <v>0</v>
      </c>
      <c r="NW30">
        <v>0</v>
      </c>
      <c r="NX30">
        <v>1</v>
      </c>
      <c r="NY30">
        <v>0</v>
      </c>
      <c r="NZ30">
        <v>1</v>
      </c>
      <c r="OA30">
        <v>0</v>
      </c>
      <c r="OB30">
        <v>0</v>
      </c>
      <c r="OC30">
        <v>1</v>
      </c>
      <c r="OD30">
        <v>0</v>
      </c>
      <c r="OE30">
        <v>0</v>
      </c>
      <c r="OF30">
        <v>0</v>
      </c>
      <c r="OG30">
        <v>1</v>
      </c>
      <c r="OH30">
        <v>0</v>
      </c>
      <c r="OI30">
        <v>1</v>
      </c>
      <c r="OJ30">
        <v>0</v>
      </c>
      <c r="OK30">
        <v>0</v>
      </c>
      <c r="OL30">
        <v>0</v>
      </c>
      <c r="OM30">
        <v>1</v>
      </c>
      <c r="ON30">
        <v>0</v>
      </c>
      <c r="OO30">
        <v>0</v>
      </c>
      <c r="OP30">
        <v>0</v>
      </c>
      <c r="OQ30">
        <v>0</v>
      </c>
      <c r="OR30">
        <v>0</v>
      </c>
      <c r="OS30">
        <v>1</v>
      </c>
      <c r="OT30">
        <v>0</v>
      </c>
      <c r="OU30">
        <v>0</v>
      </c>
      <c r="OV30">
        <v>1</v>
      </c>
      <c r="OW30">
        <v>1</v>
      </c>
      <c r="OX30">
        <v>0</v>
      </c>
      <c r="OY30">
        <v>0</v>
      </c>
      <c r="OZ30">
        <v>0</v>
      </c>
      <c r="PA30">
        <v>0</v>
      </c>
      <c r="PB30">
        <v>0</v>
      </c>
      <c r="PC30">
        <v>0</v>
      </c>
      <c r="PD30">
        <v>1</v>
      </c>
      <c r="PE30">
        <v>0</v>
      </c>
      <c r="PF30">
        <v>0</v>
      </c>
      <c r="PG30">
        <v>1</v>
      </c>
      <c r="PH30">
        <v>0</v>
      </c>
      <c r="PI30">
        <v>1</v>
      </c>
      <c r="PJ30">
        <v>1</v>
      </c>
      <c r="PK30">
        <v>1</v>
      </c>
      <c r="PL30">
        <v>0</v>
      </c>
      <c r="PM30">
        <v>1</v>
      </c>
      <c r="PN30">
        <v>0</v>
      </c>
      <c r="PO30">
        <v>0</v>
      </c>
      <c r="PP30">
        <v>0</v>
      </c>
      <c r="PQ30">
        <v>1</v>
      </c>
      <c r="PR30">
        <v>0</v>
      </c>
      <c r="PS30">
        <v>0</v>
      </c>
      <c r="PT30">
        <v>0</v>
      </c>
      <c r="PU30">
        <v>1</v>
      </c>
      <c r="PV30">
        <v>0</v>
      </c>
    </row>
    <row r="31" spans="1:438" x14ac:dyDescent="0.3">
      <c r="A31" s="31">
        <v>86</v>
      </c>
      <c r="B31" s="28">
        <v>0.44</v>
      </c>
      <c r="C31" s="30">
        <v>78.180000000000007</v>
      </c>
      <c r="D31" s="28">
        <v>2.75</v>
      </c>
      <c r="E31" s="34">
        <f t="shared" si="0"/>
        <v>5.5E-2</v>
      </c>
      <c r="F31" s="35">
        <f t="shared" si="1"/>
        <v>19.545000000000002</v>
      </c>
      <c r="G31" s="34">
        <f t="shared" si="2"/>
        <v>68.75</v>
      </c>
      <c r="H31" s="33">
        <f t="shared" si="3"/>
        <v>182.85227272727272</v>
      </c>
      <c r="I31" s="29">
        <f t="shared" ca="1" si="4"/>
        <v>0</v>
      </c>
      <c r="J31">
        <f ca="1">IF(AND(SUMPRODUCT($J$2:J30,$B$2:B30)&lt;500,SUM(B30,SUMPRODUCT($J$2:J30,$B$2:B30))&lt;500),1,0)</f>
        <v>1</v>
      </c>
      <c r="K31">
        <v>4</v>
      </c>
      <c r="L31">
        <v>1</v>
      </c>
      <c r="W31">
        <v>0</v>
      </c>
      <c r="X31">
        <v>0</v>
      </c>
      <c r="Y31">
        <v>1</v>
      </c>
      <c r="Z31">
        <v>1</v>
      </c>
      <c r="AA31">
        <v>1</v>
      </c>
      <c r="AB31">
        <v>0</v>
      </c>
      <c r="AC31">
        <v>1</v>
      </c>
      <c r="AD31">
        <v>1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1</v>
      </c>
      <c r="AK31">
        <v>1</v>
      </c>
      <c r="AL31">
        <v>1</v>
      </c>
      <c r="AM31">
        <v>1</v>
      </c>
      <c r="AN31">
        <v>0</v>
      </c>
      <c r="AO31">
        <v>0</v>
      </c>
      <c r="AP31">
        <v>1</v>
      </c>
      <c r="AQ31">
        <v>0</v>
      </c>
      <c r="AR31">
        <v>1</v>
      </c>
      <c r="AS31">
        <v>1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0</v>
      </c>
      <c r="BB31">
        <v>0</v>
      </c>
      <c r="BC31">
        <v>1</v>
      </c>
      <c r="BD31">
        <v>0</v>
      </c>
      <c r="BE31">
        <v>0</v>
      </c>
      <c r="BF31">
        <v>1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1</v>
      </c>
      <c r="BN31">
        <v>0</v>
      </c>
      <c r="BO31">
        <v>1</v>
      </c>
      <c r="BP31">
        <v>0</v>
      </c>
      <c r="BQ31">
        <v>0</v>
      </c>
      <c r="BR31">
        <v>1</v>
      </c>
      <c r="BS31">
        <v>0</v>
      </c>
      <c r="BT31">
        <v>0</v>
      </c>
      <c r="BU31">
        <v>1</v>
      </c>
      <c r="BV31">
        <v>1</v>
      </c>
      <c r="BW31">
        <v>1</v>
      </c>
      <c r="BX31">
        <v>0</v>
      </c>
      <c r="BY31">
        <v>0</v>
      </c>
      <c r="BZ31">
        <v>0</v>
      </c>
      <c r="CA31">
        <v>0</v>
      </c>
      <c r="CB31">
        <v>1</v>
      </c>
      <c r="CC31">
        <v>1</v>
      </c>
      <c r="CD31">
        <v>0</v>
      </c>
      <c r="CE31">
        <v>1</v>
      </c>
      <c r="CF31">
        <v>1</v>
      </c>
      <c r="CG31">
        <v>1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1</v>
      </c>
      <c r="CN31">
        <v>1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1</v>
      </c>
      <c r="CU31">
        <v>0</v>
      </c>
      <c r="CV31">
        <v>0</v>
      </c>
      <c r="CW31">
        <v>1</v>
      </c>
      <c r="CX31">
        <v>0</v>
      </c>
      <c r="CY31">
        <v>1</v>
      </c>
      <c r="CZ31">
        <v>0</v>
      </c>
      <c r="DA31">
        <v>0</v>
      </c>
      <c r="DB31">
        <v>1</v>
      </c>
      <c r="DC31">
        <v>0</v>
      </c>
      <c r="DD31">
        <v>1</v>
      </c>
      <c r="DE31">
        <v>1</v>
      </c>
      <c r="DF31">
        <v>1</v>
      </c>
      <c r="DG31">
        <v>1</v>
      </c>
      <c r="DH31">
        <v>0</v>
      </c>
      <c r="DI31">
        <v>0</v>
      </c>
      <c r="DJ31">
        <v>0</v>
      </c>
      <c r="DK31">
        <v>1</v>
      </c>
      <c r="DL31">
        <v>1</v>
      </c>
      <c r="DM31">
        <v>1</v>
      </c>
      <c r="DN31">
        <v>0</v>
      </c>
      <c r="DO31">
        <v>0</v>
      </c>
      <c r="DP31">
        <v>1</v>
      </c>
      <c r="DQ31">
        <v>0</v>
      </c>
      <c r="DR31">
        <v>1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1</v>
      </c>
      <c r="DZ31">
        <v>1</v>
      </c>
      <c r="EA31">
        <v>0</v>
      </c>
      <c r="EB31">
        <v>0</v>
      </c>
      <c r="EC31">
        <v>0</v>
      </c>
      <c r="ED31">
        <v>1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1</v>
      </c>
      <c r="EK31">
        <v>0</v>
      </c>
      <c r="EL31">
        <v>0</v>
      </c>
      <c r="EM31">
        <v>1</v>
      </c>
      <c r="EN31">
        <v>1</v>
      </c>
      <c r="EO31">
        <v>1</v>
      </c>
      <c r="EP31">
        <v>1</v>
      </c>
      <c r="EQ31">
        <v>0</v>
      </c>
      <c r="ER31">
        <v>0</v>
      </c>
      <c r="ES31">
        <v>1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1</v>
      </c>
      <c r="EZ31">
        <v>0</v>
      </c>
      <c r="FA31">
        <v>1</v>
      </c>
      <c r="FB31">
        <v>0</v>
      </c>
      <c r="FC31">
        <v>1</v>
      </c>
      <c r="FD31">
        <v>0</v>
      </c>
      <c r="FE31">
        <v>0</v>
      </c>
      <c r="FF31">
        <v>0</v>
      </c>
      <c r="FG31">
        <v>0</v>
      </c>
      <c r="FH31">
        <v>1</v>
      </c>
      <c r="FI31">
        <v>1</v>
      </c>
      <c r="FJ31">
        <v>1</v>
      </c>
      <c r="FK31">
        <v>1</v>
      </c>
      <c r="FL31">
        <v>0</v>
      </c>
      <c r="FM31">
        <v>1</v>
      </c>
      <c r="FN31">
        <v>0</v>
      </c>
      <c r="FO31">
        <v>1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1</v>
      </c>
      <c r="FV31">
        <v>1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1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1</v>
      </c>
      <c r="GL31">
        <v>0</v>
      </c>
      <c r="GM31">
        <v>1</v>
      </c>
      <c r="GN31">
        <v>0</v>
      </c>
      <c r="GO31">
        <v>1</v>
      </c>
      <c r="GP31">
        <v>1</v>
      </c>
      <c r="GQ31">
        <v>0</v>
      </c>
      <c r="GR31">
        <v>0</v>
      </c>
      <c r="GS31">
        <v>1</v>
      </c>
      <c r="GT31">
        <v>1</v>
      </c>
      <c r="GU31">
        <v>0</v>
      </c>
      <c r="GV31">
        <v>1</v>
      </c>
      <c r="GW31">
        <v>0</v>
      </c>
      <c r="GX31">
        <v>0</v>
      </c>
      <c r="GY31">
        <v>1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1</v>
      </c>
      <c r="HG31">
        <v>0</v>
      </c>
      <c r="HH31">
        <v>0</v>
      </c>
      <c r="HI31">
        <v>1</v>
      </c>
      <c r="HJ31">
        <v>1</v>
      </c>
      <c r="HK31">
        <v>0</v>
      </c>
      <c r="HL31">
        <v>0</v>
      </c>
      <c r="HM31">
        <v>1</v>
      </c>
      <c r="HN31">
        <v>0</v>
      </c>
      <c r="HO31">
        <v>0</v>
      </c>
      <c r="HP31">
        <v>0</v>
      </c>
      <c r="HQ31">
        <v>1</v>
      </c>
      <c r="HR31">
        <v>1</v>
      </c>
      <c r="HS31">
        <v>0</v>
      </c>
      <c r="HT31">
        <v>0</v>
      </c>
      <c r="HU31">
        <v>0</v>
      </c>
      <c r="HV31">
        <v>1</v>
      </c>
      <c r="HW31">
        <v>1</v>
      </c>
      <c r="HX31">
        <v>0</v>
      </c>
      <c r="HY31">
        <v>1</v>
      </c>
      <c r="HZ31">
        <v>1</v>
      </c>
      <c r="IA31">
        <v>0</v>
      </c>
      <c r="IB31">
        <v>0</v>
      </c>
      <c r="IC31">
        <v>0</v>
      </c>
      <c r="ID31">
        <v>1</v>
      </c>
      <c r="IE31">
        <v>1</v>
      </c>
      <c r="IF31">
        <v>1</v>
      </c>
      <c r="IG31">
        <v>0</v>
      </c>
      <c r="IH31">
        <v>1</v>
      </c>
      <c r="II31">
        <v>1</v>
      </c>
      <c r="IJ31">
        <v>1</v>
      </c>
      <c r="IK31">
        <v>0</v>
      </c>
      <c r="IL31">
        <v>1</v>
      </c>
      <c r="IM31">
        <v>0</v>
      </c>
      <c r="IN31">
        <v>0</v>
      </c>
      <c r="IO31">
        <v>0</v>
      </c>
      <c r="IP31">
        <v>1</v>
      </c>
      <c r="IQ31">
        <v>0</v>
      </c>
      <c r="IR31">
        <v>0</v>
      </c>
      <c r="IS31">
        <v>0</v>
      </c>
      <c r="IT31">
        <v>1</v>
      </c>
      <c r="IU31">
        <v>1</v>
      </c>
      <c r="IV31">
        <v>0</v>
      </c>
      <c r="IW31">
        <v>0</v>
      </c>
      <c r="IX31">
        <v>1</v>
      </c>
      <c r="IY31">
        <v>1</v>
      </c>
      <c r="IZ31">
        <v>1</v>
      </c>
      <c r="JA31">
        <v>1</v>
      </c>
      <c r="JB31">
        <v>1</v>
      </c>
      <c r="JC31">
        <v>1</v>
      </c>
      <c r="JD31">
        <v>1</v>
      </c>
      <c r="JE31">
        <v>0</v>
      </c>
      <c r="JF31">
        <v>0</v>
      </c>
      <c r="JG31">
        <v>1</v>
      </c>
      <c r="JH31">
        <v>0</v>
      </c>
      <c r="JI31">
        <v>0</v>
      </c>
      <c r="JJ31">
        <v>0</v>
      </c>
      <c r="JK31">
        <v>1</v>
      </c>
      <c r="JL31">
        <v>0</v>
      </c>
      <c r="JM31">
        <v>1</v>
      </c>
      <c r="JN31">
        <v>1</v>
      </c>
      <c r="JO31">
        <v>1</v>
      </c>
      <c r="JP31">
        <v>1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1</v>
      </c>
      <c r="JW31">
        <v>0</v>
      </c>
      <c r="JX31">
        <v>1</v>
      </c>
      <c r="JY31">
        <v>0</v>
      </c>
      <c r="JZ31">
        <v>0</v>
      </c>
      <c r="KA31">
        <v>0</v>
      </c>
      <c r="KB31">
        <v>0</v>
      </c>
      <c r="KC31">
        <v>0</v>
      </c>
      <c r="KD31">
        <v>0</v>
      </c>
      <c r="KE31">
        <v>0</v>
      </c>
      <c r="KF31">
        <v>0</v>
      </c>
      <c r="KG31">
        <v>0</v>
      </c>
      <c r="KH31">
        <v>1</v>
      </c>
      <c r="KI31">
        <v>0</v>
      </c>
      <c r="KJ31">
        <v>1</v>
      </c>
      <c r="KK31">
        <v>0</v>
      </c>
      <c r="KL31">
        <v>0</v>
      </c>
      <c r="KM31">
        <v>1</v>
      </c>
      <c r="KN31">
        <v>0</v>
      </c>
      <c r="KO31">
        <v>0</v>
      </c>
      <c r="KP31">
        <v>0</v>
      </c>
      <c r="KQ31">
        <v>1</v>
      </c>
      <c r="KR31">
        <v>0</v>
      </c>
      <c r="KS31">
        <v>1</v>
      </c>
      <c r="KT31">
        <v>1</v>
      </c>
      <c r="KU31">
        <v>1</v>
      </c>
      <c r="KV31">
        <v>0</v>
      </c>
      <c r="KW31">
        <v>0</v>
      </c>
      <c r="KX31">
        <v>0</v>
      </c>
      <c r="KY31">
        <v>1</v>
      </c>
      <c r="KZ31">
        <v>1</v>
      </c>
      <c r="LA31">
        <v>0</v>
      </c>
      <c r="LB31">
        <v>0</v>
      </c>
      <c r="LC31">
        <v>0</v>
      </c>
      <c r="LD31">
        <v>0</v>
      </c>
      <c r="LE31">
        <v>0</v>
      </c>
      <c r="LF31">
        <v>1</v>
      </c>
      <c r="LG31">
        <v>0</v>
      </c>
      <c r="LH31">
        <v>1</v>
      </c>
      <c r="LI31">
        <v>0</v>
      </c>
      <c r="LJ31">
        <v>0</v>
      </c>
      <c r="LK31">
        <v>0</v>
      </c>
      <c r="LL31">
        <v>1</v>
      </c>
      <c r="LM31">
        <v>0</v>
      </c>
      <c r="LN31">
        <v>1</v>
      </c>
      <c r="LO31">
        <v>1</v>
      </c>
      <c r="LP31">
        <v>1</v>
      </c>
      <c r="LQ31">
        <v>1</v>
      </c>
      <c r="LR31">
        <v>0</v>
      </c>
      <c r="LS31">
        <v>0</v>
      </c>
      <c r="LT31">
        <v>0</v>
      </c>
      <c r="LU31">
        <v>1</v>
      </c>
      <c r="LV31">
        <v>0</v>
      </c>
      <c r="LW31">
        <v>0</v>
      </c>
      <c r="LX31">
        <v>1</v>
      </c>
      <c r="LY31">
        <v>0</v>
      </c>
      <c r="LZ31">
        <v>0</v>
      </c>
      <c r="MA31">
        <v>1</v>
      </c>
      <c r="MB31">
        <v>0</v>
      </c>
      <c r="MC31">
        <v>1</v>
      </c>
      <c r="MD31">
        <v>1</v>
      </c>
      <c r="ME31">
        <v>1</v>
      </c>
      <c r="MF31">
        <v>0</v>
      </c>
      <c r="MG31">
        <v>1</v>
      </c>
      <c r="MH31">
        <v>0</v>
      </c>
      <c r="MI31">
        <v>0</v>
      </c>
      <c r="MJ31">
        <v>1</v>
      </c>
      <c r="MK31">
        <v>1</v>
      </c>
      <c r="ML31">
        <v>1</v>
      </c>
      <c r="MM31">
        <v>1</v>
      </c>
      <c r="MN31">
        <v>1</v>
      </c>
      <c r="MO31">
        <v>1</v>
      </c>
      <c r="MP31">
        <v>0</v>
      </c>
      <c r="MQ31">
        <v>0</v>
      </c>
      <c r="MR31">
        <v>1</v>
      </c>
      <c r="MS31">
        <v>0</v>
      </c>
      <c r="MT31">
        <v>1</v>
      </c>
      <c r="MU31">
        <v>0</v>
      </c>
      <c r="MV31">
        <v>0</v>
      </c>
      <c r="MW31">
        <v>1</v>
      </c>
      <c r="MX31">
        <v>0</v>
      </c>
      <c r="MY31">
        <v>1</v>
      </c>
      <c r="MZ31">
        <v>1</v>
      </c>
      <c r="NA31">
        <v>0</v>
      </c>
      <c r="NB31">
        <v>1</v>
      </c>
      <c r="NC31">
        <v>0</v>
      </c>
      <c r="ND31">
        <v>0</v>
      </c>
      <c r="NE31">
        <v>1</v>
      </c>
      <c r="NF31">
        <v>1</v>
      </c>
      <c r="NG31">
        <v>0</v>
      </c>
      <c r="NH31">
        <v>0</v>
      </c>
      <c r="NI31">
        <v>1</v>
      </c>
      <c r="NJ31">
        <v>1</v>
      </c>
      <c r="NK31">
        <v>1</v>
      </c>
      <c r="NL31">
        <v>1</v>
      </c>
      <c r="NM31">
        <v>0</v>
      </c>
      <c r="NN31">
        <v>0</v>
      </c>
      <c r="NO31">
        <v>1</v>
      </c>
      <c r="NP31">
        <v>0</v>
      </c>
      <c r="NQ31">
        <v>1</v>
      </c>
      <c r="NR31">
        <v>0</v>
      </c>
      <c r="NS31">
        <v>0</v>
      </c>
      <c r="NT31">
        <v>0</v>
      </c>
      <c r="NU31">
        <v>0</v>
      </c>
      <c r="NV31">
        <v>0</v>
      </c>
      <c r="NW31">
        <v>0</v>
      </c>
      <c r="NX31">
        <v>1</v>
      </c>
      <c r="NY31">
        <v>0</v>
      </c>
      <c r="NZ31">
        <v>1</v>
      </c>
      <c r="OA31">
        <v>0</v>
      </c>
      <c r="OB31">
        <v>0</v>
      </c>
      <c r="OC31">
        <v>0</v>
      </c>
      <c r="OD31">
        <v>0</v>
      </c>
      <c r="OE31">
        <v>0</v>
      </c>
      <c r="OF31">
        <v>0</v>
      </c>
      <c r="OG31">
        <v>0</v>
      </c>
      <c r="OH31">
        <v>1</v>
      </c>
      <c r="OI31">
        <v>1</v>
      </c>
      <c r="OJ31">
        <v>1</v>
      </c>
      <c r="OK31">
        <v>1</v>
      </c>
      <c r="OL31">
        <v>0</v>
      </c>
      <c r="OM31">
        <v>0</v>
      </c>
      <c r="ON31">
        <v>0</v>
      </c>
      <c r="OO31">
        <v>0</v>
      </c>
      <c r="OP31">
        <v>0</v>
      </c>
      <c r="OQ31">
        <v>0</v>
      </c>
      <c r="OR31">
        <v>0</v>
      </c>
      <c r="OS31">
        <v>1</v>
      </c>
      <c r="OT31">
        <v>0</v>
      </c>
      <c r="OU31">
        <v>0</v>
      </c>
      <c r="OV31">
        <v>0</v>
      </c>
      <c r="OW31">
        <v>1</v>
      </c>
      <c r="OX31">
        <v>0</v>
      </c>
      <c r="OY31">
        <v>0</v>
      </c>
      <c r="OZ31">
        <v>0</v>
      </c>
      <c r="PA31">
        <v>1</v>
      </c>
      <c r="PB31">
        <v>0</v>
      </c>
      <c r="PC31">
        <v>0</v>
      </c>
      <c r="PD31">
        <v>0</v>
      </c>
      <c r="PE31">
        <v>0</v>
      </c>
      <c r="PF31">
        <v>0</v>
      </c>
      <c r="PG31">
        <v>0</v>
      </c>
      <c r="PH31">
        <v>0</v>
      </c>
      <c r="PI31">
        <v>0</v>
      </c>
      <c r="PJ31">
        <v>1</v>
      </c>
      <c r="PK31">
        <v>0</v>
      </c>
      <c r="PL31">
        <v>1</v>
      </c>
      <c r="PM31">
        <v>1</v>
      </c>
      <c r="PN31">
        <v>1</v>
      </c>
      <c r="PO31">
        <v>0</v>
      </c>
      <c r="PP31">
        <v>1</v>
      </c>
      <c r="PQ31">
        <v>1</v>
      </c>
      <c r="PR31">
        <v>1</v>
      </c>
      <c r="PS31">
        <v>1</v>
      </c>
      <c r="PT31">
        <v>0</v>
      </c>
      <c r="PU31">
        <v>1</v>
      </c>
      <c r="PV31">
        <v>0</v>
      </c>
    </row>
    <row r="32" spans="1:438" x14ac:dyDescent="0.3">
      <c r="A32" s="31">
        <v>87</v>
      </c>
      <c r="B32" s="28">
        <v>3.84</v>
      </c>
      <c r="C32" s="30">
        <v>54.92</v>
      </c>
      <c r="D32" s="28">
        <v>2.96</v>
      </c>
      <c r="E32" s="34">
        <f t="shared" si="0"/>
        <v>5.9200000000000003E-2</v>
      </c>
      <c r="F32" s="35">
        <f t="shared" si="1"/>
        <v>13.73</v>
      </c>
      <c r="G32" s="34">
        <f t="shared" si="2"/>
        <v>74</v>
      </c>
      <c r="H32" s="33">
        <f t="shared" si="3"/>
        <v>15.955729166666666</v>
      </c>
      <c r="I32" s="29">
        <f t="shared" ca="1" si="4"/>
        <v>0</v>
      </c>
      <c r="J32">
        <f ca="1">IF(AND(SUMPRODUCT($J$2:J31,$B$2:B31)&lt;500,SUM(B31,SUMPRODUCT($J$2:J31,$B$2:B31))&lt;500),1,0)</f>
        <v>1</v>
      </c>
      <c r="K32">
        <v>3</v>
      </c>
      <c r="L32">
        <v>1</v>
      </c>
      <c r="W32">
        <v>1</v>
      </c>
      <c r="X32">
        <v>0</v>
      </c>
      <c r="Y32">
        <v>0</v>
      </c>
      <c r="Z32">
        <v>0</v>
      </c>
      <c r="AA32">
        <v>0</v>
      </c>
      <c r="AB32">
        <v>1</v>
      </c>
      <c r="AC32">
        <v>0</v>
      </c>
      <c r="AD32">
        <v>1</v>
      </c>
      <c r="AE32">
        <v>0</v>
      </c>
      <c r="AF32">
        <v>1</v>
      </c>
      <c r="AG32">
        <v>1</v>
      </c>
      <c r="AH32">
        <v>0</v>
      </c>
      <c r="AI32">
        <v>0</v>
      </c>
      <c r="AJ32">
        <v>0</v>
      </c>
      <c r="AK32">
        <v>1</v>
      </c>
      <c r="AL32">
        <v>0</v>
      </c>
      <c r="AM32">
        <v>1</v>
      </c>
      <c r="AN32">
        <v>0</v>
      </c>
      <c r="AO32">
        <v>0</v>
      </c>
      <c r="AP32">
        <v>0</v>
      </c>
      <c r="AQ32">
        <v>0</v>
      </c>
      <c r="AR32">
        <v>1</v>
      </c>
      <c r="AS32">
        <v>1</v>
      </c>
      <c r="AT32">
        <v>0</v>
      </c>
      <c r="AU32">
        <v>1</v>
      </c>
      <c r="AV32">
        <v>0</v>
      </c>
      <c r="AW32">
        <v>0</v>
      </c>
      <c r="AX32">
        <v>0</v>
      </c>
      <c r="AY32">
        <v>0</v>
      </c>
      <c r="AZ32">
        <v>1</v>
      </c>
      <c r="BA32">
        <v>1</v>
      </c>
      <c r="BB32">
        <v>1</v>
      </c>
      <c r="BC32">
        <v>1</v>
      </c>
      <c r="BD32">
        <v>0</v>
      </c>
      <c r="BE32">
        <v>1</v>
      </c>
      <c r="BF32">
        <v>0</v>
      </c>
      <c r="BG32">
        <v>1</v>
      </c>
      <c r="BH32">
        <v>1</v>
      </c>
      <c r="BI32">
        <v>1</v>
      </c>
      <c r="BJ32">
        <v>0</v>
      </c>
      <c r="BK32">
        <v>0</v>
      </c>
      <c r="BL32">
        <v>0</v>
      </c>
      <c r="BM32">
        <v>1</v>
      </c>
      <c r="BN32">
        <v>0</v>
      </c>
      <c r="BO32">
        <v>1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1</v>
      </c>
      <c r="BV32">
        <v>0</v>
      </c>
      <c r="BW32">
        <v>1</v>
      </c>
      <c r="BX32">
        <v>1</v>
      </c>
      <c r="BY32">
        <v>0</v>
      </c>
      <c r="BZ32">
        <v>1</v>
      </c>
      <c r="CA32">
        <v>1</v>
      </c>
      <c r="CB32">
        <v>1</v>
      </c>
      <c r="CC32">
        <v>0</v>
      </c>
      <c r="CD32">
        <v>0</v>
      </c>
      <c r="CE32">
        <v>0</v>
      </c>
      <c r="CF32">
        <v>1</v>
      </c>
      <c r="CG32">
        <v>1</v>
      </c>
      <c r="CH32">
        <v>1</v>
      </c>
      <c r="CI32">
        <v>0</v>
      </c>
      <c r="CJ32">
        <v>0</v>
      </c>
      <c r="CK32">
        <v>1</v>
      </c>
      <c r="CL32">
        <v>0</v>
      </c>
      <c r="CM32">
        <v>0</v>
      </c>
      <c r="CN32">
        <v>1</v>
      </c>
      <c r="CO32">
        <v>1</v>
      </c>
      <c r="CP32">
        <v>1</v>
      </c>
      <c r="CQ32">
        <v>0</v>
      </c>
      <c r="CR32">
        <v>1</v>
      </c>
      <c r="CS32">
        <v>0</v>
      </c>
      <c r="CT32">
        <v>0</v>
      </c>
      <c r="CU32">
        <v>0</v>
      </c>
      <c r="CV32">
        <v>0</v>
      </c>
      <c r="CW32">
        <v>1</v>
      </c>
      <c r="CX32">
        <v>0</v>
      </c>
      <c r="CY32">
        <v>0</v>
      </c>
      <c r="CZ32">
        <v>0</v>
      </c>
      <c r="DA32">
        <v>0</v>
      </c>
      <c r="DB32">
        <v>1</v>
      </c>
      <c r="DC32">
        <v>0</v>
      </c>
      <c r="DD32">
        <v>0</v>
      </c>
      <c r="DE32">
        <v>0</v>
      </c>
      <c r="DF32">
        <v>1</v>
      </c>
      <c r="DG32">
        <v>1</v>
      </c>
      <c r="DH32">
        <v>0</v>
      </c>
      <c r="DI32">
        <v>1</v>
      </c>
      <c r="DJ32">
        <v>0</v>
      </c>
      <c r="DK32">
        <v>1</v>
      </c>
      <c r="DL32">
        <v>0</v>
      </c>
      <c r="DM32">
        <v>0</v>
      </c>
      <c r="DN32">
        <v>0</v>
      </c>
      <c r="DO32">
        <v>0</v>
      </c>
      <c r="DP32">
        <v>1</v>
      </c>
      <c r="DQ32">
        <v>0</v>
      </c>
      <c r="DR32">
        <v>1</v>
      </c>
      <c r="DS32">
        <v>0</v>
      </c>
      <c r="DT32">
        <v>1</v>
      </c>
      <c r="DU32">
        <v>0</v>
      </c>
      <c r="DV32">
        <v>0</v>
      </c>
      <c r="DW32">
        <v>0</v>
      </c>
      <c r="DX32">
        <v>0</v>
      </c>
      <c r="DY32">
        <v>1</v>
      </c>
      <c r="DZ32">
        <v>0</v>
      </c>
      <c r="EA32">
        <v>0</v>
      </c>
      <c r="EB32">
        <v>0</v>
      </c>
      <c r="EC32">
        <v>1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1</v>
      </c>
      <c r="EL32">
        <v>0</v>
      </c>
      <c r="EM32">
        <v>1</v>
      </c>
      <c r="EN32">
        <v>0</v>
      </c>
      <c r="EO32">
        <v>0</v>
      </c>
      <c r="EP32">
        <v>1</v>
      </c>
      <c r="EQ32">
        <v>0</v>
      </c>
      <c r="ER32">
        <v>0</v>
      </c>
      <c r="ES32">
        <v>1</v>
      </c>
      <c r="ET32">
        <v>0</v>
      </c>
      <c r="EU32">
        <v>0</v>
      </c>
      <c r="EV32">
        <v>0</v>
      </c>
      <c r="EW32">
        <v>0</v>
      </c>
      <c r="EX32">
        <v>1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1</v>
      </c>
      <c r="FJ32">
        <v>1</v>
      </c>
      <c r="FK32">
        <v>1</v>
      </c>
      <c r="FL32">
        <v>0</v>
      </c>
      <c r="FM32">
        <v>1</v>
      </c>
      <c r="FN32">
        <v>0</v>
      </c>
      <c r="FO32">
        <v>1</v>
      </c>
      <c r="FP32">
        <v>1</v>
      </c>
      <c r="FQ32">
        <v>1</v>
      </c>
      <c r="FR32">
        <v>0</v>
      </c>
      <c r="FS32">
        <v>1</v>
      </c>
      <c r="FT32">
        <v>0</v>
      </c>
      <c r="FU32">
        <v>0</v>
      </c>
      <c r="FV32">
        <v>1</v>
      </c>
      <c r="FW32">
        <v>0</v>
      </c>
      <c r="FX32">
        <v>0</v>
      </c>
      <c r="FY32">
        <v>1</v>
      </c>
      <c r="FZ32">
        <v>1</v>
      </c>
      <c r="GA32">
        <v>1</v>
      </c>
      <c r="GB32">
        <v>1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1</v>
      </c>
      <c r="GI32">
        <v>0</v>
      </c>
      <c r="GJ32">
        <v>1</v>
      </c>
      <c r="GK32">
        <v>0</v>
      </c>
      <c r="GL32">
        <v>0</v>
      </c>
      <c r="GM32">
        <v>0</v>
      </c>
      <c r="GN32">
        <v>0</v>
      </c>
      <c r="GO32">
        <v>1</v>
      </c>
      <c r="GP32">
        <v>1</v>
      </c>
      <c r="GQ32">
        <v>0</v>
      </c>
      <c r="GR32">
        <v>1</v>
      </c>
      <c r="GS32">
        <v>1</v>
      </c>
      <c r="GT32">
        <v>1</v>
      </c>
      <c r="GU32">
        <v>0</v>
      </c>
      <c r="GV32">
        <v>0</v>
      </c>
      <c r="GW32">
        <v>0</v>
      </c>
      <c r="GX32">
        <v>0</v>
      </c>
      <c r="GY32">
        <v>1</v>
      </c>
      <c r="GZ32">
        <v>0</v>
      </c>
      <c r="HA32">
        <v>0</v>
      </c>
      <c r="HB32">
        <v>0</v>
      </c>
      <c r="HC32">
        <v>0</v>
      </c>
      <c r="HD32">
        <v>1</v>
      </c>
      <c r="HE32">
        <v>1</v>
      </c>
      <c r="HF32">
        <v>1</v>
      </c>
      <c r="HG32">
        <v>0</v>
      </c>
      <c r="HH32">
        <v>0</v>
      </c>
      <c r="HI32">
        <v>1</v>
      </c>
      <c r="HJ32">
        <v>1</v>
      </c>
      <c r="HK32">
        <v>0</v>
      </c>
      <c r="HL32">
        <v>0</v>
      </c>
      <c r="HM32">
        <v>0</v>
      </c>
      <c r="HN32">
        <v>0</v>
      </c>
      <c r="HO32">
        <v>1</v>
      </c>
      <c r="HP32">
        <v>0</v>
      </c>
      <c r="HQ32">
        <v>1</v>
      </c>
      <c r="HR32">
        <v>0</v>
      </c>
      <c r="HS32">
        <v>1</v>
      </c>
      <c r="HT32">
        <v>1</v>
      </c>
      <c r="HU32">
        <v>1</v>
      </c>
      <c r="HV32">
        <v>0</v>
      </c>
      <c r="HW32">
        <v>1</v>
      </c>
      <c r="HX32">
        <v>0</v>
      </c>
      <c r="HY32">
        <v>0</v>
      </c>
      <c r="HZ32">
        <v>0</v>
      </c>
      <c r="IA32">
        <v>0</v>
      </c>
      <c r="IB32">
        <v>1</v>
      </c>
      <c r="IC32">
        <v>1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1</v>
      </c>
      <c r="IL32">
        <v>1</v>
      </c>
      <c r="IM32">
        <v>0</v>
      </c>
      <c r="IN32">
        <v>1</v>
      </c>
      <c r="IO32">
        <v>0</v>
      </c>
      <c r="IP32">
        <v>1</v>
      </c>
      <c r="IQ32">
        <v>0</v>
      </c>
      <c r="IR32">
        <v>0</v>
      </c>
      <c r="IS32">
        <v>1</v>
      </c>
      <c r="IT32">
        <v>1</v>
      </c>
      <c r="IU32">
        <v>1</v>
      </c>
      <c r="IV32">
        <v>0</v>
      </c>
      <c r="IW32">
        <v>1</v>
      </c>
      <c r="IX32">
        <v>1</v>
      </c>
      <c r="IY32">
        <v>0</v>
      </c>
      <c r="IZ32">
        <v>0</v>
      </c>
      <c r="JA32">
        <v>0</v>
      </c>
      <c r="JB32">
        <v>1</v>
      </c>
      <c r="JC32">
        <v>1</v>
      </c>
      <c r="JD32">
        <v>1</v>
      </c>
      <c r="JE32">
        <v>0</v>
      </c>
      <c r="JF32">
        <v>0</v>
      </c>
      <c r="JG32">
        <v>1</v>
      </c>
      <c r="JH32">
        <v>0</v>
      </c>
      <c r="JI32">
        <v>1</v>
      </c>
      <c r="JJ32">
        <v>0</v>
      </c>
      <c r="JK32">
        <v>1</v>
      </c>
      <c r="JL32">
        <v>0</v>
      </c>
      <c r="JM32">
        <v>1</v>
      </c>
      <c r="JN32">
        <v>0</v>
      </c>
      <c r="JO32">
        <v>1</v>
      </c>
      <c r="JP32">
        <v>1</v>
      </c>
      <c r="JQ32">
        <v>1</v>
      </c>
      <c r="JR32">
        <v>0</v>
      </c>
      <c r="JS32">
        <v>1</v>
      </c>
      <c r="JT32">
        <v>0</v>
      </c>
      <c r="JU32">
        <v>0</v>
      </c>
      <c r="JV32">
        <v>1</v>
      </c>
      <c r="JW32">
        <v>1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1</v>
      </c>
      <c r="KD32">
        <v>0</v>
      </c>
      <c r="KE32">
        <v>1</v>
      </c>
      <c r="KF32">
        <v>0</v>
      </c>
      <c r="KG32">
        <v>0</v>
      </c>
      <c r="KH32">
        <v>1</v>
      </c>
      <c r="KI32">
        <v>0</v>
      </c>
      <c r="KJ32">
        <v>1</v>
      </c>
      <c r="KK32">
        <v>1</v>
      </c>
      <c r="KL32">
        <v>0</v>
      </c>
      <c r="KM32">
        <v>0</v>
      </c>
      <c r="KN32">
        <v>0</v>
      </c>
      <c r="KO32">
        <v>0</v>
      </c>
      <c r="KP32">
        <v>1</v>
      </c>
      <c r="KQ32">
        <v>0</v>
      </c>
      <c r="KR32">
        <v>0</v>
      </c>
      <c r="KS32">
        <v>1</v>
      </c>
      <c r="KT32">
        <v>1</v>
      </c>
      <c r="KU32">
        <v>0</v>
      </c>
      <c r="KV32">
        <v>0</v>
      </c>
      <c r="KW32">
        <v>0</v>
      </c>
      <c r="KX32">
        <v>0</v>
      </c>
      <c r="KY32">
        <v>1</v>
      </c>
      <c r="KZ32">
        <v>1</v>
      </c>
      <c r="LA32">
        <v>0</v>
      </c>
      <c r="LB32">
        <v>0</v>
      </c>
      <c r="LC32">
        <v>0</v>
      </c>
      <c r="LD32">
        <v>1</v>
      </c>
      <c r="LE32">
        <v>1</v>
      </c>
      <c r="LF32">
        <v>0</v>
      </c>
      <c r="LG32">
        <v>1</v>
      </c>
      <c r="LH32">
        <v>1</v>
      </c>
      <c r="LI32">
        <v>0</v>
      </c>
      <c r="LJ32">
        <v>0</v>
      </c>
      <c r="LK32">
        <v>0</v>
      </c>
      <c r="LL32">
        <v>1</v>
      </c>
      <c r="LM32">
        <v>1</v>
      </c>
      <c r="LN32">
        <v>0</v>
      </c>
      <c r="LO32">
        <v>1</v>
      </c>
      <c r="LP32">
        <v>0</v>
      </c>
      <c r="LQ32">
        <v>1</v>
      </c>
      <c r="LR32">
        <v>0</v>
      </c>
      <c r="LS32">
        <v>0</v>
      </c>
      <c r="LT32">
        <v>0</v>
      </c>
      <c r="LU32">
        <v>1</v>
      </c>
      <c r="LV32">
        <v>0</v>
      </c>
      <c r="LW32">
        <v>1</v>
      </c>
      <c r="LX32">
        <v>0</v>
      </c>
      <c r="LY32">
        <v>0</v>
      </c>
      <c r="LZ32">
        <v>0</v>
      </c>
      <c r="MA32">
        <v>0</v>
      </c>
      <c r="MB32">
        <v>1</v>
      </c>
      <c r="MC32">
        <v>0</v>
      </c>
      <c r="MD32">
        <v>0</v>
      </c>
      <c r="ME32">
        <v>0</v>
      </c>
      <c r="MF32">
        <v>1</v>
      </c>
      <c r="MG32">
        <v>0</v>
      </c>
      <c r="MH32">
        <v>0</v>
      </c>
      <c r="MI32">
        <v>0</v>
      </c>
      <c r="MJ32">
        <v>1</v>
      </c>
      <c r="MK32">
        <v>0</v>
      </c>
      <c r="ML32">
        <v>0</v>
      </c>
      <c r="MM32">
        <v>1</v>
      </c>
      <c r="MN32">
        <v>0</v>
      </c>
      <c r="MO32">
        <v>0</v>
      </c>
      <c r="MP32">
        <v>0</v>
      </c>
      <c r="MQ32">
        <v>0</v>
      </c>
      <c r="MR32">
        <v>0</v>
      </c>
      <c r="MS32">
        <v>1</v>
      </c>
      <c r="MT32">
        <v>0</v>
      </c>
      <c r="MU32">
        <v>0</v>
      </c>
      <c r="MV32">
        <v>1</v>
      </c>
      <c r="MW32">
        <v>0</v>
      </c>
      <c r="MX32">
        <v>1</v>
      </c>
      <c r="MY32">
        <v>1</v>
      </c>
      <c r="MZ32">
        <v>1</v>
      </c>
      <c r="NA32">
        <v>0</v>
      </c>
      <c r="NB32">
        <v>1</v>
      </c>
      <c r="NC32">
        <v>0</v>
      </c>
      <c r="ND32">
        <v>1</v>
      </c>
      <c r="NE32">
        <v>0</v>
      </c>
      <c r="NF32">
        <v>1</v>
      </c>
      <c r="NG32">
        <v>0</v>
      </c>
      <c r="NH32">
        <v>0</v>
      </c>
      <c r="NI32">
        <v>1</v>
      </c>
      <c r="NJ32">
        <v>0</v>
      </c>
      <c r="NK32">
        <v>0</v>
      </c>
      <c r="NL32">
        <v>0</v>
      </c>
      <c r="NM32">
        <v>0</v>
      </c>
      <c r="NN32">
        <v>1</v>
      </c>
      <c r="NO32">
        <v>0</v>
      </c>
      <c r="NP32">
        <v>0</v>
      </c>
      <c r="NQ32">
        <v>0</v>
      </c>
      <c r="NR32">
        <v>0</v>
      </c>
      <c r="NS32">
        <v>0</v>
      </c>
      <c r="NT32">
        <v>0</v>
      </c>
      <c r="NU32">
        <v>1</v>
      </c>
      <c r="NV32">
        <v>0</v>
      </c>
      <c r="NW32">
        <v>0</v>
      </c>
      <c r="NX32">
        <v>0</v>
      </c>
      <c r="NY32">
        <v>0</v>
      </c>
      <c r="NZ32">
        <v>0</v>
      </c>
      <c r="OA32">
        <v>0</v>
      </c>
      <c r="OB32">
        <v>0</v>
      </c>
      <c r="OC32">
        <v>1</v>
      </c>
      <c r="OD32">
        <v>0</v>
      </c>
      <c r="OE32">
        <v>0</v>
      </c>
      <c r="OF32">
        <v>1</v>
      </c>
      <c r="OG32">
        <v>1</v>
      </c>
      <c r="OH32">
        <v>0</v>
      </c>
      <c r="OI32">
        <v>1</v>
      </c>
      <c r="OJ32">
        <v>1</v>
      </c>
      <c r="OK32">
        <v>0</v>
      </c>
      <c r="OL32">
        <v>0</v>
      </c>
      <c r="OM32">
        <v>1</v>
      </c>
      <c r="ON32">
        <v>0</v>
      </c>
      <c r="OO32">
        <v>1</v>
      </c>
      <c r="OP32">
        <v>0</v>
      </c>
      <c r="OQ32">
        <v>0</v>
      </c>
      <c r="OR32">
        <v>0</v>
      </c>
      <c r="OS32">
        <v>1</v>
      </c>
      <c r="OT32">
        <v>0</v>
      </c>
      <c r="OU32">
        <v>0</v>
      </c>
      <c r="OV32">
        <v>1</v>
      </c>
      <c r="OW32">
        <v>1</v>
      </c>
      <c r="OX32">
        <v>0</v>
      </c>
      <c r="OY32">
        <v>1</v>
      </c>
      <c r="OZ32">
        <v>0</v>
      </c>
      <c r="PA32">
        <v>0</v>
      </c>
      <c r="PB32">
        <v>1</v>
      </c>
      <c r="PC32">
        <v>0</v>
      </c>
      <c r="PD32">
        <v>1</v>
      </c>
      <c r="PE32">
        <v>0</v>
      </c>
      <c r="PF32">
        <v>0</v>
      </c>
      <c r="PG32">
        <v>1</v>
      </c>
      <c r="PH32">
        <v>1</v>
      </c>
      <c r="PI32">
        <v>0</v>
      </c>
      <c r="PJ32">
        <v>0</v>
      </c>
      <c r="PK32">
        <v>1</v>
      </c>
      <c r="PL32">
        <v>0</v>
      </c>
      <c r="PM32">
        <v>0</v>
      </c>
      <c r="PN32">
        <v>0</v>
      </c>
      <c r="PO32">
        <v>0</v>
      </c>
      <c r="PP32">
        <v>0</v>
      </c>
      <c r="PQ32">
        <v>0</v>
      </c>
      <c r="PR32">
        <v>1</v>
      </c>
      <c r="PS32">
        <v>0</v>
      </c>
      <c r="PT32">
        <v>0</v>
      </c>
      <c r="PU32">
        <v>1</v>
      </c>
      <c r="PV32">
        <v>0</v>
      </c>
    </row>
    <row r="33" spans="1:438" x14ac:dyDescent="0.3">
      <c r="A33" s="31">
        <v>88</v>
      </c>
      <c r="B33" s="28">
        <v>6.95</v>
      </c>
      <c r="C33" s="30">
        <v>8.8699999999999992</v>
      </c>
      <c r="D33" s="28">
        <v>3.03</v>
      </c>
      <c r="E33" s="34">
        <f t="shared" si="0"/>
        <v>6.0599999999999994E-2</v>
      </c>
      <c r="F33" s="35">
        <f t="shared" si="1"/>
        <v>2.2174999999999998</v>
      </c>
      <c r="G33" s="34">
        <f t="shared" si="2"/>
        <v>75.75</v>
      </c>
      <c r="H33" s="33">
        <f t="shared" si="3"/>
        <v>10.472302158273381</v>
      </c>
      <c r="I33" s="29">
        <f t="shared" ca="1" si="4"/>
        <v>3</v>
      </c>
      <c r="J33">
        <f ca="1">IF(AND(SUMPRODUCT($J$2:J32,$B$2:B32)&lt;500,SUM(B32,SUMPRODUCT($J$2:J32,$B$2:B32))&lt;500),1,0)</f>
        <v>0</v>
      </c>
      <c r="K33">
        <v>3</v>
      </c>
      <c r="L33">
        <v>0</v>
      </c>
      <c r="W33">
        <v>0</v>
      </c>
      <c r="X33">
        <v>0</v>
      </c>
      <c r="Y33">
        <v>1</v>
      </c>
      <c r="Z33">
        <v>1</v>
      </c>
      <c r="AA33">
        <v>0</v>
      </c>
      <c r="AB33">
        <v>1</v>
      </c>
      <c r="AC33">
        <v>0</v>
      </c>
      <c r="AD33">
        <v>1</v>
      </c>
      <c r="AE33">
        <v>1</v>
      </c>
      <c r="AF33">
        <v>0</v>
      </c>
      <c r="AG33">
        <v>1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1</v>
      </c>
      <c r="BA33">
        <v>1</v>
      </c>
      <c r="BB33">
        <v>0</v>
      </c>
      <c r="BC33">
        <v>1</v>
      </c>
      <c r="BD33">
        <v>1</v>
      </c>
      <c r="BE33">
        <v>0</v>
      </c>
      <c r="BF33">
        <v>0</v>
      </c>
      <c r="BG33">
        <v>1</v>
      </c>
      <c r="BH33">
        <v>1</v>
      </c>
      <c r="BI33">
        <v>0</v>
      </c>
      <c r="BJ33">
        <v>0</v>
      </c>
      <c r="BK33">
        <v>1</v>
      </c>
      <c r="BL33">
        <v>0</v>
      </c>
      <c r="BM33">
        <v>0</v>
      </c>
      <c r="BN33">
        <v>1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1</v>
      </c>
      <c r="BV33">
        <v>1</v>
      </c>
      <c r="BW33">
        <v>0</v>
      </c>
      <c r="BX33">
        <v>0</v>
      </c>
      <c r="BY33">
        <v>0</v>
      </c>
      <c r="BZ33">
        <v>0</v>
      </c>
      <c r="CA33">
        <v>1</v>
      </c>
      <c r="CB33">
        <v>1</v>
      </c>
      <c r="CC33">
        <v>0</v>
      </c>
      <c r="CD33">
        <v>1</v>
      </c>
      <c r="CE33">
        <v>0</v>
      </c>
      <c r="CF33">
        <v>1</v>
      </c>
      <c r="CG33">
        <v>0</v>
      </c>
      <c r="CH33">
        <v>1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1</v>
      </c>
      <c r="CO33">
        <v>0</v>
      </c>
      <c r="CP33">
        <v>0</v>
      </c>
      <c r="CQ33">
        <v>0</v>
      </c>
      <c r="CR33">
        <v>0</v>
      </c>
      <c r="CS33">
        <v>1</v>
      </c>
      <c r="CT33">
        <v>1</v>
      </c>
      <c r="CU33">
        <v>1</v>
      </c>
      <c r="CV33">
        <v>0</v>
      </c>
      <c r="CW33">
        <v>0</v>
      </c>
      <c r="CX33">
        <v>1</v>
      </c>
      <c r="CY33">
        <v>0</v>
      </c>
      <c r="CZ33">
        <v>0</v>
      </c>
      <c r="DA33">
        <v>1</v>
      </c>
      <c r="DB33">
        <v>1</v>
      </c>
      <c r="DC33">
        <v>0</v>
      </c>
      <c r="DD33">
        <v>0</v>
      </c>
      <c r="DE33">
        <v>1</v>
      </c>
      <c r="DF33">
        <v>0</v>
      </c>
      <c r="DG33">
        <v>0</v>
      </c>
      <c r="DH33">
        <v>1</v>
      </c>
      <c r="DI33">
        <v>0</v>
      </c>
      <c r="DJ33">
        <v>0</v>
      </c>
      <c r="DK33">
        <v>1</v>
      </c>
      <c r="DL33">
        <v>0</v>
      </c>
      <c r="DM33">
        <v>0</v>
      </c>
      <c r="DN33">
        <v>0</v>
      </c>
      <c r="DO33">
        <v>0</v>
      </c>
      <c r="DP33">
        <v>1</v>
      </c>
      <c r="DQ33">
        <v>0</v>
      </c>
      <c r="DR33">
        <v>0</v>
      </c>
      <c r="DS33">
        <v>0</v>
      </c>
      <c r="DT33">
        <v>0</v>
      </c>
      <c r="DU33">
        <v>1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1</v>
      </c>
      <c r="ED33">
        <v>0</v>
      </c>
      <c r="EE33">
        <v>1</v>
      </c>
      <c r="EF33">
        <v>1</v>
      </c>
      <c r="EG33">
        <v>0</v>
      </c>
      <c r="EH33">
        <v>0</v>
      </c>
      <c r="EI33">
        <v>0</v>
      </c>
      <c r="EJ33">
        <v>1</v>
      </c>
      <c r="EK33">
        <v>1</v>
      </c>
      <c r="EL33">
        <v>0</v>
      </c>
      <c r="EM33">
        <v>1</v>
      </c>
      <c r="EN33">
        <v>1</v>
      </c>
      <c r="EO33">
        <v>1</v>
      </c>
      <c r="EP33">
        <v>1</v>
      </c>
      <c r="EQ33">
        <v>0</v>
      </c>
      <c r="ER33">
        <v>0</v>
      </c>
      <c r="ES33">
        <v>1</v>
      </c>
      <c r="ET33">
        <v>0</v>
      </c>
      <c r="EU33">
        <v>1</v>
      </c>
      <c r="EV33">
        <v>0</v>
      </c>
      <c r="EW33">
        <v>0</v>
      </c>
      <c r="EX33">
        <v>0</v>
      </c>
      <c r="EY33">
        <v>1</v>
      </c>
      <c r="EZ33">
        <v>0</v>
      </c>
      <c r="FA33">
        <v>1</v>
      </c>
      <c r="FB33">
        <v>0</v>
      </c>
      <c r="FC33">
        <v>0</v>
      </c>
      <c r="FD33">
        <v>0</v>
      </c>
      <c r="FE33">
        <v>0</v>
      </c>
      <c r="FF33">
        <v>1</v>
      </c>
      <c r="FG33">
        <v>0</v>
      </c>
      <c r="FH33">
        <v>1</v>
      </c>
      <c r="FI33">
        <v>1</v>
      </c>
      <c r="FJ33">
        <v>1</v>
      </c>
      <c r="FK33">
        <v>1</v>
      </c>
      <c r="FL33">
        <v>0</v>
      </c>
      <c r="FM33">
        <v>1</v>
      </c>
      <c r="FN33">
        <v>0</v>
      </c>
      <c r="FO33">
        <v>1</v>
      </c>
      <c r="FP33">
        <v>0</v>
      </c>
      <c r="FQ33">
        <v>0</v>
      </c>
      <c r="FR33">
        <v>0</v>
      </c>
      <c r="FS33">
        <v>1</v>
      </c>
      <c r="FT33">
        <v>1</v>
      </c>
      <c r="FU33">
        <v>0</v>
      </c>
      <c r="FV33">
        <v>1</v>
      </c>
      <c r="FW33">
        <v>0</v>
      </c>
      <c r="FX33">
        <v>1</v>
      </c>
      <c r="FY33">
        <v>0</v>
      </c>
      <c r="FZ33">
        <v>1</v>
      </c>
      <c r="GA33">
        <v>1</v>
      </c>
      <c r="GB33">
        <v>0</v>
      </c>
      <c r="GC33">
        <v>0</v>
      </c>
      <c r="GD33">
        <v>0</v>
      </c>
      <c r="GE33">
        <v>1</v>
      </c>
      <c r="GF33">
        <v>0</v>
      </c>
      <c r="GG33">
        <v>0</v>
      </c>
      <c r="GH33">
        <v>1</v>
      </c>
      <c r="GI33">
        <v>0</v>
      </c>
      <c r="GJ33">
        <v>1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1</v>
      </c>
      <c r="GQ33">
        <v>1</v>
      </c>
      <c r="GR33">
        <v>1</v>
      </c>
      <c r="GS33">
        <v>1</v>
      </c>
      <c r="GT33">
        <v>1</v>
      </c>
      <c r="GU33">
        <v>0</v>
      </c>
      <c r="GV33">
        <v>0</v>
      </c>
      <c r="GW33">
        <v>0</v>
      </c>
      <c r="GX33">
        <v>1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1</v>
      </c>
      <c r="HI33">
        <v>0</v>
      </c>
      <c r="HJ33">
        <v>1</v>
      </c>
      <c r="HK33">
        <v>0</v>
      </c>
      <c r="HL33">
        <v>0</v>
      </c>
      <c r="HM33">
        <v>1</v>
      </c>
      <c r="HN33">
        <v>0</v>
      </c>
      <c r="HO33">
        <v>0</v>
      </c>
      <c r="HP33">
        <v>0</v>
      </c>
      <c r="HQ33">
        <v>1</v>
      </c>
      <c r="HR33">
        <v>1</v>
      </c>
      <c r="HS33">
        <v>0</v>
      </c>
      <c r="HT33">
        <v>1</v>
      </c>
      <c r="HU33">
        <v>1</v>
      </c>
      <c r="HV33">
        <v>0</v>
      </c>
      <c r="HW33">
        <v>1</v>
      </c>
      <c r="HX33">
        <v>0</v>
      </c>
      <c r="HY33">
        <v>1</v>
      </c>
      <c r="HZ33">
        <v>0</v>
      </c>
      <c r="IA33">
        <v>1</v>
      </c>
      <c r="IB33">
        <v>0</v>
      </c>
      <c r="IC33">
        <v>0</v>
      </c>
      <c r="ID33">
        <v>1</v>
      </c>
      <c r="IE33">
        <v>0</v>
      </c>
      <c r="IF33">
        <v>1</v>
      </c>
      <c r="IG33">
        <v>0</v>
      </c>
      <c r="IH33">
        <v>0</v>
      </c>
      <c r="II33">
        <v>0</v>
      </c>
      <c r="IJ33">
        <v>1</v>
      </c>
      <c r="IK33">
        <v>0</v>
      </c>
      <c r="IL33">
        <v>1</v>
      </c>
      <c r="IM33">
        <v>1</v>
      </c>
      <c r="IN33">
        <v>1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0</v>
      </c>
      <c r="IU33">
        <v>1</v>
      </c>
      <c r="IV33">
        <v>0</v>
      </c>
      <c r="IW33">
        <v>1</v>
      </c>
      <c r="IX33">
        <v>1</v>
      </c>
      <c r="IY33">
        <v>0</v>
      </c>
      <c r="IZ33">
        <v>1</v>
      </c>
      <c r="JA33">
        <v>0</v>
      </c>
      <c r="JB33">
        <v>1</v>
      </c>
      <c r="JC33">
        <v>0</v>
      </c>
      <c r="JD33">
        <v>0</v>
      </c>
      <c r="JE33">
        <v>0</v>
      </c>
      <c r="JF33">
        <v>1</v>
      </c>
      <c r="JG33">
        <v>0</v>
      </c>
      <c r="JH33">
        <v>0</v>
      </c>
      <c r="JI33">
        <v>1</v>
      </c>
      <c r="JJ33">
        <v>1</v>
      </c>
      <c r="JK33">
        <v>0</v>
      </c>
      <c r="JL33">
        <v>0</v>
      </c>
      <c r="JM33">
        <v>1</v>
      </c>
      <c r="JN33">
        <v>1</v>
      </c>
      <c r="JO33">
        <v>0</v>
      </c>
      <c r="JP33">
        <v>1</v>
      </c>
      <c r="JQ33">
        <v>0</v>
      </c>
      <c r="JR33">
        <v>0</v>
      </c>
      <c r="JS33">
        <v>1</v>
      </c>
      <c r="JT33">
        <v>0</v>
      </c>
      <c r="JU33">
        <v>0</v>
      </c>
      <c r="JV33">
        <v>1</v>
      </c>
      <c r="JW33">
        <v>1</v>
      </c>
      <c r="JX33">
        <v>1</v>
      </c>
      <c r="JY33">
        <v>0</v>
      </c>
      <c r="JZ33">
        <v>1</v>
      </c>
      <c r="KA33">
        <v>1</v>
      </c>
      <c r="KB33">
        <v>0</v>
      </c>
      <c r="KC33">
        <v>0</v>
      </c>
      <c r="KD33">
        <v>0</v>
      </c>
      <c r="KE33">
        <v>0</v>
      </c>
      <c r="KF33">
        <v>0</v>
      </c>
      <c r="KG33">
        <v>0</v>
      </c>
      <c r="KH33">
        <v>0</v>
      </c>
      <c r="KI33">
        <v>0</v>
      </c>
      <c r="KJ33">
        <v>0</v>
      </c>
      <c r="KK33">
        <v>1</v>
      </c>
      <c r="KL33">
        <v>0</v>
      </c>
      <c r="KM33">
        <v>0</v>
      </c>
      <c r="KN33">
        <v>0</v>
      </c>
      <c r="KO33">
        <v>1</v>
      </c>
      <c r="KP33">
        <v>1</v>
      </c>
      <c r="KQ33">
        <v>0</v>
      </c>
      <c r="KR33">
        <v>0</v>
      </c>
      <c r="KS33">
        <v>1</v>
      </c>
      <c r="KT33">
        <v>1</v>
      </c>
      <c r="KU33">
        <v>0</v>
      </c>
      <c r="KV33">
        <v>0</v>
      </c>
      <c r="KW33">
        <v>0</v>
      </c>
      <c r="KX33">
        <v>0</v>
      </c>
      <c r="KY33">
        <v>1</v>
      </c>
      <c r="KZ33">
        <v>1</v>
      </c>
      <c r="LA33">
        <v>0</v>
      </c>
      <c r="LB33">
        <v>1</v>
      </c>
      <c r="LC33">
        <v>0</v>
      </c>
      <c r="LD33">
        <v>1</v>
      </c>
      <c r="LE33">
        <v>1</v>
      </c>
      <c r="LF33">
        <v>0</v>
      </c>
      <c r="LG33">
        <v>1</v>
      </c>
      <c r="LH33">
        <v>0</v>
      </c>
      <c r="LI33">
        <v>0</v>
      </c>
      <c r="LJ33">
        <v>0</v>
      </c>
      <c r="LK33">
        <v>1</v>
      </c>
      <c r="LL33">
        <v>1</v>
      </c>
      <c r="LM33">
        <v>0</v>
      </c>
      <c r="LN33">
        <v>1</v>
      </c>
      <c r="LO33">
        <v>1</v>
      </c>
      <c r="LP33">
        <v>0</v>
      </c>
      <c r="LQ33">
        <v>1</v>
      </c>
      <c r="LR33">
        <v>0</v>
      </c>
      <c r="LS33">
        <v>1</v>
      </c>
      <c r="LT33">
        <v>1</v>
      </c>
      <c r="LU33">
        <v>1</v>
      </c>
      <c r="LV33">
        <v>0</v>
      </c>
      <c r="LW33">
        <v>0</v>
      </c>
      <c r="LX33">
        <v>0</v>
      </c>
      <c r="LY33">
        <v>0</v>
      </c>
      <c r="LZ33">
        <v>0</v>
      </c>
      <c r="MA33">
        <v>0</v>
      </c>
      <c r="MB33">
        <v>1</v>
      </c>
      <c r="MC33">
        <v>1</v>
      </c>
      <c r="MD33">
        <v>1</v>
      </c>
      <c r="ME33">
        <v>1</v>
      </c>
      <c r="MF33">
        <v>1</v>
      </c>
      <c r="MG33">
        <v>1</v>
      </c>
      <c r="MH33">
        <v>0</v>
      </c>
      <c r="MI33">
        <v>1</v>
      </c>
      <c r="MJ33">
        <v>1</v>
      </c>
      <c r="MK33">
        <v>1</v>
      </c>
      <c r="ML33">
        <v>0</v>
      </c>
      <c r="MM33">
        <v>1</v>
      </c>
      <c r="MN33">
        <v>1</v>
      </c>
      <c r="MO33">
        <v>0</v>
      </c>
      <c r="MP33">
        <v>1</v>
      </c>
      <c r="MQ33">
        <v>1</v>
      </c>
      <c r="MR33">
        <v>0</v>
      </c>
      <c r="MS33">
        <v>1</v>
      </c>
      <c r="MT33">
        <v>0</v>
      </c>
      <c r="MU33">
        <v>0</v>
      </c>
      <c r="MV33">
        <v>0</v>
      </c>
      <c r="MW33">
        <v>0</v>
      </c>
      <c r="MX33">
        <v>0</v>
      </c>
      <c r="MY33">
        <v>0</v>
      </c>
      <c r="MZ33">
        <v>0</v>
      </c>
      <c r="NA33">
        <v>0</v>
      </c>
      <c r="NB33">
        <v>1</v>
      </c>
      <c r="NC33">
        <v>0</v>
      </c>
      <c r="ND33">
        <v>1</v>
      </c>
      <c r="NE33">
        <v>0</v>
      </c>
      <c r="NF33">
        <v>0</v>
      </c>
      <c r="NG33">
        <v>0</v>
      </c>
      <c r="NH33">
        <v>0</v>
      </c>
      <c r="NI33">
        <v>0</v>
      </c>
      <c r="NJ33">
        <v>0</v>
      </c>
      <c r="NK33">
        <v>0</v>
      </c>
      <c r="NL33">
        <v>1</v>
      </c>
      <c r="NM33">
        <v>1</v>
      </c>
      <c r="NN33">
        <v>0</v>
      </c>
      <c r="NO33">
        <v>0</v>
      </c>
      <c r="NP33">
        <v>0</v>
      </c>
      <c r="NQ33">
        <v>0</v>
      </c>
      <c r="NR33">
        <v>0</v>
      </c>
      <c r="NS33">
        <v>0</v>
      </c>
      <c r="NT33">
        <v>0</v>
      </c>
      <c r="NU33">
        <v>0</v>
      </c>
      <c r="NV33">
        <v>0</v>
      </c>
      <c r="NW33">
        <v>0</v>
      </c>
      <c r="NX33">
        <v>1</v>
      </c>
      <c r="NY33">
        <v>1</v>
      </c>
      <c r="NZ33">
        <v>1</v>
      </c>
      <c r="OA33">
        <v>0</v>
      </c>
      <c r="OB33">
        <v>1</v>
      </c>
      <c r="OC33">
        <v>0</v>
      </c>
      <c r="OD33">
        <v>0</v>
      </c>
      <c r="OE33">
        <v>0</v>
      </c>
      <c r="OF33">
        <v>0</v>
      </c>
      <c r="OG33">
        <v>1</v>
      </c>
      <c r="OH33">
        <v>1</v>
      </c>
      <c r="OI33">
        <v>1</v>
      </c>
      <c r="OJ33">
        <v>1</v>
      </c>
      <c r="OK33">
        <v>1</v>
      </c>
      <c r="OL33">
        <v>0</v>
      </c>
      <c r="OM33">
        <v>1</v>
      </c>
      <c r="ON33">
        <v>0</v>
      </c>
      <c r="OO33">
        <v>1</v>
      </c>
      <c r="OP33">
        <v>1</v>
      </c>
      <c r="OQ33">
        <v>0</v>
      </c>
      <c r="OR33">
        <v>1</v>
      </c>
      <c r="OS33">
        <v>1</v>
      </c>
      <c r="OT33">
        <v>0</v>
      </c>
      <c r="OU33">
        <v>0</v>
      </c>
      <c r="OV33">
        <v>1</v>
      </c>
      <c r="OW33">
        <v>1</v>
      </c>
      <c r="OX33">
        <v>0</v>
      </c>
      <c r="OY33">
        <v>1</v>
      </c>
      <c r="OZ33">
        <v>0</v>
      </c>
      <c r="PA33">
        <v>0</v>
      </c>
      <c r="PB33">
        <v>0</v>
      </c>
      <c r="PC33">
        <v>1</v>
      </c>
      <c r="PD33">
        <v>1</v>
      </c>
      <c r="PE33">
        <v>0</v>
      </c>
      <c r="PF33">
        <v>0</v>
      </c>
      <c r="PG33">
        <v>0</v>
      </c>
      <c r="PH33">
        <v>1</v>
      </c>
      <c r="PI33">
        <v>1</v>
      </c>
      <c r="PJ33">
        <v>0</v>
      </c>
      <c r="PK33">
        <v>0</v>
      </c>
      <c r="PL33">
        <v>0</v>
      </c>
      <c r="PM33">
        <v>0</v>
      </c>
      <c r="PN33">
        <v>0</v>
      </c>
      <c r="PO33">
        <v>0</v>
      </c>
      <c r="PP33">
        <v>0</v>
      </c>
      <c r="PQ33">
        <v>1</v>
      </c>
      <c r="PR33">
        <v>1</v>
      </c>
      <c r="PS33">
        <v>0</v>
      </c>
      <c r="PT33">
        <v>1</v>
      </c>
      <c r="PU33">
        <v>1</v>
      </c>
      <c r="PV33">
        <v>0</v>
      </c>
    </row>
    <row r="34" spans="1:438" x14ac:dyDescent="0.3">
      <c r="A34" s="31">
        <v>89</v>
      </c>
      <c r="B34" s="28">
        <v>2.82</v>
      </c>
      <c r="C34" s="30">
        <v>72.83</v>
      </c>
      <c r="D34" s="28">
        <v>2.34</v>
      </c>
      <c r="E34" s="34">
        <f t="shared" si="0"/>
        <v>4.6799999999999994E-2</v>
      </c>
      <c r="F34" s="35">
        <f t="shared" si="1"/>
        <v>18.2075</v>
      </c>
      <c r="G34" s="34">
        <f t="shared" si="2"/>
        <v>58.5</v>
      </c>
      <c r="H34" s="33">
        <f t="shared" si="3"/>
        <v>-6.4565602836879439</v>
      </c>
      <c r="I34" s="29">
        <f t="shared" ca="1" si="4"/>
        <v>1</v>
      </c>
      <c r="J34">
        <f ca="1">IF(AND(SUMPRODUCT($J$2:J33,$B$2:B33)&lt;500,SUM(B33,SUMPRODUCT($J$2:J33,$B$2:B33))&lt;500),1,0)</f>
        <v>0</v>
      </c>
      <c r="K34">
        <v>0</v>
      </c>
      <c r="L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1</v>
      </c>
      <c r="AD34">
        <v>1</v>
      </c>
      <c r="AE34">
        <v>1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1</v>
      </c>
      <c r="AT34">
        <v>1</v>
      </c>
      <c r="AU34">
        <v>1</v>
      </c>
      <c r="AV34">
        <v>0</v>
      </c>
      <c r="AW34">
        <v>1</v>
      </c>
      <c r="AX34">
        <v>0</v>
      </c>
      <c r="AY34">
        <v>0</v>
      </c>
      <c r="AZ34">
        <v>1</v>
      </c>
      <c r="BA34">
        <v>0</v>
      </c>
      <c r="BB34">
        <v>0</v>
      </c>
      <c r="BC34">
        <v>1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1</v>
      </c>
      <c r="BK34">
        <v>0</v>
      </c>
      <c r="BL34">
        <v>0</v>
      </c>
      <c r="BM34">
        <v>1</v>
      </c>
      <c r="BN34">
        <v>1</v>
      </c>
      <c r="BO34">
        <v>0</v>
      </c>
      <c r="BP34">
        <v>1</v>
      </c>
      <c r="BQ34">
        <v>0</v>
      </c>
      <c r="BR34">
        <v>0</v>
      </c>
      <c r="BS34">
        <v>0</v>
      </c>
      <c r="BT34">
        <v>0</v>
      </c>
      <c r="BU34">
        <v>1</v>
      </c>
      <c r="BV34">
        <v>1</v>
      </c>
      <c r="BW34">
        <v>0</v>
      </c>
      <c r="BX34">
        <v>0</v>
      </c>
      <c r="BY34">
        <v>0</v>
      </c>
      <c r="BZ34">
        <v>1</v>
      </c>
      <c r="CA34">
        <v>0</v>
      </c>
      <c r="CB34">
        <v>1</v>
      </c>
      <c r="CC34">
        <v>0</v>
      </c>
      <c r="CD34">
        <v>1</v>
      </c>
      <c r="CE34">
        <v>0</v>
      </c>
      <c r="CF34">
        <v>1</v>
      </c>
      <c r="CG34">
        <v>1</v>
      </c>
      <c r="CH34">
        <v>0</v>
      </c>
      <c r="CI34">
        <v>1</v>
      </c>
      <c r="CJ34">
        <v>1</v>
      </c>
      <c r="CK34">
        <v>1</v>
      </c>
      <c r="CL34">
        <v>1</v>
      </c>
      <c r="CM34">
        <v>1</v>
      </c>
      <c r="CN34">
        <v>0</v>
      </c>
      <c r="CO34">
        <v>1</v>
      </c>
      <c r="CP34">
        <v>0</v>
      </c>
      <c r="CQ34">
        <v>0</v>
      </c>
      <c r="CR34">
        <v>1</v>
      </c>
      <c r="CS34">
        <v>0</v>
      </c>
      <c r="CT34">
        <v>0</v>
      </c>
      <c r="CU34">
        <v>1</v>
      </c>
      <c r="CV34">
        <v>0</v>
      </c>
      <c r="CW34">
        <v>1</v>
      </c>
      <c r="CX34">
        <v>1</v>
      </c>
      <c r="CY34">
        <v>0</v>
      </c>
      <c r="CZ34">
        <v>0</v>
      </c>
      <c r="DA34">
        <v>1</v>
      </c>
      <c r="DB34">
        <v>0</v>
      </c>
      <c r="DC34">
        <v>0</v>
      </c>
      <c r="DD34">
        <v>1</v>
      </c>
      <c r="DE34">
        <v>1</v>
      </c>
      <c r="DF34">
        <v>1</v>
      </c>
      <c r="DG34">
        <v>0</v>
      </c>
      <c r="DH34">
        <v>0</v>
      </c>
      <c r="DI34">
        <v>0</v>
      </c>
      <c r="DJ34">
        <v>0</v>
      </c>
      <c r="DK34">
        <v>1</v>
      </c>
      <c r="DL34">
        <v>0</v>
      </c>
      <c r="DM34">
        <v>1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1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1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1</v>
      </c>
      <c r="EM34">
        <v>1</v>
      </c>
      <c r="EN34">
        <v>1</v>
      </c>
      <c r="EO34">
        <v>1</v>
      </c>
      <c r="EP34">
        <v>1</v>
      </c>
      <c r="EQ34">
        <v>0</v>
      </c>
      <c r="ER34">
        <v>0</v>
      </c>
      <c r="ES34">
        <v>1</v>
      </c>
      <c r="ET34">
        <v>0</v>
      </c>
      <c r="EU34">
        <v>1</v>
      </c>
      <c r="EV34">
        <v>0</v>
      </c>
      <c r="EW34">
        <v>0</v>
      </c>
      <c r="EX34">
        <v>1</v>
      </c>
      <c r="EY34">
        <v>1</v>
      </c>
      <c r="EZ34">
        <v>0</v>
      </c>
      <c r="FA34">
        <v>1</v>
      </c>
      <c r="FB34">
        <v>1</v>
      </c>
      <c r="FC34">
        <v>1</v>
      </c>
      <c r="FD34">
        <v>0</v>
      </c>
      <c r="FE34">
        <v>0</v>
      </c>
      <c r="FF34">
        <v>1</v>
      </c>
      <c r="FG34">
        <v>0</v>
      </c>
      <c r="FH34">
        <v>1</v>
      </c>
      <c r="FI34">
        <v>1</v>
      </c>
      <c r="FJ34">
        <v>1</v>
      </c>
      <c r="FK34">
        <v>1</v>
      </c>
      <c r="FL34">
        <v>0</v>
      </c>
      <c r="FM34">
        <v>0</v>
      </c>
      <c r="FN34">
        <v>1</v>
      </c>
      <c r="FO34">
        <v>0</v>
      </c>
      <c r="FP34">
        <v>0</v>
      </c>
      <c r="FQ34">
        <v>0</v>
      </c>
      <c r="FR34">
        <v>0</v>
      </c>
      <c r="FS34">
        <v>1</v>
      </c>
      <c r="FT34">
        <v>0</v>
      </c>
      <c r="FU34">
        <v>0</v>
      </c>
      <c r="FV34">
        <v>1</v>
      </c>
      <c r="FW34">
        <v>1</v>
      </c>
      <c r="FX34">
        <v>0</v>
      </c>
      <c r="FY34">
        <v>0</v>
      </c>
      <c r="FZ34">
        <v>0</v>
      </c>
      <c r="GA34">
        <v>1</v>
      </c>
      <c r="GB34">
        <v>0</v>
      </c>
      <c r="GC34">
        <v>1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1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1</v>
      </c>
      <c r="GQ34">
        <v>1</v>
      </c>
      <c r="GR34">
        <v>0</v>
      </c>
      <c r="GS34">
        <v>1</v>
      </c>
      <c r="GT34">
        <v>1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1</v>
      </c>
      <c r="HE34">
        <v>1</v>
      </c>
      <c r="HF34">
        <v>0</v>
      </c>
      <c r="HG34">
        <v>0</v>
      </c>
      <c r="HH34">
        <v>1</v>
      </c>
      <c r="HI34">
        <v>0</v>
      </c>
      <c r="HJ34">
        <v>0</v>
      </c>
      <c r="HK34">
        <v>0</v>
      </c>
      <c r="HL34">
        <v>0</v>
      </c>
      <c r="HM34">
        <v>1</v>
      </c>
      <c r="HN34">
        <v>0</v>
      </c>
      <c r="HO34">
        <v>1</v>
      </c>
      <c r="HP34">
        <v>0</v>
      </c>
      <c r="HQ34">
        <v>0</v>
      </c>
      <c r="HR34">
        <v>1</v>
      </c>
      <c r="HS34">
        <v>0</v>
      </c>
      <c r="HT34">
        <v>1</v>
      </c>
      <c r="HU34">
        <v>0</v>
      </c>
      <c r="HV34">
        <v>0</v>
      </c>
      <c r="HW34">
        <v>1</v>
      </c>
      <c r="HX34">
        <v>0</v>
      </c>
      <c r="HY34">
        <v>0</v>
      </c>
      <c r="HZ34">
        <v>1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1</v>
      </c>
      <c r="IG34">
        <v>0</v>
      </c>
      <c r="IH34">
        <v>0</v>
      </c>
      <c r="II34">
        <v>0</v>
      </c>
      <c r="IJ34">
        <v>1</v>
      </c>
      <c r="IK34">
        <v>0</v>
      </c>
      <c r="IL34">
        <v>1</v>
      </c>
      <c r="IM34">
        <v>0</v>
      </c>
      <c r="IN34">
        <v>0</v>
      </c>
      <c r="IO34">
        <v>0</v>
      </c>
      <c r="IP34">
        <v>1</v>
      </c>
      <c r="IQ34">
        <v>0</v>
      </c>
      <c r="IR34">
        <v>0</v>
      </c>
      <c r="IS34">
        <v>0</v>
      </c>
      <c r="IT34">
        <v>0</v>
      </c>
      <c r="IU34">
        <v>1</v>
      </c>
      <c r="IV34">
        <v>0</v>
      </c>
      <c r="IW34">
        <v>0</v>
      </c>
      <c r="IX34">
        <v>1</v>
      </c>
      <c r="IY34">
        <v>0</v>
      </c>
      <c r="IZ34">
        <v>1</v>
      </c>
      <c r="JA34">
        <v>1</v>
      </c>
      <c r="JB34">
        <v>1</v>
      </c>
      <c r="JC34">
        <v>0</v>
      </c>
      <c r="JD34">
        <v>1</v>
      </c>
      <c r="JE34">
        <v>0</v>
      </c>
      <c r="JF34">
        <v>1</v>
      </c>
      <c r="JG34">
        <v>1</v>
      </c>
      <c r="JH34">
        <v>1</v>
      </c>
      <c r="JI34">
        <v>0</v>
      </c>
      <c r="JJ34">
        <v>1</v>
      </c>
      <c r="JK34">
        <v>1</v>
      </c>
      <c r="JL34">
        <v>0</v>
      </c>
      <c r="JM34">
        <v>1</v>
      </c>
      <c r="JN34">
        <v>1</v>
      </c>
      <c r="JO34">
        <v>0</v>
      </c>
      <c r="JP34">
        <v>1</v>
      </c>
      <c r="JQ34">
        <v>0</v>
      </c>
      <c r="JR34">
        <v>0</v>
      </c>
      <c r="JS34">
        <v>1</v>
      </c>
      <c r="JT34">
        <v>0</v>
      </c>
      <c r="JU34">
        <v>0</v>
      </c>
      <c r="JV34">
        <v>0</v>
      </c>
      <c r="JW34">
        <v>0</v>
      </c>
      <c r="JX34">
        <v>1</v>
      </c>
      <c r="JY34">
        <v>1</v>
      </c>
      <c r="JZ34">
        <v>0</v>
      </c>
      <c r="KA34">
        <v>0</v>
      </c>
      <c r="KB34">
        <v>0</v>
      </c>
      <c r="KC34">
        <v>0</v>
      </c>
      <c r="KD34">
        <v>0</v>
      </c>
      <c r="KE34">
        <v>0</v>
      </c>
      <c r="KF34">
        <v>0</v>
      </c>
      <c r="KG34">
        <v>0</v>
      </c>
      <c r="KH34">
        <v>0</v>
      </c>
      <c r="KI34">
        <v>0</v>
      </c>
      <c r="KJ34">
        <v>0</v>
      </c>
      <c r="KK34">
        <v>1</v>
      </c>
      <c r="KL34">
        <v>0</v>
      </c>
      <c r="KM34">
        <v>1</v>
      </c>
      <c r="KN34">
        <v>1</v>
      </c>
      <c r="KO34">
        <v>1</v>
      </c>
      <c r="KP34">
        <v>0</v>
      </c>
      <c r="KQ34">
        <v>0</v>
      </c>
      <c r="KR34">
        <v>1</v>
      </c>
      <c r="KS34">
        <v>1</v>
      </c>
      <c r="KT34">
        <v>0</v>
      </c>
      <c r="KU34">
        <v>0</v>
      </c>
      <c r="KV34">
        <v>1</v>
      </c>
      <c r="KW34">
        <v>0</v>
      </c>
      <c r="KX34">
        <v>0</v>
      </c>
      <c r="KY34">
        <v>0</v>
      </c>
      <c r="KZ34">
        <v>1</v>
      </c>
      <c r="LA34">
        <v>0</v>
      </c>
      <c r="LB34">
        <v>0</v>
      </c>
      <c r="LC34">
        <v>1</v>
      </c>
      <c r="LD34">
        <v>0</v>
      </c>
      <c r="LE34">
        <v>0</v>
      </c>
      <c r="LF34">
        <v>0</v>
      </c>
      <c r="LG34">
        <v>0</v>
      </c>
      <c r="LH34">
        <v>0</v>
      </c>
      <c r="LI34">
        <v>1</v>
      </c>
      <c r="LJ34">
        <v>0</v>
      </c>
      <c r="LK34">
        <v>1</v>
      </c>
      <c r="LL34">
        <v>1</v>
      </c>
      <c r="LM34">
        <v>1</v>
      </c>
      <c r="LN34">
        <v>1</v>
      </c>
      <c r="LO34">
        <v>1</v>
      </c>
      <c r="LP34">
        <v>0</v>
      </c>
      <c r="LQ34">
        <v>1</v>
      </c>
      <c r="LR34">
        <v>1</v>
      </c>
      <c r="LS34">
        <v>0</v>
      </c>
      <c r="LT34">
        <v>1</v>
      </c>
      <c r="LU34">
        <v>0</v>
      </c>
      <c r="LV34">
        <v>1</v>
      </c>
      <c r="LW34">
        <v>0</v>
      </c>
      <c r="LX34">
        <v>1</v>
      </c>
      <c r="LY34">
        <v>0</v>
      </c>
      <c r="LZ34">
        <v>0</v>
      </c>
      <c r="MA34">
        <v>1</v>
      </c>
      <c r="MB34">
        <v>1</v>
      </c>
      <c r="MC34">
        <v>1</v>
      </c>
      <c r="MD34">
        <v>0</v>
      </c>
      <c r="ME34">
        <v>0</v>
      </c>
      <c r="MF34">
        <v>1</v>
      </c>
      <c r="MG34">
        <v>1</v>
      </c>
      <c r="MH34">
        <v>0</v>
      </c>
      <c r="MI34">
        <v>1</v>
      </c>
      <c r="MJ34">
        <v>0</v>
      </c>
      <c r="MK34">
        <v>0</v>
      </c>
      <c r="ML34">
        <v>0</v>
      </c>
      <c r="MM34">
        <v>0</v>
      </c>
      <c r="MN34">
        <v>1</v>
      </c>
      <c r="MO34">
        <v>1</v>
      </c>
      <c r="MP34">
        <v>0</v>
      </c>
      <c r="MQ34">
        <v>1</v>
      </c>
      <c r="MR34">
        <v>0</v>
      </c>
      <c r="MS34">
        <v>0</v>
      </c>
      <c r="MT34">
        <v>1</v>
      </c>
      <c r="MU34">
        <v>1</v>
      </c>
      <c r="MV34">
        <v>0</v>
      </c>
      <c r="MW34">
        <v>1</v>
      </c>
      <c r="MX34">
        <v>0</v>
      </c>
      <c r="MY34">
        <v>0</v>
      </c>
      <c r="MZ34">
        <v>1</v>
      </c>
      <c r="NA34">
        <v>0</v>
      </c>
      <c r="NB34">
        <v>1</v>
      </c>
      <c r="NC34">
        <v>0</v>
      </c>
      <c r="ND34">
        <v>0</v>
      </c>
      <c r="NE34">
        <v>0</v>
      </c>
      <c r="NF34">
        <v>1</v>
      </c>
      <c r="NG34">
        <v>1</v>
      </c>
      <c r="NH34">
        <v>0</v>
      </c>
      <c r="NI34">
        <v>1</v>
      </c>
      <c r="NJ34">
        <v>0</v>
      </c>
      <c r="NK34">
        <v>1</v>
      </c>
      <c r="NL34">
        <v>1</v>
      </c>
      <c r="NM34">
        <v>1</v>
      </c>
      <c r="NN34">
        <v>1</v>
      </c>
      <c r="NO34">
        <v>1</v>
      </c>
      <c r="NP34">
        <v>1</v>
      </c>
      <c r="NQ34">
        <v>1</v>
      </c>
      <c r="NR34">
        <v>0</v>
      </c>
      <c r="NS34">
        <v>0</v>
      </c>
      <c r="NT34">
        <v>0</v>
      </c>
      <c r="NU34">
        <v>0</v>
      </c>
      <c r="NV34">
        <v>0</v>
      </c>
      <c r="NW34">
        <v>0</v>
      </c>
      <c r="NX34">
        <v>0</v>
      </c>
      <c r="NY34">
        <v>0</v>
      </c>
      <c r="NZ34">
        <v>1</v>
      </c>
      <c r="OA34">
        <v>1</v>
      </c>
      <c r="OB34">
        <v>0</v>
      </c>
      <c r="OC34">
        <v>1</v>
      </c>
      <c r="OD34">
        <v>0</v>
      </c>
      <c r="OE34">
        <v>0</v>
      </c>
      <c r="OF34">
        <v>0</v>
      </c>
      <c r="OG34">
        <v>1</v>
      </c>
      <c r="OH34">
        <v>1</v>
      </c>
      <c r="OI34">
        <v>1</v>
      </c>
      <c r="OJ34">
        <v>1</v>
      </c>
      <c r="OK34">
        <v>1</v>
      </c>
      <c r="OL34">
        <v>0</v>
      </c>
      <c r="OM34">
        <v>1</v>
      </c>
      <c r="ON34">
        <v>0</v>
      </c>
      <c r="OO34">
        <v>1</v>
      </c>
      <c r="OP34">
        <v>0</v>
      </c>
      <c r="OQ34">
        <v>0</v>
      </c>
      <c r="OR34">
        <v>1</v>
      </c>
      <c r="OS34">
        <v>1</v>
      </c>
      <c r="OT34">
        <v>0</v>
      </c>
      <c r="OU34">
        <v>0</v>
      </c>
      <c r="OV34">
        <v>0</v>
      </c>
      <c r="OW34">
        <v>0</v>
      </c>
      <c r="OX34">
        <v>0</v>
      </c>
      <c r="OY34">
        <v>0</v>
      </c>
      <c r="OZ34">
        <v>0</v>
      </c>
      <c r="PA34">
        <v>1</v>
      </c>
      <c r="PB34">
        <v>0</v>
      </c>
      <c r="PC34">
        <v>0</v>
      </c>
      <c r="PD34">
        <v>0</v>
      </c>
      <c r="PE34">
        <v>0</v>
      </c>
      <c r="PF34">
        <v>0</v>
      </c>
      <c r="PG34">
        <v>0</v>
      </c>
      <c r="PH34">
        <v>1</v>
      </c>
      <c r="PI34">
        <v>0</v>
      </c>
      <c r="PJ34">
        <v>0</v>
      </c>
      <c r="PK34">
        <v>1</v>
      </c>
      <c r="PL34">
        <v>0</v>
      </c>
      <c r="PM34">
        <v>0</v>
      </c>
      <c r="PN34">
        <v>0</v>
      </c>
      <c r="PO34">
        <v>1</v>
      </c>
      <c r="PP34">
        <v>0</v>
      </c>
      <c r="PQ34">
        <v>0</v>
      </c>
      <c r="PR34">
        <v>0</v>
      </c>
      <c r="PS34">
        <v>0</v>
      </c>
      <c r="PT34">
        <v>1</v>
      </c>
      <c r="PU34">
        <v>1</v>
      </c>
      <c r="PV34">
        <v>1</v>
      </c>
    </row>
    <row r="35" spans="1:438" x14ac:dyDescent="0.3">
      <c r="A35" s="31">
        <v>91</v>
      </c>
      <c r="B35" s="28">
        <v>0.72</v>
      </c>
      <c r="C35" s="30">
        <v>48.11</v>
      </c>
      <c r="D35" s="28">
        <v>0.4</v>
      </c>
      <c r="E35" s="34">
        <f t="shared" si="0"/>
        <v>8.0000000000000002E-3</v>
      </c>
      <c r="F35" s="35">
        <f t="shared" si="1"/>
        <v>12.0275</v>
      </c>
      <c r="G35" s="34">
        <f t="shared" si="2"/>
        <v>10</v>
      </c>
      <c r="H35" s="33">
        <f t="shared" si="3"/>
        <v>-16.704861111111111</v>
      </c>
      <c r="I35" s="29">
        <f t="shared" ca="1" si="4"/>
        <v>1</v>
      </c>
      <c r="J35">
        <f ca="1">IF(AND(SUMPRODUCT($J$2:J34,$B$2:B34)&lt;500,SUM(B34,SUMPRODUCT($J$2:J34,$B$2:B34))&lt;500),1,0)</f>
        <v>0</v>
      </c>
      <c r="K35">
        <v>0</v>
      </c>
      <c r="L35">
        <v>0</v>
      </c>
      <c r="W35">
        <v>0</v>
      </c>
      <c r="X35">
        <v>0</v>
      </c>
      <c r="Y35">
        <v>1</v>
      </c>
      <c r="Z35">
        <v>1</v>
      </c>
      <c r="AA35">
        <v>0</v>
      </c>
      <c r="AB35">
        <v>1</v>
      </c>
      <c r="AC35">
        <v>1</v>
      </c>
      <c r="AD35">
        <v>1</v>
      </c>
      <c r="AE35">
        <v>0</v>
      </c>
      <c r="AF35">
        <v>0</v>
      </c>
      <c r="AG35">
        <v>1</v>
      </c>
      <c r="AH35">
        <v>0</v>
      </c>
      <c r="AI35">
        <v>0</v>
      </c>
      <c r="AJ35">
        <v>0</v>
      </c>
      <c r="AK35">
        <v>0</v>
      </c>
      <c r="AL35">
        <v>1</v>
      </c>
      <c r="AM35">
        <v>1</v>
      </c>
      <c r="AN35">
        <v>1</v>
      </c>
      <c r="AO35">
        <v>0</v>
      </c>
      <c r="AP35">
        <v>0</v>
      </c>
      <c r="AQ35">
        <v>0</v>
      </c>
      <c r="AR35">
        <v>1</v>
      </c>
      <c r="AS35">
        <v>1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1</v>
      </c>
      <c r="BA35">
        <v>1</v>
      </c>
      <c r="BB35">
        <v>0</v>
      </c>
      <c r="BC35">
        <v>0</v>
      </c>
      <c r="BD35">
        <v>1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1</v>
      </c>
      <c r="BL35">
        <v>0</v>
      </c>
      <c r="BM35">
        <v>1</v>
      </c>
      <c r="BN35">
        <v>1</v>
      </c>
      <c r="BO35">
        <v>1</v>
      </c>
      <c r="BP35">
        <v>0</v>
      </c>
      <c r="BQ35">
        <v>0</v>
      </c>
      <c r="BR35">
        <v>1</v>
      </c>
      <c r="BS35">
        <v>1</v>
      </c>
      <c r="BT35">
        <v>0</v>
      </c>
      <c r="BU35">
        <v>0</v>
      </c>
      <c r="BV35">
        <v>0</v>
      </c>
      <c r="BW35">
        <v>0</v>
      </c>
      <c r="BX35">
        <v>1</v>
      </c>
      <c r="BY35">
        <v>0</v>
      </c>
      <c r="BZ35">
        <v>0</v>
      </c>
      <c r="CA35">
        <v>1</v>
      </c>
      <c r="CB35">
        <v>1</v>
      </c>
      <c r="CC35">
        <v>1</v>
      </c>
      <c r="CD35">
        <v>0</v>
      </c>
      <c r="CE35">
        <v>1</v>
      </c>
      <c r="CF35">
        <v>0</v>
      </c>
      <c r="CG35">
        <v>0</v>
      </c>
      <c r="CH35">
        <v>1</v>
      </c>
      <c r="CI35">
        <v>0</v>
      </c>
      <c r="CJ35">
        <v>0</v>
      </c>
      <c r="CK35">
        <v>1</v>
      </c>
      <c r="CL35">
        <v>1</v>
      </c>
      <c r="CM35">
        <v>1</v>
      </c>
      <c r="CN35">
        <v>1</v>
      </c>
      <c r="CO35">
        <v>0</v>
      </c>
      <c r="CP35">
        <v>0</v>
      </c>
      <c r="CQ35">
        <v>0</v>
      </c>
      <c r="CR35">
        <v>0</v>
      </c>
      <c r="CS35">
        <v>1</v>
      </c>
      <c r="CT35">
        <v>1</v>
      </c>
      <c r="CU35">
        <v>0</v>
      </c>
      <c r="CV35">
        <v>0</v>
      </c>
      <c r="CW35">
        <v>1</v>
      </c>
      <c r="CX35">
        <v>0</v>
      </c>
      <c r="CY35">
        <v>0</v>
      </c>
      <c r="CZ35">
        <v>1</v>
      </c>
      <c r="DA35">
        <v>0</v>
      </c>
      <c r="DB35">
        <v>0</v>
      </c>
      <c r="DC35">
        <v>1</v>
      </c>
      <c r="DD35">
        <v>0</v>
      </c>
      <c r="DE35">
        <v>1</v>
      </c>
      <c r="DF35">
        <v>1</v>
      </c>
      <c r="DG35">
        <v>0</v>
      </c>
      <c r="DH35">
        <v>1</v>
      </c>
      <c r="DI35">
        <v>0</v>
      </c>
      <c r="DJ35">
        <v>0</v>
      </c>
      <c r="DK35">
        <v>1</v>
      </c>
      <c r="DL35">
        <v>1</v>
      </c>
      <c r="DM35">
        <v>1</v>
      </c>
      <c r="DN35">
        <v>0</v>
      </c>
      <c r="DO35">
        <v>0</v>
      </c>
      <c r="DP35">
        <v>0</v>
      </c>
      <c r="DQ35">
        <v>0</v>
      </c>
      <c r="DR35">
        <v>1</v>
      </c>
      <c r="DS35">
        <v>1</v>
      </c>
      <c r="DT35">
        <v>1</v>
      </c>
      <c r="DU35">
        <v>0</v>
      </c>
      <c r="DV35">
        <v>0</v>
      </c>
      <c r="DW35">
        <v>0</v>
      </c>
      <c r="DX35">
        <v>1</v>
      </c>
      <c r="DY35">
        <v>0</v>
      </c>
      <c r="DZ35">
        <v>1</v>
      </c>
      <c r="EA35">
        <v>0</v>
      </c>
      <c r="EB35">
        <v>1</v>
      </c>
      <c r="EC35">
        <v>1</v>
      </c>
      <c r="ED35">
        <v>0</v>
      </c>
      <c r="EE35">
        <v>1</v>
      </c>
      <c r="EF35">
        <v>0</v>
      </c>
      <c r="EG35">
        <v>0</v>
      </c>
      <c r="EH35">
        <v>1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1</v>
      </c>
      <c r="EO35">
        <v>0</v>
      </c>
      <c r="EP35">
        <v>1</v>
      </c>
      <c r="EQ35">
        <v>0</v>
      </c>
      <c r="ER35">
        <v>0</v>
      </c>
      <c r="ES35">
        <v>1</v>
      </c>
      <c r="ET35">
        <v>0</v>
      </c>
      <c r="EU35">
        <v>0</v>
      </c>
      <c r="EV35">
        <v>0</v>
      </c>
      <c r="EW35">
        <v>0</v>
      </c>
      <c r="EX35">
        <v>1</v>
      </c>
      <c r="EY35">
        <v>0</v>
      </c>
      <c r="EZ35">
        <v>0</v>
      </c>
      <c r="FA35">
        <v>0</v>
      </c>
      <c r="FB35">
        <v>0</v>
      </c>
      <c r="FC35">
        <v>1</v>
      </c>
      <c r="FD35">
        <v>1</v>
      </c>
      <c r="FE35">
        <v>0</v>
      </c>
      <c r="FF35">
        <v>1</v>
      </c>
      <c r="FG35">
        <v>0</v>
      </c>
      <c r="FH35">
        <v>1</v>
      </c>
      <c r="FI35">
        <v>0</v>
      </c>
      <c r="FJ35">
        <v>1</v>
      </c>
      <c r="FK35">
        <v>0</v>
      </c>
      <c r="FL35">
        <v>0</v>
      </c>
      <c r="FM35">
        <v>0</v>
      </c>
      <c r="FN35">
        <v>1</v>
      </c>
      <c r="FO35">
        <v>1</v>
      </c>
      <c r="FP35">
        <v>0</v>
      </c>
      <c r="FQ35">
        <v>0</v>
      </c>
      <c r="FR35">
        <v>1</v>
      </c>
      <c r="FS35">
        <v>0</v>
      </c>
      <c r="FT35">
        <v>1</v>
      </c>
      <c r="FU35">
        <v>1</v>
      </c>
      <c r="FV35">
        <v>1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1</v>
      </c>
      <c r="GK35">
        <v>0</v>
      </c>
      <c r="GL35">
        <v>0</v>
      </c>
      <c r="GM35">
        <v>0</v>
      </c>
      <c r="GN35">
        <v>1</v>
      </c>
      <c r="GO35">
        <v>0</v>
      </c>
      <c r="GP35">
        <v>1</v>
      </c>
      <c r="GQ35">
        <v>1</v>
      </c>
      <c r="GR35">
        <v>0</v>
      </c>
      <c r="GS35">
        <v>1</v>
      </c>
      <c r="GT35">
        <v>1</v>
      </c>
      <c r="GU35">
        <v>0</v>
      </c>
      <c r="GV35">
        <v>0</v>
      </c>
      <c r="GW35">
        <v>1</v>
      </c>
      <c r="GX35">
        <v>1</v>
      </c>
      <c r="GY35">
        <v>1</v>
      </c>
      <c r="GZ35">
        <v>0</v>
      </c>
      <c r="HA35">
        <v>0</v>
      </c>
      <c r="HB35">
        <v>1</v>
      </c>
      <c r="HC35">
        <v>0</v>
      </c>
      <c r="HD35">
        <v>0</v>
      </c>
      <c r="HE35">
        <v>0</v>
      </c>
      <c r="HF35">
        <v>1</v>
      </c>
      <c r="HG35">
        <v>0</v>
      </c>
      <c r="HH35">
        <v>0</v>
      </c>
      <c r="HI35">
        <v>0</v>
      </c>
      <c r="HJ35">
        <v>1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1</v>
      </c>
      <c r="HR35">
        <v>0</v>
      </c>
      <c r="HS35">
        <v>0</v>
      </c>
      <c r="HT35">
        <v>0</v>
      </c>
      <c r="HU35">
        <v>1</v>
      </c>
      <c r="HV35">
        <v>1</v>
      </c>
      <c r="HW35">
        <v>1</v>
      </c>
      <c r="HX35">
        <v>0</v>
      </c>
      <c r="HY35">
        <v>0</v>
      </c>
      <c r="HZ35">
        <v>1</v>
      </c>
      <c r="IA35">
        <v>1</v>
      </c>
      <c r="IB35">
        <v>1</v>
      </c>
      <c r="IC35">
        <v>0</v>
      </c>
      <c r="ID35">
        <v>0</v>
      </c>
      <c r="IE35">
        <v>0</v>
      </c>
      <c r="IF35">
        <v>1</v>
      </c>
      <c r="IG35">
        <v>0</v>
      </c>
      <c r="IH35">
        <v>0</v>
      </c>
      <c r="II35">
        <v>1</v>
      </c>
      <c r="IJ35">
        <v>1</v>
      </c>
      <c r="IK35">
        <v>0</v>
      </c>
      <c r="IL35">
        <v>1</v>
      </c>
      <c r="IM35">
        <v>1</v>
      </c>
      <c r="IN35">
        <v>0</v>
      </c>
      <c r="IO35">
        <v>0</v>
      </c>
      <c r="IP35">
        <v>1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1</v>
      </c>
      <c r="IY35">
        <v>1</v>
      </c>
      <c r="IZ35">
        <v>1</v>
      </c>
      <c r="JA35">
        <v>1</v>
      </c>
      <c r="JB35">
        <v>1</v>
      </c>
      <c r="JC35">
        <v>1</v>
      </c>
      <c r="JD35">
        <v>1</v>
      </c>
      <c r="JE35">
        <v>0</v>
      </c>
      <c r="JF35">
        <v>0</v>
      </c>
      <c r="JG35">
        <v>1</v>
      </c>
      <c r="JH35">
        <v>1</v>
      </c>
      <c r="JI35">
        <v>0</v>
      </c>
      <c r="JJ35">
        <v>0</v>
      </c>
      <c r="JK35">
        <v>1</v>
      </c>
      <c r="JL35">
        <v>0</v>
      </c>
      <c r="JM35">
        <v>0</v>
      </c>
      <c r="JN35">
        <v>1</v>
      </c>
      <c r="JO35">
        <v>1</v>
      </c>
      <c r="JP35">
        <v>1</v>
      </c>
      <c r="JQ35">
        <v>0</v>
      </c>
      <c r="JR35">
        <v>1</v>
      </c>
      <c r="JS35">
        <v>0</v>
      </c>
      <c r="JT35">
        <v>0</v>
      </c>
      <c r="JU35">
        <v>0</v>
      </c>
      <c r="JV35">
        <v>1</v>
      </c>
      <c r="JW35">
        <v>1</v>
      </c>
      <c r="JX35">
        <v>1</v>
      </c>
      <c r="JY35">
        <v>0</v>
      </c>
      <c r="JZ35">
        <v>0</v>
      </c>
      <c r="KA35">
        <v>0</v>
      </c>
      <c r="KB35">
        <v>0</v>
      </c>
      <c r="KC35">
        <v>1</v>
      </c>
      <c r="KD35">
        <v>0</v>
      </c>
      <c r="KE35">
        <v>0</v>
      </c>
      <c r="KF35">
        <v>0</v>
      </c>
      <c r="KG35">
        <v>0</v>
      </c>
      <c r="KH35">
        <v>1</v>
      </c>
      <c r="KI35">
        <v>0</v>
      </c>
      <c r="KJ35">
        <v>1</v>
      </c>
      <c r="KK35">
        <v>0</v>
      </c>
      <c r="KL35">
        <v>0</v>
      </c>
      <c r="KM35">
        <v>0</v>
      </c>
      <c r="KN35">
        <v>0</v>
      </c>
      <c r="KO35">
        <v>0</v>
      </c>
      <c r="KP35">
        <v>0</v>
      </c>
      <c r="KQ35">
        <v>1</v>
      </c>
      <c r="KR35">
        <v>0</v>
      </c>
      <c r="KS35">
        <v>1</v>
      </c>
      <c r="KT35">
        <v>0</v>
      </c>
      <c r="KU35">
        <v>0</v>
      </c>
      <c r="KV35">
        <v>1</v>
      </c>
      <c r="KW35">
        <v>0</v>
      </c>
      <c r="KX35">
        <v>1</v>
      </c>
      <c r="KY35">
        <v>0</v>
      </c>
      <c r="KZ35">
        <v>1</v>
      </c>
      <c r="LA35">
        <v>0</v>
      </c>
      <c r="LB35">
        <v>0</v>
      </c>
      <c r="LC35">
        <v>0</v>
      </c>
      <c r="LD35">
        <v>0</v>
      </c>
      <c r="LE35">
        <v>0</v>
      </c>
      <c r="LF35">
        <v>1</v>
      </c>
      <c r="LG35">
        <v>0</v>
      </c>
      <c r="LH35">
        <v>1</v>
      </c>
      <c r="LI35">
        <v>0</v>
      </c>
      <c r="LJ35">
        <v>0</v>
      </c>
      <c r="LK35">
        <v>1</v>
      </c>
      <c r="LL35">
        <v>1</v>
      </c>
      <c r="LM35">
        <v>1</v>
      </c>
      <c r="LN35">
        <v>0</v>
      </c>
      <c r="LO35">
        <v>1</v>
      </c>
      <c r="LP35">
        <v>0</v>
      </c>
      <c r="LQ35">
        <v>0</v>
      </c>
      <c r="LR35">
        <v>0</v>
      </c>
      <c r="LS35">
        <v>0</v>
      </c>
      <c r="LT35">
        <v>1</v>
      </c>
      <c r="LU35">
        <v>1</v>
      </c>
      <c r="LV35">
        <v>0</v>
      </c>
      <c r="LW35">
        <v>1</v>
      </c>
      <c r="LX35">
        <v>1</v>
      </c>
      <c r="LY35">
        <v>1</v>
      </c>
      <c r="LZ35">
        <v>0</v>
      </c>
      <c r="MA35">
        <v>0</v>
      </c>
      <c r="MB35">
        <v>1</v>
      </c>
      <c r="MC35">
        <v>0</v>
      </c>
      <c r="MD35">
        <v>0</v>
      </c>
      <c r="ME35">
        <v>0</v>
      </c>
      <c r="MF35">
        <v>0</v>
      </c>
      <c r="MG35">
        <v>0</v>
      </c>
      <c r="MH35">
        <v>0</v>
      </c>
      <c r="MI35">
        <v>0</v>
      </c>
      <c r="MJ35">
        <v>0</v>
      </c>
      <c r="MK35">
        <v>0</v>
      </c>
      <c r="ML35">
        <v>0</v>
      </c>
      <c r="MM35">
        <v>1</v>
      </c>
      <c r="MN35">
        <v>1</v>
      </c>
      <c r="MO35">
        <v>1</v>
      </c>
      <c r="MP35">
        <v>0</v>
      </c>
      <c r="MQ35">
        <v>0</v>
      </c>
      <c r="MR35">
        <v>0</v>
      </c>
      <c r="MS35">
        <v>0</v>
      </c>
      <c r="MT35">
        <v>1</v>
      </c>
      <c r="MU35">
        <v>0</v>
      </c>
      <c r="MV35">
        <v>0</v>
      </c>
      <c r="MW35">
        <v>0</v>
      </c>
      <c r="MX35">
        <v>0</v>
      </c>
      <c r="MY35">
        <v>1</v>
      </c>
      <c r="MZ35">
        <v>1</v>
      </c>
      <c r="NA35">
        <v>1</v>
      </c>
      <c r="NB35">
        <v>1</v>
      </c>
      <c r="NC35">
        <v>0</v>
      </c>
      <c r="ND35">
        <v>0</v>
      </c>
      <c r="NE35">
        <v>0</v>
      </c>
      <c r="NF35">
        <v>0</v>
      </c>
      <c r="NG35">
        <v>0</v>
      </c>
      <c r="NH35">
        <v>0</v>
      </c>
      <c r="NI35">
        <v>0</v>
      </c>
      <c r="NJ35">
        <v>0</v>
      </c>
      <c r="NK35">
        <v>1</v>
      </c>
      <c r="NL35">
        <v>1</v>
      </c>
      <c r="NM35">
        <v>0</v>
      </c>
      <c r="NN35">
        <v>0</v>
      </c>
      <c r="NO35">
        <v>0</v>
      </c>
      <c r="NP35">
        <v>1</v>
      </c>
      <c r="NQ35">
        <v>0</v>
      </c>
      <c r="NR35">
        <v>0</v>
      </c>
      <c r="NS35">
        <v>0</v>
      </c>
      <c r="NT35">
        <v>0</v>
      </c>
      <c r="NU35">
        <v>1</v>
      </c>
      <c r="NV35">
        <v>0</v>
      </c>
      <c r="NW35">
        <v>0</v>
      </c>
      <c r="NX35">
        <v>1</v>
      </c>
      <c r="NY35">
        <v>1</v>
      </c>
      <c r="NZ35">
        <v>1</v>
      </c>
      <c r="OA35">
        <v>0</v>
      </c>
      <c r="OB35">
        <v>0</v>
      </c>
      <c r="OC35">
        <v>0</v>
      </c>
      <c r="OD35">
        <v>0</v>
      </c>
      <c r="OE35">
        <v>0</v>
      </c>
      <c r="OF35">
        <v>0</v>
      </c>
      <c r="OG35">
        <v>0</v>
      </c>
      <c r="OH35">
        <v>0</v>
      </c>
      <c r="OI35">
        <v>0</v>
      </c>
      <c r="OJ35">
        <v>1</v>
      </c>
      <c r="OK35">
        <v>1</v>
      </c>
      <c r="OL35">
        <v>1</v>
      </c>
      <c r="OM35">
        <v>0</v>
      </c>
      <c r="ON35">
        <v>0</v>
      </c>
      <c r="OO35">
        <v>1</v>
      </c>
      <c r="OP35">
        <v>1</v>
      </c>
      <c r="OQ35">
        <v>1</v>
      </c>
      <c r="OR35">
        <v>0</v>
      </c>
      <c r="OS35">
        <v>1</v>
      </c>
      <c r="OT35">
        <v>0</v>
      </c>
      <c r="OU35">
        <v>0</v>
      </c>
      <c r="OV35">
        <v>1</v>
      </c>
      <c r="OW35">
        <v>1</v>
      </c>
      <c r="OX35">
        <v>1</v>
      </c>
      <c r="OY35">
        <v>0</v>
      </c>
      <c r="OZ35">
        <v>0</v>
      </c>
      <c r="PA35">
        <v>0</v>
      </c>
      <c r="PB35">
        <v>0</v>
      </c>
      <c r="PC35">
        <v>0</v>
      </c>
      <c r="PD35">
        <v>0</v>
      </c>
      <c r="PE35">
        <v>0</v>
      </c>
      <c r="PF35">
        <v>0</v>
      </c>
      <c r="PG35">
        <v>0</v>
      </c>
      <c r="PH35">
        <v>1</v>
      </c>
      <c r="PI35">
        <v>1</v>
      </c>
      <c r="PJ35">
        <v>1</v>
      </c>
      <c r="PK35">
        <v>0</v>
      </c>
      <c r="PL35">
        <v>0</v>
      </c>
      <c r="PM35">
        <v>0</v>
      </c>
      <c r="PN35">
        <v>1</v>
      </c>
      <c r="PO35">
        <v>0</v>
      </c>
      <c r="PP35">
        <v>0</v>
      </c>
      <c r="PQ35">
        <v>0</v>
      </c>
      <c r="PR35">
        <v>1</v>
      </c>
      <c r="PS35">
        <v>1</v>
      </c>
      <c r="PT35">
        <v>1</v>
      </c>
      <c r="PU35">
        <v>1</v>
      </c>
      <c r="PV35">
        <v>1</v>
      </c>
    </row>
    <row r="36" spans="1:438" x14ac:dyDescent="0.3">
      <c r="A36" s="31">
        <v>92</v>
      </c>
      <c r="B36" s="28">
        <v>3.52</v>
      </c>
      <c r="C36" s="30">
        <v>0.04</v>
      </c>
      <c r="D36" s="28">
        <v>0.26</v>
      </c>
      <c r="E36" s="34">
        <f t="shared" si="0"/>
        <v>5.1999999999999998E-3</v>
      </c>
      <c r="F36" s="35">
        <f t="shared" si="1"/>
        <v>0.01</v>
      </c>
      <c r="G36" s="34">
        <f t="shared" si="2"/>
        <v>6.5</v>
      </c>
      <c r="H36" s="33">
        <f t="shared" si="3"/>
        <v>-2.840909090909091E-3</v>
      </c>
      <c r="I36" s="29">
        <f t="shared" ca="1" si="4"/>
        <v>0</v>
      </c>
      <c r="J36">
        <f ca="1">IF(AND(SUMPRODUCT($J$2:J35,$B$2:B35)&lt;500,SUM(B35,SUMPRODUCT($J$2:J35,$B$2:B35))&lt;500),1,0)</f>
        <v>0</v>
      </c>
      <c r="K36">
        <v>0</v>
      </c>
      <c r="L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0</v>
      </c>
      <c r="AF36">
        <v>1</v>
      </c>
      <c r="AG36">
        <v>1</v>
      </c>
      <c r="AH36">
        <v>0</v>
      </c>
      <c r="AI36">
        <v>0</v>
      </c>
      <c r="AJ36">
        <v>0</v>
      </c>
      <c r="AK36">
        <v>0</v>
      </c>
      <c r="AL36">
        <v>1</v>
      </c>
      <c r="AM36">
        <v>1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1</v>
      </c>
      <c r="AV36">
        <v>1</v>
      </c>
      <c r="AW36">
        <v>1</v>
      </c>
      <c r="AX36">
        <v>0</v>
      </c>
      <c r="AY36">
        <v>0</v>
      </c>
      <c r="AZ36">
        <v>1</v>
      </c>
      <c r="BA36">
        <v>1</v>
      </c>
      <c r="BB36">
        <v>0</v>
      </c>
      <c r="BC36">
        <v>1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1</v>
      </c>
      <c r="BJ36">
        <v>1</v>
      </c>
      <c r="BK36">
        <v>1</v>
      </c>
      <c r="BL36">
        <v>0</v>
      </c>
      <c r="BM36">
        <v>1</v>
      </c>
      <c r="BN36">
        <v>1</v>
      </c>
      <c r="BO36">
        <v>1</v>
      </c>
      <c r="BP36">
        <v>0</v>
      </c>
      <c r="BQ36">
        <v>1</v>
      </c>
      <c r="BR36">
        <v>0</v>
      </c>
      <c r="BS36">
        <v>0</v>
      </c>
      <c r="BT36">
        <v>0</v>
      </c>
      <c r="BU36">
        <v>1</v>
      </c>
      <c r="BV36">
        <v>1</v>
      </c>
      <c r="BW36">
        <v>1</v>
      </c>
      <c r="BX36">
        <v>0</v>
      </c>
      <c r="BY36">
        <v>0</v>
      </c>
      <c r="BZ36">
        <v>0</v>
      </c>
      <c r="CA36">
        <v>0</v>
      </c>
      <c r="CB36">
        <v>1</v>
      </c>
      <c r="CC36">
        <v>0</v>
      </c>
      <c r="CD36">
        <v>0</v>
      </c>
      <c r="CE36">
        <v>1</v>
      </c>
      <c r="CF36">
        <v>1</v>
      </c>
      <c r="CG36">
        <v>0</v>
      </c>
      <c r="CH36">
        <v>1</v>
      </c>
      <c r="CI36">
        <v>1</v>
      </c>
      <c r="CJ36">
        <v>0</v>
      </c>
      <c r="CK36">
        <v>0</v>
      </c>
      <c r="CL36">
        <v>1</v>
      </c>
      <c r="CM36">
        <v>1</v>
      </c>
      <c r="CN36">
        <v>1</v>
      </c>
      <c r="CO36">
        <v>0</v>
      </c>
      <c r="CP36">
        <v>0</v>
      </c>
      <c r="CQ36">
        <v>0</v>
      </c>
      <c r="CR36">
        <v>1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1</v>
      </c>
      <c r="CZ36">
        <v>0</v>
      </c>
      <c r="DA36">
        <v>0</v>
      </c>
      <c r="DB36">
        <v>0</v>
      </c>
      <c r="DC36">
        <v>0</v>
      </c>
      <c r="DD36">
        <v>1</v>
      </c>
      <c r="DE36">
        <v>1</v>
      </c>
      <c r="DF36">
        <v>0</v>
      </c>
      <c r="DG36">
        <v>1</v>
      </c>
      <c r="DH36">
        <v>1</v>
      </c>
      <c r="DI36">
        <v>0</v>
      </c>
      <c r="DJ36">
        <v>0</v>
      </c>
      <c r="DK36">
        <v>1</v>
      </c>
      <c r="DL36">
        <v>0</v>
      </c>
      <c r="DM36">
        <v>1</v>
      </c>
      <c r="DN36">
        <v>1</v>
      </c>
      <c r="DO36">
        <v>0</v>
      </c>
      <c r="DP36">
        <v>1</v>
      </c>
      <c r="DQ36">
        <v>0</v>
      </c>
      <c r="DR36">
        <v>1</v>
      </c>
      <c r="DS36">
        <v>0</v>
      </c>
      <c r="DT36">
        <v>1</v>
      </c>
      <c r="DU36">
        <v>1</v>
      </c>
      <c r="DV36">
        <v>0</v>
      </c>
      <c r="DW36">
        <v>0</v>
      </c>
      <c r="DX36">
        <v>0</v>
      </c>
      <c r="DY36">
        <v>1</v>
      </c>
      <c r="DZ36">
        <v>1</v>
      </c>
      <c r="EA36">
        <v>0</v>
      </c>
      <c r="EB36">
        <v>1</v>
      </c>
      <c r="EC36">
        <v>0</v>
      </c>
      <c r="ED36">
        <v>0</v>
      </c>
      <c r="EE36">
        <v>0</v>
      </c>
      <c r="EF36">
        <v>1</v>
      </c>
      <c r="EG36">
        <v>0</v>
      </c>
      <c r="EH36">
        <v>0</v>
      </c>
      <c r="EI36">
        <v>0</v>
      </c>
      <c r="EJ36">
        <v>1</v>
      </c>
      <c r="EK36">
        <v>1</v>
      </c>
      <c r="EL36">
        <v>1</v>
      </c>
      <c r="EM36">
        <v>1</v>
      </c>
      <c r="EN36">
        <v>1</v>
      </c>
      <c r="EO36">
        <v>0</v>
      </c>
      <c r="EP36">
        <v>1</v>
      </c>
      <c r="EQ36">
        <v>0</v>
      </c>
      <c r="ER36">
        <v>1</v>
      </c>
      <c r="ES36">
        <v>1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1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1</v>
      </c>
      <c r="FG36">
        <v>0</v>
      </c>
      <c r="FH36">
        <v>1</v>
      </c>
      <c r="FI36">
        <v>1</v>
      </c>
      <c r="FJ36">
        <v>1</v>
      </c>
      <c r="FK36">
        <v>0</v>
      </c>
      <c r="FL36">
        <v>0</v>
      </c>
      <c r="FM36">
        <v>0</v>
      </c>
      <c r="FN36">
        <v>0</v>
      </c>
      <c r="FO36">
        <v>1</v>
      </c>
      <c r="FP36">
        <v>0</v>
      </c>
      <c r="FQ36">
        <v>1</v>
      </c>
      <c r="FR36">
        <v>0</v>
      </c>
      <c r="FS36">
        <v>1</v>
      </c>
      <c r="FT36">
        <v>0</v>
      </c>
      <c r="FU36">
        <v>1</v>
      </c>
      <c r="FV36">
        <v>1</v>
      </c>
      <c r="FW36">
        <v>1</v>
      </c>
      <c r="FX36">
        <v>0</v>
      </c>
      <c r="FY36">
        <v>1</v>
      </c>
      <c r="FZ36">
        <v>0</v>
      </c>
      <c r="GA36">
        <v>1</v>
      </c>
      <c r="GB36">
        <v>1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1</v>
      </c>
      <c r="GI36">
        <v>0</v>
      </c>
      <c r="GJ36">
        <v>1</v>
      </c>
      <c r="GK36">
        <v>0</v>
      </c>
      <c r="GL36">
        <v>0</v>
      </c>
      <c r="GM36">
        <v>1</v>
      </c>
      <c r="GN36">
        <v>0</v>
      </c>
      <c r="GO36">
        <v>0</v>
      </c>
      <c r="GP36">
        <v>1</v>
      </c>
      <c r="GQ36">
        <v>1</v>
      </c>
      <c r="GR36">
        <v>0</v>
      </c>
      <c r="GS36">
        <v>1</v>
      </c>
      <c r="GT36">
        <v>1</v>
      </c>
      <c r="GU36">
        <v>0</v>
      </c>
      <c r="GV36">
        <v>0</v>
      </c>
      <c r="GW36">
        <v>1</v>
      </c>
      <c r="GX36">
        <v>1</v>
      </c>
      <c r="GY36">
        <v>0</v>
      </c>
      <c r="GZ36">
        <v>0</v>
      </c>
      <c r="HA36">
        <v>1</v>
      </c>
      <c r="HB36">
        <v>0</v>
      </c>
      <c r="HC36">
        <v>0</v>
      </c>
      <c r="HD36">
        <v>1</v>
      </c>
      <c r="HE36">
        <v>1</v>
      </c>
      <c r="HF36">
        <v>1</v>
      </c>
      <c r="HG36">
        <v>1</v>
      </c>
      <c r="HH36">
        <v>1</v>
      </c>
      <c r="HI36">
        <v>1</v>
      </c>
      <c r="HJ36">
        <v>1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1</v>
      </c>
      <c r="HR36">
        <v>1</v>
      </c>
      <c r="HS36">
        <v>1</v>
      </c>
      <c r="HT36">
        <v>0</v>
      </c>
      <c r="HU36">
        <v>0</v>
      </c>
      <c r="HV36">
        <v>0</v>
      </c>
      <c r="HW36">
        <v>1</v>
      </c>
      <c r="HX36">
        <v>1</v>
      </c>
      <c r="HY36">
        <v>1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1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1</v>
      </c>
      <c r="IN36">
        <v>1</v>
      </c>
      <c r="IO36">
        <v>0</v>
      </c>
      <c r="IP36">
        <v>1</v>
      </c>
      <c r="IQ36">
        <v>0</v>
      </c>
      <c r="IR36">
        <v>0</v>
      </c>
      <c r="IS36">
        <v>1</v>
      </c>
      <c r="IT36">
        <v>0</v>
      </c>
      <c r="IU36">
        <v>0</v>
      </c>
      <c r="IV36">
        <v>1</v>
      </c>
      <c r="IW36">
        <v>0</v>
      </c>
      <c r="IX36">
        <v>1</v>
      </c>
      <c r="IY36">
        <v>0</v>
      </c>
      <c r="IZ36">
        <v>1</v>
      </c>
      <c r="JA36">
        <v>1</v>
      </c>
      <c r="JB36">
        <v>1</v>
      </c>
      <c r="JC36">
        <v>1</v>
      </c>
      <c r="JD36">
        <v>1</v>
      </c>
      <c r="JE36">
        <v>0</v>
      </c>
      <c r="JF36">
        <v>0</v>
      </c>
      <c r="JG36">
        <v>1</v>
      </c>
      <c r="JH36">
        <v>1</v>
      </c>
      <c r="JI36">
        <v>0</v>
      </c>
      <c r="JJ36">
        <v>1</v>
      </c>
      <c r="JK36">
        <v>1</v>
      </c>
      <c r="JL36">
        <v>0</v>
      </c>
      <c r="JM36">
        <v>1</v>
      </c>
      <c r="JN36">
        <v>0</v>
      </c>
      <c r="JO36">
        <v>0</v>
      </c>
      <c r="JP36">
        <v>1</v>
      </c>
      <c r="JQ36">
        <v>0</v>
      </c>
      <c r="JR36">
        <v>0</v>
      </c>
      <c r="JS36">
        <v>1</v>
      </c>
      <c r="JT36">
        <v>1</v>
      </c>
      <c r="JU36">
        <v>0</v>
      </c>
      <c r="JV36">
        <v>1</v>
      </c>
      <c r="JW36">
        <v>1</v>
      </c>
      <c r="JX36">
        <v>1</v>
      </c>
      <c r="JY36">
        <v>0</v>
      </c>
      <c r="JZ36">
        <v>1</v>
      </c>
      <c r="KA36">
        <v>0</v>
      </c>
      <c r="KB36">
        <v>0</v>
      </c>
      <c r="KC36">
        <v>0</v>
      </c>
      <c r="KD36">
        <v>1</v>
      </c>
      <c r="KE36">
        <v>0</v>
      </c>
      <c r="KF36">
        <v>0</v>
      </c>
      <c r="KG36">
        <v>1</v>
      </c>
      <c r="KH36">
        <v>1</v>
      </c>
      <c r="KI36">
        <v>0</v>
      </c>
      <c r="KJ36">
        <v>0</v>
      </c>
      <c r="KK36">
        <v>1</v>
      </c>
      <c r="KL36">
        <v>0</v>
      </c>
      <c r="KM36">
        <v>1</v>
      </c>
      <c r="KN36">
        <v>0</v>
      </c>
      <c r="KO36">
        <v>0</v>
      </c>
      <c r="KP36">
        <v>0</v>
      </c>
      <c r="KQ36">
        <v>1</v>
      </c>
      <c r="KR36">
        <v>0</v>
      </c>
      <c r="KS36">
        <v>0</v>
      </c>
      <c r="KT36">
        <v>0</v>
      </c>
      <c r="KU36">
        <v>1</v>
      </c>
      <c r="KV36">
        <v>0</v>
      </c>
      <c r="KW36">
        <v>0</v>
      </c>
      <c r="KX36">
        <v>0</v>
      </c>
      <c r="KY36">
        <v>1</v>
      </c>
      <c r="KZ36">
        <v>1</v>
      </c>
      <c r="LA36">
        <v>0</v>
      </c>
      <c r="LB36">
        <v>0</v>
      </c>
      <c r="LC36">
        <v>0</v>
      </c>
      <c r="LD36">
        <v>1</v>
      </c>
      <c r="LE36">
        <v>1</v>
      </c>
      <c r="LF36">
        <v>0</v>
      </c>
      <c r="LG36">
        <v>0</v>
      </c>
      <c r="LH36">
        <v>1</v>
      </c>
      <c r="LI36">
        <v>1</v>
      </c>
      <c r="LJ36">
        <v>0</v>
      </c>
      <c r="LK36">
        <v>1</v>
      </c>
      <c r="LL36">
        <v>1</v>
      </c>
      <c r="LM36">
        <v>0</v>
      </c>
      <c r="LN36">
        <v>0</v>
      </c>
      <c r="LO36">
        <v>0</v>
      </c>
      <c r="LP36">
        <v>0</v>
      </c>
      <c r="LQ36">
        <v>1</v>
      </c>
      <c r="LR36">
        <v>0</v>
      </c>
      <c r="LS36">
        <v>1</v>
      </c>
      <c r="LT36">
        <v>1</v>
      </c>
      <c r="LU36">
        <v>0</v>
      </c>
      <c r="LV36">
        <v>0</v>
      </c>
      <c r="LW36">
        <v>1</v>
      </c>
      <c r="LX36">
        <v>1</v>
      </c>
      <c r="LY36">
        <v>0</v>
      </c>
      <c r="LZ36">
        <v>1</v>
      </c>
      <c r="MA36">
        <v>0</v>
      </c>
      <c r="MB36">
        <v>1</v>
      </c>
      <c r="MC36">
        <v>1</v>
      </c>
      <c r="MD36">
        <v>1</v>
      </c>
      <c r="ME36">
        <v>0</v>
      </c>
      <c r="MF36">
        <v>1</v>
      </c>
      <c r="MG36">
        <v>0</v>
      </c>
      <c r="MH36">
        <v>0</v>
      </c>
      <c r="MI36">
        <v>0</v>
      </c>
      <c r="MJ36">
        <v>1</v>
      </c>
      <c r="MK36">
        <v>0</v>
      </c>
      <c r="ML36">
        <v>0</v>
      </c>
      <c r="MM36">
        <v>1</v>
      </c>
      <c r="MN36">
        <v>1</v>
      </c>
      <c r="MO36">
        <v>1</v>
      </c>
      <c r="MP36">
        <v>1</v>
      </c>
      <c r="MQ36">
        <v>1</v>
      </c>
      <c r="MR36">
        <v>0</v>
      </c>
      <c r="MS36">
        <v>1</v>
      </c>
      <c r="MT36">
        <v>0</v>
      </c>
      <c r="MU36">
        <v>1</v>
      </c>
      <c r="MV36">
        <v>0</v>
      </c>
      <c r="MW36">
        <v>0</v>
      </c>
      <c r="MX36">
        <v>0</v>
      </c>
      <c r="MY36">
        <v>1</v>
      </c>
      <c r="MZ36">
        <v>1</v>
      </c>
      <c r="NA36">
        <v>1</v>
      </c>
      <c r="NB36">
        <v>0</v>
      </c>
      <c r="NC36">
        <v>0</v>
      </c>
      <c r="ND36">
        <v>1</v>
      </c>
      <c r="NE36">
        <v>0</v>
      </c>
      <c r="NF36">
        <v>0</v>
      </c>
      <c r="NG36">
        <v>0</v>
      </c>
      <c r="NH36">
        <v>0</v>
      </c>
      <c r="NI36">
        <v>0</v>
      </c>
      <c r="NJ36">
        <v>0</v>
      </c>
      <c r="NK36">
        <v>1</v>
      </c>
      <c r="NL36">
        <v>0</v>
      </c>
      <c r="NM36">
        <v>1</v>
      </c>
      <c r="NN36">
        <v>0</v>
      </c>
      <c r="NO36">
        <v>1</v>
      </c>
      <c r="NP36">
        <v>1</v>
      </c>
      <c r="NQ36">
        <v>0</v>
      </c>
      <c r="NR36">
        <v>0</v>
      </c>
      <c r="NS36">
        <v>0</v>
      </c>
      <c r="NT36">
        <v>0</v>
      </c>
      <c r="NU36">
        <v>0</v>
      </c>
      <c r="NV36">
        <v>0</v>
      </c>
      <c r="NW36">
        <v>0</v>
      </c>
      <c r="NX36">
        <v>1</v>
      </c>
      <c r="NY36">
        <v>0</v>
      </c>
      <c r="NZ36">
        <v>1</v>
      </c>
      <c r="OA36">
        <v>0</v>
      </c>
      <c r="OB36">
        <v>0</v>
      </c>
      <c r="OC36">
        <v>0</v>
      </c>
      <c r="OD36">
        <v>0</v>
      </c>
      <c r="OE36">
        <v>0</v>
      </c>
      <c r="OF36">
        <v>1</v>
      </c>
      <c r="OG36">
        <v>0</v>
      </c>
      <c r="OH36">
        <v>1</v>
      </c>
      <c r="OI36">
        <v>1</v>
      </c>
      <c r="OJ36">
        <v>1</v>
      </c>
      <c r="OK36">
        <v>0</v>
      </c>
      <c r="OL36">
        <v>0</v>
      </c>
      <c r="OM36">
        <v>1</v>
      </c>
      <c r="ON36">
        <v>0</v>
      </c>
      <c r="OO36">
        <v>1</v>
      </c>
      <c r="OP36">
        <v>0</v>
      </c>
      <c r="OQ36">
        <v>0</v>
      </c>
      <c r="OR36">
        <v>0</v>
      </c>
      <c r="OS36">
        <v>0</v>
      </c>
      <c r="OT36">
        <v>0</v>
      </c>
      <c r="OU36">
        <v>0</v>
      </c>
      <c r="OV36">
        <v>1</v>
      </c>
      <c r="OW36">
        <v>1</v>
      </c>
      <c r="OX36">
        <v>0</v>
      </c>
      <c r="OY36">
        <v>1</v>
      </c>
      <c r="OZ36">
        <v>0</v>
      </c>
      <c r="PA36">
        <v>1</v>
      </c>
      <c r="PB36">
        <v>0</v>
      </c>
      <c r="PC36">
        <v>0</v>
      </c>
      <c r="PD36">
        <v>1</v>
      </c>
      <c r="PE36">
        <v>0</v>
      </c>
      <c r="PF36">
        <v>0</v>
      </c>
      <c r="PG36">
        <v>1</v>
      </c>
      <c r="PH36">
        <v>0</v>
      </c>
      <c r="PI36">
        <v>0</v>
      </c>
      <c r="PJ36">
        <v>0</v>
      </c>
      <c r="PK36">
        <v>1</v>
      </c>
      <c r="PL36">
        <v>0</v>
      </c>
      <c r="PM36">
        <v>0</v>
      </c>
      <c r="PN36">
        <v>0</v>
      </c>
      <c r="PO36">
        <v>0</v>
      </c>
      <c r="PP36">
        <v>0</v>
      </c>
      <c r="PQ36">
        <v>0</v>
      </c>
      <c r="PR36">
        <v>1</v>
      </c>
      <c r="PS36">
        <v>0</v>
      </c>
      <c r="PT36">
        <v>1</v>
      </c>
      <c r="PU36">
        <v>0</v>
      </c>
      <c r="PV36">
        <v>1</v>
      </c>
    </row>
    <row r="37" spans="1:438" x14ac:dyDescent="0.3">
      <c r="A37" s="31">
        <v>96</v>
      </c>
      <c r="B37" s="28">
        <v>0.78</v>
      </c>
      <c r="C37" s="30">
        <v>98.92</v>
      </c>
      <c r="D37" s="28">
        <v>1.03</v>
      </c>
      <c r="E37" s="34">
        <f t="shared" si="0"/>
        <v>2.06E-2</v>
      </c>
      <c r="F37" s="35">
        <f t="shared" si="1"/>
        <v>24.73</v>
      </c>
      <c r="G37" s="34">
        <f t="shared" si="2"/>
        <v>25.75</v>
      </c>
      <c r="H37" s="33">
        <f t="shared" si="3"/>
        <v>-31.705128205128204</v>
      </c>
      <c r="I37" s="29">
        <f t="shared" ca="1" si="4"/>
        <v>1</v>
      </c>
      <c r="J37">
        <f ca="1">IF(AND(SUMPRODUCT($J$2:J36,$B$2:B36)&lt;500,SUM(B36,SUMPRODUCT($J$2:J36,$B$2:B36))&lt;500),1,0)</f>
        <v>0</v>
      </c>
      <c r="K37">
        <v>0</v>
      </c>
      <c r="L37">
        <v>0</v>
      </c>
      <c r="W37">
        <v>0</v>
      </c>
      <c r="X37">
        <v>1</v>
      </c>
      <c r="Y37">
        <v>0</v>
      </c>
      <c r="Z37">
        <v>0</v>
      </c>
      <c r="AA37">
        <v>0</v>
      </c>
      <c r="AB37">
        <v>1</v>
      </c>
      <c r="AC37">
        <v>0</v>
      </c>
      <c r="AD37">
        <v>1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1</v>
      </c>
      <c r="AL37">
        <v>1</v>
      </c>
      <c r="AM37">
        <v>0</v>
      </c>
      <c r="AN37">
        <v>0</v>
      </c>
      <c r="AO37">
        <v>1</v>
      </c>
      <c r="AP37">
        <v>0</v>
      </c>
      <c r="AQ37">
        <v>0</v>
      </c>
      <c r="AR37">
        <v>0</v>
      </c>
      <c r="AS37">
        <v>1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1</v>
      </c>
      <c r="BA37">
        <v>1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1</v>
      </c>
      <c r="BI37">
        <v>1</v>
      </c>
      <c r="BJ37">
        <v>1</v>
      </c>
      <c r="BK37">
        <v>0</v>
      </c>
      <c r="BL37">
        <v>0</v>
      </c>
      <c r="BM37">
        <v>1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1</v>
      </c>
      <c r="BT37">
        <v>0</v>
      </c>
      <c r="BU37">
        <v>1</v>
      </c>
      <c r="BV37">
        <v>1</v>
      </c>
      <c r="BW37">
        <v>0</v>
      </c>
      <c r="BX37">
        <v>0</v>
      </c>
      <c r="BY37">
        <v>0</v>
      </c>
      <c r="BZ37">
        <v>0</v>
      </c>
      <c r="CA37">
        <v>1</v>
      </c>
      <c r="CB37">
        <v>1</v>
      </c>
      <c r="CC37">
        <v>1</v>
      </c>
      <c r="CD37">
        <v>1</v>
      </c>
      <c r="CE37">
        <v>1</v>
      </c>
      <c r="CF37">
        <v>0</v>
      </c>
      <c r="CG37">
        <v>0</v>
      </c>
      <c r="CH37">
        <v>0</v>
      </c>
      <c r="CI37">
        <v>1</v>
      </c>
      <c r="CJ37">
        <v>0</v>
      </c>
      <c r="CK37">
        <v>1</v>
      </c>
      <c r="CL37">
        <v>1</v>
      </c>
      <c r="CM37">
        <v>1</v>
      </c>
      <c r="CN37">
        <v>1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1</v>
      </c>
      <c r="CU37">
        <v>0</v>
      </c>
      <c r="CV37">
        <v>0</v>
      </c>
      <c r="CW37">
        <v>1</v>
      </c>
      <c r="CX37">
        <v>0</v>
      </c>
      <c r="CY37">
        <v>1</v>
      </c>
      <c r="CZ37">
        <v>0</v>
      </c>
      <c r="DA37">
        <v>0</v>
      </c>
      <c r="DB37">
        <v>1</v>
      </c>
      <c r="DC37">
        <v>0</v>
      </c>
      <c r="DD37">
        <v>1</v>
      </c>
      <c r="DE37">
        <v>1</v>
      </c>
      <c r="DF37">
        <v>1</v>
      </c>
      <c r="DG37">
        <v>1</v>
      </c>
      <c r="DH37">
        <v>1</v>
      </c>
      <c r="DI37">
        <v>0</v>
      </c>
      <c r="DJ37">
        <v>0</v>
      </c>
      <c r="DK37">
        <v>1</v>
      </c>
      <c r="DL37">
        <v>0</v>
      </c>
      <c r="DM37">
        <v>0</v>
      </c>
      <c r="DN37">
        <v>1</v>
      </c>
      <c r="DO37">
        <v>0</v>
      </c>
      <c r="DP37">
        <v>1</v>
      </c>
      <c r="DQ37">
        <v>0</v>
      </c>
      <c r="DR37">
        <v>0</v>
      </c>
      <c r="DS37">
        <v>1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1</v>
      </c>
      <c r="EA37">
        <v>0</v>
      </c>
      <c r="EB37">
        <v>1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1</v>
      </c>
      <c r="EL37">
        <v>1</v>
      </c>
      <c r="EM37">
        <v>1</v>
      </c>
      <c r="EN37">
        <v>1</v>
      </c>
      <c r="EO37">
        <v>0</v>
      </c>
      <c r="EP37">
        <v>0</v>
      </c>
      <c r="EQ37">
        <v>0</v>
      </c>
      <c r="ER37">
        <v>0</v>
      </c>
      <c r="ES37">
        <v>1</v>
      </c>
      <c r="ET37">
        <v>0</v>
      </c>
      <c r="EU37">
        <v>0</v>
      </c>
      <c r="EV37">
        <v>0</v>
      </c>
      <c r="EW37">
        <v>1</v>
      </c>
      <c r="EX37">
        <v>0</v>
      </c>
      <c r="EY37">
        <v>0</v>
      </c>
      <c r="EZ37">
        <v>0</v>
      </c>
      <c r="FA37">
        <v>1</v>
      </c>
      <c r="FB37">
        <v>0</v>
      </c>
      <c r="FC37">
        <v>0</v>
      </c>
      <c r="FD37">
        <v>0</v>
      </c>
      <c r="FE37">
        <v>0</v>
      </c>
      <c r="FF37">
        <v>1</v>
      </c>
      <c r="FG37">
        <v>0</v>
      </c>
      <c r="FH37">
        <v>0</v>
      </c>
      <c r="FI37">
        <v>1</v>
      </c>
      <c r="FJ37">
        <v>1</v>
      </c>
      <c r="FK37">
        <v>1</v>
      </c>
      <c r="FL37">
        <v>0</v>
      </c>
      <c r="FM37">
        <v>0</v>
      </c>
      <c r="FN37">
        <v>1</v>
      </c>
      <c r="FO37">
        <v>0</v>
      </c>
      <c r="FP37">
        <v>0</v>
      </c>
      <c r="FQ37">
        <v>0</v>
      </c>
      <c r="FR37">
        <v>0</v>
      </c>
      <c r="FS37">
        <v>1</v>
      </c>
      <c r="FT37">
        <v>0</v>
      </c>
      <c r="FU37">
        <v>1</v>
      </c>
      <c r="FV37">
        <v>1</v>
      </c>
      <c r="FW37">
        <v>0</v>
      </c>
      <c r="FX37">
        <v>0</v>
      </c>
      <c r="FY37">
        <v>1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1</v>
      </c>
      <c r="GH37">
        <v>1</v>
      </c>
      <c r="GI37">
        <v>0</v>
      </c>
      <c r="GJ37">
        <v>1</v>
      </c>
      <c r="GK37">
        <v>1</v>
      </c>
      <c r="GL37">
        <v>0</v>
      </c>
      <c r="GM37">
        <v>1</v>
      </c>
      <c r="GN37">
        <v>0</v>
      </c>
      <c r="GO37">
        <v>1</v>
      </c>
      <c r="GP37">
        <v>0</v>
      </c>
      <c r="GQ37">
        <v>1</v>
      </c>
      <c r="GR37">
        <v>0</v>
      </c>
      <c r="GS37">
        <v>1</v>
      </c>
      <c r="GT37">
        <v>1</v>
      </c>
      <c r="GU37">
        <v>0</v>
      </c>
      <c r="GV37">
        <v>0</v>
      </c>
      <c r="GW37">
        <v>0</v>
      </c>
      <c r="GX37">
        <v>0</v>
      </c>
      <c r="GY37">
        <v>1</v>
      </c>
      <c r="GZ37">
        <v>0</v>
      </c>
      <c r="HA37">
        <v>1</v>
      </c>
      <c r="HB37">
        <v>0</v>
      </c>
      <c r="HC37">
        <v>1</v>
      </c>
      <c r="HD37">
        <v>1</v>
      </c>
      <c r="HE37">
        <v>0</v>
      </c>
      <c r="HF37">
        <v>1</v>
      </c>
      <c r="HG37">
        <v>1</v>
      </c>
      <c r="HH37">
        <v>1</v>
      </c>
      <c r="HI37">
        <v>0</v>
      </c>
      <c r="HJ37">
        <v>0</v>
      </c>
      <c r="HK37">
        <v>0</v>
      </c>
      <c r="HL37">
        <v>0</v>
      </c>
      <c r="HM37">
        <v>1</v>
      </c>
      <c r="HN37">
        <v>0</v>
      </c>
      <c r="HO37">
        <v>1</v>
      </c>
      <c r="HP37">
        <v>0</v>
      </c>
      <c r="HQ37">
        <v>1</v>
      </c>
      <c r="HR37">
        <v>1</v>
      </c>
      <c r="HS37">
        <v>0</v>
      </c>
      <c r="HT37">
        <v>0</v>
      </c>
      <c r="HU37">
        <v>0</v>
      </c>
      <c r="HV37">
        <v>1</v>
      </c>
      <c r="HW37">
        <v>1</v>
      </c>
      <c r="HX37">
        <v>1</v>
      </c>
      <c r="HY37">
        <v>1</v>
      </c>
      <c r="HZ37">
        <v>0</v>
      </c>
      <c r="IA37">
        <v>0</v>
      </c>
      <c r="IB37">
        <v>1</v>
      </c>
      <c r="IC37">
        <v>1</v>
      </c>
      <c r="ID37">
        <v>1</v>
      </c>
      <c r="IE37">
        <v>0</v>
      </c>
      <c r="IF37">
        <v>0</v>
      </c>
      <c r="IG37">
        <v>0</v>
      </c>
      <c r="IH37">
        <v>1</v>
      </c>
      <c r="II37">
        <v>0</v>
      </c>
      <c r="IJ37">
        <v>0</v>
      </c>
      <c r="IK37">
        <v>0</v>
      </c>
      <c r="IL37">
        <v>1</v>
      </c>
      <c r="IM37">
        <v>0</v>
      </c>
      <c r="IN37">
        <v>1</v>
      </c>
      <c r="IO37">
        <v>0</v>
      </c>
      <c r="IP37">
        <v>1</v>
      </c>
      <c r="IQ37">
        <v>0</v>
      </c>
      <c r="IR37">
        <v>0</v>
      </c>
      <c r="IS37">
        <v>1</v>
      </c>
      <c r="IT37">
        <v>0</v>
      </c>
      <c r="IU37">
        <v>1</v>
      </c>
      <c r="IV37">
        <v>1</v>
      </c>
      <c r="IW37">
        <v>0</v>
      </c>
      <c r="IX37">
        <v>0</v>
      </c>
      <c r="IY37">
        <v>1</v>
      </c>
      <c r="IZ37">
        <v>1</v>
      </c>
      <c r="JA37">
        <v>1</v>
      </c>
      <c r="JB37">
        <v>1</v>
      </c>
      <c r="JC37">
        <v>1</v>
      </c>
      <c r="JD37">
        <v>1</v>
      </c>
      <c r="JE37">
        <v>0</v>
      </c>
      <c r="JF37">
        <v>0</v>
      </c>
      <c r="JG37">
        <v>1</v>
      </c>
      <c r="JH37">
        <v>1</v>
      </c>
      <c r="JI37">
        <v>0</v>
      </c>
      <c r="JJ37">
        <v>0</v>
      </c>
      <c r="JK37">
        <v>0</v>
      </c>
      <c r="JL37">
        <v>0</v>
      </c>
      <c r="JM37">
        <v>1</v>
      </c>
      <c r="JN37">
        <v>1</v>
      </c>
      <c r="JO37">
        <v>0</v>
      </c>
      <c r="JP37">
        <v>1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1</v>
      </c>
      <c r="JW37">
        <v>1</v>
      </c>
      <c r="JX37">
        <v>0</v>
      </c>
      <c r="JY37">
        <v>0</v>
      </c>
      <c r="JZ37">
        <v>1</v>
      </c>
      <c r="KA37">
        <v>0</v>
      </c>
      <c r="KB37">
        <v>0</v>
      </c>
      <c r="KC37">
        <v>1</v>
      </c>
      <c r="KD37">
        <v>0</v>
      </c>
      <c r="KE37">
        <v>0</v>
      </c>
      <c r="KF37">
        <v>0</v>
      </c>
      <c r="KG37">
        <v>0</v>
      </c>
      <c r="KH37">
        <v>1</v>
      </c>
      <c r="KI37">
        <v>0</v>
      </c>
      <c r="KJ37">
        <v>1</v>
      </c>
      <c r="KK37">
        <v>0</v>
      </c>
      <c r="KL37">
        <v>0</v>
      </c>
      <c r="KM37">
        <v>0</v>
      </c>
      <c r="KN37">
        <v>0</v>
      </c>
      <c r="KO37">
        <v>1</v>
      </c>
      <c r="KP37">
        <v>1</v>
      </c>
      <c r="KQ37">
        <v>0</v>
      </c>
      <c r="KR37">
        <v>0</v>
      </c>
      <c r="KS37">
        <v>1</v>
      </c>
      <c r="KT37">
        <v>1</v>
      </c>
      <c r="KU37">
        <v>0</v>
      </c>
      <c r="KV37">
        <v>0</v>
      </c>
      <c r="KW37">
        <v>0</v>
      </c>
      <c r="KX37">
        <v>1</v>
      </c>
      <c r="KY37">
        <v>1</v>
      </c>
      <c r="KZ37">
        <v>1</v>
      </c>
      <c r="LA37">
        <v>0</v>
      </c>
      <c r="LB37">
        <v>0</v>
      </c>
      <c r="LC37">
        <v>1</v>
      </c>
      <c r="LD37">
        <v>1</v>
      </c>
      <c r="LE37">
        <v>1</v>
      </c>
      <c r="LF37">
        <v>0</v>
      </c>
      <c r="LG37">
        <v>0</v>
      </c>
      <c r="LH37">
        <v>1</v>
      </c>
      <c r="LI37">
        <v>0</v>
      </c>
      <c r="LJ37">
        <v>0</v>
      </c>
      <c r="LK37">
        <v>1</v>
      </c>
      <c r="LL37">
        <v>1</v>
      </c>
      <c r="LM37">
        <v>1</v>
      </c>
      <c r="LN37">
        <v>0</v>
      </c>
      <c r="LO37">
        <v>1</v>
      </c>
      <c r="LP37">
        <v>0</v>
      </c>
      <c r="LQ37">
        <v>1</v>
      </c>
      <c r="LR37">
        <v>0</v>
      </c>
      <c r="LS37">
        <v>0</v>
      </c>
      <c r="LT37">
        <v>0</v>
      </c>
      <c r="LU37">
        <v>1</v>
      </c>
      <c r="LV37">
        <v>0</v>
      </c>
      <c r="LW37">
        <v>1</v>
      </c>
      <c r="LX37">
        <v>1</v>
      </c>
      <c r="LY37">
        <v>0</v>
      </c>
      <c r="LZ37">
        <v>0</v>
      </c>
      <c r="MA37">
        <v>0</v>
      </c>
      <c r="MB37">
        <v>1</v>
      </c>
      <c r="MC37">
        <v>1</v>
      </c>
      <c r="MD37">
        <v>0</v>
      </c>
      <c r="ME37">
        <v>0</v>
      </c>
      <c r="MF37">
        <v>0</v>
      </c>
      <c r="MG37">
        <v>1</v>
      </c>
      <c r="MH37">
        <v>0</v>
      </c>
      <c r="MI37">
        <v>1</v>
      </c>
      <c r="MJ37">
        <v>1</v>
      </c>
      <c r="MK37">
        <v>0</v>
      </c>
      <c r="ML37">
        <v>0</v>
      </c>
      <c r="MM37">
        <v>1</v>
      </c>
      <c r="MN37">
        <v>1</v>
      </c>
      <c r="MO37">
        <v>0</v>
      </c>
      <c r="MP37">
        <v>0</v>
      </c>
      <c r="MQ37">
        <v>0</v>
      </c>
      <c r="MR37">
        <v>0</v>
      </c>
      <c r="MS37">
        <v>0</v>
      </c>
      <c r="MT37">
        <v>0</v>
      </c>
      <c r="MU37">
        <v>0</v>
      </c>
      <c r="MV37">
        <v>0</v>
      </c>
      <c r="MW37">
        <v>0</v>
      </c>
      <c r="MX37">
        <v>0</v>
      </c>
      <c r="MY37">
        <v>1</v>
      </c>
      <c r="MZ37">
        <v>0</v>
      </c>
      <c r="NA37">
        <v>1</v>
      </c>
      <c r="NB37">
        <v>0</v>
      </c>
      <c r="NC37">
        <v>0</v>
      </c>
      <c r="ND37">
        <v>0</v>
      </c>
      <c r="NE37">
        <v>0</v>
      </c>
      <c r="NF37">
        <v>0</v>
      </c>
      <c r="NG37">
        <v>0</v>
      </c>
      <c r="NH37">
        <v>0</v>
      </c>
      <c r="NI37">
        <v>1</v>
      </c>
      <c r="NJ37">
        <v>1</v>
      </c>
      <c r="NK37">
        <v>1</v>
      </c>
      <c r="NL37">
        <v>0</v>
      </c>
      <c r="NM37">
        <v>0</v>
      </c>
      <c r="NN37">
        <v>0</v>
      </c>
      <c r="NO37">
        <v>1</v>
      </c>
      <c r="NP37">
        <v>0</v>
      </c>
      <c r="NQ37">
        <v>0</v>
      </c>
      <c r="NR37">
        <v>0</v>
      </c>
      <c r="NS37">
        <v>0</v>
      </c>
      <c r="NT37">
        <v>1</v>
      </c>
      <c r="NU37">
        <v>1</v>
      </c>
      <c r="NV37">
        <v>1</v>
      </c>
      <c r="NW37">
        <v>0</v>
      </c>
      <c r="NX37">
        <v>1</v>
      </c>
      <c r="NY37">
        <v>0</v>
      </c>
      <c r="NZ37">
        <v>0</v>
      </c>
      <c r="OA37">
        <v>0</v>
      </c>
      <c r="OB37">
        <v>0</v>
      </c>
      <c r="OC37">
        <v>0</v>
      </c>
      <c r="OD37">
        <v>0</v>
      </c>
      <c r="OE37">
        <v>0</v>
      </c>
      <c r="OF37">
        <v>1</v>
      </c>
      <c r="OG37">
        <v>0</v>
      </c>
      <c r="OH37">
        <v>0</v>
      </c>
      <c r="OI37">
        <v>1</v>
      </c>
      <c r="OJ37">
        <v>0</v>
      </c>
      <c r="OK37">
        <v>1</v>
      </c>
      <c r="OL37">
        <v>0</v>
      </c>
      <c r="OM37">
        <v>1</v>
      </c>
      <c r="ON37">
        <v>1</v>
      </c>
      <c r="OO37">
        <v>1</v>
      </c>
      <c r="OP37">
        <v>1</v>
      </c>
      <c r="OQ37">
        <v>0</v>
      </c>
      <c r="OR37">
        <v>1</v>
      </c>
      <c r="OS37">
        <v>1</v>
      </c>
      <c r="OT37">
        <v>0</v>
      </c>
      <c r="OU37">
        <v>0</v>
      </c>
      <c r="OV37">
        <v>1</v>
      </c>
      <c r="OW37">
        <v>0</v>
      </c>
      <c r="OX37">
        <v>0</v>
      </c>
      <c r="OY37">
        <v>0</v>
      </c>
      <c r="OZ37">
        <v>0</v>
      </c>
      <c r="PA37">
        <v>0</v>
      </c>
      <c r="PB37">
        <v>0</v>
      </c>
      <c r="PC37">
        <v>0</v>
      </c>
      <c r="PD37">
        <v>0</v>
      </c>
      <c r="PE37">
        <v>0</v>
      </c>
      <c r="PF37">
        <v>0</v>
      </c>
      <c r="PG37">
        <v>0</v>
      </c>
      <c r="PH37">
        <v>0</v>
      </c>
      <c r="PI37">
        <v>0</v>
      </c>
      <c r="PJ37">
        <v>0</v>
      </c>
      <c r="PK37">
        <v>1</v>
      </c>
      <c r="PL37">
        <v>0</v>
      </c>
      <c r="PM37">
        <v>1</v>
      </c>
      <c r="PN37">
        <v>0</v>
      </c>
      <c r="PO37">
        <v>0</v>
      </c>
      <c r="PP37">
        <v>0</v>
      </c>
      <c r="PQ37">
        <v>0</v>
      </c>
      <c r="PR37">
        <v>0</v>
      </c>
      <c r="PS37">
        <v>0</v>
      </c>
      <c r="PT37">
        <v>0</v>
      </c>
      <c r="PU37">
        <v>1</v>
      </c>
      <c r="PV37">
        <v>1</v>
      </c>
    </row>
    <row r="38" spans="1:438" x14ac:dyDescent="0.3">
      <c r="A38" s="31">
        <v>98</v>
      </c>
      <c r="B38" s="28">
        <v>6.33</v>
      </c>
      <c r="C38" s="30">
        <v>16</v>
      </c>
      <c r="D38" s="28">
        <v>2.96</v>
      </c>
      <c r="E38" s="34">
        <f t="shared" si="0"/>
        <v>5.9200000000000003E-2</v>
      </c>
      <c r="F38" s="35">
        <f t="shared" si="1"/>
        <v>4</v>
      </c>
      <c r="G38" s="34">
        <f t="shared" si="2"/>
        <v>74</v>
      </c>
      <c r="H38" s="33">
        <f t="shared" si="3"/>
        <v>11.216429699842022</v>
      </c>
      <c r="I38" s="29">
        <f t="shared" ca="1" si="4"/>
        <v>9</v>
      </c>
      <c r="J38">
        <f ca="1">IF(AND(SUMPRODUCT($J$2:J37,$B$2:B37)&lt;500,SUM(B37,SUMPRODUCT($J$2:J37,$B$2:B37))&lt;500),1,0)</f>
        <v>0</v>
      </c>
      <c r="K38">
        <v>3</v>
      </c>
      <c r="L38">
        <v>0</v>
      </c>
      <c r="W38">
        <v>0</v>
      </c>
      <c r="X38">
        <v>1</v>
      </c>
      <c r="Y38">
        <v>0</v>
      </c>
      <c r="Z38">
        <v>0</v>
      </c>
      <c r="AA38">
        <v>1</v>
      </c>
      <c r="AB38">
        <v>1</v>
      </c>
      <c r="AC38">
        <v>1</v>
      </c>
      <c r="AD38">
        <v>1</v>
      </c>
      <c r="AE38">
        <v>0</v>
      </c>
      <c r="AF38">
        <v>0</v>
      </c>
      <c r="AG38">
        <v>1</v>
      </c>
      <c r="AH38">
        <v>1</v>
      </c>
      <c r="AI38">
        <v>0</v>
      </c>
      <c r="AJ38">
        <v>0</v>
      </c>
      <c r="AK38">
        <v>1</v>
      </c>
      <c r="AL38">
        <v>1</v>
      </c>
      <c r="AM38">
        <v>1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1</v>
      </c>
      <c r="AT38">
        <v>0</v>
      </c>
      <c r="AU38">
        <v>0</v>
      </c>
      <c r="AV38">
        <v>1</v>
      </c>
      <c r="AW38">
        <v>0</v>
      </c>
      <c r="AX38">
        <v>0</v>
      </c>
      <c r="AY38">
        <v>1</v>
      </c>
      <c r="AZ38">
        <v>1</v>
      </c>
      <c r="BA38">
        <v>1</v>
      </c>
      <c r="BB38">
        <v>0</v>
      </c>
      <c r="BC38">
        <v>1</v>
      </c>
      <c r="BD38">
        <v>1</v>
      </c>
      <c r="BE38">
        <v>0</v>
      </c>
      <c r="BF38">
        <v>0</v>
      </c>
      <c r="BG38">
        <v>1</v>
      </c>
      <c r="BH38">
        <v>1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1</v>
      </c>
      <c r="BO38">
        <v>0</v>
      </c>
      <c r="BP38">
        <v>0</v>
      </c>
      <c r="BQ38">
        <v>1</v>
      </c>
      <c r="BR38">
        <v>0</v>
      </c>
      <c r="BS38">
        <v>0</v>
      </c>
      <c r="BT38">
        <v>0</v>
      </c>
      <c r="BU38">
        <v>1</v>
      </c>
      <c r="BV38">
        <v>1</v>
      </c>
      <c r="BW38">
        <v>0</v>
      </c>
      <c r="BX38">
        <v>1</v>
      </c>
      <c r="BY38">
        <v>0</v>
      </c>
      <c r="BZ38">
        <v>0</v>
      </c>
      <c r="CA38">
        <v>0</v>
      </c>
      <c r="CB38">
        <v>1</v>
      </c>
      <c r="CC38">
        <v>0</v>
      </c>
      <c r="CD38">
        <v>1</v>
      </c>
      <c r="CE38">
        <v>1</v>
      </c>
      <c r="CF38">
        <v>0</v>
      </c>
      <c r="CG38">
        <v>1</v>
      </c>
      <c r="CH38">
        <v>1</v>
      </c>
      <c r="CI38">
        <v>0</v>
      </c>
      <c r="CJ38">
        <v>0</v>
      </c>
      <c r="CK38">
        <v>0</v>
      </c>
      <c r="CL38">
        <v>1</v>
      </c>
      <c r="CM38">
        <v>1</v>
      </c>
      <c r="CN38">
        <v>1</v>
      </c>
      <c r="CO38">
        <v>1</v>
      </c>
      <c r="CP38">
        <v>0</v>
      </c>
      <c r="CQ38">
        <v>0</v>
      </c>
      <c r="CR38">
        <v>1</v>
      </c>
      <c r="CS38">
        <v>0</v>
      </c>
      <c r="CT38">
        <v>1</v>
      </c>
      <c r="CU38">
        <v>0</v>
      </c>
      <c r="CV38">
        <v>0</v>
      </c>
      <c r="CW38">
        <v>1</v>
      </c>
      <c r="CX38">
        <v>0</v>
      </c>
      <c r="CY38">
        <v>1</v>
      </c>
      <c r="CZ38">
        <v>0</v>
      </c>
      <c r="DA38">
        <v>1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1</v>
      </c>
      <c r="DH38">
        <v>0</v>
      </c>
      <c r="DI38">
        <v>0</v>
      </c>
      <c r="DJ38">
        <v>0</v>
      </c>
      <c r="DK38">
        <v>1</v>
      </c>
      <c r="DL38">
        <v>0</v>
      </c>
      <c r="DM38">
        <v>1</v>
      </c>
      <c r="DN38">
        <v>1</v>
      </c>
      <c r="DO38">
        <v>0</v>
      </c>
      <c r="DP38">
        <v>1</v>
      </c>
      <c r="DQ38">
        <v>0</v>
      </c>
      <c r="DR38">
        <v>1</v>
      </c>
      <c r="DS38">
        <v>1</v>
      </c>
      <c r="DT38">
        <v>1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1</v>
      </c>
      <c r="ED38">
        <v>0</v>
      </c>
      <c r="EE38">
        <v>1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1</v>
      </c>
      <c r="EN38">
        <v>0</v>
      </c>
      <c r="EO38">
        <v>1</v>
      </c>
      <c r="EP38">
        <v>1</v>
      </c>
      <c r="EQ38">
        <v>0</v>
      </c>
      <c r="ER38">
        <v>0</v>
      </c>
      <c r="ES38">
        <v>0</v>
      </c>
      <c r="ET38">
        <v>1</v>
      </c>
      <c r="EU38">
        <v>0</v>
      </c>
      <c r="EV38">
        <v>0</v>
      </c>
      <c r="EW38">
        <v>0</v>
      </c>
      <c r="EX38">
        <v>1</v>
      </c>
      <c r="EY38">
        <v>1</v>
      </c>
      <c r="EZ38">
        <v>0</v>
      </c>
      <c r="FA38">
        <v>0</v>
      </c>
      <c r="FB38">
        <v>0</v>
      </c>
      <c r="FC38">
        <v>1</v>
      </c>
      <c r="FD38">
        <v>0</v>
      </c>
      <c r="FE38">
        <v>0</v>
      </c>
      <c r="FF38">
        <v>1</v>
      </c>
      <c r="FG38">
        <v>0</v>
      </c>
      <c r="FH38">
        <v>0</v>
      </c>
      <c r="FI38">
        <v>1</v>
      </c>
      <c r="FJ38">
        <v>1</v>
      </c>
      <c r="FK38">
        <v>0</v>
      </c>
      <c r="FL38">
        <v>0</v>
      </c>
      <c r="FM38">
        <v>1</v>
      </c>
      <c r="FN38">
        <v>0</v>
      </c>
      <c r="FO38">
        <v>1</v>
      </c>
      <c r="FP38">
        <v>0</v>
      </c>
      <c r="FQ38">
        <v>0</v>
      </c>
      <c r="FR38">
        <v>0</v>
      </c>
      <c r="FS38">
        <v>1</v>
      </c>
      <c r="FT38">
        <v>0</v>
      </c>
      <c r="FU38">
        <v>1</v>
      </c>
      <c r="FV38">
        <v>1</v>
      </c>
      <c r="FW38">
        <v>1</v>
      </c>
      <c r="FX38">
        <v>0</v>
      </c>
      <c r="FY38">
        <v>1</v>
      </c>
      <c r="FZ38">
        <v>0</v>
      </c>
      <c r="GA38">
        <v>0</v>
      </c>
      <c r="GB38">
        <v>1</v>
      </c>
      <c r="GC38">
        <v>0</v>
      </c>
      <c r="GD38">
        <v>0</v>
      </c>
      <c r="GE38">
        <v>0</v>
      </c>
      <c r="GF38">
        <v>0</v>
      </c>
      <c r="GG38">
        <v>1</v>
      </c>
      <c r="GH38">
        <v>0</v>
      </c>
      <c r="GI38">
        <v>0</v>
      </c>
      <c r="GJ38">
        <v>1</v>
      </c>
      <c r="GK38">
        <v>0</v>
      </c>
      <c r="GL38">
        <v>1</v>
      </c>
      <c r="GM38">
        <v>0</v>
      </c>
      <c r="GN38">
        <v>0</v>
      </c>
      <c r="GO38">
        <v>0</v>
      </c>
      <c r="GP38">
        <v>0</v>
      </c>
      <c r="GQ38">
        <v>1</v>
      </c>
      <c r="GR38">
        <v>0</v>
      </c>
      <c r="GS38">
        <v>1</v>
      </c>
      <c r="GT38">
        <v>1</v>
      </c>
      <c r="GU38">
        <v>0</v>
      </c>
      <c r="GV38">
        <v>0</v>
      </c>
      <c r="GW38">
        <v>1</v>
      </c>
      <c r="GX38">
        <v>1</v>
      </c>
      <c r="GY38">
        <v>0</v>
      </c>
      <c r="GZ38">
        <v>0</v>
      </c>
      <c r="HA38">
        <v>1</v>
      </c>
      <c r="HB38">
        <v>0</v>
      </c>
      <c r="HC38">
        <v>1</v>
      </c>
      <c r="HD38">
        <v>1</v>
      </c>
      <c r="HE38">
        <v>1</v>
      </c>
      <c r="HF38">
        <v>1</v>
      </c>
      <c r="HG38">
        <v>1</v>
      </c>
      <c r="HH38">
        <v>0</v>
      </c>
      <c r="HI38">
        <v>1</v>
      </c>
      <c r="HJ38">
        <v>1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1</v>
      </c>
      <c r="HR38">
        <v>1</v>
      </c>
      <c r="HS38">
        <v>0</v>
      </c>
      <c r="HT38">
        <v>0</v>
      </c>
      <c r="HU38">
        <v>1</v>
      </c>
      <c r="HV38">
        <v>1</v>
      </c>
      <c r="HW38">
        <v>1</v>
      </c>
      <c r="HX38">
        <v>0</v>
      </c>
      <c r="HY38">
        <v>1</v>
      </c>
      <c r="HZ38">
        <v>0</v>
      </c>
      <c r="IA38">
        <v>0</v>
      </c>
      <c r="IB38">
        <v>0</v>
      </c>
      <c r="IC38">
        <v>0</v>
      </c>
      <c r="ID38">
        <v>1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1</v>
      </c>
      <c r="IK38">
        <v>0</v>
      </c>
      <c r="IL38">
        <v>1</v>
      </c>
      <c r="IM38">
        <v>0</v>
      </c>
      <c r="IN38">
        <v>1</v>
      </c>
      <c r="IO38">
        <v>0</v>
      </c>
      <c r="IP38">
        <v>1</v>
      </c>
      <c r="IQ38">
        <v>0</v>
      </c>
      <c r="IR38">
        <v>1</v>
      </c>
      <c r="IS38">
        <v>1</v>
      </c>
      <c r="IT38">
        <v>0</v>
      </c>
      <c r="IU38">
        <v>0</v>
      </c>
      <c r="IV38">
        <v>0</v>
      </c>
      <c r="IW38">
        <v>0</v>
      </c>
      <c r="IX38">
        <v>1</v>
      </c>
      <c r="IY38">
        <v>1</v>
      </c>
      <c r="IZ38">
        <v>0</v>
      </c>
      <c r="JA38">
        <v>1</v>
      </c>
      <c r="JB38">
        <v>1</v>
      </c>
      <c r="JC38">
        <v>0</v>
      </c>
      <c r="JD38">
        <v>0</v>
      </c>
      <c r="JE38">
        <v>0</v>
      </c>
      <c r="JF38">
        <v>0</v>
      </c>
      <c r="JG38">
        <v>1</v>
      </c>
      <c r="JH38">
        <v>0</v>
      </c>
      <c r="JI38">
        <v>0</v>
      </c>
      <c r="JJ38">
        <v>1</v>
      </c>
      <c r="JK38">
        <v>1</v>
      </c>
      <c r="JL38">
        <v>0</v>
      </c>
      <c r="JM38">
        <v>1</v>
      </c>
      <c r="JN38">
        <v>1</v>
      </c>
      <c r="JO38">
        <v>0</v>
      </c>
      <c r="JP38">
        <v>0</v>
      </c>
      <c r="JQ38">
        <v>0</v>
      </c>
      <c r="JR38">
        <v>0</v>
      </c>
      <c r="JS38">
        <v>1</v>
      </c>
      <c r="JT38">
        <v>0</v>
      </c>
      <c r="JU38">
        <v>0</v>
      </c>
      <c r="JV38">
        <v>1</v>
      </c>
      <c r="JW38">
        <v>0</v>
      </c>
      <c r="JX38">
        <v>1</v>
      </c>
      <c r="JY38">
        <v>0</v>
      </c>
      <c r="JZ38">
        <v>0</v>
      </c>
      <c r="KA38">
        <v>0</v>
      </c>
      <c r="KB38">
        <v>0</v>
      </c>
      <c r="KC38">
        <v>0</v>
      </c>
      <c r="KD38">
        <v>0</v>
      </c>
      <c r="KE38">
        <v>1</v>
      </c>
      <c r="KF38">
        <v>0</v>
      </c>
      <c r="KG38">
        <v>1</v>
      </c>
      <c r="KH38">
        <v>1</v>
      </c>
      <c r="KI38">
        <v>0</v>
      </c>
      <c r="KJ38">
        <v>1</v>
      </c>
      <c r="KK38">
        <v>1</v>
      </c>
      <c r="KL38">
        <v>0</v>
      </c>
      <c r="KM38">
        <v>1</v>
      </c>
      <c r="KN38">
        <v>0</v>
      </c>
      <c r="KO38">
        <v>0</v>
      </c>
      <c r="KP38">
        <v>0</v>
      </c>
      <c r="KQ38">
        <v>0</v>
      </c>
      <c r="KR38">
        <v>1</v>
      </c>
      <c r="KS38">
        <v>1</v>
      </c>
      <c r="KT38">
        <v>0</v>
      </c>
      <c r="KU38">
        <v>0</v>
      </c>
      <c r="KV38">
        <v>0</v>
      </c>
      <c r="KW38">
        <v>0</v>
      </c>
      <c r="KX38">
        <v>1</v>
      </c>
      <c r="KY38">
        <v>1</v>
      </c>
      <c r="KZ38">
        <v>1</v>
      </c>
      <c r="LA38">
        <v>0</v>
      </c>
      <c r="LB38">
        <v>0</v>
      </c>
      <c r="LC38">
        <v>0</v>
      </c>
      <c r="LD38">
        <v>1</v>
      </c>
      <c r="LE38">
        <v>1</v>
      </c>
      <c r="LF38">
        <v>0</v>
      </c>
      <c r="LG38">
        <v>0</v>
      </c>
      <c r="LH38">
        <v>1</v>
      </c>
      <c r="LI38">
        <v>0</v>
      </c>
      <c r="LJ38">
        <v>1</v>
      </c>
      <c r="LK38">
        <v>0</v>
      </c>
      <c r="LL38">
        <v>1</v>
      </c>
      <c r="LM38">
        <v>1</v>
      </c>
      <c r="LN38">
        <v>1</v>
      </c>
      <c r="LO38">
        <v>1</v>
      </c>
      <c r="LP38">
        <v>0</v>
      </c>
      <c r="LQ38">
        <v>1</v>
      </c>
      <c r="LR38">
        <v>0</v>
      </c>
      <c r="LS38">
        <v>0</v>
      </c>
      <c r="LT38">
        <v>0</v>
      </c>
      <c r="LU38">
        <v>1</v>
      </c>
      <c r="LV38">
        <v>0</v>
      </c>
      <c r="LW38">
        <v>1</v>
      </c>
      <c r="LX38">
        <v>1</v>
      </c>
      <c r="LY38">
        <v>1</v>
      </c>
      <c r="LZ38">
        <v>0</v>
      </c>
      <c r="MA38">
        <v>0</v>
      </c>
      <c r="MB38">
        <v>1</v>
      </c>
      <c r="MC38">
        <v>0</v>
      </c>
      <c r="MD38">
        <v>0</v>
      </c>
      <c r="ME38">
        <v>0</v>
      </c>
      <c r="MF38">
        <v>1</v>
      </c>
      <c r="MG38">
        <v>0</v>
      </c>
      <c r="MH38">
        <v>0</v>
      </c>
      <c r="MI38">
        <v>0</v>
      </c>
      <c r="MJ38">
        <v>1</v>
      </c>
      <c r="MK38">
        <v>0</v>
      </c>
      <c r="ML38">
        <v>0</v>
      </c>
      <c r="MM38">
        <v>1</v>
      </c>
      <c r="MN38">
        <v>1</v>
      </c>
      <c r="MO38">
        <v>1</v>
      </c>
      <c r="MP38">
        <v>0</v>
      </c>
      <c r="MQ38">
        <v>1</v>
      </c>
      <c r="MR38">
        <v>0</v>
      </c>
      <c r="MS38">
        <v>1</v>
      </c>
      <c r="MT38">
        <v>0</v>
      </c>
      <c r="MU38">
        <v>0</v>
      </c>
      <c r="MV38">
        <v>0</v>
      </c>
      <c r="MW38">
        <v>1</v>
      </c>
      <c r="MX38">
        <v>0</v>
      </c>
      <c r="MY38">
        <v>0</v>
      </c>
      <c r="MZ38">
        <v>1</v>
      </c>
      <c r="NA38">
        <v>0</v>
      </c>
      <c r="NB38">
        <v>0</v>
      </c>
      <c r="NC38">
        <v>0</v>
      </c>
      <c r="ND38">
        <v>1</v>
      </c>
      <c r="NE38">
        <v>0</v>
      </c>
      <c r="NF38">
        <v>1</v>
      </c>
      <c r="NG38">
        <v>0</v>
      </c>
      <c r="NH38">
        <v>0</v>
      </c>
      <c r="NI38">
        <v>1</v>
      </c>
      <c r="NJ38">
        <v>1</v>
      </c>
      <c r="NK38">
        <v>0</v>
      </c>
      <c r="NL38">
        <v>1</v>
      </c>
      <c r="NM38">
        <v>0</v>
      </c>
      <c r="NN38">
        <v>0</v>
      </c>
      <c r="NO38">
        <v>1</v>
      </c>
      <c r="NP38">
        <v>0</v>
      </c>
      <c r="NQ38">
        <v>1</v>
      </c>
      <c r="NR38">
        <v>0</v>
      </c>
      <c r="NS38">
        <v>0</v>
      </c>
      <c r="NT38">
        <v>0</v>
      </c>
      <c r="NU38">
        <v>0</v>
      </c>
      <c r="NV38">
        <v>1</v>
      </c>
      <c r="NW38">
        <v>1</v>
      </c>
      <c r="NX38">
        <v>0</v>
      </c>
      <c r="NY38">
        <v>0</v>
      </c>
      <c r="NZ38">
        <v>1</v>
      </c>
      <c r="OA38">
        <v>0</v>
      </c>
      <c r="OB38">
        <v>0</v>
      </c>
      <c r="OC38">
        <v>1</v>
      </c>
      <c r="OD38">
        <v>0</v>
      </c>
      <c r="OE38">
        <v>0</v>
      </c>
      <c r="OF38">
        <v>0</v>
      </c>
      <c r="OG38">
        <v>1</v>
      </c>
      <c r="OH38">
        <v>0</v>
      </c>
      <c r="OI38">
        <v>1</v>
      </c>
      <c r="OJ38">
        <v>0</v>
      </c>
      <c r="OK38">
        <v>1</v>
      </c>
      <c r="OL38">
        <v>0</v>
      </c>
      <c r="OM38">
        <v>0</v>
      </c>
      <c r="ON38">
        <v>0</v>
      </c>
      <c r="OO38">
        <v>0</v>
      </c>
      <c r="OP38">
        <v>0</v>
      </c>
      <c r="OQ38">
        <v>0</v>
      </c>
      <c r="OR38">
        <v>1</v>
      </c>
      <c r="OS38">
        <v>1</v>
      </c>
      <c r="OT38">
        <v>0</v>
      </c>
      <c r="OU38">
        <v>1</v>
      </c>
      <c r="OV38">
        <v>1</v>
      </c>
      <c r="OW38">
        <v>0</v>
      </c>
      <c r="OX38">
        <v>0</v>
      </c>
      <c r="OY38">
        <v>1</v>
      </c>
      <c r="OZ38">
        <v>1</v>
      </c>
      <c r="PA38">
        <v>0</v>
      </c>
      <c r="PB38">
        <v>1</v>
      </c>
      <c r="PC38">
        <v>0</v>
      </c>
      <c r="PD38">
        <v>0</v>
      </c>
      <c r="PE38">
        <v>1</v>
      </c>
      <c r="PF38">
        <v>0</v>
      </c>
      <c r="PG38">
        <v>1</v>
      </c>
      <c r="PH38">
        <v>0</v>
      </c>
      <c r="PI38">
        <v>1</v>
      </c>
      <c r="PJ38">
        <v>1</v>
      </c>
      <c r="PK38">
        <v>1</v>
      </c>
      <c r="PL38">
        <v>0</v>
      </c>
      <c r="PM38">
        <v>0</v>
      </c>
      <c r="PN38">
        <v>1</v>
      </c>
      <c r="PO38">
        <v>0</v>
      </c>
      <c r="PP38">
        <v>1</v>
      </c>
      <c r="PQ38">
        <v>0</v>
      </c>
      <c r="PR38">
        <v>0</v>
      </c>
      <c r="PS38">
        <v>0</v>
      </c>
      <c r="PT38">
        <v>0</v>
      </c>
      <c r="PU38">
        <v>1</v>
      </c>
      <c r="PV38">
        <v>0</v>
      </c>
    </row>
    <row r="39" spans="1:438" x14ac:dyDescent="0.3">
      <c r="A39" s="31">
        <v>100</v>
      </c>
      <c r="B39" s="28">
        <v>1.58</v>
      </c>
      <c r="C39" s="30">
        <v>16.04</v>
      </c>
      <c r="D39" s="28">
        <v>0.78</v>
      </c>
      <c r="E39" s="34">
        <f t="shared" si="0"/>
        <v>1.5600000000000001E-2</v>
      </c>
      <c r="F39" s="35">
        <f t="shared" si="1"/>
        <v>4.01</v>
      </c>
      <c r="G39" s="34">
        <f t="shared" si="2"/>
        <v>19.5</v>
      </c>
      <c r="H39" s="33">
        <f t="shared" si="3"/>
        <v>29.10759493670886</v>
      </c>
      <c r="I39" s="29">
        <f t="shared" ca="1" si="4"/>
        <v>1</v>
      </c>
      <c r="J39">
        <f ca="1">IF(AND(SUMPRODUCT($J$2:J38,$B$2:B38)&lt;500,SUM(B38,SUMPRODUCT($J$2:J38,$B$2:B38))&lt;500),1,0)</f>
        <v>1</v>
      </c>
      <c r="K39">
        <v>2</v>
      </c>
      <c r="L39">
        <v>1</v>
      </c>
      <c r="W39">
        <v>0</v>
      </c>
      <c r="X39">
        <v>0</v>
      </c>
      <c r="Y39">
        <v>0</v>
      </c>
      <c r="Z39">
        <v>0</v>
      </c>
      <c r="AA39">
        <v>1</v>
      </c>
      <c r="AB39">
        <v>1</v>
      </c>
      <c r="AC39">
        <v>0</v>
      </c>
      <c r="AD39">
        <v>1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1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1</v>
      </c>
      <c r="AT39">
        <v>0</v>
      </c>
      <c r="AU39">
        <v>0</v>
      </c>
      <c r="AV39">
        <v>0</v>
      </c>
      <c r="AW39">
        <v>0</v>
      </c>
      <c r="AX39">
        <v>1</v>
      </c>
      <c r="AY39">
        <v>1</v>
      </c>
      <c r="AZ39">
        <v>1</v>
      </c>
      <c r="BA39">
        <v>0</v>
      </c>
      <c r="BB39">
        <v>0</v>
      </c>
      <c r="BC39">
        <v>0</v>
      </c>
      <c r="BD39">
        <v>1</v>
      </c>
      <c r="BE39">
        <v>0</v>
      </c>
      <c r="BF39">
        <v>0</v>
      </c>
      <c r="BG39">
        <v>0</v>
      </c>
      <c r="BH39">
        <v>0</v>
      </c>
      <c r="BI39">
        <v>1</v>
      </c>
      <c r="BJ39">
        <v>1</v>
      </c>
      <c r="BK39">
        <v>1</v>
      </c>
      <c r="BL39">
        <v>0</v>
      </c>
      <c r="BM39">
        <v>0</v>
      </c>
      <c r="BN39">
        <v>0</v>
      </c>
      <c r="BO39">
        <v>0</v>
      </c>
      <c r="BP39">
        <v>1</v>
      </c>
      <c r="BQ39">
        <v>0</v>
      </c>
      <c r="BR39">
        <v>0</v>
      </c>
      <c r="BS39">
        <v>0</v>
      </c>
      <c r="BT39">
        <v>1</v>
      </c>
      <c r="BU39">
        <v>1</v>
      </c>
      <c r="BV39">
        <v>1</v>
      </c>
      <c r="BW39">
        <v>1</v>
      </c>
      <c r="BX39">
        <v>0</v>
      </c>
      <c r="BY39">
        <v>0</v>
      </c>
      <c r="BZ39">
        <v>1</v>
      </c>
      <c r="CA39">
        <v>1</v>
      </c>
      <c r="CB39">
        <v>1</v>
      </c>
      <c r="CC39">
        <v>1</v>
      </c>
      <c r="CD39">
        <v>1</v>
      </c>
      <c r="CE39">
        <v>0</v>
      </c>
      <c r="CF39">
        <v>1</v>
      </c>
      <c r="CG39">
        <v>0</v>
      </c>
      <c r="CH39">
        <v>1</v>
      </c>
      <c r="CI39">
        <v>0</v>
      </c>
      <c r="CJ39">
        <v>1</v>
      </c>
      <c r="CK39">
        <v>0</v>
      </c>
      <c r="CL39">
        <v>1</v>
      </c>
      <c r="CM39">
        <v>1</v>
      </c>
      <c r="CN39">
        <v>1</v>
      </c>
      <c r="CO39">
        <v>0</v>
      </c>
      <c r="CP39">
        <v>0</v>
      </c>
      <c r="CQ39">
        <v>1</v>
      </c>
      <c r="CR39">
        <v>0</v>
      </c>
      <c r="CS39">
        <v>0</v>
      </c>
      <c r="CT39">
        <v>1</v>
      </c>
      <c r="CU39">
        <v>0</v>
      </c>
      <c r="CV39">
        <v>0</v>
      </c>
      <c r="CW39">
        <v>1</v>
      </c>
      <c r="CX39">
        <v>0</v>
      </c>
      <c r="CY39">
        <v>1</v>
      </c>
      <c r="CZ39">
        <v>0</v>
      </c>
      <c r="DA39">
        <v>1</v>
      </c>
      <c r="DB39">
        <v>1</v>
      </c>
      <c r="DC39">
        <v>1</v>
      </c>
      <c r="DD39">
        <v>0</v>
      </c>
      <c r="DE39">
        <v>0</v>
      </c>
      <c r="DF39">
        <v>1</v>
      </c>
      <c r="DG39">
        <v>0</v>
      </c>
      <c r="DH39">
        <v>0</v>
      </c>
      <c r="DI39">
        <v>0</v>
      </c>
      <c r="DJ39">
        <v>1</v>
      </c>
      <c r="DK39">
        <v>0</v>
      </c>
      <c r="DL39">
        <v>1</v>
      </c>
      <c r="DM39">
        <v>0</v>
      </c>
      <c r="DN39">
        <v>1</v>
      </c>
      <c r="DO39">
        <v>0</v>
      </c>
      <c r="DP39">
        <v>1</v>
      </c>
      <c r="DQ39">
        <v>0</v>
      </c>
      <c r="DR39">
        <v>0</v>
      </c>
      <c r="DS39">
        <v>0</v>
      </c>
      <c r="DT39">
        <v>1</v>
      </c>
      <c r="DU39">
        <v>0</v>
      </c>
      <c r="DV39">
        <v>0</v>
      </c>
      <c r="DW39">
        <v>0</v>
      </c>
      <c r="DX39">
        <v>1</v>
      </c>
      <c r="DY39">
        <v>1</v>
      </c>
      <c r="DZ39">
        <v>0</v>
      </c>
      <c r="EA39">
        <v>0</v>
      </c>
      <c r="EB39">
        <v>1</v>
      </c>
      <c r="EC39">
        <v>0</v>
      </c>
      <c r="ED39">
        <v>0</v>
      </c>
      <c r="EE39">
        <v>1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1</v>
      </c>
      <c r="EL39">
        <v>1</v>
      </c>
      <c r="EM39">
        <v>0</v>
      </c>
      <c r="EN39">
        <v>1</v>
      </c>
      <c r="EO39">
        <v>0</v>
      </c>
      <c r="EP39">
        <v>1</v>
      </c>
      <c r="EQ39">
        <v>0</v>
      </c>
      <c r="ER39">
        <v>1</v>
      </c>
      <c r="ES39">
        <v>1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1</v>
      </c>
      <c r="FA39">
        <v>0</v>
      </c>
      <c r="FB39">
        <v>0</v>
      </c>
      <c r="FC39">
        <v>1</v>
      </c>
      <c r="FD39">
        <v>0</v>
      </c>
      <c r="FE39">
        <v>0</v>
      </c>
      <c r="FF39">
        <v>1</v>
      </c>
      <c r="FG39">
        <v>1</v>
      </c>
      <c r="FH39">
        <v>1</v>
      </c>
      <c r="FI39">
        <v>1</v>
      </c>
      <c r="FJ39">
        <v>1</v>
      </c>
      <c r="FK39">
        <v>0</v>
      </c>
      <c r="FL39">
        <v>1</v>
      </c>
      <c r="FM39">
        <v>1</v>
      </c>
      <c r="FN39">
        <v>0</v>
      </c>
      <c r="FO39">
        <v>1</v>
      </c>
      <c r="FP39">
        <v>0</v>
      </c>
      <c r="FQ39">
        <v>0</v>
      </c>
      <c r="FR39">
        <v>0</v>
      </c>
      <c r="FS39">
        <v>1</v>
      </c>
      <c r="FT39">
        <v>1</v>
      </c>
      <c r="FU39">
        <v>0</v>
      </c>
      <c r="FV39">
        <v>1</v>
      </c>
      <c r="FW39">
        <v>0</v>
      </c>
      <c r="FX39">
        <v>0</v>
      </c>
      <c r="FY39">
        <v>0</v>
      </c>
      <c r="FZ39">
        <v>0</v>
      </c>
      <c r="GA39">
        <v>1</v>
      </c>
      <c r="GB39">
        <v>1</v>
      </c>
      <c r="GC39">
        <v>0</v>
      </c>
      <c r="GD39">
        <v>0</v>
      </c>
      <c r="GE39">
        <v>1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1</v>
      </c>
      <c r="GL39">
        <v>0</v>
      </c>
      <c r="GM39">
        <v>0</v>
      </c>
      <c r="GN39">
        <v>0</v>
      </c>
      <c r="GO39">
        <v>0</v>
      </c>
      <c r="GP39">
        <v>1</v>
      </c>
      <c r="GQ39">
        <v>0</v>
      </c>
      <c r="GR39">
        <v>1</v>
      </c>
      <c r="GS39">
        <v>1</v>
      </c>
      <c r="GT39">
        <v>0</v>
      </c>
      <c r="GU39">
        <v>1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1</v>
      </c>
      <c r="HD39">
        <v>1</v>
      </c>
      <c r="HE39">
        <v>1</v>
      </c>
      <c r="HF39">
        <v>1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1</v>
      </c>
      <c r="HM39">
        <v>0</v>
      </c>
      <c r="HN39">
        <v>0</v>
      </c>
      <c r="HO39">
        <v>0</v>
      </c>
      <c r="HP39">
        <v>0</v>
      </c>
      <c r="HQ39">
        <v>1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1</v>
      </c>
      <c r="HX39">
        <v>0</v>
      </c>
      <c r="HY39">
        <v>1</v>
      </c>
      <c r="HZ39">
        <v>1</v>
      </c>
      <c r="IA39">
        <v>0</v>
      </c>
      <c r="IB39">
        <v>1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1</v>
      </c>
      <c r="IJ39">
        <v>1</v>
      </c>
      <c r="IK39">
        <v>0</v>
      </c>
      <c r="IL39">
        <v>0</v>
      </c>
      <c r="IM39">
        <v>1</v>
      </c>
      <c r="IN39">
        <v>0</v>
      </c>
      <c r="IO39">
        <v>0</v>
      </c>
      <c r="IP39">
        <v>1</v>
      </c>
      <c r="IQ39">
        <v>0</v>
      </c>
      <c r="IR39">
        <v>0</v>
      </c>
      <c r="IS39">
        <v>1</v>
      </c>
      <c r="IT39">
        <v>1</v>
      </c>
      <c r="IU39">
        <v>0</v>
      </c>
      <c r="IV39">
        <v>0</v>
      </c>
      <c r="IW39">
        <v>1</v>
      </c>
      <c r="IX39">
        <v>1</v>
      </c>
      <c r="IY39">
        <v>0</v>
      </c>
      <c r="IZ39">
        <v>1</v>
      </c>
      <c r="JA39">
        <v>0</v>
      </c>
      <c r="JB39">
        <v>1</v>
      </c>
      <c r="JC39">
        <v>0</v>
      </c>
      <c r="JD39">
        <v>0</v>
      </c>
      <c r="JE39">
        <v>0</v>
      </c>
      <c r="JF39">
        <v>1</v>
      </c>
      <c r="JG39">
        <v>0</v>
      </c>
      <c r="JH39">
        <v>1</v>
      </c>
      <c r="JI39">
        <v>0</v>
      </c>
      <c r="JJ39">
        <v>1</v>
      </c>
      <c r="JK39">
        <v>1</v>
      </c>
      <c r="JL39">
        <v>0</v>
      </c>
      <c r="JM39">
        <v>0</v>
      </c>
      <c r="JN39">
        <v>1</v>
      </c>
      <c r="JO39">
        <v>1</v>
      </c>
      <c r="JP39">
        <v>1</v>
      </c>
      <c r="JQ39">
        <v>1</v>
      </c>
      <c r="JR39">
        <v>0</v>
      </c>
      <c r="JS39">
        <v>0</v>
      </c>
      <c r="JT39">
        <v>0</v>
      </c>
      <c r="JU39">
        <v>0</v>
      </c>
      <c r="JV39">
        <v>1</v>
      </c>
      <c r="JW39">
        <v>1</v>
      </c>
      <c r="JX39">
        <v>1</v>
      </c>
      <c r="JY39">
        <v>1</v>
      </c>
      <c r="JZ39">
        <v>1</v>
      </c>
      <c r="KA39">
        <v>0</v>
      </c>
      <c r="KB39">
        <v>0</v>
      </c>
      <c r="KC39">
        <v>0</v>
      </c>
      <c r="KD39">
        <v>0</v>
      </c>
      <c r="KE39">
        <v>0</v>
      </c>
      <c r="KF39">
        <v>0</v>
      </c>
      <c r="KG39">
        <v>1</v>
      </c>
      <c r="KH39">
        <v>0</v>
      </c>
      <c r="KI39">
        <v>0</v>
      </c>
      <c r="KJ39">
        <v>0</v>
      </c>
      <c r="KK39">
        <v>0</v>
      </c>
      <c r="KL39">
        <v>1</v>
      </c>
      <c r="KM39">
        <v>1</v>
      </c>
      <c r="KN39">
        <v>0</v>
      </c>
      <c r="KO39">
        <v>1</v>
      </c>
      <c r="KP39">
        <v>0</v>
      </c>
      <c r="KQ39">
        <v>0</v>
      </c>
      <c r="KR39">
        <v>0</v>
      </c>
      <c r="KS39">
        <v>1</v>
      </c>
      <c r="KT39">
        <v>1</v>
      </c>
      <c r="KU39">
        <v>1</v>
      </c>
      <c r="KV39">
        <v>1</v>
      </c>
      <c r="KW39">
        <v>0</v>
      </c>
      <c r="KX39">
        <v>0</v>
      </c>
      <c r="KY39">
        <v>1</v>
      </c>
      <c r="KZ39">
        <v>1</v>
      </c>
      <c r="LA39">
        <v>1</v>
      </c>
      <c r="LB39">
        <v>0</v>
      </c>
      <c r="LC39">
        <v>1</v>
      </c>
      <c r="LD39">
        <v>0</v>
      </c>
      <c r="LE39">
        <v>1</v>
      </c>
      <c r="LF39">
        <v>0</v>
      </c>
      <c r="LG39">
        <v>0</v>
      </c>
      <c r="LH39">
        <v>1</v>
      </c>
      <c r="LI39">
        <v>0</v>
      </c>
      <c r="LJ39">
        <v>0</v>
      </c>
      <c r="LK39">
        <v>1</v>
      </c>
      <c r="LL39">
        <v>1</v>
      </c>
      <c r="LM39">
        <v>1</v>
      </c>
      <c r="LN39">
        <v>1</v>
      </c>
      <c r="LO39">
        <v>1</v>
      </c>
      <c r="LP39">
        <v>0</v>
      </c>
      <c r="LQ39">
        <v>0</v>
      </c>
      <c r="LR39">
        <v>1</v>
      </c>
      <c r="LS39">
        <v>1</v>
      </c>
      <c r="LT39">
        <v>0</v>
      </c>
      <c r="LU39">
        <v>0</v>
      </c>
      <c r="LV39">
        <v>0</v>
      </c>
      <c r="LW39">
        <v>0</v>
      </c>
      <c r="LX39">
        <v>1</v>
      </c>
      <c r="LY39">
        <v>0</v>
      </c>
      <c r="LZ39">
        <v>1</v>
      </c>
      <c r="MA39">
        <v>0</v>
      </c>
      <c r="MB39">
        <v>1</v>
      </c>
      <c r="MC39">
        <v>1</v>
      </c>
      <c r="MD39">
        <v>1</v>
      </c>
      <c r="ME39">
        <v>0</v>
      </c>
      <c r="MF39">
        <v>1</v>
      </c>
      <c r="MG39">
        <v>1</v>
      </c>
      <c r="MH39">
        <v>0</v>
      </c>
      <c r="MI39">
        <v>0</v>
      </c>
      <c r="MJ39">
        <v>1</v>
      </c>
      <c r="MK39">
        <v>0</v>
      </c>
      <c r="ML39">
        <v>0</v>
      </c>
      <c r="MM39">
        <v>1</v>
      </c>
      <c r="MN39">
        <v>1</v>
      </c>
      <c r="MO39">
        <v>1</v>
      </c>
      <c r="MP39">
        <v>1</v>
      </c>
      <c r="MQ39">
        <v>1</v>
      </c>
      <c r="MR39">
        <v>0</v>
      </c>
      <c r="MS39">
        <v>0</v>
      </c>
      <c r="MT39">
        <v>1</v>
      </c>
      <c r="MU39">
        <v>1</v>
      </c>
      <c r="MV39">
        <v>0</v>
      </c>
      <c r="MW39">
        <v>0</v>
      </c>
      <c r="MX39">
        <v>0</v>
      </c>
      <c r="MY39">
        <v>0</v>
      </c>
      <c r="MZ39">
        <v>1</v>
      </c>
      <c r="NA39">
        <v>0</v>
      </c>
      <c r="NB39">
        <v>1</v>
      </c>
      <c r="NC39">
        <v>0</v>
      </c>
      <c r="ND39">
        <v>1</v>
      </c>
      <c r="NE39">
        <v>0</v>
      </c>
      <c r="NF39">
        <v>0</v>
      </c>
      <c r="NG39">
        <v>0</v>
      </c>
      <c r="NH39">
        <v>0</v>
      </c>
      <c r="NI39">
        <v>1</v>
      </c>
      <c r="NJ39">
        <v>0</v>
      </c>
      <c r="NK39">
        <v>0</v>
      </c>
      <c r="NL39">
        <v>0</v>
      </c>
      <c r="NM39">
        <v>1</v>
      </c>
      <c r="NN39">
        <v>1</v>
      </c>
      <c r="NO39">
        <v>0</v>
      </c>
      <c r="NP39">
        <v>1</v>
      </c>
      <c r="NQ39">
        <v>0</v>
      </c>
      <c r="NR39">
        <v>0</v>
      </c>
      <c r="NS39">
        <v>0</v>
      </c>
      <c r="NT39">
        <v>0</v>
      </c>
      <c r="NU39">
        <v>1</v>
      </c>
      <c r="NV39">
        <v>0</v>
      </c>
      <c r="NW39">
        <v>0</v>
      </c>
      <c r="NX39">
        <v>1</v>
      </c>
      <c r="NY39">
        <v>0</v>
      </c>
      <c r="NZ39">
        <v>0</v>
      </c>
      <c r="OA39">
        <v>0</v>
      </c>
      <c r="OB39">
        <v>0</v>
      </c>
      <c r="OC39">
        <v>0</v>
      </c>
      <c r="OD39">
        <v>0</v>
      </c>
      <c r="OE39">
        <v>0</v>
      </c>
      <c r="OF39">
        <v>0</v>
      </c>
      <c r="OG39">
        <v>0</v>
      </c>
      <c r="OH39">
        <v>0</v>
      </c>
      <c r="OI39">
        <v>1</v>
      </c>
      <c r="OJ39">
        <v>0</v>
      </c>
      <c r="OK39">
        <v>1</v>
      </c>
      <c r="OL39">
        <v>0</v>
      </c>
      <c r="OM39">
        <v>0</v>
      </c>
      <c r="ON39">
        <v>0</v>
      </c>
      <c r="OO39">
        <v>0</v>
      </c>
      <c r="OP39">
        <v>0</v>
      </c>
      <c r="OQ39">
        <v>0</v>
      </c>
      <c r="OR39">
        <v>1</v>
      </c>
      <c r="OS39">
        <v>1</v>
      </c>
      <c r="OT39">
        <v>0</v>
      </c>
      <c r="OU39">
        <v>0</v>
      </c>
      <c r="OV39">
        <v>1</v>
      </c>
      <c r="OW39">
        <v>0</v>
      </c>
      <c r="OX39">
        <v>0</v>
      </c>
      <c r="OY39">
        <v>1</v>
      </c>
      <c r="OZ39">
        <v>0</v>
      </c>
      <c r="PA39">
        <v>0</v>
      </c>
      <c r="PB39">
        <v>0</v>
      </c>
      <c r="PC39">
        <v>0</v>
      </c>
      <c r="PD39">
        <v>1</v>
      </c>
      <c r="PE39">
        <v>0</v>
      </c>
      <c r="PF39">
        <v>0</v>
      </c>
      <c r="PG39">
        <v>0</v>
      </c>
      <c r="PH39">
        <v>0</v>
      </c>
      <c r="PI39">
        <v>0</v>
      </c>
      <c r="PJ39">
        <v>1</v>
      </c>
      <c r="PK39">
        <v>1</v>
      </c>
      <c r="PL39">
        <v>0</v>
      </c>
      <c r="PM39">
        <v>1</v>
      </c>
      <c r="PN39">
        <v>0</v>
      </c>
      <c r="PO39">
        <v>0</v>
      </c>
      <c r="PP39">
        <v>0</v>
      </c>
      <c r="PQ39">
        <v>0</v>
      </c>
      <c r="PR39">
        <v>0</v>
      </c>
      <c r="PS39">
        <v>1</v>
      </c>
      <c r="PT39">
        <v>1</v>
      </c>
      <c r="PU39">
        <v>1</v>
      </c>
      <c r="PV39">
        <v>0</v>
      </c>
    </row>
    <row r="40" spans="1:438" x14ac:dyDescent="0.3">
      <c r="A40" s="31">
        <v>101</v>
      </c>
      <c r="B40" s="28">
        <v>2</v>
      </c>
      <c r="C40" s="30">
        <v>93.52</v>
      </c>
      <c r="D40" s="28">
        <v>1.0900000000000001</v>
      </c>
      <c r="E40" s="34">
        <f t="shared" si="0"/>
        <v>2.18E-2</v>
      </c>
      <c r="F40" s="35">
        <f t="shared" si="1"/>
        <v>23.38</v>
      </c>
      <c r="G40" s="34">
        <f t="shared" si="2"/>
        <v>27.250000000000004</v>
      </c>
      <c r="H40" s="33">
        <f t="shared" si="3"/>
        <v>-11.69</v>
      </c>
      <c r="I40" s="29">
        <f t="shared" ca="1" si="4"/>
        <v>3</v>
      </c>
      <c r="J40">
        <f ca="1">IF(AND(SUMPRODUCT($J$2:J39,$B$2:B39)&lt;500,SUM(B39,SUMPRODUCT($J$2:J39,$B$2:B39))&lt;500),1,0)</f>
        <v>0</v>
      </c>
      <c r="K40">
        <v>0</v>
      </c>
      <c r="L40">
        <v>0</v>
      </c>
      <c r="W40">
        <v>0</v>
      </c>
      <c r="X40">
        <v>0</v>
      </c>
      <c r="Y40">
        <v>0</v>
      </c>
      <c r="Z40">
        <v>0</v>
      </c>
      <c r="AA40">
        <v>1</v>
      </c>
      <c r="AB40">
        <v>1</v>
      </c>
      <c r="AC40">
        <v>0</v>
      </c>
      <c r="AD40">
        <v>0</v>
      </c>
      <c r="AE40">
        <v>0</v>
      </c>
      <c r="AF40">
        <v>0</v>
      </c>
      <c r="AG40">
        <v>1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1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1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1</v>
      </c>
      <c r="BA40">
        <v>0</v>
      </c>
      <c r="BB40">
        <v>0</v>
      </c>
      <c r="BC40">
        <v>1</v>
      </c>
      <c r="BD40">
        <v>1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1</v>
      </c>
      <c r="BN40">
        <v>1</v>
      </c>
      <c r="BO40">
        <v>1</v>
      </c>
      <c r="BP40">
        <v>0</v>
      </c>
      <c r="BQ40">
        <v>0</v>
      </c>
      <c r="BR40">
        <v>1</v>
      </c>
      <c r="BS40">
        <v>0</v>
      </c>
      <c r="BT40">
        <v>0</v>
      </c>
      <c r="BU40">
        <v>0</v>
      </c>
      <c r="BV40">
        <v>1</v>
      </c>
      <c r="BW40">
        <v>1</v>
      </c>
      <c r="BX40">
        <v>0</v>
      </c>
      <c r="BY40">
        <v>0</v>
      </c>
      <c r="BZ40">
        <v>1</v>
      </c>
      <c r="CA40">
        <v>0</v>
      </c>
      <c r="CB40">
        <v>1</v>
      </c>
      <c r="CC40">
        <v>1</v>
      </c>
      <c r="CD40">
        <v>1</v>
      </c>
      <c r="CE40">
        <v>1</v>
      </c>
      <c r="CF40">
        <v>1</v>
      </c>
      <c r="CG40">
        <v>0</v>
      </c>
      <c r="CH40">
        <v>0</v>
      </c>
      <c r="CI40">
        <v>1</v>
      </c>
      <c r="CJ40">
        <v>0</v>
      </c>
      <c r="CK40">
        <v>0</v>
      </c>
      <c r="CL40">
        <v>1</v>
      </c>
      <c r="CM40">
        <v>1</v>
      </c>
      <c r="CN40">
        <v>1</v>
      </c>
      <c r="CO40">
        <v>1</v>
      </c>
      <c r="CP40">
        <v>1</v>
      </c>
      <c r="CQ40">
        <v>0</v>
      </c>
      <c r="CR40">
        <v>1</v>
      </c>
      <c r="CS40">
        <v>0</v>
      </c>
      <c r="CT40">
        <v>1</v>
      </c>
      <c r="CU40">
        <v>0</v>
      </c>
      <c r="CV40">
        <v>0</v>
      </c>
      <c r="CW40">
        <v>1</v>
      </c>
      <c r="CX40">
        <v>0</v>
      </c>
      <c r="CY40">
        <v>0</v>
      </c>
      <c r="CZ40">
        <v>0</v>
      </c>
      <c r="DA40">
        <v>0</v>
      </c>
      <c r="DB40">
        <v>1</v>
      </c>
      <c r="DC40">
        <v>0</v>
      </c>
      <c r="DD40">
        <v>1</v>
      </c>
      <c r="DE40">
        <v>1</v>
      </c>
      <c r="DF40">
        <v>1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1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1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1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1</v>
      </c>
      <c r="EF40">
        <v>1</v>
      </c>
      <c r="EG40">
        <v>0</v>
      </c>
      <c r="EH40">
        <v>0</v>
      </c>
      <c r="EI40">
        <v>0</v>
      </c>
      <c r="EJ40">
        <v>0</v>
      </c>
      <c r="EK40">
        <v>1</v>
      </c>
      <c r="EL40">
        <v>0</v>
      </c>
      <c r="EM40">
        <v>0</v>
      </c>
      <c r="EN40">
        <v>0</v>
      </c>
      <c r="EO40">
        <v>1</v>
      </c>
      <c r="EP40">
        <v>0</v>
      </c>
      <c r="EQ40">
        <v>0</v>
      </c>
      <c r="ER40">
        <v>0</v>
      </c>
      <c r="ES40">
        <v>1</v>
      </c>
      <c r="ET40">
        <v>0</v>
      </c>
      <c r="EU40">
        <v>1</v>
      </c>
      <c r="EV40">
        <v>0</v>
      </c>
      <c r="EW40">
        <v>1</v>
      </c>
      <c r="EX40">
        <v>0</v>
      </c>
      <c r="EY40">
        <v>1</v>
      </c>
      <c r="EZ40">
        <v>0</v>
      </c>
      <c r="FA40">
        <v>1</v>
      </c>
      <c r="FB40">
        <v>0</v>
      </c>
      <c r="FC40">
        <v>1</v>
      </c>
      <c r="FD40">
        <v>1</v>
      </c>
      <c r="FE40">
        <v>0</v>
      </c>
      <c r="FF40">
        <v>1</v>
      </c>
      <c r="FG40">
        <v>0</v>
      </c>
      <c r="FH40">
        <v>1</v>
      </c>
      <c r="FI40">
        <v>1</v>
      </c>
      <c r="FJ40">
        <v>1</v>
      </c>
      <c r="FK40">
        <v>1</v>
      </c>
      <c r="FL40">
        <v>0</v>
      </c>
      <c r="FM40">
        <v>1</v>
      </c>
      <c r="FN40">
        <v>1</v>
      </c>
      <c r="FO40">
        <v>1</v>
      </c>
      <c r="FP40">
        <v>1</v>
      </c>
      <c r="FQ40">
        <v>0</v>
      </c>
      <c r="FR40">
        <v>0</v>
      </c>
      <c r="FS40">
        <v>1</v>
      </c>
      <c r="FT40">
        <v>0</v>
      </c>
      <c r="FU40">
        <v>0</v>
      </c>
      <c r="FV40">
        <v>1</v>
      </c>
      <c r="FW40">
        <v>0</v>
      </c>
      <c r="FX40">
        <v>0</v>
      </c>
      <c r="FY40">
        <v>1</v>
      </c>
      <c r="FZ40">
        <v>0</v>
      </c>
      <c r="GA40">
        <v>1</v>
      </c>
      <c r="GB40">
        <v>1</v>
      </c>
      <c r="GC40">
        <v>0</v>
      </c>
      <c r="GD40">
        <v>0</v>
      </c>
      <c r="GE40">
        <v>1</v>
      </c>
      <c r="GF40">
        <v>0</v>
      </c>
      <c r="GG40">
        <v>0</v>
      </c>
      <c r="GH40">
        <v>1</v>
      </c>
      <c r="GI40">
        <v>1</v>
      </c>
      <c r="GJ40">
        <v>1</v>
      </c>
      <c r="GK40">
        <v>1</v>
      </c>
      <c r="GL40">
        <v>0</v>
      </c>
      <c r="GM40">
        <v>1</v>
      </c>
      <c r="GN40">
        <v>0</v>
      </c>
      <c r="GO40">
        <v>0</v>
      </c>
      <c r="GP40">
        <v>0</v>
      </c>
      <c r="GQ40">
        <v>1</v>
      </c>
      <c r="GR40">
        <v>1</v>
      </c>
      <c r="GS40">
        <v>1</v>
      </c>
      <c r="GT40">
        <v>1</v>
      </c>
      <c r="GU40">
        <v>0</v>
      </c>
      <c r="GV40">
        <v>0</v>
      </c>
      <c r="GW40">
        <v>1</v>
      </c>
      <c r="GX40">
        <v>1</v>
      </c>
      <c r="GY40">
        <v>0</v>
      </c>
      <c r="GZ40">
        <v>0</v>
      </c>
      <c r="HA40">
        <v>1</v>
      </c>
      <c r="HB40">
        <v>0</v>
      </c>
      <c r="HC40">
        <v>0</v>
      </c>
      <c r="HD40">
        <v>1</v>
      </c>
      <c r="HE40">
        <v>0</v>
      </c>
      <c r="HF40">
        <v>1</v>
      </c>
      <c r="HG40">
        <v>0</v>
      </c>
      <c r="HH40">
        <v>0</v>
      </c>
      <c r="HI40">
        <v>0</v>
      </c>
      <c r="HJ40">
        <v>1</v>
      </c>
      <c r="HK40">
        <v>0</v>
      </c>
      <c r="HL40">
        <v>0</v>
      </c>
      <c r="HM40">
        <v>1</v>
      </c>
      <c r="HN40">
        <v>0</v>
      </c>
      <c r="HO40">
        <v>1</v>
      </c>
      <c r="HP40">
        <v>0</v>
      </c>
      <c r="HQ40">
        <v>1</v>
      </c>
      <c r="HR40">
        <v>1</v>
      </c>
      <c r="HS40">
        <v>1</v>
      </c>
      <c r="HT40">
        <v>1</v>
      </c>
      <c r="HU40">
        <v>0</v>
      </c>
      <c r="HV40">
        <v>1</v>
      </c>
      <c r="HW40">
        <v>1</v>
      </c>
      <c r="HX40">
        <v>0</v>
      </c>
      <c r="HY40">
        <v>0</v>
      </c>
      <c r="HZ40">
        <v>0</v>
      </c>
      <c r="IA40">
        <v>1</v>
      </c>
      <c r="IB40">
        <v>1</v>
      </c>
      <c r="IC40">
        <v>0</v>
      </c>
      <c r="ID40">
        <v>0</v>
      </c>
      <c r="IE40">
        <v>1</v>
      </c>
      <c r="IF40">
        <v>0</v>
      </c>
      <c r="IG40">
        <v>1</v>
      </c>
      <c r="IH40">
        <v>0</v>
      </c>
      <c r="II40">
        <v>0</v>
      </c>
      <c r="IJ40">
        <v>1</v>
      </c>
      <c r="IK40">
        <v>0</v>
      </c>
      <c r="IL40">
        <v>0</v>
      </c>
      <c r="IM40">
        <v>0</v>
      </c>
      <c r="IN40">
        <v>0</v>
      </c>
      <c r="IO40">
        <v>0</v>
      </c>
      <c r="IP40">
        <v>1</v>
      </c>
      <c r="IQ40">
        <v>0</v>
      </c>
      <c r="IR40">
        <v>1</v>
      </c>
      <c r="IS40">
        <v>0</v>
      </c>
      <c r="IT40">
        <v>1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1</v>
      </c>
      <c r="JC40">
        <v>0</v>
      </c>
      <c r="JD40">
        <v>0</v>
      </c>
      <c r="JE40">
        <v>0</v>
      </c>
      <c r="JF40">
        <v>0</v>
      </c>
      <c r="JG40">
        <v>1</v>
      </c>
      <c r="JH40">
        <v>0</v>
      </c>
      <c r="JI40">
        <v>1</v>
      </c>
      <c r="JJ40">
        <v>0</v>
      </c>
      <c r="JK40">
        <v>0</v>
      </c>
      <c r="JL40">
        <v>0</v>
      </c>
      <c r="JM40">
        <v>1</v>
      </c>
      <c r="JN40">
        <v>0</v>
      </c>
      <c r="JO40">
        <v>0</v>
      </c>
      <c r="JP40">
        <v>1</v>
      </c>
      <c r="JQ40">
        <v>1</v>
      </c>
      <c r="JR40">
        <v>0</v>
      </c>
      <c r="JS40">
        <v>0</v>
      </c>
      <c r="JT40">
        <v>0</v>
      </c>
      <c r="JU40">
        <v>0</v>
      </c>
      <c r="JV40">
        <v>1</v>
      </c>
      <c r="JW40">
        <v>0</v>
      </c>
      <c r="JX40">
        <v>1</v>
      </c>
      <c r="JY40">
        <v>0</v>
      </c>
      <c r="JZ40">
        <v>1</v>
      </c>
      <c r="KA40">
        <v>0</v>
      </c>
      <c r="KB40">
        <v>0</v>
      </c>
      <c r="KC40">
        <v>0</v>
      </c>
      <c r="KD40">
        <v>0</v>
      </c>
      <c r="KE40">
        <v>0</v>
      </c>
      <c r="KF40">
        <v>0</v>
      </c>
      <c r="KG40">
        <v>0</v>
      </c>
      <c r="KH40">
        <v>0</v>
      </c>
      <c r="KI40">
        <v>0</v>
      </c>
      <c r="KJ40">
        <v>1</v>
      </c>
      <c r="KK40">
        <v>1</v>
      </c>
      <c r="KL40">
        <v>0</v>
      </c>
      <c r="KM40">
        <v>1</v>
      </c>
      <c r="KN40">
        <v>0</v>
      </c>
      <c r="KO40">
        <v>1</v>
      </c>
      <c r="KP40">
        <v>0</v>
      </c>
      <c r="KQ40">
        <v>0</v>
      </c>
      <c r="KR40">
        <v>0</v>
      </c>
      <c r="KS40">
        <v>0</v>
      </c>
      <c r="KT40">
        <v>1</v>
      </c>
      <c r="KU40">
        <v>0</v>
      </c>
      <c r="KV40">
        <v>1</v>
      </c>
      <c r="KW40">
        <v>0</v>
      </c>
      <c r="KX40">
        <v>0</v>
      </c>
      <c r="KY40">
        <v>1</v>
      </c>
      <c r="KZ40">
        <v>1</v>
      </c>
      <c r="LA40">
        <v>0</v>
      </c>
      <c r="LB40">
        <v>0</v>
      </c>
      <c r="LC40">
        <v>1</v>
      </c>
      <c r="LD40">
        <v>0</v>
      </c>
      <c r="LE40">
        <v>0</v>
      </c>
      <c r="LF40">
        <v>0</v>
      </c>
      <c r="LG40">
        <v>0</v>
      </c>
      <c r="LH40">
        <v>1</v>
      </c>
      <c r="LI40">
        <v>0</v>
      </c>
      <c r="LJ40">
        <v>1</v>
      </c>
      <c r="LK40">
        <v>1</v>
      </c>
      <c r="LL40">
        <v>1</v>
      </c>
      <c r="LM40">
        <v>1</v>
      </c>
      <c r="LN40">
        <v>1</v>
      </c>
      <c r="LO40">
        <v>1</v>
      </c>
      <c r="LP40">
        <v>1</v>
      </c>
      <c r="LQ40">
        <v>0</v>
      </c>
      <c r="LR40">
        <v>1</v>
      </c>
      <c r="LS40">
        <v>0</v>
      </c>
      <c r="LT40">
        <v>1</v>
      </c>
      <c r="LU40">
        <v>0</v>
      </c>
      <c r="LV40">
        <v>0</v>
      </c>
      <c r="LW40">
        <v>1</v>
      </c>
      <c r="LX40">
        <v>1</v>
      </c>
      <c r="LY40">
        <v>0</v>
      </c>
      <c r="LZ40">
        <v>0</v>
      </c>
      <c r="MA40">
        <v>0</v>
      </c>
      <c r="MB40">
        <v>1</v>
      </c>
      <c r="MC40">
        <v>1</v>
      </c>
      <c r="MD40">
        <v>1</v>
      </c>
      <c r="ME40">
        <v>0</v>
      </c>
      <c r="MF40">
        <v>1</v>
      </c>
      <c r="MG40">
        <v>0</v>
      </c>
      <c r="MH40">
        <v>0</v>
      </c>
      <c r="MI40">
        <v>0</v>
      </c>
      <c r="MJ40">
        <v>1</v>
      </c>
      <c r="MK40">
        <v>1</v>
      </c>
      <c r="ML40">
        <v>1</v>
      </c>
      <c r="MM40">
        <v>0</v>
      </c>
      <c r="MN40">
        <v>0</v>
      </c>
      <c r="MO40">
        <v>1</v>
      </c>
      <c r="MP40">
        <v>0</v>
      </c>
      <c r="MQ40">
        <v>1</v>
      </c>
      <c r="MR40">
        <v>0</v>
      </c>
      <c r="MS40">
        <v>1</v>
      </c>
      <c r="MT40">
        <v>0</v>
      </c>
      <c r="MU40">
        <v>0</v>
      </c>
      <c r="MV40">
        <v>0</v>
      </c>
      <c r="MW40">
        <v>0</v>
      </c>
      <c r="MX40">
        <v>0</v>
      </c>
      <c r="MY40">
        <v>1</v>
      </c>
      <c r="MZ40">
        <v>1</v>
      </c>
      <c r="NA40">
        <v>1</v>
      </c>
      <c r="NB40">
        <v>0</v>
      </c>
      <c r="NC40">
        <v>0</v>
      </c>
      <c r="ND40">
        <v>0</v>
      </c>
      <c r="NE40">
        <v>0</v>
      </c>
      <c r="NF40">
        <v>0</v>
      </c>
      <c r="NG40">
        <v>0</v>
      </c>
      <c r="NH40">
        <v>0</v>
      </c>
      <c r="NI40">
        <v>1</v>
      </c>
      <c r="NJ40">
        <v>0</v>
      </c>
      <c r="NK40">
        <v>1</v>
      </c>
      <c r="NL40">
        <v>1</v>
      </c>
      <c r="NM40">
        <v>1</v>
      </c>
      <c r="NN40">
        <v>1</v>
      </c>
      <c r="NO40">
        <v>1</v>
      </c>
      <c r="NP40">
        <v>0</v>
      </c>
      <c r="NQ40">
        <v>0</v>
      </c>
      <c r="NR40">
        <v>0</v>
      </c>
      <c r="NS40">
        <v>0</v>
      </c>
      <c r="NT40">
        <v>0</v>
      </c>
      <c r="NU40">
        <v>0</v>
      </c>
      <c r="NV40">
        <v>0</v>
      </c>
      <c r="NW40">
        <v>0</v>
      </c>
      <c r="NX40">
        <v>0</v>
      </c>
      <c r="NY40">
        <v>0</v>
      </c>
      <c r="NZ40">
        <v>1</v>
      </c>
      <c r="OA40">
        <v>0</v>
      </c>
      <c r="OB40">
        <v>0</v>
      </c>
      <c r="OC40">
        <v>1</v>
      </c>
      <c r="OD40">
        <v>0</v>
      </c>
      <c r="OE40">
        <v>0</v>
      </c>
      <c r="OF40">
        <v>0</v>
      </c>
      <c r="OG40">
        <v>1</v>
      </c>
      <c r="OH40">
        <v>1</v>
      </c>
      <c r="OI40">
        <v>1</v>
      </c>
      <c r="OJ40">
        <v>1</v>
      </c>
      <c r="OK40">
        <v>1</v>
      </c>
      <c r="OL40">
        <v>0</v>
      </c>
      <c r="OM40">
        <v>0</v>
      </c>
      <c r="ON40">
        <v>0</v>
      </c>
      <c r="OO40">
        <v>0</v>
      </c>
      <c r="OP40">
        <v>1</v>
      </c>
      <c r="OQ40">
        <v>1</v>
      </c>
      <c r="OR40">
        <v>0</v>
      </c>
      <c r="OS40">
        <v>1</v>
      </c>
      <c r="OT40">
        <v>0</v>
      </c>
      <c r="OU40">
        <v>0</v>
      </c>
      <c r="OV40">
        <v>1</v>
      </c>
      <c r="OW40">
        <v>0</v>
      </c>
      <c r="OX40">
        <v>0</v>
      </c>
      <c r="OY40">
        <v>0</v>
      </c>
      <c r="OZ40">
        <v>0</v>
      </c>
      <c r="PA40">
        <v>0</v>
      </c>
      <c r="PB40">
        <v>0</v>
      </c>
      <c r="PC40">
        <v>0</v>
      </c>
      <c r="PD40">
        <v>1</v>
      </c>
      <c r="PE40">
        <v>0</v>
      </c>
      <c r="PF40">
        <v>0</v>
      </c>
      <c r="PG40">
        <v>1</v>
      </c>
      <c r="PH40">
        <v>0</v>
      </c>
      <c r="PI40">
        <v>1</v>
      </c>
      <c r="PJ40">
        <v>1</v>
      </c>
      <c r="PK40">
        <v>0</v>
      </c>
      <c r="PL40">
        <v>1</v>
      </c>
      <c r="PM40">
        <v>0</v>
      </c>
      <c r="PN40">
        <v>0</v>
      </c>
      <c r="PO40">
        <v>0</v>
      </c>
      <c r="PP40">
        <v>0</v>
      </c>
      <c r="PQ40">
        <v>0</v>
      </c>
      <c r="PR40">
        <v>0</v>
      </c>
      <c r="PS40">
        <v>0</v>
      </c>
      <c r="PT40">
        <v>0</v>
      </c>
      <c r="PU40">
        <v>1</v>
      </c>
      <c r="PV40">
        <v>0</v>
      </c>
    </row>
    <row r="41" spans="1:438" x14ac:dyDescent="0.3">
      <c r="A41" s="31">
        <v>106</v>
      </c>
      <c r="B41" s="28">
        <v>8.52</v>
      </c>
      <c r="C41" s="30">
        <v>20.9</v>
      </c>
      <c r="D41" s="28">
        <v>3.18</v>
      </c>
      <c r="E41" s="34">
        <f t="shared" si="0"/>
        <v>6.3600000000000004E-2</v>
      </c>
      <c r="F41" s="35">
        <f t="shared" si="1"/>
        <v>5.2249999999999996</v>
      </c>
      <c r="G41" s="34">
        <f t="shared" si="2"/>
        <v>79.5</v>
      </c>
      <c r="H41" s="33">
        <f t="shared" si="3"/>
        <v>11.123826291079814</v>
      </c>
      <c r="I41" s="29">
        <f t="shared" ca="1" si="4"/>
        <v>1</v>
      </c>
      <c r="J41">
        <f ca="1">IF(AND(SUMPRODUCT($J$2:J40,$B$2:B40)&lt;500,SUM(B40,SUMPRODUCT($J$2:J40,$B$2:B40))&lt;500),1,0)</f>
        <v>0</v>
      </c>
      <c r="K41">
        <v>4</v>
      </c>
      <c r="L41">
        <v>0</v>
      </c>
      <c r="W41">
        <v>1</v>
      </c>
      <c r="X41">
        <v>0</v>
      </c>
      <c r="Y41">
        <v>0</v>
      </c>
      <c r="Z41">
        <v>0</v>
      </c>
      <c r="AA41">
        <v>0</v>
      </c>
      <c r="AB41">
        <v>0</v>
      </c>
      <c r="AC41">
        <v>1</v>
      </c>
      <c r="AD41">
        <v>1</v>
      </c>
      <c r="AE41">
        <v>0</v>
      </c>
      <c r="AF41">
        <v>0</v>
      </c>
      <c r="AG41">
        <v>1</v>
      </c>
      <c r="AH41">
        <v>0</v>
      </c>
      <c r="AI41">
        <v>0</v>
      </c>
      <c r="AJ41">
        <v>1</v>
      </c>
      <c r="AK41">
        <v>0</v>
      </c>
      <c r="AL41">
        <v>0</v>
      </c>
      <c r="AM41">
        <v>0</v>
      </c>
      <c r="AN41">
        <v>0</v>
      </c>
      <c r="AO41">
        <v>1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1</v>
      </c>
      <c r="AY41">
        <v>1</v>
      </c>
      <c r="AZ41">
        <v>1</v>
      </c>
      <c r="BA41">
        <v>1</v>
      </c>
      <c r="BB41">
        <v>0</v>
      </c>
      <c r="BC41">
        <v>1</v>
      </c>
      <c r="BD41">
        <v>1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1</v>
      </c>
      <c r="BL41">
        <v>0</v>
      </c>
      <c r="BM41">
        <v>1</v>
      </c>
      <c r="BN41">
        <v>1</v>
      </c>
      <c r="BO41">
        <v>1</v>
      </c>
      <c r="BP41">
        <v>0</v>
      </c>
      <c r="BQ41">
        <v>0</v>
      </c>
      <c r="BR41">
        <v>1</v>
      </c>
      <c r="BS41">
        <v>0</v>
      </c>
      <c r="BT41">
        <v>0</v>
      </c>
      <c r="BU41">
        <v>0</v>
      </c>
      <c r="BV41">
        <v>1</v>
      </c>
      <c r="BW41">
        <v>1</v>
      </c>
      <c r="BX41">
        <v>0</v>
      </c>
      <c r="BY41">
        <v>0</v>
      </c>
      <c r="BZ41">
        <v>0</v>
      </c>
      <c r="CA41">
        <v>0</v>
      </c>
      <c r="CB41">
        <v>1</v>
      </c>
      <c r="CC41">
        <v>0</v>
      </c>
      <c r="CD41">
        <v>0</v>
      </c>
      <c r="CE41">
        <v>1</v>
      </c>
      <c r="CF41">
        <v>1</v>
      </c>
      <c r="CG41">
        <v>1</v>
      </c>
      <c r="CH41">
        <v>0</v>
      </c>
      <c r="CI41">
        <v>0</v>
      </c>
      <c r="CJ41">
        <v>0</v>
      </c>
      <c r="CK41">
        <v>1</v>
      </c>
      <c r="CL41">
        <v>1</v>
      </c>
      <c r="CM41">
        <v>1</v>
      </c>
      <c r="CN41">
        <v>1</v>
      </c>
      <c r="CO41">
        <v>0</v>
      </c>
      <c r="CP41">
        <v>0</v>
      </c>
      <c r="CQ41">
        <v>0</v>
      </c>
      <c r="CR41">
        <v>1</v>
      </c>
      <c r="CS41">
        <v>0</v>
      </c>
      <c r="CT41">
        <v>0</v>
      </c>
      <c r="CU41">
        <v>0</v>
      </c>
      <c r="CV41">
        <v>0</v>
      </c>
      <c r="CW41">
        <v>1</v>
      </c>
      <c r="CX41">
        <v>0</v>
      </c>
      <c r="CY41">
        <v>1</v>
      </c>
      <c r="CZ41">
        <v>0</v>
      </c>
      <c r="DA41">
        <v>0</v>
      </c>
      <c r="DB41">
        <v>1</v>
      </c>
      <c r="DC41">
        <v>0</v>
      </c>
      <c r="DD41">
        <v>0</v>
      </c>
      <c r="DE41">
        <v>0</v>
      </c>
      <c r="DF41">
        <v>1</v>
      </c>
      <c r="DG41">
        <v>1</v>
      </c>
      <c r="DH41">
        <v>0</v>
      </c>
      <c r="DI41">
        <v>0</v>
      </c>
      <c r="DJ41">
        <v>0</v>
      </c>
      <c r="DK41">
        <v>0</v>
      </c>
      <c r="DL41">
        <v>1</v>
      </c>
      <c r="DM41">
        <v>1</v>
      </c>
      <c r="DN41">
        <v>0</v>
      </c>
      <c r="DO41">
        <v>0</v>
      </c>
      <c r="DP41">
        <v>1</v>
      </c>
      <c r="DQ41">
        <v>0</v>
      </c>
      <c r="DR41">
        <v>1</v>
      </c>
      <c r="DS41">
        <v>0</v>
      </c>
      <c r="DT41">
        <v>1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1</v>
      </c>
      <c r="EA41">
        <v>0</v>
      </c>
      <c r="EB41">
        <v>1</v>
      </c>
      <c r="EC41">
        <v>1</v>
      </c>
      <c r="ED41">
        <v>0</v>
      </c>
      <c r="EE41">
        <v>1</v>
      </c>
      <c r="EF41">
        <v>0</v>
      </c>
      <c r="EG41">
        <v>1</v>
      </c>
      <c r="EH41">
        <v>0</v>
      </c>
      <c r="EI41">
        <v>0</v>
      </c>
      <c r="EJ41">
        <v>0</v>
      </c>
      <c r="EK41">
        <v>1</v>
      </c>
      <c r="EL41">
        <v>1</v>
      </c>
      <c r="EM41">
        <v>1</v>
      </c>
      <c r="EN41">
        <v>1</v>
      </c>
      <c r="EO41">
        <v>1</v>
      </c>
      <c r="EP41">
        <v>1</v>
      </c>
      <c r="EQ41">
        <v>0</v>
      </c>
      <c r="ER41">
        <v>0</v>
      </c>
      <c r="ES41">
        <v>1</v>
      </c>
      <c r="ET41">
        <v>0</v>
      </c>
      <c r="EU41">
        <v>0</v>
      </c>
      <c r="EV41">
        <v>0</v>
      </c>
      <c r="EW41">
        <v>1</v>
      </c>
      <c r="EX41">
        <v>0</v>
      </c>
      <c r="EY41">
        <v>0</v>
      </c>
      <c r="EZ41">
        <v>0</v>
      </c>
      <c r="FA41">
        <v>1</v>
      </c>
      <c r="FB41">
        <v>0</v>
      </c>
      <c r="FC41">
        <v>0</v>
      </c>
      <c r="FD41">
        <v>0</v>
      </c>
      <c r="FE41">
        <v>0</v>
      </c>
      <c r="FF41">
        <v>1</v>
      </c>
      <c r="FG41">
        <v>0</v>
      </c>
      <c r="FH41">
        <v>1</v>
      </c>
      <c r="FI41">
        <v>1</v>
      </c>
      <c r="FJ41">
        <v>1</v>
      </c>
      <c r="FK41">
        <v>0</v>
      </c>
      <c r="FL41">
        <v>0</v>
      </c>
      <c r="FM41">
        <v>1</v>
      </c>
      <c r="FN41">
        <v>1</v>
      </c>
      <c r="FO41">
        <v>1</v>
      </c>
      <c r="FP41">
        <v>0</v>
      </c>
      <c r="FQ41">
        <v>0</v>
      </c>
      <c r="FR41">
        <v>0</v>
      </c>
      <c r="FS41">
        <v>1</v>
      </c>
      <c r="FT41">
        <v>0</v>
      </c>
      <c r="FU41">
        <v>1</v>
      </c>
      <c r="FV41">
        <v>1</v>
      </c>
      <c r="FW41">
        <v>0</v>
      </c>
      <c r="FX41">
        <v>0</v>
      </c>
      <c r="FY41">
        <v>0</v>
      </c>
      <c r="FZ41">
        <v>0</v>
      </c>
      <c r="GA41">
        <v>1</v>
      </c>
      <c r="GB41">
        <v>1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1</v>
      </c>
      <c r="GM41">
        <v>1</v>
      </c>
      <c r="GN41">
        <v>0</v>
      </c>
      <c r="GO41">
        <v>0</v>
      </c>
      <c r="GP41">
        <v>0</v>
      </c>
      <c r="GQ41">
        <v>1</v>
      </c>
      <c r="GR41">
        <v>0</v>
      </c>
      <c r="GS41">
        <v>0</v>
      </c>
      <c r="GT41">
        <v>1</v>
      </c>
      <c r="GU41">
        <v>0</v>
      </c>
      <c r="GV41">
        <v>0</v>
      </c>
      <c r="GW41">
        <v>0</v>
      </c>
      <c r="GX41">
        <v>1</v>
      </c>
      <c r="GY41">
        <v>0</v>
      </c>
      <c r="GZ41">
        <v>0</v>
      </c>
      <c r="HA41">
        <v>0</v>
      </c>
      <c r="HB41">
        <v>1</v>
      </c>
      <c r="HC41">
        <v>0</v>
      </c>
      <c r="HD41">
        <v>1</v>
      </c>
      <c r="HE41">
        <v>0</v>
      </c>
      <c r="HF41">
        <v>1</v>
      </c>
      <c r="HG41">
        <v>0</v>
      </c>
      <c r="HH41">
        <v>0</v>
      </c>
      <c r="HI41">
        <v>1</v>
      </c>
      <c r="HJ41">
        <v>1</v>
      </c>
      <c r="HK41">
        <v>0</v>
      </c>
      <c r="HL41">
        <v>1</v>
      </c>
      <c r="HM41">
        <v>1</v>
      </c>
      <c r="HN41">
        <v>0</v>
      </c>
      <c r="HO41">
        <v>1</v>
      </c>
      <c r="HP41">
        <v>0</v>
      </c>
      <c r="HQ41">
        <v>1</v>
      </c>
      <c r="HR41">
        <v>0</v>
      </c>
      <c r="HS41">
        <v>1</v>
      </c>
      <c r="HT41">
        <v>1</v>
      </c>
      <c r="HU41">
        <v>0</v>
      </c>
      <c r="HV41">
        <v>1</v>
      </c>
      <c r="HW41">
        <v>1</v>
      </c>
      <c r="HX41">
        <v>0</v>
      </c>
      <c r="HY41">
        <v>0</v>
      </c>
      <c r="HZ41">
        <v>0</v>
      </c>
      <c r="IA41">
        <v>0</v>
      </c>
      <c r="IB41">
        <v>1</v>
      </c>
      <c r="IC41">
        <v>0</v>
      </c>
      <c r="ID41">
        <v>0</v>
      </c>
      <c r="IE41">
        <v>0</v>
      </c>
      <c r="IF41">
        <v>1</v>
      </c>
      <c r="IG41">
        <v>0</v>
      </c>
      <c r="IH41">
        <v>0</v>
      </c>
      <c r="II41">
        <v>1</v>
      </c>
      <c r="IJ41">
        <v>1</v>
      </c>
      <c r="IK41">
        <v>0</v>
      </c>
      <c r="IL41">
        <v>0</v>
      </c>
      <c r="IM41">
        <v>0</v>
      </c>
      <c r="IN41">
        <v>1</v>
      </c>
      <c r="IO41">
        <v>0</v>
      </c>
      <c r="IP41">
        <v>1</v>
      </c>
      <c r="IQ41">
        <v>0</v>
      </c>
      <c r="IR41">
        <v>0</v>
      </c>
      <c r="IS41">
        <v>1</v>
      </c>
      <c r="IT41">
        <v>1</v>
      </c>
      <c r="IU41">
        <v>0</v>
      </c>
      <c r="IV41">
        <v>0</v>
      </c>
      <c r="IW41">
        <v>1</v>
      </c>
      <c r="IX41">
        <v>1</v>
      </c>
      <c r="IY41">
        <v>0</v>
      </c>
      <c r="IZ41">
        <v>1</v>
      </c>
      <c r="JA41">
        <v>1</v>
      </c>
      <c r="JB41">
        <v>1</v>
      </c>
      <c r="JC41">
        <v>0</v>
      </c>
      <c r="JD41">
        <v>1</v>
      </c>
      <c r="JE41">
        <v>0</v>
      </c>
      <c r="JF41">
        <v>1</v>
      </c>
      <c r="JG41">
        <v>1</v>
      </c>
      <c r="JH41">
        <v>0</v>
      </c>
      <c r="JI41">
        <v>0</v>
      </c>
      <c r="JJ41">
        <v>0</v>
      </c>
      <c r="JK41">
        <v>1</v>
      </c>
      <c r="JL41">
        <v>0</v>
      </c>
      <c r="JM41">
        <v>1</v>
      </c>
      <c r="JN41">
        <v>1</v>
      </c>
      <c r="JO41">
        <v>0</v>
      </c>
      <c r="JP41">
        <v>1</v>
      </c>
      <c r="JQ41">
        <v>1</v>
      </c>
      <c r="JR41">
        <v>0</v>
      </c>
      <c r="JS41">
        <v>0</v>
      </c>
      <c r="JT41">
        <v>0</v>
      </c>
      <c r="JU41">
        <v>0</v>
      </c>
      <c r="JV41">
        <v>1</v>
      </c>
      <c r="JW41">
        <v>1</v>
      </c>
      <c r="JX41">
        <v>1</v>
      </c>
      <c r="JY41">
        <v>0</v>
      </c>
      <c r="JZ41">
        <v>1</v>
      </c>
      <c r="KA41">
        <v>0</v>
      </c>
      <c r="KB41">
        <v>0</v>
      </c>
      <c r="KC41">
        <v>1</v>
      </c>
      <c r="KD41">
        <v>0</v>
      </c>
      <c r="KE41">
        <v>0</v>
      </c>
      <c r="KF41">
        <v>0</v>
      </c>
      <c r="KG41">
        <v>0</v>
      </c>
      <c r="KH41">
        <v>0</v>
      </c>
      <c r="KI41">
        <v>0</v>
      </c>
      <c r="KJ41">
        <v>1</v>
      </c>
      <c r="KK41">
        <v>1</v>
      </c>
      <c r="KL41">
        <v>0</v>
      </c>
      <c r="KM41">
        <v>1</v>
      </c>
      <c r="KN41">
        <v>0</v>
      </c>
      <c r="KO41">
        <v>0</v>
      </c>
      <c r="KP41">
        <v>1</v>
      </c>
      <c r="KQ41">
        <v>0</v>
      </c>
      <c r="KR41">
        <v>0</v>
      </c>
      <c r="KS41">
        <v>1</v>
      </c>
      <c r="KT41">
        <v>1</v>
      </c>
      <c r="KU41">
        <v>0</v>
      </c>
      <c r="KV41">
        <v>1</v>
      </c>
      <c r="KW41">
        <v>0</v>
      </c>
      <c r="KX41">
        <v>0</v>
      </c>
      <c r="KY41">
        <v>1</v>
      </c>
      <c r="KZ41">
        <v>1</v>
      </c>
      <c r="LA41">
        <v>0</v>
      </c>
      <c r="LB41">
        <v>0</v>
      </c>
      <c r="LC41">
        <v>0</v>
      </c>
      <c r="LD41">
        <v>0</v>
      </c>
      <c r="LE41">
        <v>0</v>
      </c>
      <c r="LF41">
        <v>0</v>
      </c>
      <c r="LG41">
        <v>0</v>
      </c>
      <c r="LH41">
        <v>1</v>
      </c>
      <c r="LI41">
        <v>0</v>
      </c>
      <c r="LJ41">
        <v>0</v>
      </c>
      <c r="LK41">
        <v>1</v>
      </c>
      <c r="LL41">
        <v>1</v>
      </c>
      <c r="LM41">
        <v>0</v>
      </c>
      <c r="LN41">
        <v>1</v>
      </c>
      <c r="LO41">
        <v>0</v>
      </c>
      <c r="LP41">
        <v>0</v>
      </c>
      <c r="LQ41">
        <v>0</v>
      </c>
      <c r="LR41">
        <v>0</v>
      </c>
      <c r="LS41">
        <v>0</v>
      </c>
      <c r="LT41">
        <v>1</v>
      </c>
      <c r="LU41">
        <v>0</v>
      </c>
      <c r="LV41">
        <v>0</v>
      </c>
      <c r="LW41">
        <v>1</v>
      </c>
      <c r="LX41">
        <v>0</v>
      </c>
      <c r="LY41">
        <v>0</v>
      </c>
      <c r="LZ41">
        <v>0</v>
      </c>
      <c r="MA41">
        <v>1</v>
      </c>
      <c r="MB41">
        <v>1</v>
      </c>
      <c r="MC41">
        <v>1</v>
      </c>
      <c r="MD41">
        <v>0</v>
      </c>
      <c r="ME41">
        <v>0</v>
      </c>
      <c r="MF41">
        <v>1</v>
      </c>
      <c r="MG41">
        <v>0</v>
      </c>
      <c r="MH41">
        <v>0</v>
      </c>
      <c r="MI41">
        <v>1</v>
      </c>
      <c r="MJ41">
        <v>1</v>
      </c>
      <c r="MK41">
        <v>1</v>
      </c>
      <c r="ML41">
        <v>1</v>
      </c>
      <c r="MM41">
        <v>1</v>
      </c>
      <c r="MN41">
        <v>1</v>
      </c>
      <c r="MO41">
        <v>0</v>
      </c>
      <c r="MP41">
        <v>1</v>
      </c>
      <c r="MQ41">
        <v>0</v>
      </c>
      <c r="MR41">
        <v>0</v>
      </c>
      <c r="MS41">
        <v>0</v>
      </c>
      <c r="MT41">
        <v>0</v>
      </c>
      <c r="MU41">
        <v>1</v>
      </c>
      <c r="MV41">
        <v>0</v>
      </c>
      <c r="MW41">
        <v>0</v>
      </c>
      <c r="MX41">
        <v>0</v>
      </c>
      <c r="MY41">
        <v>0</v>
      </c>
      <c r="MZ41">
        <v>0</v>
      </c>
      <c r="NA41">
        <v>0</v>
      </c>
      <c r="NB41">
        <v>0</v>
      </c>
      <c r="NC41">
        <v>1</v>
      </c>
      <c r="ND41">
        <v>0</v>
      </c>
      <c r="NE41">
        <v>0</v>
      </c>
      <c r="NF41">
        <v>0</v>
      </c>
      <c r="NG41">
        <v>0</v>
      </c>
      <c r="NH41">
        <v>0</v>
      </c>
      <c r="NI41">
        <v>0</v>
      </c>
      <c r="NJ41">
        <v>1</v>
      </c>
      <c r="NK41">
        <v>1</v>
      </c>
      <c r="NL41">
        <v>0</v>
      </c>
      <c r="NM41">
        <v>1</v>
      </c>
      <c r="NN41">
        <v>1</v>
      </c>
      <c r="NO41">
        <v>1</v>
      </c>
      <c r="NP41">
        <v>0</v>
      </c>
      <c r="NQ41">
        <v>0</v>
      </c>
      <c r="NR41">
        <v>1</v>
      </c>
      <c r="NS41">
        <v>0</v>
      </c>
      <c r="NT41">
        <v>0</v>
      </c>
      <c r="NU41">
        <v>1</v>
      </c>
      <c r="NV41">
        <v>0</v>
      </c>
      <c r="NW41">
        <v>0</v>
      </c>
      <c r="NX41">
        <v>1</v>
      </c>
      <c r="NY41">
        <v>0</v>
      </c>
      <c r="NZ41">
        <v>0</v>
      </c>
      <c r="OA41">
        <v>0</v>
      </c>
      <c r="OB41">
        <v>0</v>
      </c>
      <c r="OC41">
        <v>0</v>
      </c>
      <c r="OD41">
        <v>0</v>
      </c>
      <c r="OE41">
        <v>0</v>
      </c>
      <c r="OF41">
        <v>0</v>
      </c>
      <c r="OG41">
        <v>1</v>
      </c>
      <c r="OH41">
        <v>1</v>
      </c>
      <c r="OI41">
        <v>1</v>
      </c>
      <c r="OJ41">
        <v>1</v>
      </c>
      <c r="OK41">
        <v>1</v>
      </c>
      <c r="OL41">
        <v>0</v>
      </c>
      <c r="OM41">
        <v>1</v>
      </c>
      <c r="ON41">
        <v>0</v>
      </c>
      <c r="OO41">
        <v>0</v>
      </c>
      <c r="OP41">
        <v>1</v>
      </c>
      <c r="OQ41">
        <v>1</v>
      </c>
      <c r="OR41">
        <v>0</v>
      </c>
      <c r="OS41">
        <v>1</v>
      </c>
      <c r="OT41">
        <v>1</v>
      </c>
      <c r="OU41">
        <v>0</v>
      </c>
      <c r="OV41">
        <v>0</v>
      </c>
      <c r="OW41">
        <v>1</v>
      </c>
      <c r="OX41">
        <v>0</v>
      </c>
      <c r="OY41">
        <v>1</v>
      </c>
      <c r="OZ41">
        <v>0</v>
      </c>
      <c r="PA41">
        <v>0</v>
      </c>
      <c r="PB41">
        <v>0</v>
      </c>
      <c r="PC41">
        <v>0</v>
      </c>
      <c r="PD41">
        <v>1</v>
      </c>
      <c r="PE41">
        <v>0</v>
      </c>
      <c r="PF41">
        <v>0</v>
      </c>
      <c r="PG41">
        <v>1</v>
      </c>
      <c r="PH41">
        <v>1</v>
      </c>
      <c r="PI41">
        <v>0</v>
      </c>
      <c r="PJ41">
        <v>1</v>
      </c>
      <c r="PK41">
        <v>1</v>
      </c>
      <c r="PL41">
        <v>1</v>
      </c>
      <c r="PM41">
        <v>1</v>
      </c>
      <c r="PN41">
        <v>1</v>
      </c>
      <c r="PO41">
        <v>0</v>
      </c>
      <c r="PP41">
        <v>0</v>
      </c>
      <c r="PQ41">
        <v>0</v>
      </c>
      <c r="PR41">
        <v>0</v>
      </c>
      <c r="PS41">
        <v>0</v>
      </c>
      <c r="PT41">
        <v>1</v>
      </c>
      <c r="PU41">
        <v>1</v>
      </c>
      <c r="PV41">
        <v>1</v>
      </c>
    </row>
    <row r="42" spans="1:438" x14ac:dyDescent="0.3">
      <c r="A42" s="31">
        <v>109</v>
      </c>
      <c r="B42" s="28">
        <v>2.7</v>
      </c>
      <c r="C42" s="30">
        <v>76.930000000000007</v>
      </c>
      <c r="D42" s="28">
        <v>2.12</v>
      </c>
      <c r="E42" s="34">
        <f t="shared" si="0"/>
        <v>4.24E-2</v>
      </c>
      <c r="F42" s="35">
        <f t="shared" si="1"/>
        <v>19.232500000000002</v>
      </c>
      <c r="G42" s="34">
        <f t="shared" si="2"/>
        <v>53</v>
      </c>
      <c r="H42" s="33">
        <f t="shared" si="3"/>
        <v>11.395370370370369</v>
      </c>
      <c r="I42" s="29">
        <f t="shared" ca="1" si="4"/>
        <v>3</v>
      </c>
      <c r="J42">
        <f ca="1">IF(AND(SUMPRODUCT($J$2:J41,$B$2:B41)&lt;500,SUM(B41,SUMPRODUCT($J$2:J41,$B$2:B41))&lt;500),1,0)</f>
        <v>0</v>
      </c>
      <c r="K42">
        <v>2</v>
      </c>
      <c r="L42">
        <v>0</v>
      </c>
      <c r="W42">
        <v>1</v>
      </c>
      <c r="X42">
        <v>0</v>
      </c>
      <c r="Y42">
        <v>0</v>
      </c>
      <c r="Z42">
        <v>1</v>
      </c>
      <c r="AA42">
        <v>1</v>
      </c>
      <c r="AB42">
        <v>0</v>
      </c>
      <c r="AC42">
        <v>0</v>
      </c>
      <c r="AD42">
        <v>1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1</v>
      </c>
      <c r="AL42">
        <v>1</v>
      </c>
      <c r="AM42">
        <v>1</v>
      </c>
      <c r="AN42">
        <v>0</v>
      </c>
      <c r="AO42">
        <v>0</v>
      </c>
      <c r="AP42">
        <v>1</v>
      </c>
      <c r="AQ42">
        <v>0</v>
      </c>
      <c r="AR42">
        <v>0</v>
      </c>
      <c r="AS42">
        <v>1</v>
      </c>
      <c r="AT42">
        <v>0</v>
      </c>
      <c r="AU42">
        <v>1</v>
      </c>
      <c r="AV42">
        <v>1</v>
      </c>
      <c r="AW42">
        <v>0</v>
      </c>
      <c r="AX42">
        <v>0</v>
      </c>
      <c r="AY42">
        <v>0</v>
      </c>
      <c r="AZ42">
        <v>1</v>
      </c>
      <c r="BA42">
        <v>1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H42">
        <v>1</v>
      </c>
      <c r="BI42">
        <v>0</v>
      </c>
      <c r="BJ42">
        <v>0</v>
      </c>
      <c r="BK42">
        <v>0</v>
      </c>
      <c r="BL42">
        <v>0</v>
      </c>
      <c r="BM42">
        <v>1</v>
      </c>
      <c r="BN42">
        <v>1</v>
      </c>
      <c r="BO42">
        <v>1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1</v>
      </c>
      <c r="BV42">
        <v>1</v>
      </c>
      <c r="BW42">
        <v>1</v>
      </c>
      <c r="BX42">
        <v>0</v>
      </c>
      <c r="BY42">
        <v>0</v>
      </c>
      <c r="BZ42">
        <v>0</v>
      </c>
      <c r="CA42">
        <v>1</v>
      </c>
      <c r="CB42">
        <v>1</v>
      </c>
      <c r="CC42">
        <v>0</v>
      </c>
      <c r="CD42">
        <v>0</v>
      </c>
      <c r="CE42">
        <v>0</v>
      </c>
      <c r="CF42">
        <v>1</v>
      </c>
      <c r="CG42">
        <v>0</v>
      </c>
      <c r="CH42">
        <v>0</v>
      </c>
      <c r="CI42">
        <v>1</v>
      </c>
      <c r="CJ42">
        <v>0</v>
      </c>
      <c r="CK42">
        <v>0</v>
      </c>
      <c r="CL42">
        <v>1</v>
      </c>
      <c r="CM42">
        <v>1</v>
      </c>
      <c r="CN42">
        <v>1</v>
      </c>
      <c r="CO42">
        <v>0</v>
      </c>
      <c r="CP42">
        <v>0</v>
      </c>
      <c r="CQ42">
        <v>0</v>
      </c>
      <c r="CR42">
        <v>1</v>
      </c>
      <c r="CS42">
        <v>0</v>
      </c>
      <c r="CT42">
        <v>1</v>
      </c>
      <c r="CU42">
        <v>0</v>
      </c>
      <c r="CV42">
        <v>0</v>
      </c>
      <c r="CW42">
        <v>0</v>
      </c>
      <c r="CX42">
        <v>1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1</v>
      </c>
      <c r="DF42">
        <v>1</v>
      </c>
      <c r="DG42">
        <v>1</v>
      </c>
      <c r="DH42">
        <v>1</v>
      </c>
      <c r="DI42">
        <v>0</v>
      </c>
      <c r="DJ42">
        <v>0</v>
      </c>
      <c r="DK42">
        <v>0</v>
      </c>
      <c r="DL42">
        <v>0</v>
      </c>
      <c r="DM42">
        <v>1</v>
      </c>
      <c r="DN42">
        <v>0</v>
      </c>
      <c r="DO42">
        <v>0</v>
      </c>
      <c r="DP42">
        <v>1</v>
      </c>
      <c r="DQ42">
        <v>0</v>
      </c>
      <c r="DR42">
        <v>0</v>
      </c>
      <c r="DS42">
        <v>0</v>
      </c>
      <c r="DT42">
        <v>1</v>
      </c>
      <c r="DU42">
        <v>0</v>
      </c>
      <c r="DV42">
        <v>1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1</v>
      </c>
      <c r="ED42">
        <v>0</v>
      </c>
      <c r="EE42">
        <v>1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1</v>
      </c>
      <c r="EN42">
        <v>0</v>
      </c>
      <c r="EO42">
        <v>0</v>
      </c>
      <c r="EP42">
        <v>1</v>
      </c>
      <c r="EQ42">
        <v>0</v>
      </c>
      <c r="ER42">
        <v>1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1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1</v>
      </c>
      <c r="FF42">
        <v>0</v>
      </c>
      <c r="FG42">
        <v>0</v>
      </c>
      <c r="FH42">
        <v>1</v>
      </c>
      <c r="FI42">
        <v>1</v>
      </c>
      <c r="FJ42">
        <v>1</v>
      </c>
      <c r="FK42">
        <v>1</v>
      </c>
      <c r="FL42">
        <v>0</v>
      </c>
      <c r="FM42">
        <v>1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1</v>
      </c>
      <c r="FT42">
        <v>0</v>
      </c>
      <c r="FU42">
        <v>1</v>
      </c>
      <c r="FV42">
        <v>1</v>
      </c>
      <c r="FW42">
        <v>0</v>
      </c>
      <c r="FX42">
        <v>0</v>
      </c>
      <c r="FY42">
        <v>1</v>
      </c>
      <c r="FZ42">
        <v>0</v>
      </c>
      <c r="GA42">
        <v>1</v>
      </c>
      <c r="GB42">
        <v>0</v>
      </c>
      <c r="GC42">
        <v>0</v>
      </c>
      <c r="GD42">
        <v>0</v>
      </c>
      <c r="GE42">
        <v>1</v>
      </c>
      <c r="GF42">
        <v>0</v>
      </c>
      <c r="GG42">
        <v>1</v>
      </c>
      <c r="GH42">
        <v>1</v>
      </c>
      <c r="GI42">
        <v>1</v>
      </c>
      <c r="GJ42">
        <v>1</v>
      </c>
      <c r="GK42">
        <v>0</v>
      </c>
      <c r="GL42">
        <v>0</v>
      </c>
      <c r="GM42">
        <v>1</v>
      </c>
      <c r="GN42">
        <v>0</v>
      </c>
      <c r="GO42">
        <v>1</v>
      </c>
      <c r="GP42">
        <v>1</v>
      </c>
      <c r="GQ42">
        <v>1</v>
      </c>
      <c r="GR42">
        <v>0</v>
      </c>
      <c r="GS42">
        <v>1</v>
      </c>
      <c r="GT42">
        <v>1</v>
      </c>
      <c r="GU42">
        <v>0</v>
      </c>
      <c r="GV42">
        <v>0</v>
      </c>
      <c r="GW42">
        <v>0</v>
      </c>
      <c r="GX42">
        <v>1</v>
      </c>
      <c r="GY42">
        <v>0</v>
      </c>
      <c r="GZ42">
        <v>0</v>
      </c>
      <c r="HA42">
        <v>1</v>
      </c>
      <c r="HB42">
        <v>1</v>
      </c>
      <c r="HC42">
        <v>1</v>
      </c>
      <c r="HD42">
        <v>0</v>
      </c>
      <c r="HE42">
        <v>0</v>
      </c>
      <c r="HF42">
        <v>1</v>
      </c>
      <c r="HG42">
        <v>1</v>
      </c>
      <c r="HH42">
        <v>1</v>
      </c>
      <c r="HI42">
        <v>0</v>
      </c>
      <c r="HJ42">
        <v>0</v>
      </c>
      <c r="HK42">
        <v>0</v>
      </c>
      <c r="HL42">
        <v>0</v>
      </c>
      <c r="HM42">
        <v>1</v>
      </c>
      <c r="HN42">
        <v>0</v>
      </c>
      <c r="HO42">
        <v>1</v>
      </c>
      <c r="HP42">
        <v>0</v>
      </c>
      <c r="HQ42">
        <v>1</v>
      </c>
      <c r="HR42">
        <v>0</v>
      </c>
      <c r="HS42">
        <v>1</v>
      </c>
      <c r="HT42">
        <v>1</v>
      </c>
      <c r="HU42">
        <v>0</v>
      </c>
      <c r="HV42">
        <v>0</v>
      </c>
      <c r="HW42">
        <v>1</v>
      </c>
      <c r="HX42">
        <v>1</v>
      </c>
      <c r="HY42">
        <v>1</v>
      </c>
      <c r="HZ42">
        <v>0</v>
      </c>
      <c r="IA42">
        <v>0</v>
      </c>
      <c r="IB42">
        <v>1</v>
      </c>
      <c r="IC42">
        <v>0</v>
      </c>
      <c r="ID42">
        <v>0</v>
      </c>
      <c r="IE42">
        <v>0</v>
      </c>
      <c r="IF42">
        <v>1</v>
      </c>
      <c r="IG42">
        <v>1</v>
      </c>
      <c r="IH42">
        <v>0</v>
      </c>
      <c r="II42">
        <v>1</v>
      </c>
      <c r="IJ42">
        <v>1</v>
      </c>
      <c r="IK42">
        <v>1</v>
      </c>
      <c r="IL42">
        <v>1</v>
      </c>
      <c r="IM42">
        <v>1</v>
      </c>
      <c r="IN42">
        <v>1</v>
      </c>
      <c r="IO42">
        <v>0</v>
      </c>
      <c r="IP42">
        <v>1</v>
      </c>
      <c r="IQ42">
        <v>0</v>
      </c>
      <c r="IR42">
        <v>0</v>
      </c>
      <c r="IS42">
        <v>0</v>
      </c>
      <c r="IT42">
        <v>0</v>
      </c>
      <c r="IU42">
        <v>0</v>
      </c>
      <c r="IV42">
        <v>0</v>
      </c>
      <c r="IW42">
        <v>0</v>
      </c>
      <c r="IX42">
        <v>1</v>
      </c>
      <c r="IY42">
        <v>0</v>
      </c>
      <c r="IZ42">
        <v>1</v>
      </c>
      <c r="JA42">
        <v>1</v>
      </c>
      <c r="JB42">
        <v>1</v>
      </c>
      <c r="JC42">
        <v>1</v>
      </c>
      <c r="JD42">
        <v>1</v>
      </c>
      <c r="JE42">
        <v>0</v>
      </c>
      <c r="JF42">
        <v>1</v>
      </c>
      <c r="JG42">
        <v>1</v>
      </c>
      <c r="JH42">
        <v>0</v>
      </c>
      <c r="JI42">
        <v>0</v>
      </c>
      <c r="JJ42">
        <v>0</v>
      </c>
      <c r="JK42">
        <v>1</v>
      </c>
      <c r="JL42">
        <v>0</v>
      </c>
      <c r="JM42">
        <v>0</v>
      </c>
      <c r="JN42">
        <v>1</v>
      </c>
      <c r="JO42">
        <v>0</v>
      </c>
      <c r="JP42">
        <v>1</v>
      </c>
      <c r="JQ42">
        <v>1</v>
      </c>
      <c r="JR42">
        <v>0</v>
      </c>
      <c r="JS42">
        <v>0</v>
      </c>
      <c r="JT42">
        <v>0</v>
      </c>
      <c r="JU42">
        <v>0</v>
      </c>
      <c r="JV42">
        <v>1</v>
      </c>
      <c r="JW42">
        <v>0</v>
      </c>
      <c r="JX42">
        <v>1</v>
      </c>
      <c r="JY42">
        <v>0</v>
      </c>
      <c r="JZ42">
        <v>1</v>
      </c>
      <c r="KA42">
        <v>0</v>
      </c>
      <c r="KB42">
        <v>0</v>
      </c>
      <c r="KC42">
        <v>1</v>
      </c>
      <c r="KD42">
        <v>0</v>
      </c>
      <c r="KE42">
        <v>0</v>
      </c>
      <c r="KF42">
        <v>0</v>
      </c>
      <c r="KG42">
        <v>0</v>
      </c>
      <c r="KH42">
        <v>1</v>
      </c>
      <c r="KI42">
        <v>0</v>
      </c>
      <c r="KJ42">
        <v>0</v>
      </c>
      <c r="KK42">
        <v>1</v>
      </c>
      <c r="KL42">
        <v>0</v>
      </c>
      <c r="KM42">
        <v>0</v>
      </c>
      <c r="KN42">
        <v>0</v>
      </c>
      <c r="KO42">
        <v>1</v>
      </c>
      <c r="KP42">
        <v>1</v>
      </c>
      <c r="KQ42">
        <v>1</v>
      </c>
      <c r="KR42">
        <v>0</v>
      </c>
      <c r="KS42">
        <v>1</v>
      </c>
      <c r="KT42">
        <v>1</v>
      </c>
      <c r="KU42">
        <v>0</v>
      </c>
      <c r="KV42">
        <v>0</v>
      </c>
      <c r="KW42">
        <v>0</v>
      </c>
      <c r="KX42">
        <v>1</v>
      </c>
      <c r="KY42">
        <v>1</v>
      </c>
      <c r="KZ42">
        <v>1</v>
      </c>
      <c r="LA42">
        <v>0</v>
      </c>
      <c r="LB42">
        <v>0</v>
      </c>
      <c r="LC42">
        <v>0</v>
      </c>
      <c r="LD42">
        <v>1</v>
      </c>
      <c r="LE42">
        <v>1</v>
      </c>
      <c r="LF42">
        <v>1</v>
      </c>
      <c r="LG42">
        <v>0</v>
      </c>
      <c r="LH42">
        <v>1</v>
      </c>
      <c r="LI42">
        <v>1</v>
      </c>
      <c r="LJ42">
        <v>1</v>
      </c>
      <c r="LK42">
        <v>1</v>
      </c>
      <c r="LL42">
        <v>1</v>
      </c>
      <c r="LM42">
        <v>1</v>
      </c>
      <c r="LN42">
        <v>0</v>
      </c>
      <c r="LO42">
        <v>1</v>
      </c>
      <c r="LP42">
        <v>0</v>
      </c>
      <c r="LQ42">
        <v>0</v>
      </c>
      <c r="LR42">
        <v>1</v>
      </c>
      <c r="LS42">
        <v>0</v>
      </c>
      <c r="LT42">
        <v>0</v>
      </c>
      <c r="LU42">
        <v>0</v>
      </c>
      <c r="LV42">
        <v>0</v>
      </c>
      <c r="LW42">
        <v>1</v>
      </c>
      <c r="LX42">
        <v>1</v>
      </c>
      <c r="LY42">
        <v>0</v>
      </c>
      <c r="LZ42">
        <v>0</v>
      </c>
      <c r="MA42">
        <v>0</v>
      </c>
      <c r="MB42">
        <v>1</v>
      </c>
      <c r="MC42">
        <v>1</v>
      </c>
      <c r="MD42">
        <v>0</v>
      </c>
      <c r="ME42">
        <v>1</v>
      </c>
      <c r="MF42">
        <v>1</v>
      </c>
      <c r="MG42">
        <v>1</v>
      </c>
      <c r="MH42">
        <v>0</v>
      </c>
      <c r="MI42">
        <v>0</v>
      </c>
      <c r="MJ42">
        <v>0</v>
      </c>
      <c r="MK42">
        <v>1</v>
      </c>
      <c r="ML42">
        <v>1</v>
      </c>
      <c r="MM42">
        <v>1</v>
      </c>
      <c r="MN42">
        <v>1</v>
      </c>
      <c r="MO42">
        <v>1</v>
      </c>
      <c r="MP42">
        <v>0</v>
      </c>
      <c r="MQ42">
        <v>1</v>
      </c>
      <c r="MR42">
        <v>0</v>
      </c>
      <c r="MS42">
        <v>1</v>
      </c>
      <c r="MT42">
        <v>0</v>
      </c>
      <c r="MU42">
        <v>1</v>
      </c>
      <c r="MV42">
        <v>0</v>
      </c>
      <c r="MW42">
        <v>0</v>
      </c>
      <c r="MX42">
        <v>0</v>
      </c>
      <c r="MY42">
        <v>1</v>
      </c>
      <c r="MZ42">
        <v>0</v>
      </c>
      <c r="NA42">
        <v>1</v>
      </c>
      <c r="NB42">
        <v>1</v>
      </c>
      <c r="NC42">
        <v>0</v>
      </c>
      <c r="ND42">
        <v>0</v>
      </c>
      <c r="NE42">
        <v>0</v>
      </c>
      <c r="NF42">
        <v>1</v>
      </c>
      <c r="NG42">
        <v>1</v>
      </c>
      <c r="NH42">
        <v>0</v>
      </c>
      <c r="NI42">
        <v>0</v>
      </c>
      <c r="NJ42">
        <v>1</v>
      </c>
      <c r="NK42">
        <v>0</v>
      </c>
      <c r="NL42">
        <v>1</v>
      </c>
      <c r="NM42">
        <v>1</v>
      </c>
      <c r="NN42">
        <v>0</v>
      </c>
      <c r="NO42">
        <v>1</v>
      </c>
      <c r="NP42">
        <v>0</v>
      </c>
      <c r="NQ42">
        <v>0</v>
      </c>
      <c r="NR42">
        <v>0</v>
      </c>
      <c r="NS42">
        <v>0</v>
      </c>
      <c r="NT42">
        <v>1</v>
      </c>
      <c r="NU42">
        <v>1</v>
      </c>
      <c r="NV42">
        <v>0</v>
      </c>
      <c r="NW42">
        <v>0</v>
      </c>
      <c r="NX42">
        <v>1</v>
      </c>
      <c r="NY42">
        <v>0</v>
      </c>
      <c r="NZ42">
        <v>0</v>
      </c>
      <c r="OA42">
        <v>1</v>
      </c>
      <c r="OB42">
        <v>0</v>
      </c>
      <c r="OC42">
        <v>0</v>
      </c>
      <c r="OD42">
        <v>0</v>
      </c>
      <c r="OE42">
        <v>0</v>
      </c>
      <c r="OF42">
        <v>0</v>
      </c>
      <c r="OG42">
        <v>1</v>
      </c>
      <c r="OH42">
        <v>1</v>
      </c>
      <c r="OI42">
        <v>0</v>
      </c>
      <c r="OJ42">
        <v>0</v>
      </c>
      <c r="OK42">
        <v>1</v>
      </c>
      <c r="OL42">
        <v>0</v>
      </c>
      <c r="OM42">
        <v>1</v>
      </c>
      <c r="ON42">
        <v>0</v>
      </c>
      <c r="OO42">
        <v>0</v>
      </c>
      <c r="OP42">
        <v>0</v>
      </c>
      <c r="OQ42">
        <v>0</v>
      </c>
      <c r="OR42">
        <v>0</v>
      </c>
      <c r="OS42">
        <v>1</v>
      </c>
      <c r="OT42">
        <v>0</v>
      </c>
      <c r="OU42">
        <v>0</v>
      </c>
      <c r="OV42">
        <v>0</v>
      </c>
      <c r="OW42">
        <v>0</v>
      </c>
      <c r="OX42">
        <v>0</v>
      </c>
      <c r="OY42">
        <v>0</v>
      </c>
      <c r="OZ42">
        <v>0</v>
      </c>
      <c r="PA42">
        <v>1</v>
      </c>
      <c r="PB42">
        <v>0</v>
      </c>
      <c r="PC42">
        <v>0</v>
      </c>
      <c r="PD42">
        <v>0</v>
      </c>
      <c r="PE42">
        <v>0</v>
      </c>
      <c r="PF42">
        <v>0</v>
      </c>
      <c r="PG42">
        <v>1</v>
      </c>
      <c r="PH42">
        <v>0</v>
      </c>
      <c r="PI42">
        <v>0</v>
      </c>
      <c r="PJ42">
        <v>0</v>
      </c>
      <c r="PK42">
        <v>0</v>
      </c>
      <c r="PL42">
        <v>0</v>
      </c>
      <c r="PM42">
        <v>0</v>
      </c>
      <c r="PN42">
        <v>1</v>
      </c>
      <c r="PO42">
        <v>0</v>
      </c>
      <c r="PP42">
        <v>0</v>
      </c>
      <c r="PQ42">
        <v>1</v>
      </c>
      <c r="PR42">
        <v>1</v>
      </c>
      <c r="PS42">
        <v>0</v>
      </c>
      <c r="PT42">
        <v>0</v>
      </c>
      <c r="PU42">
        <v>1</v>
      </c>
      <c r="PV42">
        <v>0</v>
      </c>
    </row>
    <row r="43" spans="1:438" x14ac:dyDescent="0.3">
      <c r="A43" s="31">
        <v>110</v>
      </c>
      <c r="B43" s="28">
        <v>9.82</v>
      </c>
      <c r="C43" s="30">
        <v>2.12</v>
      </c>
      <c r="D43" s="28">
        <v>2.34</v>
      </c>
      <c r="E43" s="34">
        <f t="shared" si="0"/>
        <v>4.6799999999999994E-2</v>
      </c>
      <c r="F43" s="35">
        <f t="shared" si="1"/>
        <v>0.53</v>
      </c>
      <c r="G43" s="34">
        <f t="shared" si="2"/>
        <v>58.5</v>
      </c>
      <c r="H43" s="33">
        <f t="shared" si="3"/>
        <v>2.4918533604887982</v>
      </c>
      <c r="I43" s="29">
        <f t="shared" ca="1" si="4"/>
        <v>1</v>
      </c>
      <c r="J43">
        <f ca="1">IF(AND(SUMPRODUCT($J$2:J42,$B$2:B42)&lt;500,SUM(B42,SUMPRODUCT($J$2:J42,$B$2:B42))&lt;500),1,0)</f>
        <v>0</v>
      </c>
      <c r="K43">
        <v>1</v>
      </c>
      <c r="L43">
        <v>0</v>
      </c>
      <c r="W43">
        <v>1</v>
      </c>
      <c r="X43">
        <v>0</v>
      </c>
      <c r="Y43">
        <v>0</v>
      </c>
      <c r="Z43">
        <v>1</v>
      </c>
      <c r="AA43">
        <v>1</v>
      </c>
      <c r="AB43">
        <v>0</v>
      </c>
      <c r="AC43">
        <v>1</v>
      </c>
      <c r="AD43">
        <v>1</v>
      </c>
      <c r="AE43">
        <v>1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1</v>
      </c>
      <c r="AL43">
        <v>1</v>
      </c>
      <c r="AM43">
        <v>1</v>
      </c>
      <c r="AN43">
        <v>0</v>
      </c>
      <c r="AO43">
        <v>0</v>
      </c>
      <c r="AP43">
        <v>1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1</v>
      </c>
      <c r="AZ43">
        <v>1</v>
      </c>
      <c r="BA43">
        <v>0</v>
      </c>
      <c r="BB43">
        <v>1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1</v>
      </c>
      <c r="BI43">
        <v>0</v>
      </c>
      <c r="BJ43">
        <v>0</v>
      </c>
      <c r="BK43">
        <v>1</v>
      </c>
      <c r="BL43">
        <v>0</v>
      </c>
      <c r="BM43">
        <v>0</v>
      </c>
      <c r="BN43">
        <v>1</v>
      </c>
      <c r="BO43">
        <v>0</v>
      </c>
      <c r="BP43">
        <v>0</v>
      </c>
      <c r="BQ43">
        <v>1</v>
      </c>
      <c r="BR43">
        <v>0</v>
      </c>
      <c r="BS43">
        <v>0</v>
      </c>
      <c r="BT43">
        <v>0</v>
      </c>
      <c r="BU43">
        <v>1</v>
      </c>
      <c r="BV43">
        <v>1</v>
      </c>
      <c r="BW43">
        <v>1</v>
      </c>
      <c r="BX43">
        <v>0</v>
      </c>
      <c r="BY43">
        <v>0</v>
      </c>
      <c r="BZ43">
        <v>1</v>
      </c>
      <c r="CA43">
        <v>0</v>
      </c>
      <c r="CB43">
        <v>0</v>
      </c>
      <c r="CC43">
        <v>1</v>
      </c>
      <c r="CD43">
        <v>0</v>
      </c>
      <c r="CE43">
        <v>1</v>
      </c>
      <c r="CF43">
        <v>1</v>
      </c>
      <c r="CG43">
        <v>0</v>
      </c>
      <c r="CH43">
        <v>0</v>
      </c>
      <c r="CI43">
        <v>1</v>
      </c>
      <c r="CJ43">
        <v>1</v>
      </c>
      <c r="CK43">
        <v>1</v>
      </c>
      <c r="CL43">
        <v>0</v>
      </c>
      <c r="CM43">
        <v>1</v>
      </c>
      <c r="CN43">
        <v>0</v>
      </c>
      <c r="CO43">
        <v>1</v>
      </c>
      <c r="CP43">
        <v>0</v>
      </c>
      <c r="CQ43">
        <v>0</v>
      </c>
      <c r="CR43">
        <v>0</v>
      </c>
      <c r="CS43">
        <v>1</v>
      </c>
      <c r="CT43">
        <v>1</v>
      </c>
      <c r="CU43">
        <v>0</v>
      </c>
      <c r="CV43">
        <v>0</v>
      </c>
      <c r="CW43">
        <v>0</v>
      </c>
      <c r="CX43">
        <v>0</v>
      </c>
      <c r="CY43">
        <v>1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1</v>
      </c>
      <c r="DF43">
        <v>0</v>
      </c>
      <c r="DG43">
        <v>1</v>
      </c>
      <c r="DH43">
        <v>0</v>
      </c>
      <c r="DI43">
        <v>0</v>
      </c>
      <c r="DJ43">
        <v>0</v>
      </c>
      <c r="DK43">
        <v>0</v>
      </c>
      <c r="DL43">
        <v>1</v>
      </c>
      <c r="DM43">
        <v>0</v>
      </c>
      <c r="DN43">
        <v>0</v>
      </c>
      <c r="DO43">
        <v>0</v>
      </c>
      <c r="DP43">
        <v>1</v>
      </c>
      <c r="DQ43">
        <v>0</v>
      </c>
      <c r="DR43">
        <v>1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1</v>
      </c>
      <c r="ED43">
        <v>0</v>
      </c>
      <c r="EE43">
        <v>1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1</v>
      </c>
      <c r="EN43">
        <v>1</v>
      </c>
      <c r="EO43">
        <v>0</v>
      </c>
      <c r="EP43">
        <v>0</v>
      </c>
      <c r="EQ43">
        <v>0</v>
      </c>
      <c r="ER43">
        <v>1</v>
      </c>
      <c r="ES43">
        <v>1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1</v>
      </c>
      <c r="FG43">
        <v>0</v>
      </c>
      <c r="FH43">
        <v>1</v>
      </c>
      <c r="FI43">
        <v>1</v>
      </c>
      <c r="FJ43">
        <v>1</v>
      </c>
      <c r="FK43">
        <v>0</v>
      </c>
      <c r="FL43">
        <v>1</v>
      </c>
      <c r="FM43">
        <v>0</v>
      </c>
      <c r="FN43">
        <v>1</v>
      </c>
      <c r="FO43">
        <v>0</v>
      </c>
      <c r="FP43">
        <v>1</v>
      </c>
      <c r="FQ43">
        <v>0</v>
      </c>
      <c r="FR43">
        <v>0</v>
      </c>
      <c r="FS43">
        <v>1</v>
      </c>
      <c r="FT43">
        <v>0</v>
      </c>
      <c r="FU43">
        <v>1</v>
      </c>
      <c r="FV43">
        <v>1</v>
      </c>
      <c r="FW43">
        <v>0</v>
      </c>
      <c r="FX43">
        <v>0</v>
      </c>
      <c r="FY43">
        <v>0</v>
      </c>
      <c r="FZ43">
        <v>1</v>
      </c>
      <c r="GA43">
        <v>0</v>
      </c>
      <c r="GB43">
        <v>1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1</v>
      </c>
      <c r="GK43">
        <v>1</v>
      </c>
      <c r="GL43">
        <v>0</v>
      </c>
      <c r="GM43">
        <v>1</v>
      </c>
      <c r="GN43">
        <v>0</v>
      </c>
      <c r="GO43">
        <v>0</v>
      </c>
      <c r="GP43">
        <v>1</v>
      </c>
      <c r="GQ43">
        <v>1</v>
      </c>
      <c r="GR43">
        <v>0</v>
      </c>
      <c r="GS43">
        <v>1</v>
      </c>
      <c r="GT43">
        <v>1</v>
      </c>
      <c r="GU43">
        <v>0</v>
      </c>
      <c r="GV43">
        <v>0</v>
      </c>
      <c r="GW43">
        <v>0</v>
      </c>
      <c r="GX43">
        <v>1</v>
      </c>
      <c r="GY43">
        <v>0</v>
      </c>
      <c r="GZ43">
        <v>0</v>
      </c>
      <c r="HA43">
        <v>1</v>
      </c>
      <c r="HB43">
        <v>0</v>
      </c>
      <c r="HC43">
        <v>0</v>
      </c>
      <c r="HD43">
        <v>0</v>
      </c>
      <c r="HE43">
        <v>1</v>
      </c>
      <c r="HF43">
        <v>1</v>
      </c>
      <c r="HG43">
        <v>0</v>
      </c>
      <c r="HH43">
        <v>1</v>
      </c>
      <c r="HI43">
        <v>0</v>
      </c>
      <c r="HJ43">
        <v>1</v>
      </c>
      <c r="HK43">
        <v>0</v>
      </c>
      <c r="HL43">
        <v>0</v>
      </c>
      <c r="HM43">
        <v>1</v>
      </c>
      <c r="HN43">
        <v>0</v>
      </c>
      <c r="HO43">
        <v>0</v>
      </c>
      <c r="HP43">
        <v>0</v>
      </c>
      <c r="HQ43">
        <v>1</v>
      </c>
      <c r="HR43">
        <v>0</v>
      </c>
      <c r="HS43">
        <v>0</v>
      </c>
      <c r="HT43">
        <v>0</v>
      </c>
      <c r="HU43">
        <v>1</v>
      </c>
      <c r="HV43">
        <v>0</v>
      </c>
      <c r="HW43">
        <v>1</v>
      </c>
      <c r="HX43">
        <v>1</v>
      </c>
      <c r="HY43">
        <v>0</v>
      </c>
      <c r="HZ43">
        <v>0</v>
      </c>
      <c r="IA43">
        <v>0</v>
      </c>
      <c r="IB43">
        <v>1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1</v>
      </c>
      <c r="IJ43">
        <v>0</v>
      </c>
      <c r="IK43">
        <v>0</v>
      </c>
      <c r="IL43">
        <v>1</v>
      </c>
      <c r="IM43">
        <v>1</v>
      </c>
      <c r="IN43">
        <v>1</v>
      </c>
      <c r="IO43">
        <v>0</v>
      </c>
      <c r="IP43">
        <v>1</v>
      </c>
      <c r="IQ43">
        <v>0</v>
      </c>
      <c r="IR43">
        <v>0</v>
      </c>
      <c r="IS43">
        <v>0</v>
      </c>
      <c r="IT43">
        <v>1</v>
      </c>
      <c r="IU43">
        <v>0</v>
      </c>
      <c r="IV43">
        <v>0</v>
      </c>
      <c r="IW43">
        <v>0</v>
      </c>
      <c r="IX43">
        <v>1</v>
      </c>
      <c r="IY43">
        <v>1</v>
      </c>
      <c r="IZ43">
        <v>1</v>
      </c>
      <c r="JA43">
        <v>0</v>
      </c>
      <c r="JB43">
        <v>1</v>
      </c>
      <c r="JC43">
        <v>1</v>
      </c>
      <c r="JD43">
        <v>0</v>
      </c>
      <c r="JE43">
        <v>0</v>
      </c>
      <c r="JF43">
        <v>0</v>
      </c>
      <c r="JG43">
        <v>1</v>
      </c>
      <c r="JH43">
        <v>0</v>
      </c>
      <c r="JI43">
        <v>0</v>
      </c>
      <c r="JJ43">
        <v>0</v>
      </c>
      <c r="JK43">
        <v>1</v>
      </c>
      <c r="JL43">
        <v>0</v>
      </c>
      <c r="JM43">
        <v>1</v>
      </c>
      <c r="JN43">
        <v>1</v>
      </c>
      <c r="JO43">
        <v>0</v>
      </c>
      <c r="JP43">
        <v>1</v>
      </c>
      <c r="JQ43">
        <v>0</v>
      </c>
      <c r="JR43">
        <v>1</v>
      </c>
      <c r="JS43">
        <v>0</v>
      </c>
      <c r="JT43">
        <v>1</v>
      </c>
      <c r="JU43">
        <v>0</v>
      </c>
      <c r="JV43">
        <v>1</v>
      </c>
      <c r="JW43">
        <v>0</v>
      </c>
      <c r="JX43">
        <v>1</v>
      </c>
      <c r="JY43">
        <v>0</v>
      </c>
      <c r="JZ43">
        <v>1</v>
      </c>
      <c r="KA43">
        <v>0</v>
      </c>
      <c r="KB43">
        <v>0</v>
      </c>
      <c r="KC43">
        <v>0</v>
      </c>
      <c r="KD43">
        <v>0</v>
      </c>
      <c r="KE43">
        <v>1</v>
      </c>
      <c r="KF43">
        <v>0</v>
      </c>
      <c r="KG43">
        <v>0</v>
      </c>
      <c r="KH43">
        <v>1</v>
      </c>
      <c r="KI43">
        <v>0</v>
      </c>
      <c r="KJ43">
        <v>1</v>
      </c>
      <c r="KK43">
        <v>1</v>
      </c>
      <c r="KL43">
        <v>1</v>
      </c>
      <c r="KM43">
        <v>0</v>
      </c>
      <c r="KN43">
        <v>0</v>
      </c>
      <c r="KO43">
        <v>0</v>
      </c>
      <c r="KP43">
        <v>0</v>
      </c>
      <c r="KQ43">
        <v>0</v>
      </c>
      <c r="KR43">
        <v>0</v>
      </c>
      <c r="KS43">
        <v>1</v>
      </c>
      <c r="KT43">
        <v>1</v>
      </c>
      <c r="KU43">
        <v>0</v>
      </c>
      <c r="KV43">
        <v>0</v>
      </c>
      <c r="KW43">
        <v>0</v>
      </c>
      <c r="KX43">
        <v>0</v>
      </c>
      <c r="KY43">
        <v>1</v>
      </c>
      <c r="KZ43">
        <v>1</v>
      </c>
      <c r="LA43">
        <v>0</v>
      </c>
      <c r="LB43">
        <v>0</v>
      </c>
      <c r="LC43">
        <v>1</v>
      </c>
      <c r="LD43">
        <v>0</v>
      </c>
      <c r="LE43">
        <v>1</v>
      </c>
      <c r="LF43">
        <v>0</v>
      </c>
      <c r="LG43">
        <v>0</v>
      </c>
      <c r="LH43">
        <v>1</v>
      </c>
      <c r="LI43">
        <v>1</v>
      </c>
      <c r="LJ43">
        <v>0</v>
      </c>
      <c r="LK43">
        <v>1</v>
      </c>
      <c r="LL43">
        <v>1</v>
      </c>
      <c r="LM43">
        <v>0</v>
      </c>
      <c r="LN43">
        <v>0</v>
      </c>
      <c r="LO43">
        <v>1</v>
      </c>
      <c r="LP43">
        <v>0</v>
      </c>
      <c r="LQ43">
        <v>1</v>
      </c>
      <c r="LR43">
        <v>0</v>
      </c>
      <c r="LS43">
        <v>1</v>
      </c>
      <c r="LT43">
        <v>0</v>
      </c>
      <c r="LU43">
        <v>1</v>
      </c>
      <c r="LV43">
        <v>0</v>
      </c>
      <c r="LW43">
        <v>0</v>
      </c>
      <c r="LX43">
        <v>1</v>
      </c>
      <c r="LY43">
        <v>1</v>
      </c>
      <c r="LZ43">
        <v>0</v>
      </c>
      <c r="MA43">
        <v>1</v>
      </c>
      <c r="MB43">
        <v>1</v>
      </c>
      <c r="MC43">
        <v>1</v>
      </c>
      <c r="MD43">
        <v>0</v>
      </c>
      <c r="ME43">
        <v>0</v>
      </c>
      <c r="MF43">
        <v>1</v>
      </c>
      <c r="MG43">
        <v>1</v>
      </c>
      <c r="MH43">
        <v>0</v>
      </c>
      <c r="MI43">
        <v>0</v>
      </c>
      <c r="MJ43">
        <v>1</v>
      </c>
      <c r="MK43">
        <v>0</v>
      </c>
      <c r="ML43">
        <v>0</v>
      </c>
      <c r="MM43">
        <v>1</v>
      </c>
      <c r="MN43">
        <v>1</v>
      </c>
      <c r="MO43">
        <v>0</v>
      </c>
      <c r="MP43">
        <v>0</v>
      </c>
      <c r="MQ43">
        <v>0</v>
      </c>
      <c r="MR43">
        <v>1</v>
      </c>
      <c r="MS43">
        <v>0</v>
      </c>
      <c r="MT43">
        <v>1</v>
      </c>
      <c r="MU43">
        <v>1</v>
      </c>
      <c r="MV43">
        <v>0</v>
      </c>
      <c r="MW43">
        <v>0</v>
      </c>
      <c r="MX43">
        <v>1</v>
      </c>
      <c r="MY43">
        <v>1</v>
      </c>
      <c r="MZ43">
        <v>1</v>
      </c>
      <c r="NA43">
        <v>1</v>
      </c>
      <c r="NB43">
        <v>1</v>
      </c>
      <c r="NC43">
        <v>1</v>
      </c>
      <c r="ND43">
        <v>0</v>
      </c>
      <c r="NE43">
        <v>0</v>
      </c>
      <c r="NF43">
        <v>1</v>
      </c>
      <c r="NG43">
        <v>0</v>
      </c>
      <c r="NH43">
        <v>0</v>
      </c>
      <c r="NI43">
        <v>0</v>
      </c>
      <c r="NJ43">
        <v>1</v>
      </c>
      <c r="NK43">
        <v>0</v>
      </c>
      <c r="NL43">
        <v>0</v>
      </c>
      <c r="NM43">
        <v>0</v>
      </c>
      <c r="NN43">
        <v>0</v>
      </c>
      <c r="NO43">
        <v>1</v>
      </c>
      <c r="NP43">
        <v>1</v>
      </c>
      <c r="NQ43">
        <v>0</v>
      </c>
      <c r="NR43">
        <v>0</v>
      </c>
      <c r="NS43">
        <v>0</v>
      </c>
      <c r="NT43">
        <v>0</v>
      </c>
      <c r="NU43">
        <v>0</v>
      </c>
      <c r="NV43">
        <v>1</v>
      </c>
      <c r="NW43">
        <v>0</v>
      </c>
      <c r="NX43">
        <v>1</v>
      </c>
      <c r="NY43">
        <v>1</v>
      </c>
      <c r="NZ43">
        <v>1</v>
      </c>
      <c r="OA43">
        <v>0</v>
      </c>
      <c r="OB43">
        <v>0</v>
      </c>
      <c r="OC43">
        <v>1</v>
      </c>
      <c r="OD43">
        <v>0</v>
      </c>
      <c r="OE43">
        <v>0</v>
      </c>
      <c r="OF43">
        <v>0</v>
      </c>
      <c r="OG43">
        <v>1</v>
      </c>
      <c r="OH43">
        <v>0</v>
      </c>
      <c r="OI43">
        <v>1</v>
      </c>
      <c r="OJ43">
        <v>1</v>
      </c>
      <c r="OK43">
        <v>1</v>
      </c>
      <c r="OL43">
        <v>0</v>
      </c>
      <c r="OM43">
        <v>1</v>
      </c>
      <c r="ON43">
        <v>1</v>
      </c>
      <c r="OO43">
        <v>1</v>
      </c>
      <c r="OP43">
        <v>1</v>
      </c>
      <c r="OQ43">
        <v>0</v>
      </c>
      <c r="OR43">
        <v>0</v>
      </c>
      <c r="OS43">
        <v>1</v>
      </c>
      <c r="OT43">
        <v>0</v>
      </c>
      <c r="OU43">
        <v>0</v>
      </c>
      <c r="OV43">
        <v>0</v>
      </c>
      <c r="OW43">
        <v>0</v>
      </c>
      <c r="OX43">
        <v>0</v>
      </c>
      <c r="OY43">
        <v>0</v>
      </c>
      <c r="OZ43">
        <v>0</v>
      </c>
      <c r="PA43">
        <v>0</v>
      </c>
      <c r="PB43">
        <v>0</v>
      </c>
      <c r="PC43">
        <v>0</v>
      </c>
      <c r="PD43">
        <v>0</v>
      </c>
      <c r="PE43">
        <v>0</v>
      </c>
      <c r="PF43">
        <v>0</v>
      </c>
      <c r="PG43">
        <v>0</v>
      </c>
      <c r="PH43">
        <v>0</v>
      </c>
      <c r="PI43">
        <v>0</v>
      </c>
      <c r="PJ43">
        <v>1</v>
      </c>
      <c r="PK43">
        <v>1</v>
      </c>
      <c r="PL43">
        <v>0</v>
      </c>
      <c r="PM43">
        <v>0</v>
      </c>
      <c r="PN43">
        <v>1</v>
      </c>
      <c r="PO43">
        <v>0</v>
      </c>
      <c r="PP43">
        <v>0</v>
      </c>
      <c r="PQ43">
        <v>1</v>
      </c>
      <c r="PR43">
        <v>0</v>
      </c>
      <c r="PS43">
        <v>0</v>
      </c>
      <c r="PT43">
        <v>1</v>
      </c>
      <c r="PU43">
        <v>1</v>
      </c>
      <c r="PV43">
        <v>1</v>
      </c>
    </row>
    <row r="44" spans="1:438" x14ac:dyDescent="0.3">
      <c r="A44" s="31">
        <v>117</v>
      </c>
      <c r="B44" s="28">
        <v>1.35</v>
      </c>
      <c r="C44" s="30">
        <v>14.43</v>
      </c>
      <c r="D44" s="28">
        <v>1.25</v>
      </c>
      <c r="E44" s="34">
        <f t="shared" si="0"/>
        <v>2.5000000000000001E-2</v>
      </c>
      <c r="F44" s="35">
        <f t="shared" si="1"/>
        <v>3.6074999999999999</v>
      </c>
      <c r="G44" s="34">
        <f t="shared" si="2"/>
        <v>31.25</v>
      </c>
      <c r="H44" s="33">
        <f t="shared" si="3"/>
        <v>15.846296296296295</v>
      </c>
      <c r="I44" s="29">
        <f t="shared" ca="1" si="4"/>
        <v>0</v>
      </c>
      <c r="J44">
        <f ca="1">IF(AND(SUMPRODUCT($J$2:J43,$B$2:B43)&lt;500,SUM(B43,SUMPRODUCT($J$2:J43,$B$2:B43))&lt;500),1,0)</f>
        <v>1</v>
      </c>
      <c r="K44">
        <v>1</v>
      </c>
      <c r="L44">
        <v>1</v>
      </c>
      <c r="W44">
        <v>0</v>
      </c>
      <c r="X44">
        <v>0</v>
      </c>
      <c r="Y44">
        <v>0</v>
      </c>
      <c r="Z44">
        <v>1</v>
      </c>
      <c r="AA44">
        <v>1</v>
      </c>
      <c r="AB44">
        <v>1</v>
      </c>
      <c r="AC44">
        <v>1</v>
      </c>
      <c r="AD44">
        <v>0</v>
      </c>
      <c r="AE44">
        <v>0</v>
      </c>
      <c r="AF44">
        <v>0</v>
      </c>
      <c r="AG44">
        <v>1</v>
      </c>
      <c r="AH44">
        <v>0</v>
      </c>
      <c r="AI44">
        <v>0</v>
      </c>
      <c r="AJ44">
        <v>0</v>
      </c>
      <c r="AK44">
        <v>0</v>
      </c>
      <c r="AL44">
        <v>1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1</v>
      </c>
      <c r="AS44">
        <v>0</v>
      </c>
      <c r="AT44">
        <v>1</v>
      </c>
      <c r="AU44">
        <v>1</v>
      </c>
      <c r="AV44">
        <v>0</v>
      </c>
      <c r="AW44">
        <v>0</v>
      </c>
      <c r="AX44">
        <v>0</v>
      </c>
      <c r="AY44">
        <v>0</v>
      </c>
      <c r="AZ44">
        <v>1</v>
      </c>
      <c r="BA44">
        <v>0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0</v>
      </c>
      <c r="BJ44">
        <v>0</v>
      </c>
      <c r="BK44">
        <v>1</v>
      </c>
      <c r="BL44">
        <v>0</v>
      </c>
      <c r="BM44">
        <v>1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1</v>
      </c>
      <c r="BV44">
        <v>0</v>
      </c>
      <c r="BW44">
        <v>1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1</v>
      </c>
      <c r="CD44">
        <v>0</v>
      </c>
      <c r="CE44">
        <v>0</v>
      </c>
      <c r="CF44">
        <v>1</v>
      </c>
      <c r="CG44">
        <v>1</v>
      </c>
      <c r="CH44">
        <v>0</v>
      </c>
      <c r="CI44">
        <v>1</v>
      </c>
      <c r="CJ44">
        <v>0</v>
      </c>
      <c r="CK44">
        <v>1</v>
      </c>
      <c r="CL44">
        <v>1</v>
      </c>
      <c r="CM44">
        <v>0</v>
      </c>
      <c r="CN44">
        <v>1</v>
      </c>
      <c r="CO44">
        <v>1</v>
      </c>
      <c r="CP44">
        <v>0</v>
      </c>
      <c r="CQ44">
        <v>0</v>
      </c>
      <c r="CR44">
        <v>1</v>
      </c>
      <c r="CS44">
        <v>1</v>
      </c>
      <c r="CT44">
        <v>0</v>
      </c>
      <c r="CU44">
        <v>0</v>
      </c>
      <c r="CV44">
        <v>1</v>
      </c>
      <c r="CW44">
        <v>1</v>
      </c>
      <c r="CX44">
        <v>0</v>
      </c>
      <c r="CY44">
        <v>0</v>
      </c>
      <c r="CZ44">
        <v>0</v>
      </c>
      <c r="DA44">
        <v>1</v>
      </c>
      <c r="DB44">
        <v>1</v>
      </c>
      <c r="DC44">
        <v>1</v>
      </c>
      <c r="DD44">
        <v>1</v>
      </c>
      <c r="DE44">
        <v>1</v>
      </c>
      <c r="DF44">
        <v>1</v>
      </c>
      <c r="DG44">
        <v>1</v>
      </c>
      <c r="DH44">
        <v>0</v>
      </c>
      <c r="DI44">
        <v>0</v>
      </c>
      <c r="DJ44">
        <v>0</v>
      </c>
      <c r="DK44">
        <v>1</v>
      </c>
      <c r="DL44">
        <v>1</v>
      </c>
      <c r="DM44">
        <v>0</v>
      </c>
      <c r="DN44">
        <v>0</v>
      </c>
      <c r="DO44">
        <v>0</v>
      </c>
      <c r="DP44">
        <v>1</v>
      </c>
      <c r="DQ44">
        <v>0</v>
      </c>
      <c r="DR44">
        <v>1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1</v>
      </c>
      <c r="DZ44">
        <v>1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1</v>
      </c>
      <c r="EO44">
        <v>0</v>
      </c>
      <c r="EP44">
        <v>1</v>
      </c>
      <c r="EQ44">
        <v>0</v>
      </c>
      <c r="ER44">
        <v>0</v>
      </c>
      <c r="ES44">
        <v>1</v>
      </c>
      <c r="ET44">
        <v>1</v>
      </c>
      <c r="EU44">
        <v>1</v>
      </c>
      <c r="EV44">
        <v>0</v>
      </c>
      <c r="EW44">
        <v>1</v>
      </c>
      <c r="EX44">
        <v>0</v>
      </c>
      <c r="EY44">
        <v>1</v>
      </c>
      <c r="EZ44">
        <v>1</v>
      </c>
      <c r="FA44">
        <v>0</v>
      </c>
      <c r="FB44">
        <v>0</v>
      </c>
      <c r="FC44">
        <v>1</v>
      </c>
      <c r="FD44">
        <v>0</v>
      </c>
      <c r="FE44">
        <v>1</v>
      </c>
      <c r="FF44">
        <v>1</v>
      </c>
      <c r="FG44">
        <v>0</v>
      </c>
      <c r="FH44">
        <v>1</v>
      </c>
      <c r="FI44">
        <v>1</v>
      </c>
      <c r="FJ44">
        <v>1</v>
      </c>
      <c r="FK44">
        <v>1</v>
      </c>
      <c r="FL44">
        <v>0</v>
      </c>
      <c r="FM44">
        <v>0</v>
      </c>
      <c r="FN44">
        <v>0</v>
      </c>
      <c r="FO44">
        <v>1</v>
      </c>
      <c r="FP44">
        <v>1</v>
      </c>
      <c r="FQ44">
        <v>1</v>
      </c>
      <c r="FR44">
        <v>0</v>
      </c>
      <c r="FS44">
        <v>1</v>
      </c>
      <c r="FT44">
        <v>1</v>
      </c>
      <c r="FU44">
        <v>1</v>
      </c>
      <c r="FV44">
        <v>1</v>
      </c>
      <c r="FW44">
        <v>0</v>
      </c>
      <c r="FX44">
        <v>0</v>
      </c>
      <c r="FY44">
        <v>1</v>
      </c>
      <c r="FZ44">
        <v>1</v>
      </c>
      <c r="GA44">
        <v>0</v>
      </c>
      <c r="GB44">
        <v>0</v>
      </c>
      <c r="GC44">
        <v>0</v>
      </c>
      <c r="GD44">
        <v>1</v>
      </c>
      <c r="GE44">
        <v>0</v>
      </c>
      <c r="GF44">
        <v>0</v>
      </c>
      <c r="GG44">
        <v>1</v>
      </c>
      <c r="GH44">
        <v>1</v>
      </c>
      <c r="GI44">
        <v>0</v>
      </c>
      <c r="GJ44">
        <v>1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1</v>
      </c>
      <c r="GQ44">
        <v>0</v>
      </c>
      <c r="GR44">
        <v>0</v>
      </c>
      <c r="GS44">
        <v>1</v>
      </c>
      <c r="GT44">
        <v>1</v>
      </c>
      <c r="GU44">
        <v>0</v>
      </c>
      <c r="GV44">
        <v>0</v>
      </c>
      <c r="GW44">
        <v>1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1</v>
      </c>
      <c r="HG44">
        <v>0</v>
      </c>
      <c r="HH44">
        <v>0</v>
      </c>
      <c r="HI44">
        <v>1</v>
      </c>
      <c r="HJ44">
        <v>1</v>
      </c>
      <c r="HK44">
        <v>0</v>
      </c>
      <c r="HL44">
        <v>0</v>
      </c>
      <c r="HM44">
        <v>0</v>
      </c>
      <c r="HN44">
        <v>1</v>
      </c>
      <c r="HO44">
        <v>0</v>
      </c>
      <c r="HP44">
        <v>0</v>
      </c>
      <c r="HQ44">
        <v>1</v>
      </c>
      <c r="HR44">
        <v>0</v>
      </c>
      <c r="HS44">
        <v>0</v>
      </c>
      <c r="HT44">
        <v>1</v>
      </c>
      <c r="HU44">
        <v>1</v>
      </c>
      <c r="HV44">
        <v>0</v>
      </c>
      <c r="HW44">
        <v>1</v>
      </c>
      <c r="HX44">
        <v>0</v>
      </c>
      <c r="HY44">
        <v>1</v>
      </c>
      <c r="HZ44">
        <v>0</v>
      </c>
      <c r="IA44">
        <v>0</v>
      </c>
      <c r="IB44">
        <v>1</v>
      </c>
      <c r="IC44">
        <v>0</v>
      </c>
      <c r="ID44">
        <v>0</v>
      </c>
      <c r="IE44">
        <v>1</v>
      </c>
      <c r="IF44">
        <v>1</v>
      </c>
      <c r="IG44">
        <v>0</v>
      </c>
      <c r="IH44">
        <v>0</v>
      </c>
      <c r="II44">
        <v>1</v>
      </c>
      <c r="IJ44">
        <v>1</v>
      </c>
      <c r="IK44">
        <v>0</v>
      </c>
      <c r="IL44">
        <v>1</v>
      </c>
      <c r="IM44">
        <v>0</v>
      </c>
      <c r="IN44">
        <v>1</v>
      </c>
      <c r="IO44">
        <v>0</v>
      </c>
      <c r="IP44">
        <v>1</v>
      </c>
      <c r="IQ44">
        <v>0</v>
      </c>
      <c r="IR44">
        <v>0</v>
      </c>
      <c r="IS44">
        <v>0</v>
      </c>
      <c r="IT44">
        <v>0</v>
      </c>
      <c r="IU44">
        <v>1</v>
      </c>
      <c r="IV44">
        <v>0</v>
      </c>
      <c r="IW44">
        <v>1</v>
      </c>
      <c r="IX44">
        <v>1</v>
      </c>
      <c r="IY44">
        <v>0</v>
      </c>
      <c r="IZ44">
        <v>1</v>
      </c>
      <c r="JA44">
        <v>0</v>
      </c>
      <c r="JB44">
        <v>0</v>
      </c>
      <c r="JC44">
        <v>1</v>
      </c>
      <c r="JD44">
        <v>0</v>
      </c>
      <c r="JE44">
        <v>0</v>
      </c>
      <c r="JF44">
        <v>0</v>
      </c>
      <c r="JG44">
        <v>1</v>
      </c>
      <c r="JH44">
        <v>1</v>
      </c>
      <c r="JI44">
        <v>0</v>
      </c>
      <c r="JJ44">
        <v>0</v>
      </c>
      <c r="JK44">
        <v>1</v>
      </c>
      <c r="JL44">
        <v>0</v>
      </c>
      <c r="JM44">
        <v>0</v>
      </c>
      <c r="JN44">
        <v>1</v>
      </c>
      <c r="JO44">
        <v>0</v>
      </c>
      <c r="JP44">
        <v>1</v>
      </c>
      <c r="JQ44">
        <v>0</v>
      </c>
      <c r="JR44">
        <v>0</v>
      </c>
      <c r="JS44">
        <v>0</v>
      </c>
      <c r="JT44">
        <v>0</v>
      </c>
      <c r="JU44">
        <v>0</v>
      </c>
      <c r="JV44">
        <v>1</v>
      </c>
      <c r="JW44">
        <v>1</v>
      </c>
      <c r="JX44">
        <v>1</v>
      </c>
      <c r="JY44">
        <v>1</v>
      </c>
      <c r="JZ44">
        <v>1</v>
      </c>
      <c r="KA44">
        <v>1</v>
      </c>
      <c r="KB44">
        <v>0</v>
      </c>
      <c r="KC44">
        <v>1</v>
      </c>
      <c r="KD44">
        <v>0</v>
      </c>
      <c r="KE44">
        <v>0</v>
      </c>
      <c r="KF44">
        <v>0</v>
      </c>
      <c r="KG44">
        <v>0</v>
      </c>
      <c r="KH44">
        <v>1</v>
      </c>
      <c r="KI44">
        <v>1</v>
      </c>
      <c r="KJ44">
        <v>1</v>
      </c>
      <c r="KK44">
        <v>0</v>
      </c>
      <c r="KL44">
        <v>0</v>
      </c>
      <c r="KM44">
        <v>0</v>
      </c>
      <c r="KN44">
        <v>0</v>
      </c>
      <c r="KO44">
        <v>0</v>
      </c>
      <c r="KP44">
        <v>0</v>
      </c>
      <c r="KQ44">
        <v>1</v>
      </c>
      <c r="KR44">
        <v>0</v>
      </c>
      <c r="KS44">
        <v>1</v>
      </c>
      <c r="KT44">
        <v>0</v>
      </c>
      <c r="KU44">
        <v>0</v>
      </c>
      <c r="KV44">
        <v>1</v>
      </c>
      <c r="KW44">
        <v>0</v>
      </c>
      <c r="KX44">
        <v>1</v>
      </c>
      <c r="KY44">
        <v>0</v>
      </c>
      <c r="KZ44">
        <v>1</v>
      </c>
      <c r="LA44">
        <v>0</v>
      </c>
      <c r="LB44">
        <v>0</v>
      </c>
      <c r="LC44">
        <v>0</v>
      </c>
      <c r="LD44">
        <v>0</v>
      </c>
      <c r="LE44">
        <v>1</v>
      </c>
      <c r="LF44">
        <v>0</v>
      </c>
      <c r="LG44">
        <v>0</v>
      </c>
      <c r="LH44">
        <v>0</v>
      </c>
      <c r="LI44">
        <v>1</v>
      </c>
      <c r="LJ44">
        <v>0</v>
      </c>
      <c r="LK44">
        <v>1</v>
      </c>
      <c r="LL44">
        <v>0</v>
      </c>
      <c r="LM44">
        <v>1</v>
      </c>
      <c r="LN44">
        <v>0</v>
      </c>
      <c r="LO44">
        <v>0</v>
      </c>
      <c r="LP44">
        <v>0</v>
      </c>
      <c r="LQ44">
        <v>0</v>
      </c>
      <c r="LR44">
        <v>1</v>
      </c>
      <c r="LS44">
        <v>1</v>
      </c>
      <c r="LT44">
        <v>1</v>
      </c>
      <c r="LU44">
        <v>0</v>
      </c>
      <c r="LV44">
        <v>0</v>
      </c>
      <c r="LW44">
        <v>0</v>
      </c>
      <c r="LX44">
        <v>1</v>
      </c>
      <c r="LY44">
        <v>0</v>
      </c>
      <c r="LZ44">
        <v>1</v>
      </c>
      <c r="MA44">
        <v>0</v>
      </c>
      <c r="MB44">
        <v>1</v>
      </c>
      <c r="MC44">
        <v>1</v>
      </c>
      <c r="MD44">
        <v>1</v>
      </c>
      <c r="ME44">
        <v>0</v>
      </c>
      <c r="MF44">
        <v>0</v>
      </c>
      <c r="MG44">
        <v>0</v>
      </c>
      <c r="MH44">
        <v>0</v>
      </c>
      <c r="MI44">
        <v>1</v>
      </c>
      <c r="MJ44">
        <v>1</v>
      </c>
      <c r="MK44">
        <v>0</v>
      </c>
      <c r="ML44">
        <v>0</v>
      </c>
      <c r="MM44">
        <v>0</v>
      </c>
      <c r="MN44">
        <v>1</v>
      </c>
      <c r="MO44">
        <v>1</v>
      </c>
      <c r="MP44">
        <v>1</v>
      </c>
      <c r="MQ44">
        <v>0</v>
      </c>
      <c r="MR44">
        <v>1</v>
      </c>
      <c r="MS44">
        <v>1</v>
      </c>
      <c r="MT44">
        <v>1</v>
      </c>
      <c r="MU44">
        <v>1</v>
      </c>
      <c r="MV44">
        <v>0</v>
      </c>
      <c r="MW44">
        <v>0</v>
      </c>
      <c r="MX44">
        <v>0</v>
      </c>
      <c r="MY44">
        <v>1</v>
      </c>
      <c r="MZ44">
        <v>1</v>
      </c>
      <c r="NA44">
        <v>0</v>
      </c>
      <c r="NB44">
        <v>0</v>
      </c>
      <c r="NC44">
        <v>0</v>
      </c>
      <c r="ND44">
        <v>1</v>
      </c>
      <c r="NE44">
        <v>0</v>
      </c>
      <c r="NF44">
        <v>1</v>
      </c>
      <c r="NG44">
        <v>1</v>
      </c>
      <c r="NH44">
        <v>0</v>
      </c>
      <c r="NI44">
        <v>1</v>
      </c>
      <c r="NJ44">
        <v>0</v>
      </c>
      <c r="NK44">
        <v>1</v>
      </c>
      <c r="NL44">
        <v>1</v>
      </c>
      <c r="NM44">
        <v>1</v>
      </c>
      <c r="NN44">
        <v>0</v>
      </c>
      <c r="NO44">
        <v>1</v>
      </c>
      <c r="NP44">
        <v>1</v>
      </c>
      <c r="NQ44">
        <v>1</v>
      </c>
      <c r="NR44">
        <v>0</v>
      </c>
      <c r="NS44">
        <v>0</v>
      </c>
      <c r="NT44">
        <v>0</v>
      </c>
      <c r="NU44">
        <v>0</v>
      </c>
      <c r="NV44">
        <v>0</v>
      </c>
      <c r="NW44">
        <v>0</v>
      </c>
      <c r="NX44">
        <v>0</v>
      </c>
      <c r="NY44">
        <v>0</v>
      </c>
      <c r="NZ44">
        <v>1</v>
      </c>
      <c r="OA44">
        <v>0</v>
      </c>
      <c r="OB44">
        <v>0</v>
      </c>
      <c r="OC44">
        <v>0</v>
      </c>
      <c r="OD44">
        <v>0</v>
      </c>
      <c r="OE44">
        <v>0</v>
      </c>
      <c r="OF44">
        <v>0</v>
      </c>
      <c r="OG44">
        <v>1</v>
      </c>
      <c r="OH44">
        <v>0</v>
      </c>
      <c r="OI44">
        <v>0</v>
      </c>
      <c r="OJ44">
        <v>1</v>
      </c>
      <c r="OK44">
        <v>1</v>
      </c>
      <c r="OL44">
        <v>0</v>
      </c>
      <c r="OM44">
        <v>1</v>
      </c>
      <c r="ON44">
        <v>0</v>
      </c>
      <c r="OO44">
        <v>1</v>
      </c>
      <c r="OP44">
        <v>1</v>
      </c>
      <c r="OQ44">
        <v>0</v>
      </c>
      <c r="OR44">
        <v>1</v>
      </c>
      <c r="OS44">
        <v>1</v>
      </c>
      <c r="OT44">
        <v>0</v>
      </c>
      <c r="OU44">
        <v>0</v>
      </c>
      <c r="OV44">
        <v>1</v>
      </c>
      <c r="OW44">
        <v>1</v>
      </c>
      <c r="OX44">
        <v>0</v>
      </c>
      <c r="OY44">
        <v>1</v>
      </c>
      <c r="OZ44">
        <v>0</v>
      </c>
      <c r="PA44">
        <v>0</v>
      </c>
      <c r="PB44">
        <v>0</v>
      </c>
      <c r="PC44">
        <v>0</v>
      </c>
      <c r="PD44">
        <v>0</v>
      </c>
      <c r="PE44">
        <v>1</v>
      </c>
      <c r="PF44">
        <v>0</v>
      </c>
      <c r="PG44">
        <v>0</v>
      </c>
      <c r="PH44">
        <v>0</v>
      </c>
      <c r="PI44">
        <v>0</v>
      </c>
      <c r="PJ44">
        <v>1</v>
      </c>
      <c r="PK44">
        <v>1</v>
      </c>
      <c r="PL44">
        <v>0</v>
      </c>
      <c r="PM44">
        <v>0</v>
      </c>
      <c r="PN44">
        <v>0</v>
      </c>
      <c r="PO44">
        <v>0</v>
      </c>
      <c r="PP44">
        <v>0</v>
      </c>
      <c r="PQ44">
        <v>1</v>
      </c>
      <c r="PR44">
        <v>0</v>
      </c>
      <c r="PS44">
        <v>1</v>
      </c>
      <c r="PT44">
        <v>0</v>
      </c>
      <c r="PU44">
        <v>1</v>
      </c>
      <c r="PV44">
        <v>1</v>
      </c>
    </row>
    <row r="45" spans="1:438" x14ac:dyDescent="0.3">
      <c r="A45" s="31">
        <v>120</v>
      </c>
      <c r="B45" s="28">
        <v>2.75</v>
      </c>
      <c r="C45" s="30">
        <v>3.36</v>
      </c>
      <c r="D45" s="28">
        <v>2.58</v>
      </c>
      <c r="E45" s="34">
        <f t="shared" si="0"/>
        <v>5.16E-2</v>
      </c>
      <c r="F45" s="35">
        <f t="shared" si="1"/>
        <v>0.84</v>
      </c>
      <c r="G45" s="34">
        <f t="shared" si="2"/>
        <v>64.5</v>
      </c>
      <c r="H45" s="33">
        <f t="shared" si="3"/>
        <v>36.058181818181815</v>
      </c>
      <c r="I45" s="29">
        <f t="shared" ca="1" si="4"/>
        <v>1</v>
      </c>
      <c r="J45">
        <f ca="1">IF(AND(SUMPRODUCT($J$2:J44,$B$2:B44)&lt;500,SUM(B44,SUMPRODUCT($J$2:J44,$B$2:B44))&lt;500),1,0)</f>
        <v>1</v>
      </c>
      <c r="K45">
        <v>4</v>
      </c>
      <c r="L45">
        <v>1</v>
      </c>
      <c r="W45">
        <v>1</v>
      </c>
      <c r="X45">
        <v>0</v>
      </c>
      <c r="Y45">
        <v>0</v>
      </c>
      <c r="Z45">
        <v>1</v>
      </c>
      <c r="AA45">
        <v>1</v>
      </c>
      <c r="AB45">
        <v>1</v>
      </c>
      <c r="AC45">
        <v>0</v>
      </c>
      <c r="AD45">
        <v>1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1</v>
      </c>
      <c r="AK45">
        <v>1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1</v>
      </c>
      <c r="AS45">
        <v>1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1</v>
      </c>
      <c r="AZ45">
        <v>1</v>
      </c>
      <c r="BA45">
        <v>1</v>
      </c>
      <c r="BB45">
        <v>0</v>
      </c>
      <c r="BC45">
        <v>0</v>
      </c>
      <c r="BD45">
        <v>1</v>
      </c>
      <c r="BE45">
        <v>0</v>
      </c>
      <c r="BF45">
        <v>1</v>
      </c>
      <c r="BG45">
        <v>0</v>
      </c>
      <c r="BH45">
        <v>0</v>
      </c>
      <c r="BI45">
        <v>1</v>
      </c>
      <c r="BJ45">
        <v>0</v>
      </c>
      <c r="BK45">
        <v>0</v>
      </c>
      <c r="BL45">
        <v>0</v>
      </c>
      <c r="BM45">
        <v>1</v>
      </c>
      <c r="BN45">
        <v>1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1</v>
      </c>
      <c r="BU45">
        <v>1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1</v>
      </c>
      <c r="CB45">
        <v>1</v>
      </c>
      <c r="CC45">
        <v>0</v>
      </c>
      <c r="CD45">
        <v>1</v>
      </c>
      <c r="CE45">
        <v>0</v>
      </c>
      <c r="CF45">
        <v>1</v>
      </c>
      <c r="CG45">
        <v>1</v>
      </c>
      <c r="CH45">
        <v>0</v>
      </c>
      <c r="CI45">
        <v>0</v>
      </c>
      <c r="CJ45">
        <v>0</v>
      </c>
      <c r="CK45">
        <v>1</v>
      </c>
      <c r="CL45">
        <v>0</v>
      </c>
      <c r="CM45">
        <v>1</v>
      </c>
      <c r="CN45">
        <v>1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1</v>
      </c>
      <c r="CY45">
        <v>0</v>
      </c>
      <c r="CZ45">
        <v>0</v>
      </c>
      <c r="DA45">
        <v>1</v>
      </c>
      <c r="DB45">
        <v>1</v>
      </c>
      <c r="DC45">
        <v>0</v>
      </c>
      <c r="DD45">
        <v>0</v>
      </c>
      <c r="DE45">
        <v>0</v>
      </c>
      <c r="DF45">
        <v>0</v>
      </c>
      <c r="DG45">
        <v>1</v>
      </c>
      <c r="DH45">
        <v>1</v>
      </c>
      <c r="DI45">
        <v>0</v>
      </c>
      <c r="DJ45">
        <v>0</v>
      </c>
      <c r="DK45">
        <v>0</v>
      </c>
      <c r="DL45">
        <v>1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1</v>
      </c>
      <c r="DU45">
        <v>0</v>
      </c>
      <c r="DV45">
        <v>1</v>
      </c>
      <c r="DW45">
        <v>0</v>
      </c>
      <c r="DX45">
        <v>0</v>
      </c>
      <c r="DY45">
        <v>1</v>
      </c>
      <c r="DZ45">
        <v>1</v>
      </c>
      <c r="EA45">
        <v>0</v>
      </c>
      <c r="EB45">
        <v>1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1</v>
      </c>
      <c r="EI45">
        <v>0</v>
      </c>
      <c r="EJ45">
        <v>0</v>
      </c>
      <c r="EK45">
        <v>1</v>
      </c>
      <c r="EL45">
        <v>0</v>
      </c>
      <c r="EM45">
        <v>1</v>
      </c>
      <c r="EN45">
        <v>1</v>
      </c>
      <c r="EO45">
        <v>1</v>
      </c>
      <c r="EP45">
        <v>0</v>
      </c>
      <c r="EQ45">
        <v>0</v>
      </c>
      <c r="ER45">
        <v>1</v>
      </c>
      <c r="ES45">
        <v>1</v>
      </c>
      <c r="ET45">
        <v>0</v>
      </c>
      <c r="EU45">
        <v>0</v>
      </c>
      <c r="EV45">
        <v>0</v>
      </c>
      <c r="EW45">
        <v>0</v>
      </c>
      <c r="EX45">
        <v>1</v>
      </c>
      <c r="EY45">
        <v>1</v>
      </c>
      <c r="EZ45">
        <v>0</v>
      </c>
      <c r="FA45">
        <v>1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1</v>
      </c>
      <c r="FK45">
        <v>0</v>
      </c>
      <c r="FL45">
        <v>0</v>
      </c>
      <c r="FM45">
        <v>1</v>
      </c>
      <c r="FN45">
        <v>0</v>
      </c>
      <c r="FO45">
        <v>1</v>
      </c>
      <c r="FP45">
        <v>1</v>
      </c>
      <c r="FQ45">
        <v>0</v>
      </c>
      <c r="FR45">
        <v>0</v>
      </c>
      <c r="FS45">
        <v>1</v>
      </c>
      <c r="FT45">
        <v>0</v>
      </c>
      <c r="FU45">
        <v>1</v>
      </c>
      <c r="FV45">
        <v>1</v>
      </c>
      <c r="FW45">
        <v>1</v>
      </c>
      <c r="FX45">
        <v>0</v>
      </c>
      <c r="FY45">
        <v>0</v>
      </c>
      <c r="FZ45">
        <v>0</v>
      </c>
      <c r="GA45">
        <v>1</v>
      </c>
      <c r="GB45">
        <v>1</v>
      </c>
      <c r="GC45">
        <v>0</v>
      </c>
      <c r="GD45">
        <v>0</v>
      </c>
      <c r="GE45">
        <v>0</v>
      </c>
      <c r="GF45">
        <v>0</v>
      </c>
      <c r="GG45">
        <v>1</v>
      </c>
      <c r="GH45">
        <v>0</v>
      </c>
      <c r="GI45">
        <v>0</v>
      </c>
      <c r="GJ45">
        <v>1</v>
      </c>
      <c r="GK45">
        <v>1</v>
      </c>
      <c r="GL45">
        <v>0</v>
      </c>
      <c r="GM45">
        <v>1</v>
      </c>
      <c r="GN45">
        <v>0</v>
      </c>
      <c r="GO45">
        <v>0</v>
      </c>
      <c r="GP45">
        <v>1</v>
      </c>
      <c r="GQ45">
        <v>1</v>
      </c>
      <c r="GR45">
        <v>0</v>
      </c>
      <c r="GS45">
        <v>1</v>
      </c>
      <c r="GT45">
        <v>1</v>
      </c>
      <c r="GU45">
        <v>0</v>
      </c>
      <c r="GV45">
        <v>0</v>
      </c>
      <c r="GW45">
        <v>0</v>
      </c>
      <c r="GX45">
        <v>0</v>
      </c>
      <c r="GY45">
        <v>1</v>
      </c>
      <c r="GZ45">
        <v>0</v>
      </c>
      <c r="HA45">
        <v>0</v>
      </c>
      <c r="HB45">
        <v>0</v>
      </c>
      <c r="HC45">
        <v>0</v>
      </c>
      <c r="HD45">
        <v>1</v>
      </c>
      <c r="HE45">
        <v>0</v>
      </c>
      <c r="HF45">
        <v>1</v>
      </c>
      <c r="HG45">
        <v>0</v>
      </c>
      <c r="HH45">
        <v>1</v>
      </c>
      <c r="HI45">
        <v>0</v>
      </c>
      <c r="HJ45">
        <v>1</v>
      </c>
      <c r="HK45">
        <v>0</v>
      </c>
      <c r="HL45">
        <v>1</v>
      </c>
      <c r="HM45">
        <v>0</v>
      </c>
      <c r="HN45">
        <v>0</v>
      </c>
      <c r="HO45">
        <v>1</v>
      </c>
      <c r="HP45">
        <v>0</v>
      </c>
      <c r="HQ45">
        <v>1</v>
      </c>
      <c r="HR45">
        <v>0</v>
      </c>
      <c r="HS45">
        <v>0</v>
      </c>
      <c r="HT45">
        <v>0</v>
      </c>
      <c r="HU45">
        <v>1</v>
      </c>
      <c r="HV45">
        <v>1</v>
      </c>
      <c r="HW45">
        <v>1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1</v>
      </c>
      <c r="ID45">
        <v>0</v>
      </c>
      <c r="IE45">
        <v>1</v>
      </c>
      <c r="IF45">
        <v>0</v>
      </c>
      <c r="IG45">
        <v>1</v>
      </c>
      <c r="IH45">
        <v>0</v>
      </c>
      <c r="II45">
        <v>0</v>
      </c>
      <c r="IJ45">
        <v>0</v>
      </c>
      <c r="IK45">
        <v>1</v>
      </c>
      <c r="IL45">
        <v>1</v>
      </c>
      <c r="IM45">
        <v>0</v>
      </c>
      <c r="IN45">
        <v>1</v>
      </c>
      <c r="IO45">
        <v>0</v>
      </c>
      <c r="IP45">
        <v>1</v>
      </c>
      <c r="IQ45">
        <v>0</v>
      </c>
      <c r="IR45">
        <v>1</v>
      </c>
      <c r="IS45">
        <v>0</v>
      </c>
      <c r="IT45">
        <v>1</v>
      </c>
      <c r="IU45">
        <v>0</v>
      </c>
      <c r="IV45">
        <v>0</v>
      </c>
      <c r="IW45">
        <v>0</v>
      </c>
      <c r="IX45">
        <v>1</v>
      </c>
      <c r="IY45">
        <v>1</v>
      </c>
      <c r="IZ45">
        <v>1</v>
      </c>
      <c r="JA45">
        <v>1</v>
      </c>
      <c r="JB45">
        <v>1</v>
      </c>
      <c r="JC45">
        <v>0</v>
      </c>
      <c r="JD45">
        <v>1</v>
      </c>
      <c r="JE45">
        <v>0</v>
      </c>
      <c r="JF45">
        <v>0</v>
      </c>
      <c r="JG45">
        <v>1</v>
      </c>
      <c r="JH45">
        <v>0</v>
      </c>
      <c r="JI45">
        <v>0</v>
      </c>
      <c r="JJ45">
        <v>1</v>
      </c>
      <c r="JK45">
        <v>1</v>
      </c>
      <c r="JL45">
        <v>0</v>
      </c>
      <c r="JM45">
        <v>1</v>
      </c>
      <c r="JN45">
        <v>1</v>
      </c>
      <c r="JO45">
        <v>0</v>
      </c>
      <c r="JP45">
        <v>1</v>
      </c>
      <c r="JQ45">
        <v>0</v>
      </c>
      <c r="JR45">
        <v>0</v>
      </c>
      <c r="JS45">
        <v>0</v>
      </c>
      <c r="JT45">
        <v>0</v>
      </c>
      <c r="JU45">
        <v>0</v>
      </c>
      <c r="JV45">
        <v>1</v>
      </c>
      <c r="JW45">
        <v>0</v>
      </c>
      <c r="JX45">
        <v>1</v>
      </c>
      <c r="JY45">
        <v>0</v>
      </c>
      <c r="JZ45">
        <v>1</v>
      </c>
      <c r="KA45">
        <v>0</v>
      </c>
      <c r="KB45">
        <v>0</v>
      </c>
      <c r="KC45">
        <v>1</v>
      </c>
      <c r="KD45">
        <v>0</v>
      </c>
      <c r="KE45">
        <v>0</v>
      </c>
      <c r="KF45">
        <v>0</v>
      </c>
      <c r="KG45">
        <v>0</v>
      </c>
      <c r="KH45">
        <v>1</v>
      </c>
      <c r="KI45">
        <v>0</v>
      </c>
      <c r="KJ45">
        <v>0</v>
      </c>
      <c r="KK45">
        <v>1</v>
      </c>
      <c r="KL45">
        <v>0</v>
      </c>
      <c r="KM45">
        <v>0</v>
      </c>
      <c r="KN45">
        <v>0</v>
      </c>
      <c r="KO45">
        <v>0</v>
      </c>
      <c r="KP45">
        <v>1</v>
      </c>
      <c r="KQ45">
        <v>1</v>
      </c>
      <c r="KR45">
        <v>0</v>
      </c>
      <c r="KS45">
        <v>1</v>
      </c>
      <c r="KT45">
        <v>1</v>
      </c>
      <c r="KU45">
        <v>0</v>
      </c>
      <c r="KV45">
        <v>0</v>
      </c>
      <c r="KW45">
        <v>0</v>
      </c>
      <c r="KX45">
        <v>0</v>
      </c>
      <c r="KY45">
        <v>1</v>
      </c>
      <c r="KZ45">
        <v>1</v>
      </c>
      <c r="LA45">
        <v>0</v>
      </c>
      <c r="LB45">
        <v>0</v>
      </c>
      <c r="LC45">
        <v>1</v>
      </c>
      <c r="LD45">
        <v>1</v>
      </c>
      <c r="LE45">
        <v>1</v>
      </c>
      <c r="LF45">
        <v>0</v>
      </c>
      <c r="LG45">
        <v>0</v>
      </c>
      <c r="LH45">
        <v>1</v>
      </c>
      <c r="LI45">
        <v>0</v>
      </c>
      <c r="LJ45">
        <v>0</v>
      </c>
      <c r="LK45">
        <v>1</v>
      </c>
      <c r="LL45">
        <v>1</v>
      </c>
      <c r="LM45">
        <v>0</v>
      </c>
      <c r="LN45">
        <v>0</v>
      </c>
      <c r="LO45">
        <v>0</v>
      </c>
      <c r="LP45">
        <v>0</v>
      </c>
      <c r="LQ45">
        <v>1</v>
      </c>
      <c r="LR45">
        <v>1</v>
      </c>
      <c r="LS45">
        <v>1</v>
      </c>
      <c r="LT45">
        <v>0</v>
      </c>
      <c r="LU45">
        <v>1</v>
      </c>
      <c r="LV45">
        <v>0</v>
      </c>
      <c r="LW45">
        <v>1</v>
      </c>
      <c r="LX45">
        <v>1</v>
      </c>
      <c r="LY45">
        <v>0</v>
      </c>
      <c r="LZ45">
        <v>1</v>
      </c>
      <c r="MA45">
        <v>1</v>
      </c>
      <c r="MB45">
        <v>0</v>
      </c>
      <c r="MC45">
        <v>1</v>
      </c>
      <c r="MD45">
        <v>0</v>
      </c>
      <c r="ME45">
        <v>0</v>
      </c>
      <c r="MF45">
        <v>0</v>
      </c>
      <c r="MG45">
        <v>1</v>
      </c>
      <c r="MH45">
        <v>0</v>
      </c>
      <c r="MI45">
        <v>0</v>
      </c>
      <c r="MJ45">
        <v>0</v>
      </c>
      <c r="MK45">
        <v>0</v>
      </c>
      <c r="ML45">
        <v>1</v>
      </c>
      <c r="MM45">
        <v>0</v>
      </c>
      <c r="MN45">
        <v>1</v>
      </c>
      <c r="MO45">
        <v>1</v>
      </c>
      <c r="MP45">
        <v>0</v>
      </c>
      <c r="MQ45">
        <v>1</v>
      </c>
      <c r="MR45">
        <v>0</v>
      </c>
      <c r="MS45">
        <v>0</v>
      </c>
      <c r="MT45">
        <v>0</v>
      </c>
      <c r="MU45">
        <v>0</v>
      </c>
      <c r="MV45">
        <v>0</v>
      </c>
      <c r="MW45">
        <v>0</v>
      </c>
      <c r="MX45">
        <v>0</v>
      </c>
      <c r="MY45">
        <v>1</v>
      </c>
      <c r="MZ45">
        <v>1</v>
      </c>
      <c r="NA45">
        <v>1</v>
      </c>
      <c r="NB45">
        <v>0</v>
      </c>
      <c r="NC45">
        <v>0</v>
      </c>
      <c r="ND45">
        <v>0</v>
      </c>
      <c r="NE45">
        <v>0</v>
      </c>
      <c r="NF45">
        <v>0</v>
      </c>
      <c r="NG45">
        <v>0</v>
      </c>
      <c r="NH45">
        <v>0</v>
      </c>
      <c r="NI45">
        <v>1</v>
      </c>
      <c r="NJ45">
        <v>1</v>
      </c>
      <c r="NK45">
        <v>1</v>
      </c>
      <c r="NL45">
        <v>1</v>
      </c>
      <c r="NM45">
        <v>0</v>
      </c>
      <c r="NN45">
        <v>0</v>
      </c>
      <c r="NO45">
        <v>0</v>
      </c>
      <c r="NP45">
        <v>1</v>
      </c>
      <c r="NQ45">
        <v>0</v>
      </c>
      <c r="NR45">
        <v>0</v>
      </c>
      <c r="NS45">
        <v>1</v>
      </c>
      <c r="NT45">
        <v>0</v>
      </c>
      <c r="NU45">
        <v>0</v>
      </c>
      <c r="NV45">
        <v>0</v>
      </c>
      <c r="NW45">
        <v>0</v>
      </c>
      <c r="NX45">
        <v>1</v>
      </c>
      <c r="NY45">
        <v>1</v>
      </c>
      <c r="NZ45">
        <v>0</v>
      </c>
      <c r="OA45">
        <v>0</v>
      </c>
      <c r="OB45">
        <v>0</v>
      </c>
      <c r="OC45">
        <v>0</v>
      </c>
      <c r="OD45">
        <v>0</v>
      </c>
      <c r="OE45">
        <v>0</v>
      </c>
      <c r="OF45">
        <v>0</v>
      </c>
      <c r="OG45">
        <v>0</v>
      </c>
      <c r="OH45">
        <v>1</v>
      </c>
      <c r="OI45">
        <v>1</v>
      </c>
      <c r="OJ45">
        <v>1</v>
      </c>
      <c r="OK45">
        <v>1</v>
      </c>
      <c r="OL45">
        <v>0</v>
      </c>
      <c r="OM45">
        <v>0</v>
      </c>
      <c r="ON45">
        <v>0</v>
      </c>
      <c r="OO45">
        <v>1</v>
      </c>
      <c r="OP45">
        <v>0</v>
      </c>
      <c r="OQ45">
        <v>0</v>
      </c>
      <c r="OR45">
        <v>1</v>
      </c>
      <c r="OS45">
        <v>1</v>
      </c>
      <c r="OT45">
        <v>1</v>
      </c>
      <c r="OU45">
        <v>0</v>
      </c>
      <c r="OV45">
        <v>0</v>
      </c>
      <c r="OW45">
        <v>0</v>
      </c>
      <c r="OX45">
        <v>0</v>
      </c>
      <c r="OY45">
        <v>1</v>
      </c>
      <c r="OZ45">
        <v>0</v>
      </c>
      <c r="PA45">
        <v>0</v>
      </c>
      <c r="PB45">
        <v>1</v>
      </c>
      <c r="PC45">
        <v>0</v>
      </c>
      <c r="PD45">
        <v>0</v>
      </c>
      <c r="PE45">
        <v>0</v>
      </c>
      <c r="PF45">
        <v>0</v>
      </c>
      <c r="PG45">
        <v>0</v>
      </c>
      <c r="PH45">
        <v>1</v>
      </c>
      <c r="PI45">
        <v>0</v>
      </c>
      <c r="PJ45">
        <v>1</v>
      </c>
      <c r="PK45">
        <v>1</v>
      </c>
      <c r="PL45">
        <v>0</v>
      </c>
      <c r="PM45">
        <v>0</v>
      </c>
      <c r="PN45">
        <v>1</v>
      </c>
      <c r="PO45">
        <v>0</v>
      </c>
      <c r="PP45">
        <v>0</v>
      </c>
      <c r="PQ45">
        <v>1</v>
      </c>
      <c r="PR45">
        <v>0</v>
      </c>
      <c r="PS45">
        <v>0</v>
      </c>
      <c r="PT45">
        <v>0</v>
      </c>
      <c r="PU45">
        <v>1</v>
      </c>
      <c r="PV45">
        <v>1</v>
      </c>
    </row>
    <row r="46" spans="1:438" x14ac:dyDescent="0.3">
      <c r="A46" s="31">
        <v>123</v>
      </c>
      <c r="B46" s="28">
        <v>2.81</v>
      </c>
      <c r="C46" s="30">
        <v>48.04</v>
      </c>
      <c r="D46" s="28">
        <v>2.68</v>
      </c>
      <c r="E46" s="34">
        <f t="shared" si="0"/>
        <v>5.3600000000000002E-2</v>
      </c>
      <c r="F46" s="35">
        <f t="shared" si="1"/>
        <v>12.01</v>
      </c>
      <c r="G46" s="34">
        <f t="shared" si="2"/>
        <v>67</v>
      </c>
      <c r="H46" s="33">
        <f t="shared" si="3"/>
        <v>4.6227758007117439</v>
      </c>
      <c r="I46" s="29">
        <f t="shared" ca="1" si="4"/>
        <v>2</v>
      </c>
      <c r="J46">
        <f ca="1">IF(AND(SUMPRODUCT($J$2:J45,$B$2:B45)&lt;500,SUM(B45,SUMPRODUCT($J$2:J45,$B$2:B45))&lt;500),1,0)</f>
        <v>0</v>
      </c>
      <c r="K46">
        <v>1</v>
      </c>
      <c r="L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1</v>
      </c>
      <c r="AE46">
        <v>0</v>
      </c>
      <c r="AF46">
        <v>1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1</v>
      </c>
      <c r="AO46">
        <v>1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1</v>
      </c>
      <c r="AV46">
        <v>0</v>
      </c>
      <c r="AW46">
        <v>0</v>
      </c>
      <c r="AX46">
        <v>0</v>
      </c>
      <c r="AY46">
        <v>1</v>
      </c>
      <c r="AZ46">
        <v>1</v>
      </c>
      <c r="BA46">
        <v>1</v>
      </c>
      <c r="BB46">
        <v>0</v>
      </c>
      <c r="BC46">
        <v>0</v>
      </c>
      <c r="BD46">
        <v>1</v>
      </c>
      <c r="BE46">
        <v>0</v>
      </c>
      <c r="BF46">
        <v>0</v>
      </c>
      <c r="BG46">
        <v>0</v>
      </c>
      <c r="BH46">
        <v>1</v>
      </c>
      <c r="BI46">
        <v>0</v>
      </c>
      <c r="BJ46">
        <v>0</v>
      </c>
      <c r="BK46">
        <v>1</v>
      </c>
      <c r="BL46">
        <v>0</v>
      </c>
      <c r="BM46">
        <v>0</v>
      </c>
      <c r="BN46">
        <v>1</v>
      </c>
      <c r="BO46">
        <v>1</v>
      </c>
      <c r="BP46">
        <v>0</v>
      </c>
      <c r="BQ46">
        <v>0</v>
      </c>
      <c r="BR46">
        <v>0</v>
      </c>
      <c r="BS46">
        <v>1</v>
      </c>
      <c r="BT46">
        <v>0</v>
      </c>
      <c r="BU46">
        <v>1</v>
      </c>
      <c r="BV46">
        <v>1</v>
      </c>
      <c r="BW46">
        <v>1</v>
      </c>
      <c r="BX46">
        <v>1</v>
      </c>
      <c r="BY46">
        <v>0</v>
      </c>
      <c r="BZ46">
        <v>1</v>
      </c>
      <c r="CA46">
        <v>0</v>
      </c>
      <c r="CB46">
        <v>1</v>
      </c>
      <c r="CC46">
        <v>1</v>
      </c>
      <c r="CD46">
        <v>0</v>
      </c>
      <c r="CE46">
        <v>1</v>
      </c>
      <c r="CF46">
        <v>1</v>
      </c>
      <c r="CG46">
        <v>0</v>
      </c>
      <c r="CH46">
        <v>0</v>
      </c>
      <c r="CI46">
        <v>1</v>
      </c>
      <c r="CJ46">
        <v>0</v>
      </c>
      <c r="CK46">
        <v>0</v>
      </c>
      <c r="CL46">
        <v>1</v>
      </c>
      <c r="CM46">
        <v>1</v>
      </c>
      <c r="CN46">
        <v>0</v>
      </c>
      <c r="CO46">
        <v>0</v>
      </c>
      <c r="CP46">
        <v>0</v>
      </c>
      <c r="CQ46">
        <v>1</v>
      </c>
      <c r="CR46">
        <v>0</v>
      </c>
      <c r="CS46">
        <v>0</v>
      </c>
      <c r="CT46">
        <v>0</v>
      </c>
      <c r="CU46">
        <v>0</v>
      </c>
      <c r="CV46">
        <v>1</v>
      </c>
      <c r="CW46">
        <v>1</v>
      </c>
      <c r="CX46">
        <v>1</v>
      </c>
      <c r="CY46">
        <v>0</v>
      </c>
      <c r="CZ46">
        <v>0</v>
      </c>
      <c r="DA46">
        <v>0</v>
      </c>
      <c r="DB46">
        <v>1</v>
      </c>
      <c r="DC46">
        <v>1</v>
      </c>
      <c r="DD46">
        <v>1</v>
      </c>
      <c r="DE46">
        <v>1</v>
      </c>
      <c r="DF46">
        <v>0</v>
      </c>
      <c r="DG46">
        <v>1</v>
      </c>
      <c r="DH46">
        <v>0</v>
      </c>
      <c r="DI46">
        <v>0</v>
      </c>
      <c r="DJ46">
        <v>1</v>
      </c>
      <c r="DK46">
        <v>1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1</v>
      </c>
      <c r="DS46">
        <v>0</v>
      </c>
      <c r="DT46">
        <v>1</v>
      </c>
      <c r="DU46">
        <v>0</v>
      </c>
      <c r="DV46">
        <v>0</v>
      </c>
      <c r="DW46">
        <v>0</v>
      </c>
      <c r="DX46">
        <v>1</v>
      </c>
      <c r="DY46">
        <v>0</v>
      </c>
      <c r="DZ46">
        <v>0</v>
      </c>
      <c r="EA46">
        <v>0</v>
      </c>
      <c r="EB46">
        <v>1</v>
      </c>
      <c r="EC46">
        <v>0</v>
      </c>
      <c r="ED46">
        <v>1</v>
      </c>
      <c r="EE46">
        <v>0</v>
      </c>
      <c r="EF46">
        <v>0</v>
      </c>
      <c r="EG46">
        <v>0</v>
      </c>
      <c r="EH46">
        <v>0</v>
      </c>
      <c r="EI46">
        <v>1</v>
      </c>
      <c r="EJ46">
        <v>0</v>
      </c>
      <c r="EK46">
        <v>0</v>
      </c>
      <c r="EL46">
        <v>1</v>
      </c>
      <c r="EM46">
        <v>1</v>
      </c>
      <c r="EN46">
        <v>1</v>
      </c>
      <c r="EO46">
        <v>1</v>
      </c>
      <c r="EP46">
        <v>0</v>
      </c>
      <c r="EQ46">
        <v>0</v>
      </c>
      <c r="ER46">
        <v>1</v>
      </c>
      <c r="ES46">
        <v>1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1</v>
      </c>
      <c r="EZ46">
        <v>0</v>
      </c>
      <c r="FA46">
        <v>1</v>
      </c>
      <c r="FB46">
        <v>0</v>
      </c>
      <c r="FC46">
        <v>1</v>
      </c>
      <c r="FD46">
        <v>0</v>
      </c>
      <c r="FE46">
        <v>1</v>
      </c>
      <c r="FF46">
        <v>0</v>
      </c>
      <c r="FG46">
        <v>0</v>
      </c>
      <c r="FH46">
        <v>1</v>
      </c>
      <c r="FI46">
        <v>0</v>
      </c>
      <c r="FJ46">
        <v>1</v>
      </c>
      <c r="FK46">
        <v>1</v>
      </c>
      <c r="FL46">
        <v>0</v>
      </c>
      <c r="FM46">
        <v>1</v>
      </c>
      <c r="FN46">
        <v>1</v>
      </c>
      <c r="FO46">
        <v>1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1</v>
      </c>
      <c r="FV46">
        <v>1</v>
      </c>
      <c r="FW46">
        <v>1</v>
      </c>
      <c r="FX46">
        <v>0</v>
      </c>
      <c r="FY46">
        <v>1</v>
      </c>
      <c r="FZ46">
        <v>0</v>
      </c>
      <c r="GA46">
        <v>1</v>
      </c>
      <c r="GB46">
        <v>0</v>
      </c>
      <c r="GC46">
        <v>0</v>
      </c>
      <c r="GD46">
        <v>1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1</v>
      </c>
      <c r="GK46">
        <v>0</v>
      </c>
      <c r="GL46">
        <v>0</v>
      </c>
      <c r="GM46">
        <v>1</v>
      </c>
      <c r="GN46">
        <v>0</v>
      </c>
      <c r="GO46">
        <v>0</v>
      </c>
      <c r="GP46">
        <v>0</v>
      </c>
      <c r="GQ46">
        <v>1</v>
      </c>
      <c r="GR46">
        <v>1</v>
      </c>
      <c r="GS46">
        <v>1</v>
      </c>
      <c r="GT46">
        <v>1</v>
      </c>
      <c r="GU46">
        <v>1</v>
      </c>
      <c r="GV46">
        <v>0</v>
      </c>
      <c r="GW46">
        <v>1</v>
      </c>
      <c r="GX46">
        <v>0</v>
      </c>
      <c r="GY46">
        <v>1</v>
      </c>
      <c r="GZ46">
        <v>0</v>
      </c>
      <c r="HA46">
        <v>0</v>
      </c>
      <c r="HB46">
        <v>0</v>
      </c>
      <c r="HC46">
        <v>1</v>
      </c>
      <c r="HD46">
        <v>1</v>
      </c>
      <c r="HE46">
        <v>0</v>
      </c>
      <c r="HF46">
        <v>1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1</v>
      </c>
      <c r="HP46">
        <v>0</v>
      </c>
      <c r="HQ46">
        <v>1</v>
      </c>
      <c r="HR46">
        <v>0</v>
      </c>
      <c r="HS46">
        <v>1</v>
      </c>
      <c r="HT46">
        <v>1</v>
      </c>
      <c r="HU46">
        <v>0</v>
      </c>
      <c r="HV46">
        <v>1</v>
      </c>
      <c r="HW46">
        <v>1</v>
      </c>
      <c r="HX46">
        <v>0</v>
      </c>
      <c r="HY46">
        <v>1</v>
      </c>
      <c r="HZ46">
        <v>1</v>
      </c>
      <c r="IA46">
        <v>0</v>
      </c>
      <c r="IB46">
        <v>0</v>
      </c>
      <c r="IC46">
        <v>0</v>
      </c>
      <c r="ID46">
        <v>1</v>
      </c>
      <c r="IE46">
        <v>1</v>
      </c>
      <c r="IF46">
        <v>0</v>
      </c>
      <c r="IG46">
        <v>0</v>
      </c>
      <c r="IH46">
        <v>0</v>
      </c>
      <c r="II46">
        <v>0</v>
      </c>
      <c r="IJ46">
        <v>1</v>
      </c>
      <c r="IK46">
        <v>0</v>
      </c>
      <c r="IL46">
        <v>1</v>
      </c>
      <c r="IM46">
        <v>0</v>
      </c>
      <c r="IN46">
        <v>1</v>
      </c>
      <c r="IO46">
        <v>0</v>
      </c>
      <c r="IP46">
        <v>0</v>
      </c>
      <c r="IQ46">
        <v>0</v>
      </c>
      <c r="IR46">
        <v>0</v>
      </c>
      <c r="IS46">
        <v>0</v>
      </c>
      <c r="IT46">
        <v>1</v>
      </c>
      <c r="IU46">
        <v>0</v>
      </c>
      <c r="IV46">
        <v>1</v>
      </c>
      <c r="IW46">
        <v>0</v>
      </c>
      <c r="IX46">
        <v>1</v>
      </c>
      <c r="IY46">
        <v>0</v>
      </c>
      <c r="IZ46">
        <v>0</v>
      </c>
      <c r="JA46">
        <v>0</v>
      </c>
      <c r="JB46">
        <v>0</v>
      </c>
      <c r="JC46">
        <v>0</v>
      </c>
      <c r="JD46">
        <v>1</v>
      </c>
      <c r="JE46">
        <v>0</v>
      </c>
      <c r="JF46">
        <v>1</v>
      </c>
      <c r="JG46">
        <v>1</v>
      </c>
      <c r="JH46">
        <v>1</v>
      </c>
      <c r="JI46">
        <v>0</v>
      </c>
      <c r="JJ46">
        <v>0</v>
      </c>
      <c r="JK46">
        <v>1</v>
      </c>
      <c r="JL46">
        <v>0</v>
      </c>
      <c r="JM46">
        <v>0</v>
      </c>
      <c r="JN46">
        <v>0</v>
      </c>
      <c r="JO46">
        <v>1</v>
      </c>
      <c r="JP46">
        <v>1</v>
      </c>
      <c r="JQ46">
        <v>0</v>
      </c>
      <c r="JR46">
        <v>1</v>
      </c>
      <c r="JS46">
        <v>0</v>
      </c>
      <c r="JT46">
        <v>0</v>
      </c>
      <c r="JU46">
        <v>0</v>
      </c>
      <c r="JV46">
        <v>0</v>
      </c>
      <c r="JW46">
        <v>0</v>
      </c>
      <c r="JX46">
        <v>1</v>
      </c>
      <c r="JY46">
        <v>0</v>
      </c>
      <c r="JZ46">
        <v>1</v>
      </c>
      <c r="KA46">
        <v>0</v>
      </c>
      <c r="KB46">
        <v>0</v>
      </c>
      <c r="KC46">
        <v>0</v>
      </c>
      <c r="KD46">
        <v>0</v>
      </c>
      <c r="KE46">
        <v>1</v>
      </c>
      <c r="KF46">
        <v>1</v>
      </c>
      <c r="KG46">
        <v>0</v>
      </c>
      <c r="KH46">
        <v>0</v>
      </c>
      <c r="KI46">
        <v>0</v>
      </c>
      <c r="KJ46">
        <v>1</v>
      </c>
      <c r="KK46">
        <v>1</v>
      </c>
      <c r="KL46">
        <v>1</v>
      </c>
      <c r="KM46">
        <v>0</v>
      </c>
      <c r="KN46">
        <v>0</v>
      </c>
      <c r="KO46">
        <v>0</v>
      </c>
      <c r="KP46">
        <v>1</v>
      </c>
      <c r="KQ46">
        <v>1</v>
      </c>
      <c r="KR46">
        <v>1</v>
      </c>
      <c r="KS46">
        <v>1</v>
      </c>
      <c r="KT46">
        <v>0</v>
      </c>
      <c r="KU46">
        <v>1</v>
      </c>
      <c r="KV46">
        <v>0</v>
      </c>
      <c r="KW46">
        <v>0</v>
      </c>
      <c r="KX46">
        <v>1</v>
      </c>
      <c r="KY46">
        <v>1</v>
      </c>
      <c r="KZ46">
        <v>1</v>
      </c>
      <c r="LA46">
        <v>0</v>
      </c>
      <c r="LB46">
        <v>0</v>
      </c>
      <c r="LC46">
        <v>0</v>
      </c>
      <c r="LD46">
        <v>1</v>
      </c>
      <c r="LE46">
        <v>1</v>
      </c>
      <c r="LF46">
        <v>1</v>
      </c>
      <c r="LG46">
        <v>0</v>
      </c>
      <c r="LH46">
        <v>1</v>
      </c>
      <c r="LI46">
        <v>1</v>
      </c>
      <c r="LJ46">
        <v>1</v>
      </c>
      <c r="LK46">
        <v>1</v>
      </c>
      <c r="LL46">
        <v>1</v>
      </c>
      <c r="LM46">
        <v>0</v>
      </c>
      <c r="LN46">
        <v>1</v>
      </c>
      <c r="LO46">
        <v>1</v>
      </c>
      <c r="LP46">
        <v>0</v>
      </c>
      <c r="LQ46">
        <v>0</v>
      </c>
      <c r="LR46">
        <v>0</v>
      </c>
      <c r="LS46">
        <v>1</v>
      </c>
      <c r="LT46">
        <v>0</v>
      </c>
      <c r="LU46">
        <v>1</v>
      </c>
      <c r="LV46">
        <v>0</v>
      </c>
      <c r="LW46">
        <v>1</v>
      </c>
      <c r="LX46">
        <v>1</v>
      </c>
      <c r="LY46">
        <v>0</v>
      </c>
      <c r="LZ46">
        <v>1</v>
      </c>
      <c r="MA46">
        <v>0</v>
      </c>
      <c r="MB46">
        <v>0</v>
      </c>
      <c r="MC46">
        <v>0</v>
      </c>
      <c r="MD46">
        <v>0</v>
      </c>
      <c r="ME46">
        <v>0</v>
      </c>
      <c r="MF46">
        <v>1</v>
      </c>
      <c r="MG46">
        <v>1</v>
      </c>
      <c r="MH46">
        <v>0</v>
      </c>
      <c r="MI46">
        <v>0</v>
      </c>
      <c r="MJ46">
        <v>0</v>
      </c>
      <c r="MK46">
        <v>0</v>
      </c>
      <c r="ML46">
        <v>1</v>
      </c>
      <c r="MM46">
        <v>1</v>
      </c>
      <c r="MN46">
        <v>0</v>
      </c>
      <c r="MO46">
        <v>0</v>
      </c>
      <c r="MP46">
        <v>0</v>
      </c>
      <c r="MQ46">
        <v>1</v>
      </c>
      <c r="MR46">
        <v>0</v>
      </c>
      <c r="MS46">
        <v>0</v>
      </c>
      <c r="MT46">
        <v>1</v>
      </c>
      <c r="MU46">
        <v>0</v>
      </c>
      <c r="MV46">
        <v>0</v>
      </c>
      <c r="MW46">
        <v>0</v>
      </c>
      <c r="MX46">
        <v>0</v>
      </c>
      <c r="MY46">
        <v>0</v>
      </c>
      <c r="MZ46">
        <v>0</v>
      </c>
      <c r="NA46">
        <v>0</v>
      </c>
      <c r="NB46">
        <v>0</v>
      </c>
      <c r="NC46">
        <v>0</v>
      </c>
      <c r="ND46">
        <v>1</v>
      </c>
      <c r="NE46">
        <v>1</v>
      </c>
      <c r="NF46">
        <v>0</v>
      </c>
      <c r="NG46">
        <v>0</v>
      </c>
      <c r="NH46">
        <v>0</v>
      </c>
      <c r="NI46">
        <v>0</v>
      </c>
      <c r="NJ46">
        <v>1</v>
      </c>
      <c r="NK46">
        <v>0</v>
      </c>
      <c r="NL46">
        <v>1</v>
      </c>
      <c r="NM46">
        <v>1</v>
      </c>
      <c r="NN46">
        <v>1</v>
      </c>
      <c r="NO46">
        <v>1</v>
      </c>
      <c r="NP46">
        <v>0</v>
      </c>
      <c r="NQ46">
        <v>0</v>
      </c>
      <c r="NR46">
        <v>0</v>
      </c>
      <c r="NS46">
        <v>1</v>
      </c>
      <c r="NT46">
        <v>0</v>
      </c>
      <c r="NU46">
        <v>1</v>
      </c>
      <c r="NV46">
        <v>1</v>
      </c>
      <c r="NW46">
        <v>0</v>
      </c>
      <c r="NX46">
        <v>1</v>
      </c>
      <c r="NY46">
        <v>0</v>
      </c>
      <c r="NZ46">
        <v>1</v>
      </c>
      <c r="OA46">
        <v>0</v>
      </c>
      <c r="OB46">
        <v>0</v>
      </c>
      <c r="OC46">
        <v>0</v>
      </c>
      <c r="OD46">
        <v>0</v>
      </c>
      <c r="OE46">
        <v>0</v>
      </c>
      <c r="OF46">
        <v>1</v>
      </c>
      <c r="OG46">
        <v>1</v>
      </c>
      <c r="OH46">
        <v>0</v>
      </c>
      <c r="OI46">
        <v>1</v>
      </c>
      <c r="OJ46">
        <v>1</v>
      </c>
      <c r="OK46">
        <v>1</v>
      </c>
      <c r="OL46">
        <v>0</v>
      </c>
      <c r="OM46">
        <v>0</v>
      </c>
      <c r="ON46">
        <v>0</v>
      </c>
      <c r="OO46">
        <v>0</v>
      </c>
      <c r="OP46">
        <v>0</v>
      </c>
      <c r="OQ46">
        <v>1</v>
      </c>
      <c r="OR46">
        <v>0</v>
      </c>
      <c r="OS46">
        <v>1</v>
      </c>
      <c r="OT46">
        <v>0</v>
      </c>
      <c r="OU46">
        <v>0</v>
      </c>
      <c r="OV46">
        <v>0</v>
      </c>
      <c r="OW46">
        <v>0</v>
      </c>
      <c r="OX46">
        <v>0</v>
      </c>
      <c r="OY46">
        <v>1</v>
      </c>
      <c r="OZ46">
        <v>0</v>
      </c>
      <c r="PA46">
        <v>0</v>
      </c>
      <c r="PB46">
        <v>1</v>
      </c>
      <c r="PC46">
        <v>0</v>
      </c>
      <c r="PD46">
        <v>1</v>
      </c>
      <c r="PE46">
        <v>0</v>
      </c>
      <c r="PF46">
        <v>1</v>
      </c>
      <c r="PG46">
        <v>1</v>
      </c>
      <c r="PH46">
        <v>0</v>
      </c>
      <c r="PI46">
        <v>0</v>
      </c>
      <c r="PJ46">
        <v>1</v>
      </c>
      <c r="PK46">
        <v>1</v>
      </c>
      <c r="PL46">
        <v>0</v>
      </c>
      <c r="PM46">
        <v>0</v>
      </c>
      <c r="PN46">
        <v>0</v>
      </c>
      <c r="PO46">
        <v>0</v>
      </c>
      <c r="PP46">
        <v>0</v>
      </c>
      <c r="PQ46">
        <v>1</v>
      </c>
      <c r="PR46">
        <v>1</v>
      </c>
      <c r="PS46">
        <v>1</v>
      </c>
      <c r="PT46">
        <v>1</v>
      </c>
      <c r="PU46">
        <v>0</v>
      </c>
      <c r="PV46">
        <v>0</v>
      </c>
    </row>
    <row r="47" spans="1:438" x14ac:dyDescent="0.3">
      <c r="A47" s="31">
        <v>125</v>
      </c>
      <c r="B47" s="28">
        <v>2.69</v>
      </c>
      <c r="C47" s="30">
        <v>8.77</v>
      </c>
      <c r="D47" s="28">
        <v>0.8</v>
      </c>
      <c r="E47" s="34">
        <f t="shared" si="0"/>
        <v>1.6E-2</v>
      </c>
      <c r="F47" s="35">
        <f t="shared" si="1"/>
        <v>2.1924999999999999</v>
      </c>
      <c r="G47" s="34">
        <f t="shared" si="2"/>
        <v>20</v>
      </c>
      <c r="H47" s="33">
        <f t="shared" si="3"/>
        <v>27.065985130111525</v>
      </c>
      <c r="I47" s="29">
        <f t="shared" ca="1" si="4"/>
        <v>0</v>
      </c>
      <c r="J47">
        <f ca="1">IF(AND(SUMPRODUCT($J$2:J46,$B$2:B46)&lt;500,SUM(B46,SUMPRODUCT($J$2:J46,$B$2:B46))&lt;500),1,0)</f>
        <v>1</v>
      </c>
      <c r="K47">
        <v>3</v>
      </c>
      <c r="L47">
        <v>1</v>
      </c>
      <c r="W47">
        <v>0</v>
      </c>
      <c r="X47">
        <v>1</v>
      </c>
      <c r="Y47">
        <v>1</v>
      </c>
      <c r="Z47">
        <v>1</v>
      </c>
      <c r="AA47">
        <v>0</v>
      </c>
      <c r="AB47">
        <v>0</v>
      </c>
      <c r="AC47">
        <v>0</v>
      </c>
      <c r="AD47">
        <v>1</v>
      </c>
      <c r="AE47">
        <v>1</v>
      </c>
      <c r="AF47">
        <v>0</v>
      </c>
      <c r="AG47">
        <v>1</v>
      </c>
      <c r="AH47">
        <v>0</v>
      </c>
      <c r="AI47">
        <v>0</v>
      </c>
      <c r="AJ47">
        <v>0</v>
      </c>
      <c r="AK47">
        <v>0</v>
      </c>
      <c r="AL47">
        <v>1</v>
      </c>
      <c r="AM47">
        <v>1</v>
      </c>
      <c r="AN47">
        <v>0</v>
      </c>
      <c r="AO47">
        <v>0</v>
      </c>
      <c r="AP47">
        <v>1</v>
      </c>
      <c r="AQ47">
        <v>0</v>
      </c>
      <c r="AR47">
        <v>1</v>
      </c>
      <c r="AS47">
        <v>0</v>
      </c>
      <c r="AT47">
        <v>1</v>
      </c>
      <c r="AU47">
        <v>0</v>
      </c>
      <c r="AV47">
        <v>0</v>
      </c>
      <c r="AW47">
        <v>0</v>
      </c>
      <c r="AX47">
        <v>0</v>
      </c>
      <c r="AY47">
        <v>1</v>
      </c>
      <c r="AZ47">
        <v>1</v>
      </c>
      <c r="BA47">
        <v>1</v>
      </c>
      <c r="BB47">
        <v>0</v>
      </c>
      <c r="BC47">
        <v>1</v>
      </c>
      <c r="BD47">
        <v>0</v>
      </c>
      <c r="BE47">
        <v>0</v>
      </c>
      <c r="BF47">
        <v>0</v>
      </c>
      <c r="BG47">
        <v>1</v>
      </c>
      <c r="BH47">
        <v>1</v>
      </c>
      <c r="BI47">
        <v>0</v>
      </c>
      <c r="BJ47">
        <v>0</v>
      </c>
      <c r="BK47">
        <v>1</v>
      </c>
      <c r="BL47">
        <v>0</v>
      </c>
      <c r="BM47">
        <v>1</v>
      </c>
      <c r="BN47">
        <v>1</v>
      </c>
      <c r="BO47">
        <v>1</v>
      </c>
      <c r="BP47">
        <v>0</v>
      </c>
      <c r="BQ47">
        <v>0</v>
      </c>
      <c r="BR47">
        <v>1</v>
      </c>
      <c r="BS47">
        <v>0</v>
      </c>
      <c r="BT47">
        <v>0</v>
      </c>
      <c r="BU47">
        <v>1</v>
      </c>
      <c r="BV47">
        <v>1</v>
      </c>
      <c r="BW47">
        <v>1</v>
      </c>
      <c r="BX47">
        <v>0</v>
      </c>
      <c r="BY47">
        <v>0</v>
      </c>
      <c r="BZ47">
        <v>0</v>
      </c>
      <c r="CA47">
        <v>0</v>
      </c>
      <c r="CB47">
        <v>1</v>
      </c>
      <c r="CC47">
        <v>1</v>
      </c>
      <c r="CD47">
        <v>0</v>
      </c>
      <c r="CE47">
        <v>0</v>
      </c>
      <c r="CF47">
        <v>0</v>
      </c>
      <c r="CG47">
        <v>1</v>
      </c>
      <c r="CH47">
        <v>0</v>
      </c>
      <c r="CI47">
        <v>0</v>
      </c>
      <c r="CJ47">
        <v>0</v>
      </c>
      <c r="CK47">
        <v>1</v>
      </c>
      <c r="CL47">
        <v>0</v>
      </c>
      <c r="CM47">
        <v>1</v>
      </c>
      <c r="CN47">
        <v>1</v>
      </c>
      <c r="CO47">
        <v>1</v>
      </c>
      <c r="CP47">
        <v>0</v>
      </c>
      <c r="CQ47">
        <v>0</v>
      </c>
      <c r="CR47">
        <v>1</v>
      </c>
      <c r="CS47">
        <v>0</v>
      </c>
      <c r="CT47">
        <v>1</v>
      </c>
      <c r="CU47">
        <v>1</v>
      </c>
      <c r="CV47">
        <v>0</v>
      </c>
      <c r="CW47">
        <v>0</v>
      </c>
      <c r="CX47">
        <v>1</v>
      </c>
      <c r="CY47">
        <v>0</v>
      </c>
      <c r="CZ47">
        <v>0</v>
      </c>
      <c r="DA47">
        <v>1</v>
      </c>
      <c r="DB47">
        <v>1</v>
      </c>
      <c r="DC47">
        <v>0</v>
      </c>
      <c r="DD47">
        <v>0</v>
      </c>
      <c r="DE47">
        <v>1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1</v>
      </c>
      <c r="DO47">
        <v>0</v>
      </c>
      <c r="DP47">
        <v>1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1</v>
      </c>
      <c r="EF47">
        <v>0</v>
      </c>
      <c r="EG47">
        <v>0</v>
      </c>
      <c r="EH47">
        <v>0</v>
      </c>
      <c r="EI47">
        <v>1</v>
      </c>
      <c r="EJ47">
        <v>0</v>
      </c>
      <c r="EK47">
        <v>0</v>
      </c>
      <c r="EL47">
        <v>0</v>
      </c>
      <c r="EM47">
        <v>1</v>
      </c>
      <c r="EN47">
        <v>1</v>
      </c>
      <c r="EO47">
        <v>1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1</v>
      </c>
      <c r="EZ47">
        <v>0</v>
      </c>
      <c r="FA47">
        <v>0</v>
      </c>
      <c r="FB47">
        <v>0</v>
      </c>
      <c r="FC47">
        <v>1</v>
      </c>
      <c r="FD47">
        <v>0</v>
      </c>
      <c r="FE47">
        <v>0</v>
      </c>
      <c r="FF47">
        <v>1</v>
      </c>
      <c r="FG47">
        <v>0</v>
      </c>
      <c r="FH47">
        <v>1</v>
      </c>
      <c r="FI47">
        <v>0</v>
      </c>
      <c r="FJ47">
        <v>0</v>
      </c>
      <c r="FK47">
        <v>0</v>
      </c>
      <c r="FL47">
        <v>0</v>
      </c>
      <c r="FM47">
        <v>1</v>
      </c>
      <c r="FN47">
        <v>0</v>
      </c>
      <c r="FO47">
        <v>1</v>
      </c>
      <c r="FP47">
        <v>0</v>
      </c>
      <c r="FQ47">
        <v>1</v>
      </c>
      <c r="FR47">
        <v>0</v>
      </c>
      <c r="FS47">
        <v>1</v>
      </c>
      <c r="FT47">
        <v>1</v>
      </c>
      <c r="FU47">
        <v>0</v>
      </c>
      <c r="FV47">
        <v>1</v>
      </c>
      <c r="FW47">
        <v>0</v>
      </c>
      <c r="FX47">
        <v>0</v>
      </c>
      <c r="FY47">
        <v>1</v>
      </c>
      <c r="FZ47">
        <v>0</v>
      </c>
      <c r="GA47">
        <v>1</v>
      </c>
      <c r="GB47">
        <v>1</v>
      </c>
      <c r="GC47">
        <v>0</v>
      </c>
      <c r="GD47">
        <v>0</v>
      </c>
      <c r="GE47">
        <v>0</v>
      </c>
      <c r="GF47">
        <v>0</v>
      </c>
      <c r="GG47">
        <v>1</v>
      </c>
      <c r="GH47">
        <v>0</v>
      </c>
      <c r="GI47">
        <v>0</v>
      </c>
      <c r="GJ47">
        <v>1</v>
      </c>
      <c r="GK47">
        <v>1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1</v>
      </c>
      <c r="GS47">
        <v>1</v>
      </c>
      <c r="GT47">
        <v>0</v>
      </c>
      <c r="GU47">
        <v>0</v>
      </c>
      <c r="GV47">
        <v>0</v>
      </c>
      <c r="GW47">
        <v>0</v>
      </c>
      <c r="GX47">
        <v>1</v>
      </c>
      <c r="GY47">
        <v>1</v>
      </c>
      <c r="GZ47">
        <v>0</v>
      </c>
      <c r="HA47">
        <v>0</v>
      </c>
      <c r="HB47">
        <v>0</v>
      </c>
      <c r="HC47">
        <v>0</v>
      </c>
      <c r="HD47">
        <v>1</v>
      </c>
      <c r="HE47">
        <v>0</v>
      </c>
      <c r="HF47">
        <v>0</v>
      </c>
      <c r="HG47">
        <v>0</v>
      </c>
      <c r="HH47">
        <v>1</v>
      </c>
      <c r="HI47">
        <v>0</v>
      </c>
      <c r="HJ47">
        <v>1</v>
      </c>
      <c r="HK47">
        <v>0</v>
      </c>
      <c r="HL47">
        <v>0</v>
      </c>
      <c r="HM47">
        <v>0</v>
      </c>
      <c r="HN47">
        <v>1</v>
      </c>
      <c r="HO47">
        <v>0</v>
      </c>
      <c r="HP47">
        <v>0</v>
      </c>
      <c r="HQ47">
        <v>1</v>
      </c>
      <c r="HR47">
        <v>1</v>
      </c>
      <c r="HS47">
        <v>1</v>
      </c>
      <c r="HT47">
        <v>1</v>
      </c>
      <c r="HU47">
        <v>0</v>
      </c>
      <c r="HV47">
        <v>1</v>
      </c>
      <c r="HW47">
        <v>1</v>
      </c>
      <c r="HX47">
        <v>0</v>
      </c>
      <c r="HY47">
        <v>0</v>
      </c>
      <c r="HZ47">
        <v>0</v>
      </c>
      <c r="IA47">
        <v>0</v>
      </c>
      <c r="IB47">
        <v>1</v>
      </c>
      <c r="IC47">
        <v>0</v>
      </c>
      <c r="ID47">
        <v>1</v>
      </c>
      <c r="IE47">
        <v>1</v>
      </c>
      <c r="IF47">
        <v>0</v>
      </c>
      <c r="IG47">
        <v>0</v>
      </c>
      <c r="IH47">
        <v>0</v>
      </c>
      <c r="II47">
        <v>1</v>
      </c>
      <c r="IJ47">
        <v>0</v>
      </c>
      <c r="IK47">
        <v>0</v>
      </c>
      <c r="IL47">
        <v>1</v>
      </c>
      <c r="IM47">
        <v>0</v>
      </c>
      <c r="IN47">
        <v>0</v>
      </c>
      <c r="IO47">
        <v>0</v>
      </c>
      <c r="IP47">
        <v>1</v>
      </c>
      <c r="IQ47">
        <v>0</v>
      </c>
      <c r="IR47">
        <v>0</v>
      </c>
      <c r="IS47">
        <v>0</v>
      </c>
      <c r="IT47">
        <v>0</v>
      </c>
      <c r="IU47">
        <v>0</v>
      </c>
      <c r="IV47">
        <v>0</v>
      </c>
      <c r="IW47">
        <v>0</v>
      </c>
      <c r="IX47">
        <v>0</v>
      </c>
      <c r="IY47">
        <v>0</v>
      </c>
      <c r="IZ47">
        <v>1</v>
      </c>
      <c r="JA47">
        <v>0</v>
      </c>
      <c r="JB47">
        <v>1</v>
      </c>
      <c r="JC47">
        <v>1</v>
      </c>
      <c r="JD47">
        <v>1</v>
      </c>
      <c r="JE47">
        <v>1</v>
      </c>
      <c r="JF47">
        <v>1</v>
      </c>
      <c r="JG47">
        <v>1</v>
      </c>
      <c r="JH47">
        <v>1</v>
      </c>
      <c r="JI47">
        <v>0</v>
      </c>
      <c r="JJ47">
        <v>0</v>
      </c>
      <c r="JK47">
        <v>1</v>
      </c>
      <c r="JL47">
        <v>0</v>
      </c>
      <c r="JM47">
        <v>1</v>
      </c>
      <c r="JN47">
        <v>1</v>
      </c>
      <c r="JO47">
        <v>0</v>
      </c>
      <c r="JP47">
        <v>1</v>
      </c>
      <c r="JQ47">
        <v>0</v>
      </c>
      <c r="JR47">
        <v>0</v>
      </c>
      <c r="JS47">
        <v>1</v>
      </c>
      <c r="JT47">
        <v>0</v>
      </c>
      <c r="JU47">
        <v>0</v>
      </c>
      <c r="JV47">
        <v>1</v>
      </c>
      <c r="JW47">
        <v>0</v>
      </c>
      <c r="JX47">
        <v>1</v>
      </c>
      <c r="JY47">
        <v>1</v>
      </c>
      <c r="JZ47">
        <v>0</v>
      </c>
      <c r="KA47">
        <v>0</v>
      </c>
      <c r="KB47">
        <v>1</v>
      </c>
      <c r="KC47">
        <v>0</v>
      </c>
      <c r="KD47">
        <v>0</v>
      </c>
      <c r="KE47">
        <v>1</v>
      </c>
      <c r="KF47">
        <v>0</v>
      </c>
      <c r="KG47">
        <v>0</v>
      </c>
      <c r="KH47">
        <v>0</v>
      </c>
      <c r="KI47">
        <v>0</v>
      </c>
      <c r="KJ47">
        <v>0</v>
      </c>
      <c r="KK47">
        <v>1</v>
      </c>
      <c r="KL47">
        <v>1</v>
      </c>
      <c r="KM47">
        <v>0</v>
      </c>
      <c r="KN47">
        <v>0</v>
      </c>
      <c r="KO47">
        <v>1</v>
      </c>
      <c r="KP47">
        <v>0</v>
      </c>
      <c r="KQ47">
        <v>1</v>
      </c>
      <c r="KR47">
        <v>0</v>
      </c>
      <c r="KS47">
        <v>1</v>
      </c>
      <c r="KT47">
        <v>1</v>
      </c>
      <c r="KU47">
        <v>1</v>
      </c>
      <c r="KV47">
        <v>0</v>
      </c>
      <c r="KW47">
        <v>0</v>
      </c>
      <c r="KX47">
        <v>0</v>
      </c>
      <c r="KY47">
        <v>0</v>
      </c>
      <c r="KZ47">
        <v>1</v>
      </c>
      <c r="LA47">
        <v>0</v>
      </c>
      <c r="LB47">
        <v>0</v>
      </c>
      <c r="LC47">
        <v>1</v>
      </c>
      <c r="LD47">
        <v>1</v>
      </c>
      <c r="LE47">
        <v>1</v>
      </c>
      <c r="LF47">
        <v>1</v>
      </c>
      <c r="LG47">
        <v>0</v>
      </c>
      <c r="LH47">
        <v>0</v>
      </c>
      <c r="LI47">
        <v>0</v>
      </c>
      <c r="LJ47">
        <v>0</v>
      </c>
      <c r="LK47">
        <v>1</v>
      </c>
      <c r="LL47">
        <v>1</v>
      </c>
      <c r="LM47">
        <v>1</v>
      </c>
      <c r="LN47">
        <v>0</v>
      </c>
      <c r="LO47">
        <v>1</v>
      </c>
      <c r="LP47">
        <v>0</v>
      </c>
      <c r="LQ47">
        <v>1</v>
      </c>
      <c r="LR47">
        <v>0</v>
      </c>
      <c r="LS47">
        <v>1</v>
      </c>
      <c r="LT47">
        <v>1</v>
      </c>
      <c r="LU47">
        <v>1</v>
      </c>
      <c r="LV47">
        <v>1</v>
      </c>
      <c r="LW47">
        <v>1</v>
      </c>
      <c r="LX47">
        <v>1</v>
      </c>
      <c r="LY47">
        <v>0</v>
      </c>
      <c r="LZ47">
        <v>0</v>
      </c>
      <c r="MA47">
        <v>0</v>
      </c>
      <c r="MB47">
        <v>1</v>
      </c>
      <c r="MC47">
        <v>1</v>
      </c>
      <c r="MD47">
        <v>0</v>
      </c>
      <c r="ME47">
        <v>0</v>
      </c>
      <c r="MF47">
        <v>0</v>
      </c>
      <c r="MG47">
        <v>1</v>
      </c>
      <c r="MH47">
        <v>0</v>
      </c>
      <c r="MI47">
        <v>0</v>
      </c>
      <c r="MJ47">
        <v>1</v>
      </c>
      <c r="MK47">
        <v>0</v>
      </c>
      <c r="ML47">
        <v>1</v>
      </c>
      <c r="MM47">
        <v>1</v>
      </c>
      <c r="MN47">
        <v>0</v>
      </c>
      <c r="MO47">
        <v>0</v>
      </c>
      <c r="MP47">
        <v>0</v>
      </c>
      <c r="MQ47">
        <v>1</v>
      </c>
      <c r="MR47">
        <v>1</v>
      </c>
      <c r="MS47">
        <v>0</v>
      </c>
      <c r="MT47">
        <v>0</v>
      </c>
      <c r="MU47">
        <v>0</v>
      </c>
      <c r="MV47">
        <v>0</v>
      </c>
      <c r="MW47">
        <v>0</v>
      </c>
      <c r="MX47">
        <v>1</v>
      </c>
      <c r="MY47">
        <v>1</v>
      </c>
      <c r="MZ47">
        <v>1</v>
      </c>
      <c r="NA47">
        <v>1</v>
      </c>
      <c r="NB47">
        <v>0</v>
      </c>
      <c r="NC47">
        <v>0</v>
      </c>
      <c r="ND47">
        <v>0</v>
      </c>
      <c r="NE47">
        <v>0</v>
      </c>
      <c r="NF47">
        <v>0</v>
      </c>
      <c r="NG47">
        <v>1</v>
      </c>
      <c r="NH47">
        <v>0</v>
      </c>
      <c r="NI47">
        <v>0</v>
      </c>
      <c r="NJ47">
        <v>0</v>
      </c>
      <c r="NK47">
        <v>0</v>
      </c>
      <c r="NL47">
        <v>1</v>
      </c>
      <c r="NM47">
        <v>1</v>
      </c>
      <c r="NN47">
        <v>1</v>
      </c>
      <c r="NO47">
        <v>1</v>
      </c>
      <c r="NP47">
        <v>1</v>
      </c>
      <c r="NQ47">
        <v>0</v>
      </c>
      <c r="NR47">
        <v>0</v>
      </c>
      <c r="NS47">
        <v>0</v>
      </c>
      <c r="NT47">
        <v>0</v>
      </c>
      <c r="NU47">
        <v>0</v>
      </c>
      <c r="NV47">
        <v>0</v>
      </c>
      <c r="NW47">
        <v>0</v>
      </c>
      <c r="NX47">
        <v>0</v>
      </c>
      <c r="NY47">
        <v>0</v>
      </c>
      <c r="NZ47">
        <v>1</v>
      </c>
      <c r="OA47">
        <v>1</v>
      </c>
      <c r="OB47">
        <v>0</v>
      </c>
      <c r="OC47">
        <v>0</v>
      </c>
      <c r="OD47">
        <v>0</v>
      </c>
      <c r="OE47">
        <v>0</v>
      </c>
      <c r="OF47">
        <v>0</v>
      </c>
      <c r="OG47">
        <v>1</v>
      </c>
      <c r="OH47">
        <v>1</v>
      </c>
      <c r="OI47">
        <v>1</v>
      </c>
      <c r="OJ47">
        <v>1</v>
      </c>
      <c r="OK47">
        <v>0</v>
      </c>
      <c r="OL47">
        <v>0</v>
      </c>
      <c r="OM47">
        <v>0</v>
      </c>
      <c r="ON47">
        <v>1</v>
      </c>
      <c r="OO47">
        <v>1</v>
      </c>
      <c r="OP47">
        <v>0</v>
      </c>
      <c r="OQ47">
        <v>0</v>
      </c>
      <c r="OR47">
        <v>1</v>
      </c>
      <c r="OS47">
        <v>1</v>
      </c>
      <c r="OT47">
        <v>0</v>
      </c>
      <c r="OU47">
        <v>0</v>
      </c>
      <c r="OV47">
        <v>1</v>
      </c>
      <c r="OW47">
        <v>0</v>
      </c>
      <c r="OX47">
        <v>0</v>
      </c>
      <c r="OY47">
        <v>1</v>
      </c>
      <c r="OZ47">
        <v>0</v>
      </c>
      <c r="PA47">
        <v>1</v>
      </c>
      <c r="PB47">
        <v>0</v>
      </c>
      <c r="PC47">
        <v>0</v>
      </c>
      <c r="PD47">
        <v>0</v>
      </c>
      <c r="PE47">
        <v>0</v>
      </c>
      <c r="PF47">
        <v>0</v>
      </c>
      <c r="PG47">
        <v>1</v>
      </c>
      <c r="PH47">
        <v>1</v>
      </c>
      <c r="PI47">
        <v>0</v>
      </c>
      <c r="PJ47">
        <v>1</v>
      </c>
      <c r="PK47">
        <v>1</v>
      </c>
      <c r="PL47">
        <v>0</v>
      </c>
      <c r="PM47">
        <v>0</v>
      </c>
      <c r="PN47">
        <v>0</v>
      </c>
      <c r="PO47">
        <v>0</v>
      </c>
      <c r="PP47">
        <v>0</v>
      </c>
      <c r="PQ47">
        <v>1</v>
      </c>
      <c r="PR47">
        <v>1</v>
      </c>
      <c r="PS47">
        <v>1</v>
      </c>
      <c r="PT47">
        <v>1</v>
      </c>
      <c r="PU47">
        <v>1</v>
      </c>
      <c r="PV47">
        <v>1</v>
      </c>
    </row>
    <row r="48" spans="1:438" x14ac:dyDescent="0.3">
      <c r="A48" s="31">
        <v>127</v>
      </c>
      <c r="B48" s="28">
        <v>1.0900000000000001</v>
      </c>
      <c r="C48" s="30">
        <v>94.27</v>
      </c>
      <c r="D48" s="28">
        <v>0.89</v>
      </c>
      <c r="E48" s="34">
        <f t="shared" si="0"/>
        <v>1.78E-2</v>
      </c>
      <c r="F48" s="35">
        <f t="shared" si="1"/>
        <v>23.567499999999999</v>
      </c>
      <c r="G48" s="34">
        <f t="shared" si="2"/>
        <v>22.25</v>
      </c>
      <c r="H48" s="33">
        <f t="shared" si="3"/>
        <v>-21.62155963302752</v>
      </c>
      <c r="I48" s="29">
        <f t="shared" ca="1" si="4"/>
        <v>3</v>
      </c>
      <c r="J48">
        <f ca="1">IF(AND(SUMPRODUCT($J$2:J47,$B$2:B47)&lt;500,SUM(B47,SUMPRODUCT($J$2:J47,$B$2:B47))&lt;500),1,0)</f>
        <v>0</v>
      </c>
      <c r="K48">
        <v>0</v>
      </c>
      <c r="L48">
        <v>0</v>
      </c>
      <c r="W48">
        <v>1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1</v>
      </c>
      <c r="AK48">
        <v>1</v>
      </c>
      <c r="AL48">
        <v>1</v>
      </c>
      <c r="AM48">
        <v>0</v>
      </c>
      <c r="AN48">
        <v>0</v>
      </c>
      <c r="AO48">
        <v>0</v>
      </c>
      <c r="AP48">
        <v>1</v>
      </c>
      <c r="AQ48">
        <v>0</v>
      </c>
      <c r="AR48">
        <v>1</v>
      </c>
      <c r="AS48">
        <v>1</v>
      </c>
      <c r="AT48">
        <v>0</v>
      </c>
      <c r="AU48">
        <v>1</v>
      </c>
      <c r="AV48">
        <v>1</v>
      </c>
      <c r="AW48">
        <v>0</v>
      </c>
      <c r="AX48">
        <v>0</v>
      </c>
      <c r="AY48">
        <v>0</v>
      </c>
      <c r="AZ48">
        <v>1</v>
      </c>
      <c r="BA48">
        <v>1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1</v>
      </c>
      <c r="BL48">
        <v>0</v>
      </c>
      <c r="BM48">
        <v>1</v>
      </c>
      <c r="BN48">
        <v>1</v>
      </c>
      <c r="BO48">
        <v>1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1</v>
      </c>
      <c r="BW48">
        <v>0</v>
      </c>
      <c r="BX48">
        <v>0</v>
      </c>
      <c r="BY48">
        <v>0</v>
      </c>
      <c r="BZ48">
        <v>1</v>
      </c>
      <c r="CA48">
        <v>1</v>
      </c>
      <c r="CB48">
        <v>0</v>
      </c>
      <c r="CC48">
        <v>0</v>
      </c>
      <c r="CD48">
        <v>1</v>
      </c>
      <c r="CE48">
        <v>1</v>
      </c>
      <c r="CF48">
        <v>1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1</v>
      </c>
      <c r="CM48">
        <v>1</v>
      </c>
      <c r="CN48">
        <v>1</v>
      </c>
      <c r="CO48">
        <v>0</v>
      </c>
      <c r="CP48">
        <v>0</v>
      </c>
      <c r="CQ48">
        <v>0</v>
      </c>
      <c r="CR48">
        <v>1</v>
      </c>
      <c r="CS48">
        <v>1</v>
      </c>
      <c r="CT48">
        <v>1</v>
      </c>
      <c r="CU48">
        <v>1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1</v>
      </c>
      <c r="DC48">
        <v>0</v>
      </c>
      <c r="DD48">
        <v>0</v>
      </c>
      <c r="DE48">
        <v>1</v>
      </c>
      <c r="DF48">
        <v>1</v>
      </c>
      <c r="DG48">
        <v>1</v>
      </c>
      <c r="DH48">
        <v>1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1</v>
      </c>
      <c r="DO48">
        <v>0</v>
      </c>
      <c r="DP48">
        <v>1</v>
      </c>
      <c r="DQ48">
        <v>0</v>
      </c>
      <c r="DR48">
        <v>0</v>
      </c>
      <c r="DS48">
        <v>0</v>
      </c>
      <c r="DT48">
        <v>1</v>
      </c>
      <c r="DU48">
        <v>0</v>
      </c>
      <c r="DV48">
        <v>0</v>
      </c>
      <c r="DW48">
        <v>1</v>
      </c>
      <c r="DX48">
        <v>0</v>
      </c>
      <c r="DY48">
        <v>0</v>
      </c>
      <c r="DZ48">
        <v>0</v>
      </c>
      <c r="EA48">
        <v>1</v>
      </c>
      <c r="EB48">
        <v>1</v>
      </c>
      <c r="EC48">
        <v>1</v>
      </c>
      <c r="ED48">
        <v>0</v>
      </c>
      <c r="EE48">
        <v>0</v>
      </c>
      <c r="EF48">
        <v>1</v>
      </c>
      <c r="EG48">
        <v>0</v>
      </c>
      <c r="EH48">
        <v>0</v>
      </c>
      <c r="EI48">
        <v>0</v>
      </c>
      <c r="EJ48">
        <v>1</v>
      </c>
      <c r="EK48">
        <v>1</v>
      </c>
      <c r="EL48">
        <v>0</v>
      </c>
      <c r="EM48">
        <v>1</v>
      </c>
      <c r="EN48">
        <v>0</v>
      </c>
      <c r="EO48">
        <v>0</v>
      </c>
      <c r="EP48">
        <v>1</v>
      </c>
      <c r="EQ48">
        <v>0</v>
      </c>
      <c r="ER48">
        <v>0</v>
      </c>
      <c r="ES48">
        <v>1</v>
      </c>
      <c r="ET48">
        <v>0</v>
      </c>
      <c r="EU48">
        <v>1</v>
      </c>
      <c r="EV48">
        <v>0</v>
      </c>
      <c r="EW48">
        <v>0</v>
      </c>
      <c r="EX48">
        <v>1</v>
      </c>
      <c r="EY48">
        <v>1</v>
      </c>
      <c r="EZ48">
        <v>0</v>
      </c>
      <c r="FA48">
        <v>1</v>
      </c>
      <c r="FB48">
        <v>0</v>
      </c>
      <c r="FC48">
        <v>0</v>
      </c>
      <c r="FD48">
        <v>0</v>
      </c>
      <c r="FE48">
        <v>1</v>
      </c>
      <c r="FF48">
        <v>0</v>
      </c>
      <c r="FG48">
        <v>0</v>
      </c>
      <c r="FH48">
        <v>1</v>
      </c>
      <c r="FI48">
        <v>1</v>
      </c>
      <c r="FJ48">
        <v>1</v>
      </c>
      <c r="FK48">
        <v>1</v>
      </c>
      <c r="FL48">
        <v>0</v>
      </c>
      <c r="FM48">
        <v>1</v>
      </c>
      <c r="FN48">
        <v>0</v>
      </c>
      <c r="FO48">
        <v>1</v>
      </c>
      <c r="FP48">
        <v>1</v>
      </c>
      <c r="FQ48">
        <v>0</v>
      </c>
      <c r="FR48">
        <v>0</v>
      </c>
      <c r="FS48">
        <v>1</v>
      </c>
      <c r="FT48">
        <v>0</v>
      </c>
      <c r="FU48">
        <v>0</v>
      </c>
      <c r="FV48">
        <v>1</v>
      </c>
      <c r="FW48">
        <v>0</v>
      </c>
      <c r="FX48">
        <v>0</v>
      </c>
      <c r="FY48">
        <v>0</v>
      </c>
      <c r="FZ48">
        <v>0</v>
      </c>
      <c r="GA48">
        <v>1</v>
      </c>
      <c r="GB48">
        <v>0</v>
      </c>
      <c r="GC48">
        <v>0</v>
      </c>
      <c r="GD48">
        <v>1</v>
      </c>
      <c r="GE48">
        <v>0</v>
      </c>
      <c r="GF48">
        <v>0</v>
      </c>
      <c r="GG48">
        <v>1</v>
      </c>
      <c r="GH48">
        <v>1</v>
      </c>
      <c r="GI48">
        <v>0</v>
      </c>
      <c r="GJ48">
        <v>1</v>
      </c>
      <c r="GK48">
        <v>0</v>
      </c>
      <c r="GL48">
        <v>1</v>
      </c>
      <c r="GM48">
        <v>0</v>
      </c>
      <c r="GN48">
        <v>0</v>
      </c>
      <c r="GO48">
        <v>0</v>
      </c>
      <c r="GP48">
        <v>1</v>
      </c>
      <c r="GQ48">
        <v>1</v>
      </c>
      <c r="GR48">
        <v>0</v>
      </c>
      <c r="GS48">
        <v>1</v>
      </c>
      <c r="GT48">
        <v>1</v>
      </c>
      <c r="GU48">
        <v>0</v>
      </c>
      <c r="GV48">
        <v>0</v>
      </c>
      <c r="GW48">
        <v>1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1</v>
      </c>
      <c r="HD48">
        <v>1</v>
      </c>
      <c r="HE48">
        <v>0</v>
      </c>
      <c r="HF48">
        <v>1</v>
      </c>
      <c r="HG48">
        <v>0</v>
      </c>
      <c r="HH48">
        <v>0</v>
      </c>
      <c r="HI48">
        <v>1</v>
      </c>
      <c r="HJ48">
        <v>1</v>
      </c>
      <c r="HK48">
        <v>0</v>
      </c>
      <c r="HL48">
        <v>1</v>
      </c>
      <c r="HM48">
        <v>1</v>
      </c>
      <c r="HN48">
        <v>0</v>
      </c>
      <c r="HO48">
        <v>0</v>
      </c>
      <c r="HP48">
        <v>0</v>
      </c>
      <c r="HQ48">
        <v>1</v>
      </c>
      <c r="HR48">
        <v>0</v>
      </c>
      <c r="HS48">
        <v>0</v>
      </c>
      <c r="HT48">
        <v>1</v>
      </c>
      <c r="HU48">
        <v>0</v>
      </c>
      <c r="HV48">
        <v>0</v>
      </c>
      <c r="HW48">
        <v>1</v>
      </c>
      <c r="HX48">
        <v>0</v>
      </c>
      <c r="HY48">
        <v>0</v>
      </c>
      <c r="HZ48">
        <v>0</v>
      </c>
      <c r="IA48">
        <v>0</v>
      </c>
      <c r="IB48">
        <v>1</v>
      </c>
      <c r="IC48">
        <v>0</v>
      </c>
      <c r="ID48">
        <v>0</v>
      </c>
      <c r="IE48">
        <v>1</v>
      </c>
      <c r="IF48">
        <v>0</v>
      </c>
      <c r="IG48">
        <v>1</v>
      </c>
      <c r="IH48">
        <v>0</v>
      </c>
      <c r="II48">
        <v>0</v>
      </c>
      <c r="IJ48">
        <v>1</v>
      </c>
      <c r="IK48">
        <v>0</v>
      </c>
      <c r="IL48">
        <v>1</v>
      </c>
      <c r="IM48">
        <v>1</v>
      </c>
      <c r="IN48">
        <v>0</v>
      </c>
      <c r="IO48">
        <v>0</v>
      </c>
      <c r="IP48">
        <v>1</v>
      </c>
      <c r="IQ48">
        <v>0</v>
      </c>
      <c r="IR48">
        <v>1</v>
      </c>
      <c r="IS48">
        <v>0</v>
      </c>
      <c r="IT48">
        <v>1</v>
      </c>
      <c r="IU48">
        <v>0</v>
      </c>
      <c r="IV48">
        <v>1</v>
      </c>
      <c r="IW48">
        <v>1</v>
      </c>
      <c r="IX48">
        <v>0</v>
      </c>
      <c r="IY48">
        <v>0</v>
      </c>
      <c r="IZ48">
        <v>1</v>
      </c>
      <c r="JA48">
        <v>1</v>
      </c>
      <c r="JB48">
        <v>1</v>
      </c>
      <c r="JC48">
        <v>1</v>
      </c>
      <c r="JD48">
        <v>1</v>
      </c>
      <c r="JE48">
        <v>0</v>
      </c>
      <c r="JF48">
        <v>0</v>
      </c>
      <c r="JG48">
        <v>1</v>
      </c>
      <c r="JH48">
        <v>1</v>
      </c>
      <c r="JI48">
        <v>0</v>
      </c>
      <c r="JJ48">
        <v>0</v>
      </c>
      <c r="JK48">
        <v>1</v>
      </c>
      <c r="JL48">
        <v>0</v>
      </c>
      <c r="JM48">
        <v>0</v>
      </c>
      <c r="JN48">
        <v>1</v>
      </c>
      <c r="JO48">
        <v>0</v>
      </c>
      <c r="JP48">
        <v>1</v>
      </c>
      <c r="JQ48">
        <v>0</v>
      </c>
      <c r="JR48">
        <v>0</v>
      </c>
      <c r="JS48">
        <v>0</v>
      </c>
      <c r="JT48">
        <v>0</v>
      </c>
      <c r="JU48">
        <v>0</v>
      </c>
      <c r="JV48">
        <v>0</v>
      </c>
      <c r="JW48">
        <v>0</v>
      </c>
      <c r="JX48">
        <v>1</v>
      </c>
      <c r="JY48">
        <v>0</v>
      </c>
      <c r="JZ48">
        <v>1</v>
      </c>
      <c r="KA48">
        <v>0</v>
      </c>
      <c r="KB48">
        <v>0</v>
      </c>
      <c r="KC48">
        <v>0</v>
      </c>
      <c r="KD48">
        <v>0</v>
      </c>
      <c r="KE48">
        <v>1</v>
      </c>
      <c r="KF48">
        <v>0</v>
      </c>
      <c r="KG48">
        <v>0</v>
      </c>
      <c r="KH48">
        <v>1</v>
      </c>
      <c r="KI48">
        <v>1</v>
      </c>
      <c r="KJ48">
        <v>0</v>
      </c>
      <c r="KK48">
        <v>0</v>
      </c>
      <c r="KL48">
        <v>0</v>
      </c>
      <c r="KM48">
        <v>0</v>
      </c>
      <c r="KN48">
        <v>0</v>
      </c>
      <c r="KO48">
        <v>1</v>
      </c>
      <c r="KP48">
        <v>0</v>
      </c>
      <c r="KQ48">
        <v>0</v>
      </c>
      <c r="KR48">
        <v>0</v>
      </c>
      <c r="KS48">
        <v>1</v>
      </c>
      <c r="KT48">
        <v>1</v>
      </c>
      <c r="KU48">
        <v>1</v>
      </c>
      <c r="KV48">
        <v>1</v>
      </c>
      <c r="KW48">
        <v>0</v>
      </c>
      <c r="KX48">
        <v>1</v>
      </c>
      <c r="KY48">
        <v>0</v>
      </c>
      <c r="KZ48">
        <v>1</v>
      </c>
      <c r="LA48">
        <v>0</v>
      </c>
      <c r="LB48">
        <v>0</v>
      </c>
      <c r="LC48">
        <v>0</v>
      </c>
      <c r="LD48">
        <v>0</v>
      </c>
      <c r="LE48">
        <v>1</v>
      </c>
      <c r="LF48">
        <v>0</v>
      </c>
      <c r="LG48">
        <v>1</v>
      </c>
      <c r="LH48">
        <v>0</v>
      </c>
      <c r="LI48">
        <v>0</v>
      </c>
      <c r="LJ48">
        <v>0</v>
      </c>
      <c r="LK48">
        <v>0</v>
      </c>
      <c r="LL48">
        <v>1</v>
      </c>
      <c r="LM48">
        <v>0</v>
      </c>
      <c r="LN48">
        <v>1</v>
      </c>
      <c r="LO48">
        <v>1</v>
      </c>
      <c r="LP48">
        <v>0</v>
      </c>
      <c r="LQ48">
        <v>0</v>
      </c>
      <c r="LR48">
        <v>1</v>
      </c>
      <c r="LS48">
        <v>0</v>
      </c>
      <c r="LT48">
        <v>1</v>
      </c>
      <c r="LU48">
        <v>1</v>
      </c>
      <c r="LV48">
        <v>0</v>
      </c>
      <c r="LW48">
        <v>1</v>
      </c>
      <c r="LX48">
        <v>1</v>
      </c>
      <c r="LY48">
        <v>0</v>
      </c>
      <c r="LZ48">
        <v>0</v>
      </c>
      <c r="MA48">
        <v>0</v>
      </c>
      <c r="MB48">
        <v>0</v>
      </c>
      <c r="MC48">
        <v>1</v>
      </c>
      <c r="MD48">
        <v>0</v>
      </c>
      <c r="ME48">
        <v>0</v>
      </c>
      <c r="MF48">
        <v>0</v>
      </c>
      <c r="MG48">
        <v>1</v>
      </c>
      <c r="MH48">
        <v>0</v>
      </c>
      <c r="MI48">
        <v>1</v>
      </c>
      <c r="MJ48">
        <v>1</v>
      </c>
      <c r="MK48">
        <v>0</v>
      </c>
      <c r="ML48">
        <v>1</v>
      </c>
      <c r="MM48">
        <v>1</v>
      </c>
      <c r="MN48">
        <v>1</v>
      </c>
      <c r="MO48">
        <v>0</v>
      </c>
      <c r="MP48">
        <v>1</v>
      </c>
      <c r="MQ48">
        <v>1</v>
      </c>
      <c r="MR48">
        <v>1</v>
      </c>
      <c r="MS48">
        <v>0</v>
      </c>
      <c r="MT48">
        <v>0</v>
      </c>
      <c r="MU48">
        <v>0</v>
      </c>
      <c r="MV48">
        <v>0</v>
      </c>
      <c r="MW48">
        <v>0</v>
      </c>
      <c r="MX48">
        <v>0</v>
      </c>
      <c r="MY48">
        <v>1</v>
      </c>
      <c r="MZ48">
        <v>0</v>
      </c>
      <c r="NA48">
        <v>1</v>
      </c>
      <c r="NB48">
        <v>0</v>
      </c>
      <c r="NC48">
        <v>0</v>
      </c>
      <c r="ND48">
        <v>1</v>
      </c>
      <c r="NE48">
        <v>0</v>
      </c>
      <c r="NF48">
        <v>1</v>
      </c>
      <c r="NG48">
        <v>0</v>
      </c>
      <c r="NH48">
        <v>0</v>
      </c>
      <c r="NI48">
        <v>1</v>
      </c>
      <c r="NJ48">
        <v>1</v>
      </c>
      <c r="NK48">
        <v>0</v>
      </c>
      <c r="NL48">
        <v>1</v>
      </c>
      <c r="NM48">
        <v>1</v>
      </c>
      <c r="NN48">
        <v>0</v>
      </c>
      <c r="NO48">
        <v>0</v>
      </c>
      <c r="NP48">
        <v>0</v>
      </c>
      <c r="NQ48">
        <v>0</v>
      </c>
      <c r="NR48">
        <v>0</v>
      </c>
      <c r="NS48">
        <v>1</v>
      </c>
      <c r="NT48">
        <v>0</v>
      </c>
      <c r="NU48">
        <v>1</v>
      </c>
      <c r="NV48">
        <v>0</v>
      </c>
      <c r="NW48">
        <v>0</v>
      </c>
      <c r="NX48">
        <v>1</v>
      </c>
      <c r="NY48">
        <v>0</v>
      </c>
      <c r="NZ48">
        <v>1</v>
      </c>
      <c r="OA48">
        <v>0</v>
      </c>
      <c r="OB48">
        <v>0</v>
      </c>
      <c r="OC48">
        <v>0</v>
      </c>
      <c r="OD48">
        <v>0</v>
      </c>
      <c r="OE48">
        <v>0</v>
      </c>
      <c r="OF48">
        <v>0</v>
      </c>
      <c r="OG48">
        <v>0</v>
      </c>
      <c r="OH48">
        <v>1</v>
      </c>
      <c r="OI48">
        <v>1</v>
      </c>
      <c r="OJ48">
        <v>1</v>
      </c>
      <c r="OK48">
        <v>1</v>
      </c>
      <c r="OL48">
        <v>0</v>
      </c>
      <c r="OM48">
        <v>0</v>
      </c>
      <c r="ON48">
        <v>0</v>
      </c>
      <c r="OO48">
        <v>0</v>
      </c>
      <c r="OP48">
        <v>0</v>
      </c>
      <c r="OQ48">
        <v>0</v>
      </c>
      <c r="OR48">
        <v>0</v>
      </c>
      <c r="OS48">
        <v>1</v>
      </c>
      <c r="OT48">
        <v>0</v>
      </c>
      <c r="OU48">
        <v>0</v>
      </c>
      <c r="OV48">
        <v>1</v>
      </c>
      <c r="OW48">
        <v>0</v>
      </c>
      <c r="OX48">
        <v>0</v>
      </c>
      <c r="OY48">
        <v>0</v>
      </c>
      <c r="OZ48">
        <v>0</v>
      </c>
      <c r="PA48">
        <v>0</v>
      </c>
      <c r="PB48">
        <v>0</v>
      </c>
      <c r="PC48">
        <v>0</v>
      </c>
      <c r="PD48">
        <v>1</v>
      </c>
      <c r="PE48">
        <v>0</v>
      </c>
      <c r="PF48">
        <v>0</v>
      </c>
      <c r="PG48">
        <v>1</v>
      </c>
      <c r="PH48">
        <v>1</v>
      </c>
      <c r="PI48">
        <v>0</v>
      </c>
      <c r="PJ48">
        <v>1</v>
      </c>
      <c r="PK48">
        <v>0</v>
      </c>
      <c r="PL48">
        <v>0</v>
      </c>
      <c r="PM48">
        <v>0</v>
      </c>
      <c r="PN48">
        <v>1</v>
      </c>
      <c r="PO48">
        <v>0</v>
      </c>
      <c r="PP48">
        <v>0</v>
      </c>
      <c r="PQ48">
        <v>1</v>
      </c>
      <c r="PR48">
        <v>0</v>
      </c>
      <c r="PS48">
        <v>0</v>
      </c>
      <c r="PT48">
        <v>1</v>
      </c>
      <c r="PU48">
        <v>1</v>
      </c>
      <c r="PV48">
        <v>1</v>
      </c>
    </row>
    <row r="49" spans="1:438" x14ac:dyDescent="0.3">
      <c r="A49" s="31">
        <v>128</v>
      </c>
      <c r="B49" s="28">
        <v>2.84</v>
      </c>
      <c r="C49" s="30">
        <v>41.02</v>
      </c>
      <c r="D49" s="28">
        <v>0.98</v>
      </c>
      <c r="E49" s="34">
        <f t="shared" si="0"/>
        <v>1.9599999999999999E-2</v>
      </c>
      <c r="F49" s="35">
        <f t="shared" si="1"/>
        <v>10.255000000000001</v>
      </c>
      <c r="G49" s="34">
        <f t="shared" si="2"/>
        <v>24.5</v>
      </c>
      <c r="H49" s="33">
        <f t="shared" si="3"/>
        <v>5.191901408450704</v>
      </c>
      <c r="I49" s="29">
        <f t="shared" ca="1" si="4"/>
        <v>3</v>
      </c>
      <c r="J49">
        <f ca="1">IF(AND(SUMPRODUCT($J$2:J48,$B$2:B48)&lt;500,SUM(B48,SUMPRODUCT($J$2:J48,$B$2:B48))&lt;500),1,0)</f>
        <v>0</v>
      </c>
      <c r="K49">
        <v>1</v>
      </c>
      <c r="L49">
        <v>0</v>
      </c>
      <c r="W49">
        <v>1</v>
      </c>
      <c r="X49">
        <v>0</v>
      </c>
      <c r="Y49">
        <v>1</v>
      </c>
      <c r="Z49">
        <v>1</v>
      </c>
      <c r="AA49">
        <v>1</v>
      </c>
      <c r="AB49">
        <v>1</v>
      </c>
      <c r="AC49">
        <v>0</v>
      </c>
      <c r="AD49">
        <v>1</v>
      </c>
      <c r="AE49">
        <v>1</v>
      </c>
      <c r="AF49">
        <v>0</v>
      </c>
      <c r="AG49">
        <v>1</v>
      </c>
      <c r="AH49">
        <v>0</v>
      </c>
      <c r="AI49">
        <v>0</v>
      </c>
      <c r="AJ49">
        <v>1</v>
      </c>
      <c r="AK49">
        <v>0</v>
      </c>
      <c r="AL49">
        <v>0</v>
      </c>
      <c r="AM49">
        <v>1</v>
      </c>
      <c r="AN49">
        <v>0</v>
      </c>
      <c r="AO49">
        <v>0</v>
      </c>
      <c r="AP49">
        <v>1</v>
      </c>
      <c r="AQ49">
        <v>0</v>
      </c>
      <c r="AR49">
        <v>1</v>
      </c>
      <c r="AS49">
        <v>1</v>
      </c>
      <c r="AT49">
        <v>0</v>
      </c>
      <c r="AU49">
        <v>0</v>
      </c>
      <c r="AV49">
        <v>1</v>
      </c>
      <c r="AW49">
        <v>1</v>
      </c>
      <c r="AX49">
        <v>0</v>
      </c>
      <c r="AY49">
        <v>1</v>
      </c>
      <c r="AZ49">
        <v>1</v>
      </c>
      <c r="BA49">
        <v>1</v>
      </c>
      <c r="BB49">
        <v>1</v>
      </c>
      <c r="BC49">
        <v>0</v>
      </c>
      <c r="BD49">
        <v>1</v>
      </c>
      <c r="BE49">
        <v>0</v>
      </c>
      <c r="BF49">
        <v>1</v>
      </c>
      <c r="BG49">
        <v>1</v>
      </c>
      <c r="BH49">
        <v>1</v>
      </c>
      <c r="BI49">
        <v>1</v>
      </c>
      <c r="BJ49">
        <v>0</v>
      </c>
      <c r="BK49">
        <v>0</v>
      </c>
      <c r="BL49">
        <v>0</v>
      </c>
      <c r="BM49">
        <v>1</v>
      </c>
      <c r="BN49">
        <v>1</v>
      </c>
      <c r="BO49">
        <v>1</v>
      </c>
      <c r="BP49">
        <v>0</v>
      </c>
      <c r="BQ49">
        <v>0</v>
      </c>
      <c r="BR49">
        <v>0</v>
      </c>
      <c r="BS49">
        <v>1</v>
      </c>
      <c r="BT49">
        <v>0</v>
      </c>
      <c r="BU49">
        <v>0</v>
      </c>
      <c r="BV49">
        <v>1</v>
      </c>
      <c r="BW49">
        <v>0</v>
      </c>
      <c r="BX49">
        <v>1</v>
      </c>
      <c r="BY49">
        <v>1</v>
      </c>
      <c r="BZ49">
        <v>0</v>
      </c>
      <c r="CA49">
        <v>0</v>
      </c>
      <c r="CB49">
        <v>1</v>
      </c>
      <c r="CC49">
        <v>0</v>
      </c>
      <c r="CD49">
        <v>1</v>
      </c>
      <c r="CE49">
        <v>1</v>
      </c>
      <c r="CF49">
        <v>1</v>
      </c>
      <c r="CG49">
        <v>0</v>
      </c>
      <c r="CH49">
        <v>0</v>
      </c>
      <c r="CI49">
        <v>0</v>
      </c>
      <c r="CJ49">
        <v>0</v>
      </c>
      <c r="CK49">
        <v>1</v>
      </c>
      <c r="CL49">
        <v>1</v>
      </c>
      <c r="CM49">
        <v>1</v>
      </c>
      <c r="CN49">
        <v>1</v>
      </c>
      <c r="CO49">
        <v>1</v>
      </c>
      <c r="CP49">
        <v>0</v>
      </c>
      <c r="CQ49">
        <v>0</v>
      </c>
      <c r="CR49">
        <v>1</v>
      </c>
      <c r="CS49">
        <v>0</v>
      </c>
      <c r="CT49">
        <v>0</v>
      </c>
      <c r="CU49">
        <v>0</v>
      </c>
      <c r="CV49">
        <v>0</v>
      </c>
      <c r="CW49">
        <v>1</v>
      </c>
      <c r="CX49">
        <v>1</v>
      </c>
      <c r="CY49">
        <v>1</v>
      </c>
      <c r="CZ49">
        <v>0</v>
      </c>
      <c r="DA49">
        <v>0</v>
      </c>
      <c r="DB49">
        <v>1</v>
      </c>
      <c r="DC49">
        <v>0</v>
      </c>
      <c r="DD49">
        <v>1</v>
      </c>
      <c r="DE49">
        <v>1</v>
      </c>
      <c r="DF49">
        <v>1</v>
      </c>
      <c r="DG49">
        <v>0</v>
      </c>
      <c r="DH49">
        <v>0</v>
      </c>
      <c r="DI49">
        <v>0</v>
      </c>
      <c r="DJ49">
        <v>0</v>
      </c>
      <c r="DK49">
        <v>1</v>
      </c>
      <c r="DL49">
        <v>0</v>
      </c>
      <c r="DM49">
        <v>0</v>
      </c>
      <c r="DN49">
        <v>0</v>
      </c>
      <c r="DO49">
        <v>0</v>
      </c>
      <c r="DP49">
        <v>1</v>
      </c>
      <c r="DQ49">
        <v>0</v>
      </c>
      <c r="DR49">
        <v>1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1</v>
      </c>
      <c r="EF49">
        <v>0</v>
      </c>
      <c r="EG49">
        <v>0</v>
      </c>
      <c r="EH49">
        <v>1</v>
      </c>
      <c r="EI49">
        <v>0</v>
      </c>
      <c r="EJ49">
        <v>0</v>
      </c>
      <c r="EK49">
        <v>0</v>
      </c>
      <c r="EL49">
        <v>0</v>
      </c>
      <c r="EM49">
        <v>1</v>
      </c>
      <c r="EN49">
        <v>0</v>
      </c>
      <c r="EO49">
        <v>0</v>
      </c>
      <c r="EP49">
        <v>1</v>
      </c>
      <c r="EQ49">
        <v>0</v>
      </c>
      <c r="ER49">
        <v>1</v>
      </c>
      <c r="ES49">
        <v>1</v>
      </c>
      <c r="ET49">
        <v>0</v>
      </c>
      <c r="EU49">
        <v>1</v>
      </c>
      <c r="EV49">
        <v>0</v>
      </c>
      <c r="EW49">
        <v>1</v>
      </c>
      <c r="EX49">
        <v>0</v>
      </c>
      <c r="EY49">
        <v>1</v>
      </c>
      <c r="EZ49">
        <v>0</v>
      </c>
      <c r="FA49">
        <v>1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1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1</v>
      </c>
      <c r="FN49">
        <v>0</v>
      </c>
      <c r="FO49">
        <v>1</v>
      </c>
      <c r="FP49">
        <v>0</v>
      </c>
      <c r="FQ49">
        <v>0</v>
      </c>
      <c r="FR49">
        <v>0</v>
      </c>
      <c r="FS49">
        <v>1</v>
      </c>
      <c r="FT49">
        <v>1</v>
      </c>
      <c r="FU49">
        <v>0</v>
      </c>
      <c r="FV49">
        <v>1</v>
      </c>
      <c r="FW49">
        <v>0</v>
      </c>
      <c r="FX49">
        <v>0</v>
      </c>
      <c r="FY49">
        <v>1</v>
      </c>
      <c r="FZ49">
        <v>1</v>
      </c>
      <c r="GA49">
        <v>1</v>
      </c>
      <c r="GB49">
        <v>0</v>
      </c>
      <c r="GC49">
        <v>0</v>
      </c>
      <c r="GD49">
        <v>1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1</v>
      </c>
      <c r="GK49">
        <v>1</v>
      </c>
      <c r="GL49">
        <v>1</v>
      </c>
      <c r="GM49">
        <v>1</v>
      </c>
      <c r="GN49">
        <v>0</v>
      </c>
      <c r="GO49">
        <v>0</v>
      </c>
      <c r="GP49">
        <v>1</v>
      </c>
      <c r="GQ49">
        <v>1</v>
      </c>
      <c r="GR49">
        <v>1</v>
      </c>
      <c r="GS49">
        <v>0</v>
      </c>
      <c r="GT49">
        <v>0</v>
      </c>
      <c r="GU49">
        <v>0</v>
      </c>
      <c r="GV49">
        <v>1</v>
      </c>
      <c r="GW49">
        <v>0</v>
      </c>
      <c r="GX49">
        <v>0</v>
      </c>
      <c r="GY49">
        <v>0</v>
      </c>
      <c r="GZ49">
        <v>0</v>
      </c>
      <c r="HA49">
        <v>1</v>
      </c>
      <c r="HB49">
        <v>0</v>
      </c>
      <c r="HC49">
        <v>1</v>
      </c>
      <c r="HD49">
        <v>1</v>
      </c>
      <c r="HE49">
        <v>0</v>
      </c>
      <c r="HF49">
        <v>1</v>
      </c>
      <c r="HG49">
        <v>0</v>
      </c>
      <c r="HH49">
        <v>0</v>
      </c>
      <c r="HI49">
        <v>0</v>
      </c>
      <c r="HJ49">
        <v>1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1</v>
      </c>
      <c r="HS49">
        <v>0</v>
      </c>
      <c r="HT49">
        <v>1</v>
      </c>
      <c r="HU49">
        <v>1</v>
      </c>
      <c r="HV49">
        <v>1</v>
      </c>
      <c r="HW49">
        <v>1</v>
      </c>
      <c r="HX49">
        <v>0</v>
      </c>
      <c r="HY49">
        <v>1</v>
      </c>
      <c r="HZ49">
        <v>1</v>
      </c>
      <c r="IA49">
        <v>0</v>
      </c>
      <c r="IB49">
        <v>0</v>
      </c>
      <c r="IC49">
        <v>0</v>
      </c>
      <c r="ID49">
        <v>1</v>
      </c>
      <c r="IE49">
        <v>1</v>
      </c>
      <c r="IF49">
        <v>1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0</v>
      </c>
      <c r="IP49">
        <v>1</v>
      </c>
      <c r="IQ49">
        <v>0</v>
      </c>
      <c r="IR49">
        <v>0</v>
      </c>
      <c r="IS49">
        <v>0</v>
      </c>
      <c r="IT49">
        <v>0</v>
      </c>
      <c r="IU49">
        <v>0</v>
      </c>
      <c r="IV49">
        <v>1</v>
      </c>
      <c r="IW49">
        <v>0</v>
      </c>
      <c r="IX49">
        <v>1</v>
      </c>
      <c r="IY49">
        <v>0</v>
      </c>
      <c r="IZ49">
        <v>0</v>
      </c>
      <c r="JA49">
        <v>1</v>
      </c>
      <c r="JB49">
        <v>0</v>
      </c>
      <c r="JC49">
        <v>0</v>
      </c>
      <c r="JD49">
        <v>1</v>
      </c>
      <c r="JE49">
        <v>0</v>
      </c>
      <c r="JF49">
        <v>0</v>
      </c>
      <c r="JG49">
        <v>1</v>
      </c>
      <c r="JH49">
        <v>0</v>
      </c>
      <c r="JI49">
        <v>0</v>
      </c>
      <c r="JJ49">
        <v>0</v>
      </c>
      <c r="JK49">
        <v>1</v>
      </c>
      <c r="JL49">
        <v>0</v>
      </c>
      <c r="JM49">
        <v>0</v>
      </c>
      <c r="JN49">
        <v>1</v>
      </c>
      <c r="JO49">
        <v>1</v>
      </c>
      <c r="JP49">
        <v>1</v>
      </c>
      <c r="JQ49">
        <v>0</v>
      </c>
      <c r="JR49">
        <v>0</v>
      </c>
      <c r="JS49">
        <v>1</v>
      </c>
      <c r="JT49">
        <v>1</v>
      </c>
      <c r="JU49">
        <v>0</v>
      </c>
      <c r="JV49">
        <v>1</v>
      </c>
      <c r="JW49">
        <v>0</v>
      </c>
      <c r="JX49">
        <v>1</v>
      </c>
      <c r="JY49">
        <v>1</v>
      </c>
      <c r="JZ49">
        <v>1</v>
      </c>
      <c r="KA49">
        <v>0</v>
      </c>
      <c r="KB49">
        <v>0</v>
      </c>
      <c r="KC49">
        <v>0</v>
      </c>
      <c r="KD49">
        <v>0</v>
      </c>
      <c r="KE49">
        <v>0</v>
      </c>
      <c r="KF49">
        <v>0</v>
      </c>
      <c r="KG49">
        <v>0</v>
      </c>
      <c r="KH49">
        <v>1</v>
      </c>
      <c r="KI49">
        <v>0</v>
      </c>
      <c r="KJ49">
        <v>0</v>
      </c>
      <c r="KK49">
        <v>0</v>
      </c>
      <c r="KL49">
        <v>0</v>
      </c>
      <c r="KM49">
        <v>1</v>
      </c>
      <c r="KN49">
        <v>0</v>
      </c>
      <c r="KO49">
        <v>0</v>
      </c>
      <c r="KP49">
        <v>0</v>
      </c>
      <c r="KQ49">
        <v>1</v>
      </c>
      <c r="KR49">
        <v>0</v>
      </c>
      <c r="KS49">
        <v>0</v>
      </c>
      <c r="KT49">
        <v>1</v>
      </c>
      <c r="KU49">
        <v>0</v>
      </c>
      <c r="KV49">
        <v>0</v>
      </c>
      <c r="KW49">
        <v>0</v>
      </c>
      <c r="KX49">
        <v>0</v>
      </c>
      <c r="KY49">
        <v>0</v>
      </c>
      <c r="KZ49">
        <v>1</v>
      </c>
      <c r="LA49">
        <v>0</v>
      </c>
      <c r="LB49">
        <v>0</v>
      </c>
      <c r="LC49">
        <v>0</v>
      </c>
      <c r="LD49">
        <v>0</v>
      </c>
      <c r="LE49">
        <v>1</v>
      </c>
      <c r="LF49">
        <v>0</v>
      </c>
      <c r="LG49">
        <v>0</v>
      </c>
      <c r="LH49">
        <v>1</v>
      </c>
      <c r="LI49">
        <v>0</v>
      </c>
      <c r="LJ49">
        <v>0</v>
      </c>
      <c r="LK49">
        <v>0</v>
      </c>
      <c r="LL49">
        <v>1</v>
      </c>
      <c r="LM49">
        <v>0</v>
      </c>
      <c r="LN49">
        <v>1</v>
      </c>
      <c r="LO49">
        <v>1</v>
      </c>
      <c r="LP49">
        <v>0</v>
      </c>
      <c r="LQ49">
        <v>1</v>
      </c>
      <c r="LR49">
        <v>1</v>
      </c>
      <c r="LS49">
        <v>0</v>
      </c>
      <c r="LT49">
        <v>0</v>
      </c>
      <c r="LU49">
        <v>1</v>
      </c>
      <c r="LV49">
        <v>1</v>
      </c>
      <c r="LW49">
        <v>1</v>
      </c>
      <c r="LX49">
        <v>0</v>
      </c>
      <c r="LY49">
        <v>0</v>
      </c>
      <c r="LZ49">
        <v>0</v>
      </c>
      <c r="MA49">
        <v>0</v>
      </c>
      <c r="MB49">
        <v>1</v>
      </c>
      <c r="MC49">
        <v>1</v>
      </c>
      <c r="MD49">
        <v>0</v>
      </c>
      <c r="ME49">
        <v>0</v>
      </c>
      <c r="MF49">
        <v>0</v>
      </c>
      <c r="MG49">
        <v>1</v>
      </c>
      <c r="MH49">
        <v>0</v>
      </c>
      <c r="MI49">
        <v>1</v>
      </c>
      <c r="MJ49">
        <v>1</v>
      </c>
      <c r="MK49">
        <v>1</v>
      </c>
      <c r="ML49">
        <v>0</v>
      </c>
      <c r="MM49">
        <v>1</v>
      </c>
      <c r="MN49">
        <v>1</v>
      </c>
      <c r="MO49">
        <v>0</v>
      </c>
      <c r="MP49">
        <v>0</v>
      </c>
      <c r="MQ49">
        <v>0</v>
      </c>
      <c r="MR49">
        <v>0</v>
      </c>
      <c r="MS49">
        <v>1</v>
      </c>
      <c r="MT49">
        <v>0</v>
      </c>
      <c r="MU49">
        <v>1</v>
      </c>
      <c r="MV49">
        <v>0</v>
      </c>
      <c r="MW49">
        <v>0</v>
      </c>
      <c r="MX49">
        <v>0</v>
      </c>
      <c r="MY49">
        <v>0</v>
      </c>
      <c r="MZ49">
        <v>0</v>
      </c>
      <c r="NA49">
        <v>0</v>
      </c>
      <c r="NB49">
        <v>1</v>
      </c>
      <c r="NC49">
        <v>0</v>
      </c>
      <c r="ND49">
        <v>1</v>
      </c>
      <c r="NE49">
        <v>0</v>
      </c>
      <c r="NF49">
        <v>1</v>
      </c>
      <c r="NG49">
        <v>0</v>
      </c>
      <c r="NH49">
        <v>0</v>
      </c>
      <c r="NI49">
        <v>0</v>
      </c>
      <c r="NJ49">
        <v>0</v>
      </c>
      <c r="NK49">
        <v>1</v>
      </c>
      <c r="NL49">
        <v>1</v>
      </c>
      <c r="NM49">
        <v>1</v>
      </c>
      <c r="NN49">
        <v>0</v>
      </c>
      <c r="NO49">
        <v>0</v>
      </c>
      <c r="NP49">
        <v>1</v>
      </c>
      <c r="NQ49">
        <v>1</v>
      </c>
      <c r="NR49">
        <v>1</v>
      </c>
      <c r="NS49">
        <v>0</v>
      </c>
      <c r="NT49">
        <v>0</v>
      </c>
      <c r="NU49">
        <v>1</v>
      </c>
      <c r="NV49">
        <v>1</v>
      </c>
      <c r="NW49">
        <v>0</v>
      </c>
      <c r="NX49">
        <v>1</v>
      </c>
      <c r="NY49">
        <v>0</v>
      </c>
      <c r="NZ49">
        <v>1</v>
      </c>
      <c r="OA49">
        <v>0</v>
      </c>
      <c r="OB49">
        <v>0</v>
      </c>
      <c r="OC49">
        <v>0</v>
      </c>
      <c r="OD49">
        <v>0</v>
      </c>
      <c r="OE49">
        <v>0</v>
      </c>
      <c r="OF49">
        <v>0</v>
      </c>
      <c r="OG49">
        <v>0</v>
      </c>
      <c r="OH49">
        <v>1</v>
      </c>
      <c r="OI49">
        <v>1</v>
      </c>
      <c r="OJ49">
        <v>1</v>
      </c>
      <c r="OK49">
        <v>1</v>
      </c>
      <c r="OL49">
        <v>0</v>
      </c>
      <c r="OM49">
        <v>0</v>
      </c>
      <c r="ON49">
        <v>0</v>
      </c>
      <c r="OO49">
        <v>1</v>
      </c>
      <c r="OP49">
        <v>0</v>
      </c>
      <c r="OQ49">
        <v>0</v>
      </c>
      <c r="OR49">
        <v>0</v>
      </c>
      <c r="OS49">
        <v>1</v>
      </c>
      <c r="OT49">
        <v>0</v>
      </c>
      <c r="OU49">
        <v>0</v>
      </c>
      <c r="OV49">
        <v>1</v>
      </c>
      <c r="OW49">
        <v>0</v>
      </c>
      <c r="OX49">
        <v>0</v>
      </c>
      <c r="OY49">
        <v>0</v>
      </c>
      <c r="OZ49">
        <v>1</v>
      </c>
      <c r="PA49">
        <v>0</v>
      </c>
      <c r="PB49">
        <v>0</v>
      </c>
      <c r="PC49">
        <v>0</v>
      </c>
      <c r="PD49">
        <v>1</v>
      </c>
      <c r="PE49">
        <v>0</v>
      </c>
      <c r="PF49">
        <v>0</v>
      </c>
      <c r="PG49">
        <v>0</v>
      </c>
      <c r="PH49">
        <v>0</v>
      </c>
      <c r="PI49">
        <v>1</v>
      </c>
      <c r="PJ49">
        <v>0</v>
      </c>
      <c r="PK49">
        <v>0</v>
      </c>
      <c r="PL49">
        <v>1</v>
      </c>
      <c r="PM49">
        <v>0</v>
      </c>
      <c r="PN49">
        <v>0</v>
      </c>
      <c r="PO49">
        <v>0</v>
      </c>
      <c r="PP49">
        <v>0</v>
      </c>
      <c r="PQ49">
        <v>0</v>
      </c>
      <c r="PR49">
        <v>0</v>
      </c>
      <c r="PS49">
        <v>0</v>
      </c>
      <c r="PT49">
        <v>0</v>
      </c>
      <c r="PU49">
        <v>1</v>
      </c>
      <c r="PV49">
        <v>1</v>
      </c>
    </row>
    <row r="50" spans="1:438" x14ac:dyDescent="0.3">
      <c r="A50" s="31">
        <v>130</v>
      </c>
      <c r="B50" s="28">
        <v>6</v>
      </c>
      <c r="C50" s="30">
        <v>3.54</v>
      </c>
      <c r="D50" s="28">
        <v>1.57</v>
      </c>
      <c r="E50" s="34">
        <f t="shared" si="0"/>
        <v>3.1400000000000004E-2</v>
      </c>
      <c r="F50" s="35">
        <f t="shared" si="1"/>
        <v>0.88500000000000001</v>
      </c>
      <c r="G50" s="34">
        <f t="shared" si="2"/>
        <v>39.25</v>
      </c>
      <c r="H50" s="33">
        <f t="shared" si="3"/>
        <v>8.1858333333333331</v>
      </c>
      <c r="I50" s="29">
        <f t="shared" ca="1" si="4"/>
        <v>3</v>
      </c>
      <c r="J50">
        <f ca="1">IF(AND(SUMPRODUCT($J$2:J49,$B$2:B49)&lt;500,SUM(B49,SUMPRODUCT($J$2:J49,$B$2:B49))&lt;500),1,0)</f>
        <v>0</v>
      </c>
      <c r="K50">
        <v>2</v>
      </c>
      <c r="L50">
        <v>0</v>
      </c>
      <c r="W50">
        <v>0</v>
      </c>
      <c r="X50">
        <v>0</v>
      </c>
      <c r="Y50">
        <v>1</v>
      </c>
      <c r="Z50">
        <v>0</v>
      </c>
      <c r="AA50">
        <v>1</v>
      </c>
      <c r="AB50">
        <v>1</v>
      </c>
      <c r="AC50">
        <v>0</v>
      </c>
      <c r="AD50">
        <v>1</v>
      </c>
      <c r="AE50">
        <v>1</v>
      </c>
      <c r="AF50">
        <v>1</v>
      </c>
      <c r="AG50">
        <v>1</v>
      </c>
      <c r="AH50">
        <v>0</v>
      </c>
      <c r="AI50">
        <v>0</v>
      </c>
      <c r="AJ50">
        <v>0</v>
      </c>
      <c r="AK50">
        <v>0</v>
      </c>
      <c r="AL50">
        <v>1</v>
      </c>
      <c r="AM50">
        <v>1</v>
      </c>
      <c r="AN50">
        <v>0</v>
      </c>
      <c r="AO50">
        <v>0</v>
      </c>
      <c r="AP50">
        <v>1</v>
      </c>
      <c r="AQ50">
        <v>0</v>
      </c>
      <c r="AR50">
        <v>0</v>
      </c>
      <c r="AS50">
        <v>0</v>
      </c>
      <c r="AT50">
        <v>0</v>
      </c>
      <c r="AU50">
        <v>1</v>
      </c>
      <c r="AV50">
        <v>1</v>
      </c>
      <c r="AW50">
        <v>0</v>
      </c>
      <c r="AX50">
        <v>0</v>
      </c>
      <c r="AY50">
        <v>0</v>
      </c>
      <c r="AZ50">
        <v>1</v>
      </c>
      <c r="BA50">
        <v>1</v>
      </c>
      <c r="BB50">
        <v>0</v>
      </c>
      <c r="BC50">
        <v>1</v>
      </c>
      <c r="BD50">
        <v>1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1</v>
      </c>
      <c r="BL50">
        <v>0</v>
      </c>
      <c r="BM50">
        <v>0</v>
      </c>
      <c r="BN50">
        <v>1</v>
      </c>
      <c r="BO50">
        <v>1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1</v>
      </c>
      <c r="BV50">
        <v>1</v>
      </c>
      <c r="BW50">
        <v>0</v>
      </c>
      <c r="BX50">
        <v>0</v>
      </c>
      <c r="BY50">
        <v>0</v>
      </c>
      <c r="BZ50">
        <v>1</v>
      </c>
      <c r="CA50">
        <v>0</v>
      </c>
      <c r="CB50">
        <v>0</v>
      </c>
      <c r="CC50">
        <v>1</v>
      </c>
      <c r="CD50">
        <v>1</v>
      </c>
      <c r="CE50">
        <v>1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1</v>
      </c>
      <c r="CN50">
        <v>1</v>
      </c>
      <c r="CO50">
        <v>0</v>
      </c>
      <c r="CP50">
        <v>0</v>
      </c>
      <c r="CQ50">
        <v>0</v>
      </c>
      <c r="CR50">
        <v>1</v>
      </c>
      <c r="CS50">
        <v>0</v>
      </c>
      <c r="CT50">
        <v>1</v>
      </c>
      <c r="CU50">
        <v>0</v>
      </c>
      <c r="CV50">
        <v>0</v>
      </c>
      <c r="CW50">
        <v>0</v>
      </c>
      <c r="CX50">
        <v>1</v>
      </c>
      <c r="CY50">
        <v>0</v>
      </c>
      <c r="CZ50">
        <v>0</v>
      </c>
      <c r="DA50">
        <v>1</v>
      </c>
      <c r="DB50">
        <v>1</v>
      </c>
      <c r="DC50">
        <v>0</v>
      </c>
      <c r="DD50">
        <v>1</v>
      </c>
      <c r="DE50">
        <v>0</v>
      </c>
      <c r="DF50">
        <v>1</v>
      </c>
      <c r="DG50">
        <v>1</v>
      </c>
      <c r="DH50">
        <v>0</v>
      </c>
      <c r="DI50">
        <v>1</v>
      </c>
      <c r="DJ50">
        <v>0</v>
      </c>
      <c r="DK50">
        <v>0</v>
      </c>
      <c r="DL50">
        <v>1</v>
      </c>
      <c r="DM50">
        <v>0</v>
      </c>
      <c r="DN50">
        <v>0</v>
      </c>
      <c r="DO50">
        <v>0</v>
      </c>
      <c r="DP50">
        <v>1</v>
      </c>
      <c r="DQ50">
        <v>0</v>
      </c>
      <c r="DR50">
        <v>1</v>
      </c>
      <c r="DS50">
        <v>0</v>
      </c>
      <c r="DT50">
        <v>1</v>
      </c>
      <c r="DU50">
        <v>0</v>
      </c>
      <c r="DV50">
        <v>0</v>
      </c>
      <c r="DW50">
        <v>0</v>
      </c>
      <c r="DX50">
        <v>1</v>
      </c>
      <c r="DY50">
        <v>0</v>
      </c>
      <c r="DZ50">
        <v>0</v>
      </c>
      <c r="EA50">
        <v>1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1</v>
      </c>
      <c r="EJ50">
        <v>0</v>
      </c>
      <c r="EK50">
        <v>0</v>
      </c>
      <c r="EL50">
        <v>0</v>
      </c>
      <c r="EM50">
        <v>1</v>
      </c>
      <c r="EN50">
        <v>0</v>
      </c>
      <c r="EO50">
        <v>0</v>
      </c>
      <c r="EP50">
        <v>1</v>
      </c>
      <c r="EQ50">
        <v>0</v>
      </c>
      <c r="ER50">
        <v>0</v>
      </c>
      <c r="ES50">
        <v>1</v>
      </c>
      <c r="ET50">
        <v>0</v>
      </c>
      <c r="EU50">
        <v>1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1</v>
      </c>
      <c r="FB50">
        <v>1</v>
      </c>
      <c r="FC50">
        <v>1</v>
      </c>
      <c r="FD50">
        <v>0</v>
      </c>
      <c r="FE50">
        <v>0</v>
      </c>
      <c r="FF50">
        <v>0</v>
      </c>
      <c r="FG50">
        <v>0</v>
      </c>
      <c r="FH50">
        <v>1</v>
      </c>
      <c r="FI50">
        <v>0</v>
      </c>
      <c r="FJ50">
        <v>1</v>
      </c>
      <c r="FK50">
        <v>0</v>
      </c>
      <c r="FL50">
        <v>0</v>
      </c>
      <c r="FM50">
        <v>0</v>
      </c>
      <c r="FN50">
        <v>1</v>
      </c>
      <c r="FO50">
        <v>1</v>
      </c>
      <c r="FP50">
        <v>0</v>
      </c>
      <c r="FQ50">
        <v>0</v>
      </c>
      <c r="FR50">
        <v>0</v>
      </c>
      <c r="FS50">
        <v>0</v>
      </c>
      <c r="FT50">
        <v>1</v>
      </c>
      <c r="FU50">
        <v>1</v>
      </c>
      <c r="FV50">
        <v>1</v>
      </c>
      <c r="FW50">
        <v>0</v>
      </c>
      <c r="FX50">
        <v>0</v>
      </c>
      <c r="FY50">
        <v>1</v>
      </c>
      <c r="FZ50">
        <v>0</v>
      </c>
      <c r="GA50">
        <v>1</v>
      </c>
      <c r="GB50">
        <v>1</v>
      </c>
      <c r="GC50">
        <v>0</v>
      </c>
      <c r="GD50">
        <v>0</v>
      </c>
      <c r="GE50">
        <v>1</v>
      </c>
      <c r="GF50">
        <v>0</v>
      </c>
      <c r="GG50">
        <v>0</v>
      </c>
      <c r="GH50">
        <v>1</v>
      </c>
      <c r="GI50">
        <v>0</v>
      </c>
      <c r="GJ50">
        <v>1</v>
      </c>
      <c r="GK50">
        <v>1</v>
      </c>
      <c r="GL50">
        <v>0</v>
      </c>
      <c r="GM50">
        <v>1</v>
      </c>
      <c r="GN50">
        <v>0</v>
      </c>
      <c r="GO50">
        <v>0</v>
      </c>
      <c r="GP50">
        <v>0</v>
      </c>
      <c r="GQ50">
        <v>1</v>
      </c>
      <c r="GR50">
        <v>0</v>
      </c>
      <c r="GS50">
        <v>0</v>
      </c>
      <c r="GT50">
        <v>1</v>
      </c>
      <c r="GU50">
        <v>0</v>
      </c>
      <c r="GV50">
        <v>0</v>
      </c>
      <c r="GW50">
        <v>1</v>
      </c>
      <c r="GX50">
        <v>0</v>
      </c>
      <c r="GY50">
        <v>1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1</v>
      </c>
      <c r="HK50">
        <v>0</v>
      </c>
      <c r="HL50">
        <v>1</v>
      </c>
      <c r="HM50">
        <v>1</v>
      </c>
      <c r="HN50">
        <v>0</v>
      </c>
      <c r="HO50">
        <v>1</v>
      </c>
      <c r="HP50">
        <v>0</v>
      </c>
      <c r="HQ50">
        <v>1</v>
      </c>
      <c r="HR50">
        <v>0</v>
      </c>
      <c r="HS50">
        <v>0</v>
      </c>
      <c r="HT50">
        <v>0</v>
      </c>
      <c r="HU50">
        <v>1</v>
      </c>
      <c r="HV50">
        <v>1</v>
      </c>
      <c r="HW50">
        <v>1</v>
      </c>
      <c r="HX50">
        <v>0</v>
      </c>
      <c r="HY50">
        <v>1</v>
      </c>
      <c r="HZ50">
        <v>0</v>
      </c>
      <c r="IA50">
        <v>1</v>
      </c>
      <c r="IB50">
        <v>1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0</v>
      </c>
      <c r="IK50">
        <v>1</v>
      </c>
      <c r="IL50">
        <v>1</v>
      </c>
      <c r="IM50">
        <v>0</v>
      </c>
      <c r="IN50">
        <v>1</v>
      </c>
      <c r="IO50">
        <v>0</v>
      </c>
      <c r="IP50">
        <v>1</v>
      </c>
      <c r="IQ50">
        <v>0</v>
      </c>
      <c r="IR50">
        <v>0</v>
      </c>
      <c r="IS50">
        <v>0</v>
      </c>
      <c r="IT50">
        <v>1</v>
      </c>
      <c r="IU50">
        <v>0</v>
      </c>
      <c r="IV50">
        <v>0</v>
      </c>
      <c r="IW50">
        <v>0</v>
      </c>
      <c r="IX50">
        <v>1</v>
      </c>
      <c r="IY50">
        <v>0</v>
      </c>
      <c r="IZ50">
        <v>1</v>
      </c>
      <c r="JA50">
        <v>0</v>
      </c>
      <c r="JB50">
        <v>1</v>
      </c>
      <c r="JC50">
        <v>1</v>
      </c>
      <c r="JD50">
        <v>1</v>
      </c>
      <c r="JE50">
        <v>1</v>
      </c>
      <c r="JF50">
        <v>1</v>
      </c>
      <c r="JG50">
        <v>1</v>
      </c>
      <c r="JH50">
        <v>1</v>
      </c>
      <c r="JI50">
        <v>0</v>
      </c>
      <c r="JJ50">
        <v>0</v>
      </c>
      <c r="JK50">
        <v>0</v>
      </c>
      <c r="JL50">
        <v>0</v>
      </c>
      <c r="JM50">
        <v>1</v>
      </c>
      <c r="JN50">
        <v>1</v>
      </c>
      <c r="JO50">
        <v>0</v>
      </c>
      <c r="JP50">
        <v>1</v>
      </c>
      <c r="JQ50">
        <v>0</v>
      </c>
      <c r="JR50">
        <v>0</v>
      </c>
      <c r="JS50">
        <v>0</v>
      </c>
      <c r="JT50">
        <v>1</v>
      </c>
      <c r="JU50">
        <v>0</v>
      </c>
      <c r="JV50">
        <v>0</v>
      </c>
      <c r="JW50">
        <v>1</v>
      </c>
      <c r="JX50">
        <v>1</v>
      </c>
      <c r="JY50">
        <v>0</v>
      </c>
      <c r="JZ50">
        <v>1</v>
      </c>
      <c r="KA50">
        <v>0</v>
      </c>
      <c r="KB50">
        <v>1</v>
      </c>
      <c r="KC50">
        <v>0</v>
      </c>
      <c r="KD50">
        <v>0</v>
      </c>
      <c r="KE50">
        <v>0</v>
      </c>
      <c r="KF50">
        <v>0</v>
      </c>
      <c r="KG50">
        <v>0</v>
      </c>
      <c r="KH50">
        <v>1</v>
      </c>
      <c r="KI50">
        <v>0</v>
      </c>
      <c r="KJ50">
        <v>1</v>
      </c>
      <c r="KK50">
        <v>0</v>
      </c>
      <c r="KL50">
        <v>0</v>
      </c>
      <c r="KM50">
        <v>0</v>
      </c>
      <c r="KN50">
        <v>0</v>
      </c>
      <c r="KO50">
        <v>0</v>
      </c>
      <c r="KP50">
        <v>1</v>
      </c>
      <c r="KQ50">
        <v>0</v>
      </c>
      <c r="KR50">
        <v>0</v>
      </c>
      <c r="KS50">
        <v>1</v>
      </c>
      <c r="KT50">
        <v>0</v>
      </c>
      <c r="KU50">
        <v>0</v>
      </c>
      <c r="KV50">
        <v>0</v>
      </c>
      <c r="KW50">
        <v>0</v>
      </c>
      <c r="KX50">
        <v>0</v>
      </c>
      <c r="KY50">
        <v>1</v>
      </c>
      <c r="KZ50">
        <v>1</v>
      </c>
      <c r="LA50">
        <v>0</v>
      </c>
      <c r="LB50">
        <v>0</v>
      </c>
      <c r="LC50">
        <v>1</v>
      </c>
      <c r="LD50">
        <v>1</v>
      </c>
      <c r="LE50">
        <v>0</v>
      </c>
      <c r="LF50">
        <v>0</v>
      </c>
      <c r="LG50">
        <v>0</v>
      </c>
      <c r="LH50">
        <v>1</v>
      </c>
      <c r="LI50">
        <v>0</v>
      </c>
      <c r="LJ50">
        <v>0</v>
      </c>
      <c r="LK50">
        <v>1</v>
      </c>
      <c r="LL50">
        <v>1</v>
      </c>
      <c r="LM50">
        <v>1</v>
      </c>
      <c r="LN50">
        <v>1</v>
      </c>
      <c r="LO50">
        <v>0</v>
      </c>
      <c r="LP50">
        <v>0</v>
      </c>
      <c r="LQ50">
        <v>1</v>
      </c>
      <c r="LR50">
        <v>0</v>
      </c>
      <c r="LS50">
        <v>1</v>
      </c>
      <c r="LT50">
        <v>0</v>
      </c>
      <c r="LU50">
        <v>1</v>
      </c>
      <c r="LV50">
        <v>1</v>
      </c>
      <c r="LW50">
        <v>1</v>
      </c>
      <c r="LX50">
        <v>1</v>
      </c>
      <c r="LY50">
        <v>0</v>
      </c>
      <c r="LZ50">
        <v>0</v>
      </c>
      <c r="MA50">
        <v>0</v>
      </c>
      <c r="MB50">
        <v>1</v>
      </c>
      <c r="MC50">
        <v>1</v>
      </c>
      <c r="MD50">
        <v>0</v>
      </c>
      <c r="ME50">
        <v>0</v>
      </c>
      <c r="MF50">
        <v>0</v>
      </c>
      <c r="MG50">
        <v>0</v>
      </c>
      <c r="MH50">
        <v>0</v>
      </c>
      <c r="MI50">
        <v>1</v>
      </c>
      <c r="MJ50">
        <v>0</v>
      </c>
      <c r="MK50">
        <v>1</v>
      </c>
      <c r="ML50">
        <v>0</v>
      </c>
      <c r="MM50">
        <v>1</v>
      </c>
      <c r="MN50">
        <v>1</v>
      </c>
      <c r="MO50">
        <v>0</v>
      </c>
      <c r="MP50">
        <v>0</v>
      </c>
      <c r="MQ50">
        <v>1</v>
      </c>
      <c r="MR50">
        <v>0</v>
      </c>
      <c r="MS50">
        <v>0</v>
      </c>
      <c r="MT50">
        <v>0</v>
      </c>
      <c r="MU50">
        <v>1</v>
      </c>
      <c r="MV50">
        <v>0</v>
      </c>
      <c r="MW50">
        <v>0</v>
      </c>
      <c r="MX50">
        <v>1</v>
      </c>
      <c r="MY50">
        <v>0</v>
      </c>
      <c r="MZ50">
        <v>0</v>
      </c>
      <c r="NA50">
        <v>0</v>
      </c>
      <c r="NB50">
        <v>0</v>
      </c>
      <c r="NC50">
        <v>0</v>
      </c>
      <c r="ND50">
        <v>0</v>
      </c>
      <c r="NE50">
        <v>0</v>
      </c>
      <c r="NF50">
        <v>1</v>
      </c>
      <c r="NG50">
        <v>0</v>
      </c>
      <c r="NH50">
        <v>0</v>
      </c>
      <c r="NI50">
        <v>1</v>
      </c>
      <c r="NJ50">
        <v>1</v>
      </c>
      <c r="NK50">
        <v>1</v>
      </c>
      <c r="NL50">
        <v>1</v>
      </c>
      <c r="NM50">
        <v>1</v>
      </c>
      <c r="NN50">
        <v>1</v>
      </c>
      <c r="NO50">
        <v>0</v>
      </c>
      <c r="NP50">
        <v>1</v>
      </c>
      <c r="NQ50">
        <v>0</v>
      </c>
      <c r="NR50">
        <v>0</v>
      </c>
      <c r="NS50">
        <v>0</v>
      </c>
      <c r="NT50">
        <v>0</v>
      </c>
      <c r="NU50">
        <v>0</v>
      </c>
      <c r="NV50">
        <v>0</v>
      </c>
      <c r="NW50">
        <v>0</v>
      </c>
      <c r="NX50">
        <v>1</v>
      </c>
      <c r="NY50">
        <v>0</v>
      </c>
      <c r="NZ50">
        <v>1</v>
      </c>
      <c r="OA50">
        <v>0</v>
      </c>
      <c r="OB50">
        <v>0</v>
      </c>
      <c r="OC50">
        <v>0</v>
      </c>
      <c r="OD50">
        <v>0</v>
      </c>
      <c r="OE50">
        <v>0</v>
      </c>
      <c r="OF50">
        <v>0</v>
      </c>
      <c r="OG50">
        <v>1</v>
      </c>
      <c r="OH50">
        <v>0</v>
      </c>
      <c r="OI50">
        <v>1</v>
      </c>
      <c r="OJ50">
        <v>1</v>
      </c>
      <c r="OK50">
        <v>1</v>
      </c>
      <c r="OL50">
        <v>0</v>
      </c>
      <c r="OM50">
        <v>1</v>
      </c>
      <c r="ON50">
        <v>0</v>
      </c>
      <c r="OO50">
        <v>0</v>
      </c>
      <c r="OP50">
        <v>0</v>
      </c>
      <c r="OQ50">
        <v>0</v>
      </c>
      <c r="OR50">
        <v>0</v>
      </c>
      <c r="OS50">
        <v>1</v>
      </c>
      <c r="OT50">
        <v>1</v>
      </c>
      <c r="OU50">
        <v>0</v>
      </c>
      <c r="OV50">
        <v>0</v>
      </c>
      <c r="OW50">
        <v>1</v>
      </c>
      <c r="OX50">
        <v>0</v>
      </c>
      <c r="OY50">
        <v>0</v>
      </c>
      <c r="OZ50">
        <v>1</v>
      </c>
      <c r="PA50">
        <v>1</v>
      </c>
      <c r="PB50">
        <v>0</v>
      </c>
      <c r="PC50">
        <v>1</v>
      </c>
      <c r="PD50">
        <v>1</v>
      </c>
      <c r="PE50">
        <v>1</v>
      </c>
      <c r="PF50">
        <v>0</v>
      </c>
      <c r="PG50">
        <v>1</v>
      </c>
      <c r="PH50">
        <v>0</v>
      </c>
      <c r="PI50">
        <v>0</v>
      </c>
      <c r="PJ50">
        <v>1</v>
      </c>
      <c r="PK50">
        <v>0</v>
      </c>
      <c r="PL50">
        <v>0</v>
      </c>
      <c r="PM50">
        <v>0</v>
      </c>
      <c r="PN50">
        <v>1</v>
      </c>
      <c r="PO50">
        <v>0</v>
      </c>
      <c r="PP50">
        <v>0</v>
      </c>
      <c r="PQ50">
        <v>1</v>
      </c>
      <c r="PR50">
        <v>1</v>
      </c>
      <c r="PS50">
        <v>0</v>
      </c>
      <c r="PT50">
        <v>0</v>
      </c>
      <c r="PU50">
        <v>1</v>
      </c>
      <c r="PV50">
        <v>0</v>
      </c>
    </row>
    <row r="51" spans="1:438" x14ac:dyDescent="0.3">
      <c r="A51" s="31">
        <v>131</v>
      </c>
      <c r="B51" s="28">
        <v>3.17</v>
      </c>
      <c r="C51" s="30">
        <v>21.38</v>
      </c>
      <c r="D51" s="28">
        <v>0.7</v>
      </c>
      <c r="E51" s="34">
        <f t="shared" si="0"/>
        <v>1.3999999999999999E-2</v>
      </c>
      <c r="F51" s="35">
        <f t="shared" si="1"/>
        <v>5.3449999999999998</v>
      </c>
      <c r="G51" s="34">
        <f t="shared" si="2"/>
        <v>17.5</v>
      </c>
      <c r="H51" s="33">
        <f t="shared" si="3"/>
        <v>6.2003154574132493</v>
      </c>
      <c r="I51" s="29">
        <f t="shared" ca="1" si="4"/>
        <v>0</v>
      </c>
      <c r="J51">
        <f ca="1">IF(AND(SUMPRODUCT($J$2:J50,$B$2:B50)&lt;500,SUM(B50,SUMPRODUCT($J$2:J50,$B$2:B50))&lt;500),1,0)</f>
        <v>0</v>
      </c>
      <c r="K51">
        <v>1</v>
      </c>
      <c r="L51">
        <v>0</v>
      </c>
      <c r="W51">
        <v>0</v>
      </c>
      <c r="X51">
        <v>1</v>
      </c>
      <c r="Y51">
        <v>0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0</v>
      </c>
      <c r="AF51">
        <v>0</v>
      </c>
      <c r="AG51">
        <v>1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1</v>
      </c>
      <c r="AP51">
        <v>0</v>
      </c>
      <c r="AQ51">
        <v>0</v>
      </c>
      <c r="AR51">
        <v>1</v>
      </c>
      <c r="AS51">
        <v>1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1</v>
      </c>
      <c r="AZ51">
        <v>1</v>
      </c>
      <c r="BA51">
        <v>1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1</v>
      </c>
      <c r="BI51">
        <v>0</v>
      </c>
      <c r="BJ51">
        <v>0</v>
      </c>
      <c r="BK51">
        <v>0</v>
      </c>
      <c r="BL51">
        <v>0</v>
      </c>
      <c r="BM51">
        <v>1</v>
      </c>
      <c r="BN51">
        <v>1</v>
      </c>
      <c r="BO51">
        <v>0</v>
      </c>
      <c r="BP51">
        <v>1</v>
      </c>
      <c r="BQ51">
        <v>0</v>
      </c>
      <c r="BR51">
        <v>0</v>
      </c>
      <c r="BS51">
        <v>0</v>
      </c>
      <c r="BT51">
        <v>0</v>
      </c>
      <c r="BU51">
        <v>1</v>
      </c>
      <c r="BV51">
        <v>1</v>
      </c>
      <c r="BW51">
        <v>1</v>
      </c>
      <c r="BX51">
        <v>1</v>
      </c>
      <c r="BY51">
        <v>0</v>
      </c>
      <c r="BZ51">
        <v>1</v>
      </c>
      <c r="CA51">
        <v>0</v>
      </c>
      <c r="CB51">
        <v>1</v>
      </c>
      <c r="CC51">
        <v>0</v>
      </c>
      <c r="CD51">
        <v>0</v>
      </c>
      <c r="CE51">
        <v>1</v>
      </c>
      <c r="CF51">
        <v>1</v>
      </c>
      <c r="CG51">
        <v>1</v>
      </c>
      <c r="CH51">
        <v>0</v>
      </c>
      <c r="CI51">
        <v>1</v>
      </c>
      <c r="CJ51">
        <v>0</v>
      </c>
      <c r="CK51">
        <v>1</v>
      </c>
      <c r="CL51">
        <v>0</v>
      </c>
      <c r="CM51">
        <v>1</v>
      </c>
      <c r="CN51">
        <v>1</v>
      </c>
      <c r="CO51">
        <v>1</v>
      </c>
      <c r="CP51">
        <v>0</v>
      </c>
      <c r="CQ51">
        <v>0</v>
      </c>
      <c r="CR51">
        <v>1</v>
      </c>
      <c r="CS51">
        <v>0</v>
      </c>
      <c r="CT51">
        <v>1</v>
      </c>
      <c r="CU51">
        <v>0</v>
      </c>
      <c r="CV51">
        <v>0</v>
      </c>
      <c r="CW51">
        <v>1</v>
      </c>
      <c r="CX51">
        <v>1</v>
      </c>
      <c r="CY51">
        <v>1</v>
      </c>
      <c r="CZ51">
        <v>0</v>
      </c>
      <c r="DA51">
        <v>0</v>
      </c>
      <c r="DB51">
        <v>1</v>
      </c>
      <c r="DC51">
        <v>0</v>
      </c>
      <c r="DD51">
        <v>1</v>
      </c>
      <c r="DE51">
        <v>1</v>
      </c>
      <c r="DF51">
        <v>1</v>
      </c>
      <c r="DG51">
        <v>0</v>
      </c>
      <c r="DH51">
        <v>0</v>
      </c>
      <c r="DI51">
        <v>0</v>
      </c>
      <c r="DJ51">
        <v>0</v>
      </c>
      <c r="DK51">
        <v>1</v>
      </c>
      <c r="DL51">
        <v>0</v>
      </c>
      <c r="DM51">
        <v>0</v>
      </c>
      <c r="DN51">
        <v>1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1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1</v>
      </c>
      <c r="EC51">
        <v>1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1</v>
      </c>
      <c r="EN51">
        <v>1</v>
      </c>
      <c r="EO51">
        <v>1</v>
      </c>
      <c r="EP51">
        <v>1</v>
      </c>
      <c r="EQ51">
        <v>0</v>
      </c>
      <c r="ER51">
        <v>1</v>
      </c>
      <c r="ES51">
        <v>1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1</v>
      </c>
      <c r="EZ51">
        <v>0</v>
      </c>
      <c r="FA51">
        <v>0</v>
      </c>
      <c r="FB51">
        <v>0</v>
      </c>
      <c r="FC51">
        <v>1</v>
      </c>
      <c r="FD51">
        <v>0</v>
      </c>
      <c r="FE51">
        <v>1</v>
      </c>
      <c r="FF51">
        <v>0</v>
      </c>
      <c r="FG51">
        <v>0</v>
      </c>
      <c r="FH51">
        <v>1</v>
      </c>
      <c r="FI51">
        <v>0</v>
      </c>
      <c r="FJ51">
        <v>1</v>
      </c>
      <c r="FK51">
        <v>0</v>
      </c>
      <c r="FL51">
        <v>0</v>
      </c>
      <c r="FM51">
        <v>1</v>
      </c>
      <c r="FN51">
        <v>0</v>
      </c>
      <c r="FO51">
        <v>1</v>
      </c>
      <c r="FP51">
        <v>0</v>
      </c>
      <c r="FQ51">
        <v>0</v>
      </c>
      <c r="FR51">
        <v>0</v>
      </c>
      <c r="FS51">
        <v>1</v>
      </c>
      <c r="FT51">
        <v>0</v>
      </c>
      <c r="FU51">
        <v>1</v>
      </c>
      <c r="FV51">
        <v>1</v>
      </c>
      <c r="FW51">
        <v>1</v>
      </c>
      <c r="FX51">
        <v>0</v>
      </c>
      <c r="FY51">
        <v>1</v>
      </c>
      <c r="FZ51">
        <v>0</v>
      </c>
      <c r="GA51">
        <v>0</v>
      </c>
      <c r="GB51">
        <v>1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1</v>
      </c>
      <c r="GI51">
        <v>0</v>
      </c>
      <c r="GJ51">
        <v>0</v>
      </c>
      <c r="GK51">
        <v>1</v>
      </c>
      <c r="GL51">
        <v>0</v>
      </c>
      <c r="GM51">
        <v>1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1</v>
      </c>
      <c r="GT51">
        <v>1</v>
      </c>
      <c r="GU51">
        <v>0</v>
      </c>
      <c r="GV51">
        <v>1</v>
      </c>
      <c r="GW51">
        <v>0</v>
      </c>
      <c r="GX51">
        <v>1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1</v>
      </c>
      <c r="HE51">
        <v>0</v>
      </c>
      <c r="HF51">
        <v>1</v>
      </c>
      <c r="HG51">
        <v>0</v>
      </c>
      <c r="HH51">
        <v>1</v>
      </c>
      <c r="HI51">
        <v>0</v>
      </c>
      <c r="HJ51">
        <v>0</v>
      </c>
      <c r="HK51">
        <v>0</v>
      </c>
      <c r="HL51">
        <v>1</v>
      </c>
      <c r="HM51">
        <v>1</v>
      </c>
      <c r="HN51">
        <v>0</v>
      </c>
      <c r="HO51">
        <v>0</v>
      </c>
      <c r="HP51">
        <v>0</v>
      </c>
      <c r="HQ51">
        <v>1</v>
      </c>
      <c r="HR51">
        <v>0</v>
      </c>
      <c r="HS51">
        <v>1</v>
      </c>
      <c r="HT51">
        <v>1</v>
      </c>
      <c r="HU51">
        <v>1</v>
      </c>
      <c r="HV51">
        <v>1</v>
      </c>
      <c r="HW51">
        <v>0</v>
      </c>
      <c r="HX51">
        <v>0</v>
      </c>
      <c r="HY51">
        <v>0</v>
      </c>
      <c r="HZ51">
        <v>0</v>
      </c>
      <c r="IA51">
        <v>1</v>
      </c>
      <c r="IB51">
        <v>1</v>
      </c>
      <c r="IC51">
        <v>0</v>
      </c>
      <c r="ID51">
        <v>1</v>
      </c>
      <c r="IE51">
        <v>0</v>
      </c>
      <c r="IF51">
        <v>0</v>
      </c>
      <c r="IG51">
        <v>0</v>
      </c>
      <c r="IH51">
        <v>0</v>
      </c>
      <c r="II51">
        <v>1</v>
      </c>
      <c r="IJ51">
        <v>1</v>
      </c>
      <c r="IK51">
        <v>0</v>
      </c>
      <c r="IL51">
        <v>1</v>
      </c>
      <c r="IM51">
        <v>0</v>
      </c>
      <c r="IN51">
        <v>1</v>
      </c>
      <c r="IO51">
        <v>0</v>
      </c>
      <c r="IP51">
        <v>1</v>
      </c>
      <c r="IQ51">
        <v>0</v>
      </c>
      <c r="IR51">
        <v>0</v>
      </c>
      <c r="IS51">
        <v>0</v>
      </c>
      <c r="IT51">
        <v>1</v>
      </c>
      <c r="IU51">
        <v>0</v>
      </c>
      <c r="IV51">
        <v>0</v>
      </c>
      <c r="IW51">
        <v>0</v>
      </c>
      <c r="IX51">
        <v>1</v>
      </c>
      <c r="IY51">
        <v>0</v>
      </c>
      <c r="IZ51">
        <v>1</v>
      </c>
      <c r="JA51">
        <v>1</v>
      </c>
      <c r="JB51">
        <v>1</v>
      </c>
      <c r="JC51">
        <v>1</v>
      </c>
      <c r="JD51">
        <v>1</v>
      </c>
      <c r="JE51">
        <v>0</v>
      </c>
      <c r="JF51">
        <v>1</v>
      </c>
      <c r="JG51">
        <v>1</v>
      </c>
      <c r="JH51">
        <v>0</v>
      </c>
      <c r="JI51">
        <v>0</v>
      </c>
      <c r="JJ51">
        <v>0</v>
      </c>
      <c r="JK51">
        <v>0</v>
      </c>
      <c r="JL51">
        <v>0</v>
      </c>
      <c r="JM51">
        <v>1</v>
      </c>
      <c r="JN51">
        <v>0</v>
      </c>
      <c r="JO51">
        <v>0</v>
      </c>
      <c r="JP51">
        <v>1</v>
      </c>
      <c r="JQ51">
        <v>0</v>
      </c>
      <c r="JR51">
        <v>0</v>
      </c>
      <c r="JS51">
        <v>0</v>
      </c>
      <c r="JT51">
        <v>1</v>
      </c>
      <c r="JU51">
        <v>0</v>
      </c>
      <c r="JV51">
        <v>1</v>
      </c>
      <c r="JW51">
        <v>1</v>
      </c>
      <c r="JX51">
        <v>1</v>
      </c>
      <c r="JY51">
        <v>1</v>
      </c>
      <c r="JZ51">
        <v>0</v>
      </c>
      <c r="KA51">
        <v>0</v>
      </c>
      <c r="KB51">
        <v>0</v>
      </c>
      <c r="KC51">
        <v>0</v>
      </c>
      <c r="KD51">
        <v>0</v>
      </c>
      <c r="KE51">
        <v>0</v>
      </c>
      <c r="KF51">
        <v>0</v>
      </c>
      <c r="KG51">
        <v>0</v>
      </c>
      <c r="KH51">
        <v>1</v>
      </c>
      <c r="KI51">
        <v>1</v>
      </c>
      <c r="KJ51">
        <v>0</v>
      </c>
      <c r="KK51">
        <v>1</v>
      </c>
      <c r="KL51">
        <v>1</v>
      </c>
      <c r="KM51">
        <v>0</v>
      </c>
      <c r="KN51">
        <v>0</v>
      </c>
      <c r="KO51">
        <v>0</v>
      </c>
      <c r="KP51">
        <v>0</v>
      </c>
      <c r="KQ51">
        <v>1</v>
      </c>
      <c r="KR51">
        <v>0</v>
      </c>
      <c r="KS51">
        <v>1</v>
      </c>
      <c r="KT51">
        <v>0</v>
      </c>
      <c r="KU51">
        <v>0</v>
      </c>
      <c r="KV51">
        <v>0</v>
      </c>
      <c r="KW51">
        <v>0</v>
      </c>
      <c r="KX51">
        <v>1</v>
      </c>
      <c r="KY51">
        <v>1</v>
      </c>
      <c r="KZ51">
        <v>1</v>
      </c>
      <c r="LA51">
        <v>0</v>
      </c>
      <c r="LB51">
        <v>0</v>
      </c>
      <c r="LC51">
        <v>0</v>
      </c>
      <c r="LD51">
        <v>0</v>
      </c>
      <c r="LE51">
        <v>0</v>
      </c>
      <c r="LF51">
        <v>0</v>
      </c>
      <c r="LG51">
        <v>1</v>
      </c>
      <c r="LH51">
        <v>1</v>
      </c>
      <c r="LI51">
        <v>0</v>
      </c>
      <c r="LJ51">
        <v>0</v>
      </c>
      <c r="LK51">
        <v>1</v>
      </c>
      <c r="LL51">
        <v>1</v>
      </c>
      <c r="LM51">
        <v>0</v>
      </c>
      <c r="LN51">
        <v>1</v>
      </c>
      <c r="LO51">
        <v>1</v>
      </c>
      <c r="LP51">
        <v>0</v>
      </c>
      <c r="LQ51">
        <v>1</v>
      </c>
      <c r="LR51">
        <v>0</v>
      </c>
      <c r="LS51">
        <v>0</v>
      </c>
      <c r="LT51">
        <v>1</v>
      </c>
      <c r="LU51">
        <v>1</v>
      </c>
      <c r="LV51">
        <v>0</v>
      </c>
      <c r="LW51">
        <v>0</v>
      </c>
      <c r="LX51">
        <v>0</v>
      </c>
      <c r="LY51">
        <v>0</v>
      </c>
      <c r="LZ51">
        <v>0</v>
      </c>
      <c r="MA51">
        <v>0</v>
      </c>
      <c r="MB51">
        <v>1</v>
      </c>
      <c r="MC51">
        <v>1</v>
      </c>
      <c r="MD51">
        <v>0</v>
      </c>
      <c r="ME51">
        <v>0</v>
      </c>
      <c r="MF51">
        <v>1</v>
      </c>
      <c r="MG51">
        <v>0</v>
      </c>
      <c r="MH51">
        <v>0</v>
      </c>
      <c r="MI51">
        <v>1</v>
      </c>
      <c r="MJ51">
        <v>0</v>
      </c>
      <c r="MK51">
        <v>1</v>
      </c>
      <c r="ML51">
        <v>0</v>
      </c>
      <c r="MM51">
        <v>1</v>
      </c>
      <c r="MN51">
        <v>1</v>
      </c>
      <c r="MO51">
        <v>0</v>
      </c>
      <c r="MP51">
        <v>0</v>
      </c>
      <c r="MQ51">
        <v>1</v>
      </c>
      <c r="MR51">
        <v>0</v>
      </c>
      <c r="MS51">
        <v>1</v>
      </c>
      <c r="MT51">
        <v>1</v>
      </c>
      <c r="MU51">
        <v>1</v>
      </c>
      <c r="MV51">
        <v>0</v>
      </c>
      <c r="MW51">
        <v>0</v>
      </c>
      <c r="MX51">
        <v>0</v>
      </c>
      <c r="MY51">
        <v>1</v>
      </c>
      <c r="MZ51">
        <v>1</v>
      </c>
      <c r="NA51">
        <v>1</v>
      </c>
      <c r="NB51">
        <v>1</v>
      </c>
      <c r="NC51">
        <v>0</v>
      </c>
      <c r="ND51">
        <v>1</v>
      </c>
      <c r="NE51">
        <v>0</v>
      </c>
      <c r="NF51">
        <v>0</v>
      </c>
      <c r="NG51">
        <v>1</v>
      </c>
      <c r="NH51">
        <v>0</v>
      </c>
      <c r="NI51">
        <v>0</v>
      </c>
      <c r="NJ51">
        <v>0</v>
      </c>
      <c r="NK51">
        <v>1</v>
      </c>
      <c r="NL51">
        <v>1</v>
      </c>
      <c r="NM51">
        <v>1</v>
      </c>
      <c r="NN51">
        <v>0</v>
      </c>
      <c r="NO51">
        <v>1</v>
      </c>
      <c r="NP51">
        <v>1</v>
      </c>
      <c r="NQ51">
        <v>0</v>
      </c>
      <c r="NR51">
        <v>0</v>
      </c>
      <c r="NS51">
        <v>0</v>
      </c>
      <c r="NT51">
        <v>0</v>
      </c>
      <c r="NU51">
        <v>0</v>
      </c>
      <c r="NV51">
        <v>0</v>
      </c>
      <c r="NW51">
        <v>0</v>
      </c>
      <c r="NX51">
        <v>1</v>
      </c>
      <c r="NY51">
        <v>0</v>
      </c>
      <c r="NZ51">
        <v>0</v>
      </c>
      <c r="OA51">
        <v>0</v>
      </c>
      <c r="OB51">
        <v>0</v>
      </c>
      <c r="OC51">
        <v>1</v>
      </c>
      <c r="OD51">
        <v>0</v>
      </c>
      <c r="OE51">
        <v>0</v>
      </c>
      <c r="OF51">
        <v>0</v>
      </c>
      <c r="OG51">
        <v>0</v>
      </c>
      <c r="OH51">
        <v>1</v>
      </c>
      <c r="OI51">
        <v>1</v>
      </c>
      <c r="OJ51">
        <v>0</v>
      </c>
      <c r="OK51">
        <v>0</v>
      </c>
      <c r="OL51">
        <v>0</v>
      </c>
      <c r="OM51">
        <v>0</v>
      </c>
      <c r="ON51">
        <v>0</v>
      </c>
      <c r="OO51">
        <v>0</v>
      </c>
      <c r="OP51">
        <v>0</v>
      </c>
      <c r="OQ51">
        <v>0</v>
      </c>
      <c r="OR51">
        <v>0</v>
      </c>
      <c r="OS51">
        <v>1</v>
      </c>
      <c r="OT51">
        <v>0</v>
      </c>
      <c r="OU51">
        <v>0</v>
      </c>
      <c r="OV51">
        <v>1</v>
      </c>
      <c r="OW51">
        <v>1</v>
      </c>
      <c r="OX51">
        <v>0</v>
      </c>
      <c r="OY51">
        <v>0</v>
      </c>
      <c r="OZ51">
        <v>1</v>
      </c>
      <c r="PA51">
        <v>0</v>
      </c>
      <c r="PB51">
        <v>0</v>
      </c>
      <c r="PC51">
        <v>0</v>
      </c>
      <c r="PD51">
        <v>1</v>
      </c>
      <c r="PE51">
        <v>0</v>
      </c>
      <c r="PF51">
        <v>0</v>
      </c>
      <c r="PG51">
        <v>1</v>
      </c>
      <c r="PH51">
        <v>1</v>
      </c>
      <c r="PI51">
        <v>0</v>
      </c>
      <c r="PJ51">
        <v>1</v>
      </c>
      <c r="PK51">
        <v>1</v>
      </c>
      <c r="PL51">
        <v>0</v>
      </c>
      <c r="PM51">
        <v>1</v>
      </c>
      <c r="PN51">
        <v>0</v>
      </c>
      <c r="PO51">
        <v>1</v>
      </c>
      <c r="PP51">
        <v>0</v>
      </c>
      <c r="PQ51">
        <v>1</v>
      </c>
      <c r="PR51">
        <v>0</v>
      </c>
      <c r="PS51">
        <v>1</v>
      </c>
      <c r="PT51">
        <v>0</v>
      </c>
      <c r="PU51">
        <v>0</v>
      </c>
      <c r="PV51">
        <v>1</v>
      </c>
    </row>
    <row r="52" spans="1:438" x14ac:dyDescent="0.3">
      <c r="A52" s="31">
        <v>134</v>
      </c>
      <c r="B52" s="28">
        <v>2.0499999999999998</v>
      </c>
      <c r="C52" s="30">
        <v>6.92</v>
      </c>
      <c r="D52" s="28">
        <v>2.23</v>
      </c>
      <c r="E52" s="34">
        <f t="shared" si="0"/>
        <v>4.4600000000000001E-2</v>
      </c>
      <c r="F52" s="35">
        <f t="shared" si="1"/>
        <v>1.73</v>
      </c>
      <c r="G52" s="34">
        <f t="shared" si="2"/>
        <v>55.75</v>
      </c>
      <c r="H52" s="33">
        <f t="shared" si="3"/>
        <v>23.546341463414638</v>
      </c>
      <c r="I52" s="29">
        <f t="shared" ca="1" si="4"/>
        <v>1</v>
      </c>
      <c r="J52">
        <f ca="1">IF(AND(SUMPRODUCT($J$2:J51,$B$2:B51)&lt;500,SUM(B51,SUMPRODUCT($J$2:J51,$B$2:B51))&lt;500),1,0)</f>
        <v>1</v>
      </c>
      <c r="K52">
        <v>2</v>
      </c>
      <c r="L52">
        <v>1</v>
      </c>
    </row>
    <row r="53" spans="1:438" x14ac:dyDescent="0.3">
      <c r="A53" s="31">
        <v>136</v>
      </c>
      <c r="B53" s="28">
        <v>1.92</v>
      </c>
      <c r="C53" s="30">
        <v>58.17</v>
      </c>
      <c r="D53" s="28">
        <v>2.48</v>
      </c>
      <c r="E53" s="34">
        <f t="shared" si="0"/>
        <v>4.9599999999999998E-2</v>
      </c>
      <c r="F53" s="35">
        <f t="shared" si="1"/>
        <v>14.5425</v>
      </c>
      <c r="G53" s="34">
        <f t="shared" si="2"/>
        <v>62</v>
      </c>
      <c r="H53" s="33">
        <f t="shared" si="3"/>
        <v>18.467447916666664</v>
      </c>
      <c r="I53" s="29">
        <f t="shared" ca="1" si="4"/>
        <v>3</v>
      </c>
      <c r="J53">
        <f ca="1">IF(AND(SUMPRODUCT($J$2:J52,$B$2:B52)&lt;500,SUM(B52,SUMPRODUCT($J$2:J52,$B$2:B52))&lt;500),1,0)</f>
        <v>1</v>
      </c>
      <c r="K53">
        <v>2</v>
      </c>
      <c r="L53">
        <v>1</v>
      </c>
      <c r="V53" t="s">
        <v>146</v>
      </c>
      <c r="W53" s="61">
        <f>AVERAGE(W2:W51)</f>
        <v>0.24</v>
      </c>
      <c r="X53" s="61">
        <f>AVERAGE(X2:X51)</f>
        <v>0.24</v>
      </c>
      <c r="Y53" s="61">
        <f t="shared" ref="Y53:AD53" si="6">AVERAGE(Y2:Y51)</f>
        <v>0.3</v>
      </c>
      <c r="Z53" s="61">
        <f t="shared" si="6"/>
        <v>0.48</v>
      </c>
      <c r="AA53" s="61">
        <f t="shared" si="6"/>
        <v>0.42</v>
      </c>
      <c r="AB53" s="61">
        <f t="shared" si="6"/>
        <v>0.54</v>
      </c>
      <c r="AC53" s="61">
        <f t="shared" si="6"/>
        <v>0.38</v>
      </c>
      <c r="AD53" s="61">
        <f t="shared" si="6"/>
        <v>0.86</v>
      </c>
      <c r="AE53" s="61">
        <f>AVERAGE(AE2:AE51)</f>
        <v>0.16</v>
      </c>
      <c r="AF53" s="61">
        <f>AVERAGE(AF2:AF51)</f>
        <v>0.4</v>
      </c>
      <c r="AG53" s="61">
        <f t="shared" ref="AG53:CR53" si="7">AVERAGE(AG2:AG51)</f>
        <v>0.62</v>
      </c>
      <c r="AH53" s="61">
        <f t="shared" si="7"/>
        <v>0.04</v>
      </c>
      <c r="AI53" s="61">
        <f t="shared" si="7"/>
        <v>0.12</v>
      </c>
      <c r="AJ53" s="61">
        <f t="shared" si="7"/>
        <v>0.14000000000000001</v>
      </c>
      <c r="AK53" s="61">
        <f t="shared" si="7"/>
        <v>0.4</v>
      </c>
      <c r="AL53" s="61">
        <f t="shared" si="7"/>
        <v>0.54</v>
      </c>
      <c r="AM53" s="61">
        <f t="shared" si="7"/>
        <v>0.52</v>
      </c>
      <c r="AN53" s="61">
        <f t="shared" si="7"/>
        <v>0.2</v>
      </c>
      <c r="AO53" s="61">
        <f t="shared" si="7"/>
        <v>0.28000000000000003</v>
      </c>
      <c r="AP53" s="61">
        <f t="shared" si="7"/>
        <v>0.2</v>
      </c>
      <c r="AQ53" s="61">
        <f t="shared" si="7"/>
        <v>0</v>
      </c>
      <c r="AR53" s="61">
        <f t="shared" si="7"/>
        <v>0.32</v>
      </c>
      <c r="AS53" s="61">
        <f t="shared" si="7"/>
        <v>0.68</v>
      </c>
      <c r="AT53" s="61">
        <f t="shared" si="7"/>
        <v>0.22</v>
      </c>
      <c r="AU53" s="61">
        <f t="shared" si="7"/>
        <v>0.28000000000000003</v>
      </c>
      <c r="AV53" s="61">
        <f t="shared" si="7"/>
        <v>0.48</v>
      </c>
      <c r="AW53" s="61">
        <f t="shared" si="7"/>
        <v>0.1</v>
      </c>
      <c r="AX53" s="61">
        <f t="shared" si="7"/>
        <v>0.14000000000000001</v>
      </c>
      <c r="AY53" s="61">
        <f t="shared" si="7"/>
        <v>0.44</v>
      </c>
      <c r="AZ53" s="61">
        <f t="shared" si="7"/>
        <v>0.94</v>
      </c>
      <c r="BA53" s="61">
        <f t="shared" si="7"/>
        <v>0.64</v>
      </c>
      <c r="BB53" s="61">
        <f t="shared" si="7"/>
        <v>0.2</v>
      </c>
      <c r="BC53" s="61">
        <f t="shared" si="7"/>
        <v>0.56000000000000005</v>
      </c>
      <c r="BD53" s="61">
        <f t="shared" si="7"/>
        <v>0.44</v>
      </c>
      <c r="BE53" s="61">
        <f t="shared" si="7"/>
        <v>0.04</v>
      </c>
      <c r="BF53" s="61">
        <f t="shared" si="7"/>
        <v>0.24</v>
      </c>
      <c r="BG53" s="61">
        <f t="shared" si="7"/>
        <v>0.34</v>
      </c>
      <c r="BH53" s="61">
        <f t="shared" si="7"/>
        <v>0.64</v>
      </c>
      <c r="BI53" s="61">
        <f t="shared" si="7"/>
        <v>0.34</v>
      </c>
      <c r="BJ53" s="61">
        <f t="shared" si="7"/>
        <v>0.24</v>
      </c>
      <c r="BK53" s="61">
        <f t="shared" si="7"/>
        <v>0.5</v>
      </c>
      <c r="BL53" s="61">
        <f t="shared" si="7"/>
        <v>0.02</v>
      </c>
      <c r="BM53" s="61">
        <f t="shared" si="7"/>
        <v>0.74</v>
      </c>
      <c r="BN53" s="61">
        <f t="shared" si="7"/>
        <v>0.72</v>
      </c>
      <c r="BO53" s="61">
        <f t="shared" si="7"/>
        <v>0.68</v>
      </c>
      <c r="BP53" s="61">
        <f t="shared" si="7"/>
        <v>0.18</v>
      </c>
      <c r="BQ53" s="61">
        <f t="shared" si="7"/>
        <v>0.14000000000000001</v>
      </c>
      <c r="BR53" s="61">
        <f t="shared" si="7"/>
        <v>0.22</v>
      </c>
      <c r="BS53" s="61">
        <f t="shared" si="7"/>
        <v>0.26</v>
      </c>
      <c r="BT53" s="61">
        <f t="shared" si="7"/>
        <v>0.08</v>
      </c>
      <c r="BU53" s="61">
        <f t="shared" si="7"/>
        <v>0.66</v>
      </c>
      <c r="BV53" s="61">
        <f t="shared" si="7"/>
        <v>0.8</v>
      </c>
      <c r="BW53" s="61">
        <f t="shared" si="7"/>
        <v>0.52</v>
      </c>
      <c r="BX53" s="61">
        <f t="shared" si="7"/>
        <v>0.24</v>
      </c>
      <c r="BY53" s="61">
        <f t="shared" si="7"/>
        <v>0.02</v>
      </c>
      <c r="BZ53" s="61">
        <f t="shared" si="7"/>
        <v>0.46</v>
      </c>
      <c r="CA53" s="61">
        <f t="shared" si="7"/>
        <v>0.42</v>
      </c>
      <c r="CB53" s="61">
        <f t="shared" si="7"/>
        <v>0.76</v>
      </c>
      <c r="CC53" s="61">
        <f t="shared" si="7"/>
        <v>0.42</v>
      </c>
      <c r="CD53" s="61">
        <f t="shared" si="7"/>
        <v>0.38</v>
      </c>
      <c r="CE53" s="61">
        <f t="shared" si="7"/>
        <v>0.56000000000000005</v>
      </c>
      <c r="CF53" s="61">
        <f t="shared" si="7"/>
        <v>0.76</v>
      </c>
      <c r="CG53" s="61">
        <f t="shared" si="7"/>
        <v>0.46</v>
      </c>
      <c r="CH53" s="61">
        <f t="shared" si="7"/>
        <v>0.32</v>
      </c>
      <c r="CI53" s="61">
        <f t="shared" si="7"/>
        <v>0.62</v>
      </c>
      <c r="CJ53" s="61">
        <f t="shared" si="7"/>
        <v>0.14000000000000001</v>
      </c>
      <c r="CK53" s="61">
        <f t="shared" si="7"/>
        <v>0.42</v>
      </c>
      <c r="CL53" s="61">
        <f t="shared" si="7"/>
        <v>0.72</v>
      </c>
      <c r="CM53" s="61">
        <f t="shared" si="7"/>
        <v>0.92</v>
      </c>
      <c r="CN53" s="61">
        <f t="shared" si="7"/>
        <v>0.9</v>
      </c>
      <c r="CO53" s="61">
        <f t="shared" si="7"/>
        <v>0.48</v>
      </c>
      <c r="CP53" s="61">
        <f t="shared" si="7"/>
        <v>0.12</v>
      </c>
      <c r="CQ53" s="61">
        <f t="shared" si="7"/>
        <v>0.08</v>
      </c>
      <c r="CR53" s="61">
        <f t="shared" si="7"/>
        <v>0.66</v>
      </c>
      <c r="CS53" s="61">
        <f t="shared" ref="CS53:FD53" si="8">AVERAGE(CS2:CS51)</f>
        <v>0.3</v>
      </c>
      <c r="CT53" s="61">
        <f t="shared" si="8"/>
        <v>0.56000000000000005</v>
      </c>
      <c r="CU53" s="61">
        <f t="shared" si="8"/>
        <v>0.2</v>
      </c>
      <c r="CV53" s="61">
        <f t="shared" si="8"/>
        <v>0.08</v>
      </c>
      <c r="CW53" s="61">
        <f t="shared" si="8"/>
        <v>0.54</v>
      </c>
      <c r="CX53" s="61">
        <f t="shared" si="8"/>
        <v>0.52</v>
      </c>
      <c r="CY53" s="61">
        <f t="shared" si="8"/>
        <v>0.4</v>
      </c>
      <c r="CZ53" s="61">
        <f t="shared" si="8"/>
        <v>0.04</v>
      </c>
      <c r="DA53" s="61">
        <f t="shared" si="8"/>
        <v>0.38</v>
      </c>
      <c r="DB53" s="61">
        <f t="shared" si="8"/>
        <v>0.66</v>
      </c>
      <c r="DC53" s="61">
        <f t="shared" si="8"/>
        <v>0.14000000000000001</v>
      </c>
      <c r="DD53" s="61">
        <f t="shared" si="8"/>
        <v>0.42</v>
      </c>
      <c r="DE53" s="61">
        <f t="shared" si="8"/>
        <v>0.62</v>
      </c>
      <c r="DF53" s="61">
        <f t="shared" si="8"/>
        <v>0.66</v>
      </c>
      <c r="DG53" s="61">
        <f t="shared" si="8"/>
        <v>0.52</v>
      </c>
      <c r="DH53" s="61">
        <f t="shared" si="8"/>
        <v>0.24</v>
      </c>
      <c r="DI53" s="61">
        <f t="shared" si="8"/>
        <v>0.16</v>
      </c>
      <c r="DJ53" s="61">
        <f t="shared" si="8"/>
        <v>0.04</v>
      </c>
      <c r="DK53" s="61">
        <f t="shared" si="8"/>
        <v>0.68</v>
      </c>
      <c r="DL53" s="61">
        <f t="shared" si="8"/>
        <v>0.44</v>
      </c>
      <c r="DM53" s="61">
        <f t="shared" si="8"/>
        <v>0.3</v>
      </c>
      <c r="DN53" s="61">
        <f t="shared" si="8"/>
        <v>0.26</v>
      </c>
      <c r="DO53" s="61">
        <f t="shared" si="8"/>
        <v>0.04</v>
      </c>
      <c r="DP53" s="61">
        <f t="shared" si="8"/>
        <v>0.74</v>
      </c>
      <c r="DQ53" s="61">
        <f t="shared" si="8"/>
        <v>0.06</v>
      </c>
      <c r="DR53" s="61">
        <f t="shared" si="8"/>
        <v>0.46</v>
      </c>
      <c r="DS53" s="61">
        <f t="shared" si="8"/>
        <v>0.28000000000000003</v>
      </c>
      <c r="DT53" s="61">
        <f t="shared" si="8"/>
        <v>0.68</v>
      </c>
      <c r="DU53" s="61">
        <f t="shared" si="8"/>
        <v>0.18</v>
      </c>
      <c r="DV53" s="61">
        <f t="shared" si="8"/>
        <v>0.14000000000000001</v>
      </c>
      <c r="DW53" s="61">
        <f t="shared" si="8"/>
        <v>0.06</v>
      </c>
      <c r="DX53" s="61">
        <f t="shared" si="8"/>
        <v>0.24</v>
      </c>
      <c r="DY53" s="61">
        <f t="shared" si="8"/>
        <v>0.3</v>
      </c>
      <c r="DZ53" s="61">
        <f t="shared" si="8"/>
        <v>0.32</v>
      </c>
      <c r="EA53" s="61">
        <f t="shared" si="8"/>
        <v>0.1</v>
      </c>
      <c r="EB53" s="61">
        <f t="shared" si="8"/>
        <v>0.42</v>
      </c>
      <c r="EC53" s="61">
        <f t="shared" si="8"/>
        <v>0.54</v>
      </c>
      <c r="ED53" s="61">
        <f t="shared" si="8"/>
        <v>0.1</v>
      </c>
      <c r="EE53" s="61">
        <f t="shared" si="8"/>
        <v>0.46</v>
      </c>
      <c r="EF53" s="61">
        <f t="shared" si="8"/>
        <v>0.26</v>
      </c>
      <c r="EG53" s="61">
        <f t="shared" si="8"/>
        <v>0.08</v>
      </c>
      <c r="EH53" s="61">
        <f t="shared" si="8"/>
        <v>0.1</v>
      </c>
      <c r="EI53" s="61">
        <f t="shared" si="8"/>
        <v>0.16</v>
      </c>
      <c r="EJ53" s="61">
        <f t="shared" si="8"/>
        <v>0.1</v>
      </c>
      <c r="EK53" s="61">
        <f t="shared" si="8"/>
        <v>0.46</v>
      </c>
      <c r="EL53" s="61">
        <f t="shared" si="8"/>
        <v>0.26</v>
      </c>
      <c r="EM53" s="61">
        <f t="shared" si="8"/>
        <v>0.8</v>
      </c>
      <c r="EN53" s="61">
        <f t="shared" si="8"/>
        <v>0.52</v>
      </c>
      <c r="EO53" s="61">
        <f t="shared" si="8"/>
        <v>0.52</v>
      </c>
      <c r="EP53" s="61">
        <f t="shared" si="8"/>
        <v>0.7</v>
      </c>
      <c r="EQ53" s="61">
        <f t="shared" si="8"/>
        <v>0.16</v>
      </c>
      <c r="ER53" s="61">
        <f t="shared" si="8"/>
        <v>0.46</v>
      </c>
      <c r="ES53" s="61">
        <f t="shared" si="8"/>
        <v>0.66</v>
      </c>
      <c r="ET53" s="61">
        <f t="shared" si="8"/>
        <v>0.06</v>
      </c>
      <c r="EU53" s="61">
        <f t="shared" si="8"/>
        <v>0.32</v>
      </c>
      <c r="EV53" s="61">
        <f t="shared" si="8"/>
        <v>0.08</v>
      </c>
      <c r="EW53" s="61">
        <f t="shared" si="8"/>
        <v>0.26</v>
      </c>
      <c r="EX53" s="61">
        <f t="shared" si="8"/>
        <v>0.38</v>
      </c>
      <c r="EY53" s="61">
        <f t="shared" si="8"/>
        <v>0.66</v>
      </c>
      <c r="EZ53" s="61">
        <f t="shared" si="8"/>
        <v>0.18</v>
      </c>
      <c r="FA53" s="61">
        <f t="shared" si="8"/>
        <v>0.4</v>
      </c>
      <c r="FB53" s="61">
        <f t="shared" si="8"/>
        <v>0.14000000000000001</v>
      </c>
      <c r="FC53" s="61">
        <f t="shared" si="8"/>
        <v>0.56000000000000005</v>
      </c>
      <c r="FD53" s="61">
        <f t="shared" si="8"/>
        <v>0.12</v>
      </c>
      <c r="FE53" s="61">
        <f t="shared" ref="FE53:HP53" si="9">AVERAGE(FE2:FE51)</f>
        <v>0.18</v>
      </c>
      <c r="FF53" s="61">
        <f t="shared" si="9"/>
        <v>0.52</v>
      </c>
      <c r="FG53" s="61">
        <f t="shared" si="9"/>
        <v>0.28000000000000003</v>
      </c>
      <c r="FH53" s="61">
        <f t="shared" si="9"/>
        <v>0.6</v>
      </c>
      <c r="FI53" s="61">
        <f t="shared" si="9"/>
        <v>0.64</v>
      </c>
      <c r="FJ53" s="61">
        <f t="shared" si="9"/>
        <v>0.82</v>
      </c>
      <c r="FK53" s="61">
        <f t="shared" si="9"/>
        <v>0.44</v>
      </c>
      <c r="FL53" s="61">
        <f t="shared" si="9"/>
        <v>0.2</v>
      </c>
      <c r="FM53" s="61">
        <f t="shared" si="9"/>
        <v>0.7</v>
      </c>
      <c r="FN53" s="61">
        <f t="shared" si="9"/>
        <v>0.42</v>
      </c>
      <c r="FO53" s="61">
        <f t="shared" si="9"/>
        <v>0.8</v>
      </c>
      <c r="FP53" s="61">
        <f t="shared" si="9"/>
        <v>0.24</v>
      </c>
      <c r="FQ53" s="61">
        <f t="shared" si="9"/>
        <v>0.16</v>
      </c>
      <c r="FR53" s="61">
        <f t="shared" si="9"/>
        <v>0.06</v>
      </c>
      <c r="FS53" s="61">
        <f t="shared" si="9"/>
        <v>0.8</v>
      </c>
      <c r="FT53" s="61">
        <f t="shared" si="9"/>
        <v>0.36</v>
      </c>
      <c r="FU53" s="61">
        <f t="shared" si="9"/>
        <v>0.5</v>
      </c>
      <c r="FV53" s="61">
        <f t="shared" si="9"/>
        <v>0.98</v>
      </c>
      <c r="FW53" s="61">
        <f t="shared" si="9"/>
        <v>0.3</v>
      </c>
      <c r="FX53" s="61">
        <f t="shared" si="9"/>
        <v>0.08</v>
      </c>
      <c r="FY53" s="61">
        <f t="shared" si="9"/>
        <v>0.68</v>
      </c>
      <c r="FZ53" s="61">
        <f t="shared" si="9"/>
        <v>0.26</v>
      </c>
      <c r="GA53" s="61">
        <f t="shared" si="9"/>
        <v>0.76</v>
      </c>
      <c r="GB53" s="61">
        <f t="shared" si="9"/>
        <v>0.57999999999999996</v>
      </c>
      <c r="GC53" s="61">
        <f t="shared" si="9"/>
        <v>0.06</v>
      </c>
      <c r="GD53" s="61">
        <f t="shared" si="9"/>
        <v>0.24</v>
      </c>
      <c r="GE53" s="61">
        <f t="shared" si="9"/>
        <v>0.26</v>
      </c>
      <c r="GF53" s="61">
        <f t="shared" si="9"/>
        <v>0.02</v>
      </c>
      <c r="GG53" s="61">
        <f t="shared" si="9"/>
        <v>0.42</v>
      </c>
      <c r="GH53" s="61">
        <f t="shared" si="9"/>
        <v>0.48</v>
      </c>
      <c r="GI53" s="61">
        <f t="shared" si="9"/>
        <v>0.06</v>
      </c>
      <c r="GJ53" s="61">
        <f t="shared" si="9"/>
        <v>0.7</v>
      </c>
      <c r="GK53" s="61">
        <f t="shared" si="9"/>
        <v>0.64</v>
      </c>
      <c r="GL53" s="61">
        <f t="shared" si="9"/>
        <v>0.18</v>
      </c>
      <c r="GM53" s="61">
        <f t="shared" si="9"/>
        <v>0.56000000000000005</v>
      </c>
      <c r="GN53" s="61">
        <f t="shared" si="9"/>
        <v>0.08</v>
      </c>
      <c r="GO53" s="61">
        <f t="shared" si="9"/>
        <v>0.22</v>
      </c>
      <c r="GP53" s="61">
        <f t="shared" si="9"/>
        <v>0.6</v>
      </c>
      <c r="GQ53" s="61">
        <f t="shared" si="9"/>
        <v>0.6</v>
      </c>
      <c r="GR53" s="61">
        <f t="shared" si="9"/>
        <v>0.28000000000000003</v>
      </c>
      <c r="GS53" s="61">
        <f t="shared" si="9"/>
        <v>0.8</v>
      </c>
      <c r="GT53" s="61">
        <f t="shared" si="9"/>
        <v>0.82</v>
      </c>
      <c r="GU53" s="61">
        <f t="shared" si="9"/>
        <v>0.08</v>
      </c>
      <c r="GV53" s="61">
        <f t="shared" si="9"/>
        <v>0.12</v>
      </c>
      <c r="GW53" s="61">
        <f t="shared" si="9"/>
        <v>0.38</v>
      </c>
      <c r="GX53" s="61">
        <f t="shared" si="9"/>
        <v>0.42</v>
      </c>
      <c r="GY53" s="61">
        <f t="shared" si="9"/>
        <v>0.4</v>
      </c>
      <c r="GZ53" s="61">
        <f t="shared" si="9"/>
        <v>0.02</v>
      </c>
      <c r="HA53" s="61">
        <f t="shared" si="9"/>
        <v>0.34</v>
      </c>
      <c r="HB53" s="61">
        <f t="shared" si="9"/>
        <v>0.18</v>
      </c>
      <c r="HC53" s="61">
        <f t="shared" si="9"/>
        <v>0.3</v>
      </c>
      <c r="HD53" s="61">
        <f t="shared" si="9"/>
        <v>0.66</v>
      </c>
      <c r="HE53" s="61">
        <f t="shared" si="9"/>
        <v>0.3</v>
      </c>
      <c r="HF53" s="61">
        <f t="shared" si="9"/>
        <v>0.84</v>
      </c>
      <c r="HG53" s="61">
        <f t="shared" si="9"/>
        <v>0.14000000000000001</v>
      </c>
      <c r="HH53" s="61">
        <f t="shared" si="9"/>
        <v>0.2</v>
      </c>
      <c r="HI53" s="61">
        <f t="shared" si="9"/>
        <v>0.32</v>
      </c>
      <c r="HJ53" s="61">
        <f t="shared" si="9"/>
        <v>0.62</v>
      </c>
      <c r="HK53" s="61">
        <f t="shared" si="9"/>
        <v>0.04</v>
      </c>
      <c r="HL53" s="61">
        <f t="shared" si="9"/>
        <v>0.24</v>
      </c>
      <c r="HM53" s="61">
        <f t="shared" si="9"/>
        <v>0.54</v>
      </c>
      <c r="HN53" s="61">
        <f t="shared" si="9"/>
        <v>0.04</v>
      </c>
      <c r="HO53" s="61">
        <f t="shared" si="9"/>
        <v>0.48</v>
      </c>
      <c r="HP53" s="61">
        <f t="shared" si="9"/>
        <v>0</v>
      </c>
      <c r="HQ53" s="61">
        <f t="shared" ref="HQ53:KB53" si="10">AVERAGE(HQ2:HQ51)</f>
        <v>0.76</v>
      </c>
      <c r="HR53" s="61">
        <f t="shared" si="10"/>
        <v>0.44</v>
      </c>
      <c r="HS53" s="61">
        <f t="shared" si="10"/>
        <v>0.32</v>
      </c>
      <c r="HT53" s="61">
        <f t="shared" si="10"/>
        <v>0.48</v>
      </c>
      <c r="HU53" s="61">
        <f t="shared" si="10"/>
        <v>0.52</v>
      </c>
      <c r="HV53" s="61">
        <f t="shared" si="10"/>
        <v>0.56000000000000005</v>
      </c>
      <c r="HW53" s="61">
        <f t="shared" si="10"/>
        <v>0.94</v>
      </c>
      <c r="HX53" s="61">
        <f t="shared" si="10"/>
        <v>0.16</v>
      </c>
      <c r="HY53" s="61">
        <f t="shared" si="10"/>
        <v>0.68</v>
      </c>
      <c r="HZ53" s="61">
        <f t="shared" si="10"/>
        <v>0.26</v>
      </c>
      <c r="IA53" s="61">
        <f t="shared" si="10"/>
        <v>0.32</v>
      </c>
      <c r="IB53" s="61">
        <f t="shared" si="10"/>
        <v>0.6</v>
      </c>
      <c r="IC53" s="61">
        <f t="shared" si="10"/>
        <v>0.08</v>
      </c>
      <c r="ID53" s="61">
        <f t="shared" si="10"/>
        <v>0.36</v>
      </c>
      <c r="IE53" s="61">
        <f t="shared" si="10"/>
        <v>0.42</v>
      </c>
      <c r="IF53" s="61">
        <f t="shared" si="10"/>
        <v>0.52</v>
      </c>
      <c r="IG53" s="61">
        <f t="shared" si="10"/>
        <v>0.26</v>
      </c>
      <c r="IH53" s="61">
        <f t="shared" si="10"/>
        <v>0.12</v>
      </c>
      <c r="II53" s="61">
        <f t="shared" si="10"/>
        <v>0.26</v>
      </c>
      <c r="IJ53" s="61">
        <f t="shared" si="10"/>
        <v>0.6</v>
      </c>
      <c r="IK53" s="61">
        <f t="shared" si="10"/>
        <v>0.14000000000000001</v>
      </c>
      <c r="IL53" s="61">
        <f t="shared" si="10"/>
        <v>0.72</v>
      </c>
      <c r="IM53" s="61">
        <f t="shared" si="10"/>
        <v>0.34</v>
      </c>
      <c r="IN53" s="61">
        <f t="shared" si="10"/>
        <v>0.54</v>
      </c>
      <c r="IO53" s="61">
        <f t="shared" si="10"/>
        <v>0</v>
      </c>
      <c r="IP53" s="61">
        <f t="shared" si="10"/>
        <v>0.9</v>
      </c>
      <c r="IQ53" s="61">
        <f t="shared" si="10"/>
        <v>0.02</v>
      </c>
      <c r="IR53" s="61">
        <f t="shared" si="10"/>
        <v>0.2</v>
      </c>
      <c r="IS53" s="61">
        <f t="shared" si="10"/>
        <v>0.38</v>
      </c>
      <c r="IT53" s="61">
        <f t="shared" si="10"/>
        <v>0.48</v>
      </c>
      <c r="IU53" s="61">
        <f t="shared" si="10"/>
        <v>0.24</v>
      </c>
      <c r="IV53" s="61">
        <f t="shared" si="10"/>
        <v>0.24</v>
      </c>
      <c r="IW53" s="61">
        <f t="shared" si="10"/>
        <v>0.34</v>
      </c>
      <c r="IX53" s="61">
        <f t="shared" si="10"/>
        <v>0.7</v>
      </c>
      <c r="IY53" s="61">
        <f t="shared" si="10"/>
        <v>0.2</v>
      </c>
      <c r="IZ53" s="61">
        <f t="shared" si="10"/>
        <v>0.7</v>
      </c>
      <c r="JA53" s="61">
        <f t="shared" si="10"/>
        <v>0.5</v>
      </c>
      <c r="JB53" s="61">
        <f t="shared" si="10"/>
        <v>0.72</v>
      </c>
      <c r="JC53" s="61">
        <f t="shared" si="10"/>
        <v>0.56000000000000005</v>
      </c>
      <c r="JD53" s="61">
        <f t="shared" si="10"/>
        <v>0.78</v>
      </c>
      <c r="JE53" s="61">
        <f t="shared" si="10"/>
        <v>0.1</v>
      </c>
      <c r="JF53" s="61">
        <f t="shared" si="10"/>
        <v>0.44</v>
      </c>
      <c r="JG53" s="61">
        <f t="shared" si="10"/>
        <v>0.74</v>
      </c>
      <c r="JH53" s="61">
        <f t="shared" si="10"/>
        <v>0.68</v>
      </c>
      <c r="JI53" s="61">
        <f t="shared" si="10"/>
        <v>0.08</v>
      </c>
      <c r="JJ53" s="61">
        <f t="shared" si="10"/>
        <v>0.26</v>
      </c>
      <c r="JK53" s="61">
        <f t="shared" si="10"/>
        <v>0.74</v>
      </c>
      <c r="JL53" s="61">
        <f t="shared" si="10"/>
        <v>0</v>
      </c>
      <c r="JM53" s="61">
        <f t="shared" si="10"/>
        <v>0.74</v>
      </c>
      <c r="JN53" s="61">
        <f t="shared" si="10"/>
        <v>0.56000000000000005</v>
      </c>
      <c r="JO53" s="61">
        <f t="shared" si="10"/>
        <v>0.18</v>
      </c>
      <c r="JP53" s="61">
        <f t="shared" si="10"/>
        <v>0.96</v>
      </c>
      <c r="JQ53" s="61">
        <f t="shared" si="10"/>
        <v>0.34</v>
      </c>
      <c r="JR53" s="61">
        <f t="shared" si="10"/>
        <v>0.22</v>
      </c>
      <c r="JS53" s="61">
        <f t="shared" si="10"/>
        <v>0.3</v>
      </c>
      <c r="JT53" s="61">
        <f t="shared" si="10"/>
        <v>0.22</v>
      </c>
      <c r="JU53" s="61">
        <f t="shared" si="10"/>
        <v>0.08</v>
      </c>
      <c r="JV53" s="61">
        <f t="shared" si="10"/>
        <v>0.74</v>
      </c>
      <c r="JW53" s="61">
        <f t="shared" si="10"/>
        <v>0.54</v>
      </c>
      <c r="JX53" s="61">
        <f t="shared" si="10"/>
        <v>0.86</v>
      </c>
      <c r="JY53" s="61">
        <f t="shared" si="10"/>
        <v>0.3</v>
      </c>
      <c r="JZ53" s="61">
        <f t="shared" si="10"/>
        <v>0.68</v>
      </c>
      <c r="KA53" s="61">
        <f t="shared" si="10"/>
        <v>0.04</v>
      </c>
      <c r="KB53" s="61">
        <f t="shared" si="10"/>
        <v>0.16</v>
      </c>
      <c r="KC53" s="61">
        <f t="shared" ref="KC53:MN53" si="11">AVERAGE(KC2:KC51)</f>
        <v>0.42</v>
      </c>
      <c r="KD53" s="61">
        <f t="shared" si="11"/>
        <v>0.12</v>
      </c>
      <c r="KE53" s="61">
        <f t="shared" si="11"/>
        <v>0.32</v>
      </c>
      <c r="KF53" s="61">
        <f t="shared" si="11"/>
        <v>0.02</v>
      </c>
      <c r="KG53" s="61">
        <f t="shared" si="11"/>
        <v>0.1</v>
      </c>
      <c r="KH53" s="61">
        <f t="shared" si="11"/>
        <v>0.6</v>
      </c>
      <c r="KI53" s="61">
        <f t="shared" si="11"/>
        <v>0.16</v>
      </c>
      <c r="KJ53" s="61">
        <f t="shared" si="11"/>
        <v>0.56000000000000005</v>
      </c>
      <c r="KK53" s="61">
        <f t="shared" si="11"/>
        <v>0.62</v>
      </c>
      <c r="KL53" s="61">
        <f t="shared" si="11"/>
        <v>0.2</v>
      </c>
      <c r="KM53" s="61">
        <f t="shared" si="11"/>
        <v>0.48</v>
      </c>
      <c r="KN53" s="61">
        <f t="shared" si="11"/>
        <v>0.12</v>
      </c>
      <c r="KO53" s="61">
        <f t="shared" si="11"/>
        <v>0.52</v>
      </c>
      <c r="KP53" s="61">
        <f t="shared" si="11"/>
        <v>0.4</v>
      </c>
      <c r="KQ53" s="61">
        <f t="shared" si="11"/>
        <v>0.48</v>
      </c>
      <c r="KR53" s="61">
        <f t="shared" si="11"/>
        <v>0.26</v>
      </c>
      <c r="KS53" s="61">
        <f t="shared" si="11"/>
        <v>0.9</v>
      </c>
      <c r="KT53" s="61">
        <f t="shared" si="11"/>
        <v>0.62</v>
      </c>
      <c r="KU53" s="61">
        <f t="shared" si="11"/>
        <v>0.28000000000000003</v>
      </c>
      <c r="KV53" s="61">
        <f t="shared" si="11"/>
        <v>0.24</v>
      </c>
      <c r="KW53" s="61">
        <f t="shared" si="11"/>
        <v>0.02</v>
      </c>
      <c r="KX53" s="61">
        <f t="shared" si="11"/>
        <v>0.48</v>
      </c>
      <c r="KY53" s="61">
        <f t="shared" si="11"/>
        <v>0.66</v>
      </c>
      <c r="KZ53" s="61">
        <f t="shared" si="11"/>
        <v>1</v>
      </c>
      <c r="LA53" s="61">
        <f t="shared" si="11"/>
        <v>0.06</v>
      </c>
      <c r="LB53" s="61">
        <f t="shared" si="11"/>
        <v>0.04</v>
      </c>
      <c r="LC53" s="61">
        <f t="shared" si="11"/>
        <v>0.38</v>
      </c>
      <c r="LD53" s="61">
        <f t="shared" si="11"/>
        <v>0.54</v>
      </c>
      <c r="LE53" s="61">
        <f t="shared" si="11"/>
        <v>0.76</v>
      </c>
      <c r="LF53" s="61">
        <f t="shared" si="11"/>
        <v>0.32</v>
      </c>
      <c r="LG53" s="61">
        <f t="shared" si="11"/>
        <v>0.24</v>
      </c>
      <c r="LH53" s="61">
        <f t="shared" si="11"/>
        <v>0.76</v>
      </c>
      <c r="LI53" s="61">
        <f t="shared" si="11"/>
        <v>0.3</v>
      </c>
      <c r="LJ53" s="61">
        <f t="shared" si="11"/>
        <v>0.34</v>
      </c>
      <c r="LK53" s="61">
        <f t="shared" si="11"/>
        <v>0.68</v>
      </c>
      <c r="LL53" s="61">
        <f t="shared" si="11"/>
        <v>0.92</v>
      </c>
      <c r="LM53" s="61">
        <f t="shared" si="11"/>
        <v>0.34</v>
      </c>
      <c r="LN53" s="61">
        <f t="shared" si="11"/>
        <v>0.56000000000000005</v>
      </c>
      <c r="LO53" s="61">
        <f t="shared" si="11"/>
        <v>0.64</v>
      </c>
      <c r="LP53" s="61">
        <f t="shared" si="11"/>
        <v>0.14000000000000001</v>
      </c>
      <c r="LQ53" s="61">
        <f t="shared" si="11"/>
        <v>0.56000000000000005</v>
      </c>
      <c r="LR53" s="61">
        <f t="shared" si="11"/>
        <v>0.4</v>
      </c>
      <c r="LS53" s="61">
        <f t="shared" si="11"/>
        <v>0.42</v>
      </c>
      <c r="LT53" s="61">
        <f t="shared" si="11"/>
        <v>0.46</v>
      </c>
      <c r="LU53" s="61">
        <f t="shared" si="11"/>
        <v>0.7</v>
      </c>
      <c r="LV53" s="61">
        <f t="shared" si="11"/>
        <v>0.1</v>
      </c>
      <c r="LW53" s="61">
        <f t="shared" si="11"/>
        <v>0.74</v>
      </c>
      <c r="LX53" s="61">
        <f t="shared" si="11"/>
        <v>0.68</v>
      </c>
      <c r="LY53" s="61">
        <f t="shared" si="11"/>
        <v>0.1</v>
      </c>
      <c r="LZ53" s="61">
        <f t="shared" si="11"/>
        <v>0.22</v>
      </c>
      <c r="MA53" s="61">
        <f t="shared" si="11"/>
        <v>0.36</v>
      </c>
      <c r="MB53" s="61">
        <f t="shared" si="11"/>
        <v>0.8</v>
      </c>
      <c r="MC53" s="61">
        <f t="shared" si="11"/>
        <v>0.78</v>
      </c>
      <c r="MD53" s="61">
        <f t="shared" si="11"/>
        <v>0.34</v>
      </c>
      <c r="ME53" s="61">
        <f t="shared" si="11"/>
        <v>0.12</v>
      </c>
      <c r="MF53" s="61">
        <f t="shared" si="11"/>
        <v>0.57999999999999996</v>
      </c>
      <c r="MG53" s="61">
        <f t="shared" si="11"/>
        <v>0.64</v>
      </c>
      <c r="MH53" s="61">
        <f t="shared" si="11"/>
        <v>0</v>
      </c>
      <c r="MI53" s="61">
        <f t="shared" si="11"/>
        <v>0.44</v>
      </c>
      <c r="MJ53" s="61">
        <f t="shared" si="11"/>
        <v>0.57999999999999996</v>
      </c>
      <c r="MK53" s="61">
        <f t="shared" si="11"/>
        <v>0.32</v>
      </c>
      <c r="ML53" s="61">
        <f t="shared" si="11"/>
        <v>0.26</v>
      </c>
      <c r="MM53" s="61">
        <f t="shared" si="11"/>
        <v>0.78</v>
      </c>
      <c r="MN53" s="61">
        <f t="shared" si="11"/>
        <v>0.74</v>
      </c>
      <c r="MO53" s="61">
        <f t="shared" ref="MO53:OZ53" si="12">AVERAGE(MO2:MO51)</f>
        <v>0.42</v>
      </c>
      <c r="MP53" s="61">
        <f t="shared" si="12"/>
        <v>0.2</v>
      </c>
      <c r="MQ53" s="61">
        <f t="shared" si="12"/>
        <v>0.48</v>
      </c>
      <c r="MR53" s="61">
        <f t="shared" si="12"/>
        <v>0.18</v>
      </c>
      <c r="MS53" s="61">
        <f t="shared" si="12"/>
        <v>0.4</v>
      </c>
      <c r="MT53" s="61">
        <f t="shared" si="12"/>
        <v>0.52</v>
      </c>
      <c r="MU53" s="61">
        <f t="shared" si="12"/>
        <v>0.57999999999999996</v>
      </c>
      <c r="MV53" s="61">
        <f t="shared" si="12"/>
        <v>0.1</v>
      </c>
      <c r="MW53" s="61">
        <f t="shared" si="12"/>
        <v>0.22</v>
      </c>
      <c r="MX53" s="61">
        <f t="shared" si="12"/>
        <v>0.2</v>
      </c>
      <c r="MY53" s="61">
        <f t="shared" si="12"/>
        <v>0.68</v>
      </c>
      <c r="MZ53" s="61">
        <f t="shared" si="12"/>
        <v>0.72</v>
      </c>
      <c r="NA53" s="61">
        <f t="shared" si="12"/>
        <v>0.38</v>
      </c>
      <c r="NB53" s="61">
        <f t="shared" si="12"/>
        <v>0.36</v>
      </c>
      <c r="NC53" s="61">
        <f t="shared" si="12"/>
        <v>0.12</v>
      </c>
      <c r="ND53" s="61">
        <f t="shared" si="12"/>
        <v>0.54</v>
      </c>
      <c r="NE53" s="61">
        <f t="shared" si="12"/>
        <v>0.12</v>
      </c>
      <c r="NF53" s="61">
        <f t="shared" si="12"/>
        <v>0.38</v>
      </c>
      <c r="NG53" s="61">
        <f t="shared" si="12"/>
        <v>0.26</v>
      </c>
      <c r="NH53" s="61">
        <f t="shared" si="12"/>
        <v>0.02</v>
      </c>
      <c r="NI53" s="61">
        <f t="shared" si="12"/>
        <v>0.38</v>
      </c>
      <c r="NJ53" s="61">
        <f t="shared" si="12"/>
        <v>0.5</v>
      </c>
      <c r="NK53" s="61">
        <f t="shared" si="12"/>
        <v>0.72</v>
      </c>
      <c r="NL53" s="61">
        <f t="shared" si="12"/>
        <v>0.62</v>
      </c>
      <c r="NM53" s="61">
        <f t="shared" si="12"/>
        <v>0.6</v>
      </c>
      <c r="NN53" s="61">
        <f t="shared" si="12"/>
        <v>0.3</v>
      </c>
      <c r="NO53" s="61">
        <f t="shared" si="12"/>
        <v>0.74</v>
      </c>
      <c r="NP53" s="61">
        <f t="shared" si="12"/>
        <v>0.52</v>
      </c>
      <c r="NQ53" s="61">
        <f t="shared" si="12"/>
        <v>0.2</v>
      </c>
      <c r="NR53" s="61">
        <f t="shared" si="12"/>
        <v>0.14000000000000001</v>
      </c>
      <c r="NS53" s="61">
        <f t="shared" si="12"/>
        <v>0.1</v>
      </c>
      <c r="NT53" s="61">
        <f t="shared" si="12"/>
        <v>0.12</v>
      </c>
      <c r="NU53" s="61">
        <f t="shared" si="12"/>
        <v>0.26</v>
      </c>
      <c r="NV53" s="61">
        <f t="shared" si="12"/>
        <v>0.28000000000000003</v>
      </c>
      <c r="NW53" s="61">
        <f t="shared" si="12"/>
        <v>0.12</v>
      </c>
      <c r="NX53" s="61">
        <f t="shared" si="12"/>
        <v>0.78</v>
      </c>
      <c r="NY53" s="61">
        <f t="shared" si="12"/>
        <v>0.28000000000000003</v>
      </c>
      <c r="NZ53" s="61">
        <f t="shared" si="12"/>
        <v>0.57999999999999996</v>
      </c>
      <c r="OA53" s="61">
        <f t="shared" si="12"/>
        <v>0.22</v>
      </c>
      <c r="OB53" s="61">
        <f t="shared" si="12"/>
        <v>0.06</v>
      </c>
      <c r="OC53" s="61">
        <f t="shared" si="12"/>
        <v>0.28000000000000003</v>
      </c>
      <c r="OD53" s="61">
        <f t="shared" si="12"/>
        <v>0</v>
      </c>
      <c r="OE53" s="61">
        <f t="shared" si="12"/>
        <v>0.12</v>
      </c>
      <c r="OF53" s="61">
        <f t="shared" si="12"/>
        <v>0.18</v>
      </c>
      <c r="OG53" s="61">
        <f t="shared" si="12"/>
        <v>0.66</v>
      </c>
      <c r="OH53" s="61">
        <f t="shared" si="12"/>
        <v>0.64</v>
      </c>
      <c r="OI53" s="61">
        <f t="shared" si="12"/>
        <v>0.74</v>
      </c>
      <c r="OJ53" s="61">
        <f t="shared" si="12"/>
        <v>0.78</v>
      </c>
      <c r="OK53" s="61">
        <f t="shared" si="12"/>
        <v>0.86</v>
      </c>
      <c r="OL53" s="61">
        <f t="shared" si="12"/>
        <v>0.06</v>
      </c>
      <c r="OM53" s="61">
        <f t="shared" si="12"/>
        <v>0.52</v>
      </c>
      <c r="ON53" s="61">
        <f t="shared" si="12"/>
        <v>0.08</v>
      </c>
      <c r="OO53" s="61">
        <f t="shared" si="12"/>
        <v>0.48</v>
      </c>
      <c r="OP53" s="61">
        <f t="shared" si="12"/>
        <v>0.4</v>
      </c>
      <c r="OQ53" s="61">
        <f t="shared" si="12"/>
        <v>0.24</v>
      </c>
      <c r="OR53" s="61">
        <f t="shared" si="12"/>
        <v>0.2</v>
      </c>
      <c r="OS53" s="61">
        <f t="shared" si="12"/>
        <v>0.96</v>
      </c>
      <c r="OT53" s="61">
        <f t="shared" si="12"/>
        <v>0.12</v>
      </c>
      <c r="OU53" s="61">
        <f t="shared" si="12"/>
        <v>0.02</v>
      </c>
      <c r="OV53" s="61">
        <f t="shared" si="12"/>
        <v>0.76</v>
      </c>
      <c r="OW53" s="61">
        <f t="shared" si="12"/>
        <v>0.44</v>
      </c>
      <c r="OX53" s="61">
        <f t="shared" si="12"/>
        <v>0.06</v>
      </c>
      <c r="OY53" s="61">
        <f t="shared" si="12"/>
        <v>0.42</v>
      </c>
      <c r="OZ53" s="61">
        <f t="shared" si="12"/>
        <v>0.24</v>
      </c>
      <c r="PA53" s="61">
        <f t="shared" ref="PA53:PV53" si="13">AVERAGE(PA2:PA51)</f>
        <v>0.22</v>
      </c>
      <c r="PB53" s="61">
        <f t="shared" si="13"/>
        <v>0.12</v>
      </c>
      <c r="PC53" s="61">
        <f t="shared" si="13"/>
        <v>0.16</v>
      </c>
      <c r="PD53" s="61">
        <f t="shared" si="13"/>
        <v>0.5</v>
      </c>
      <c r="PE53" s="61">
        <f t="shared" si="13"/>
        <v>0.14000000000000001</v>
      </c>
      <c r="PF53" s="61">
        <f t="shared" si="13"/>
        <v>0.08</v>
      </c>
      <c r="PG53" s="61">
        <f t="shared" si="13"/>
        <v>0.36</v>
      </c>
      <c r="PH53" s="61">
        <f t="shared" si="13"/>
        <v>0.34</v>
      </c>
      <c r="PI53" s="61">
        <f t="shared" si="13"/>
        <v>0.24</v>
      </c>
      <c r="PJ53" s="61">
        <f t="shared" si="13"/>
        <v>0.57999999999999996</v>
      </c>
      <c r="PK53" s="61">
        <f t="shared" si="13"/>
        <v>0.6</v>
      </c>
      <c r="PL53" s="61">
        <f t="shared" si="13"/>
        <v>0.16</v>
      </c>
      <c r="PM53" s="61">
        <f t="shared" si="13"/>
        <v>0.18</v>
      </c>
      <c r="PN53" s="61">
        <f t="shared" si="13"/>
        <v>0.32</v>
      </c>
      <c r="PO53" s="61">
        <f t="shared" si="13"/>
        <v>0.08</v>
      </c>
      <c r="PP53" s="61">
        <f t="shared" si="13"/>
        <v>0.06</v>
      </c>
      <c r="PQ53" s="61">
        <f t="shared" si="13"/>
        <v>0.54</v>
      </c>
      <c r="PR53" s="61">
        <f t="shared" si="13"/>
        <v>0.42</v>
      </c>
      <c r="PS53" s="61">
        <f t="shared" si="13"/>
        <v>0.24</v>
      </c>
      <c r="PT53" s="61">
        <f t="shared" si="13"/>
        <v>0.42</v>
      </c>
      <c r="PU53" s="61">
        <f t="shared" si="13"/>
        <v>0.9</v>
      </c>
      <c r="PV53" s="61">
        <f t="shared" si="13"/>
        <v>0.52</v>
      </c>
    </row>
    <row r="54" spans="1:438" x14ac:dyDescent="0.3">
      <c r="A54" s="31">
        <v>137</v>
      </c>
      <c r="B54" s="28">
        <v>1.48</v>
      </c>
      <c r="C54" s="30">
        <v>30.1</v>
      </c>
      <c r="D54" s="28">
        <v>1</v>
      </c>
      <c r="E54" s="34">
        <f t="shared" si="0"/>
        <v>0.02</v>
      </c>
      <c r="F54" s="35">
        <f t="shared" si="1"/>
        <v>7.5250000000000004</v>
      </c>
      <c r="G54" s="34">
        <f t="shared" si="2"/>
        <v>25</v>
      </c>
      <c r="H54" s="33">
        <f t="shared" si="3"/>
        <v>28.699324324324326</v>
      </c>
      <c r="I54" s="29">
        <f t="shared" ca="1" si="4"/>
        <v>0</v>
      </c>
      <c r="J54">
        <f ca="1">IF(AND(SUMPRODUCT($J$2:J53,$B$2:B53)&lt;500,SUM(B53,SUMPRODUCT($J$2:J53,$B$2:B53))&lt;500),1,0)</f>
        <v>1</v>
      </c>
      <c r="K54">
        <v>2</v>
      </c>
      <c r="L54">
        <v>1</v>
      </c>
    </row>
    <row r="55" spans="1:438" x14ac:dyDescent="0.3">
      <c r="A55" s="31">
        <v>142</v>
      </c>
      <c r="B55" s="28">
        <v>7.18</v>
      </c>
      <c r="C55" s="30">
        <v>4.8600000000000003</v>
      </c>
      <c r="D55" s="28">
        <v>2.48</v>
      </c>
      <c r="E55" s="34">
        <f t="shared" si="0"/>
        <v>4.9599999999999998E-2</v>
      </c>
      <c r="F55" s="35">
        <f t="shared" si="1"/>
        <v>1.2150000000000001</v>
      </c>
      <c r="G55" s="34">
        <f t="shared" si="2"/>
        <v>62</v>
      </c>
      <c r="H55" s="33">
        <f t="shared" si="3"/>
        <v>13.758356545961004</v>
      </c>
      <c r="I55" s="29">
        <f t="shared" ca="1" si="4"/>
        <v>1</v>
      </c>
      <c r="J55">
        <f ca="1">IF(AND(SUMPRODUCT($J$2:J54,$B$2:B54)&lt;500,SUM(B54,SUMPRODUCT($J$2:J54,$B$2:B54))&lt;500),1,0)</f>
        <v>1</v>
      </c>
      <c r="K55">
        <v>4</v>
      </c>
      <c r="L55">
        <v>1</v>
      </c>
    </row>
    <row r="56" spans="1:438" x14ac:dyDescent="0.3">
      <c r="A56" s="31">
        <v>145</v>
      </c>
      <c r="B56" s="28">
        <v>4.5</v>
      </c>
      <c r="C56" s="30">
        <v>6.61</v>
      </c>
      <c r="D56" s="28">
        <v>0.46</v>
      </c>
      <c r="E56" s="34">
        <f t="shared" si="0"/>
        <v>9.1999999999999998E-3</v>
      </c>
      <c r="F56" s="35">
        <f t="shared" si="1"/>
        <v>1.6525000000000001</v>
      </c>
      <c r="G56" s="34">
        <f t="shared" si="2"/>
        <v>11.5</v>
      </c>
      <c r="H56" s="33">
        <f t="shared" si="3"/>
        <v>-0.36722222222222223</v>
      </c>
      <c r="I56" s="29">
        <f t="shared" ca="1" si="4"/>
        <v>0</v>
      </c>
      <c r="J56">
        <f ca="1">IF(AND(SUMPRODUCT($J$2:J55,$B$2:B55)&lt;500,SUM(B55,SUMPRODUCT($J$2:J55,$B$2:B55))&lt;500),1,0)</f>
        <v>0</v>
      </c>
      <c r="K56">
        <v>0</v>
      </c>
      <c r="L56">
        <v>0</v>
      </c>
    </row>
    <row r="57" spans="1:438" x14ac:dyDescent="0.3">
      <c r="A57" s="31">
        <v>147</v>
      </c>
      <c r="B57" s="28">
        <v>3.42</v>
      </c>
      <c r="C57" s="30">
        <v>84.46</v>
      </c>
      <c r="D57" s="28">
        <v>2.2999999999999998</v>
      </c>
      <c r="E57" s="34">
        <f t="shared" si="0"/>
        <v>4.5999999999999999E-2</v>
      </c>
      <c r="F57" s="35">
        <f t="shared" si="1"/>
        <v>21.114999999999998</v>
      </c>
      <c r="G57" s="34">
        <f t="shared" si="2"/>
        <v>57.499999999999993</v>
      </c>
      <c r="H57" s="33">
        <f t="shared" si="3"/>
        <v>15.755847953216376</v>
      </c>
      <c r="I57" s="29">
        <f t="shared" ca="1" si="4"/>
        <v>2</v>
      </c>
      <c r="J57">
        <f ca="1">IF(AND(SUMPRODUCT($J$2:J56,$B$2:B56)&lt;500,SUM(B56,SUMPRODUCT($J$2:J56,$B$2:B56))&lt;500),1,0)</f>
        <v>1</v>
      </c>
      <c r="K57">
        <v>3</v>
      </c>
      <c r="L57">
        <v>1</v>
      </c>
    </row>
    <row r="58" spans="1:438" x14ac:dyDescent="0.3">
      <c r="A58" s="31">
        <v>148</v>
      </c>
      <c r="B58" s="28">
        <v>5.94</v>
      </c>
      <c r="C58" s="30">
        <v>7.93</v>
      </c>
      <c r="D58" s="28">
        <v>2.7</v>
      </c>
      <c r="E58" s="34">
        <f t="shared" si="0"/>
        <v>5.4000000000000006E-2</v>
      </c>
      <c r="F58" s="35">
        <f t="shared" si="1"/>
        <v>1.9824999999999999</v>
      </c>
      <c r="G58" s="34">
        <f t="shared" si="2"/>
        <v>67.5</v>
      </c>
      <c r="H58" s="33">
        <f t="shared" si="3"/>
        <v>8.0837542087542076</v>
      </c>
      <c r="I58" s="29">
        <f t="shared" ca="1" si="4"/>
        <v>0</v>
      </c>
      <c r="J58">
        <f ca="1">IF(AND(SUMPRODUCT($J$2:J57,$B$2:B57)&lt;500,SUM(B57,SUMPRODUCT($J$2:J57,$B$2:B57))&lt;500),1,0)</f>
        <v>0</v>
      </c>
      <c r="K58">
        <v>2</v>
      </c>
      <c r="L58">
        <v>0</v>
      </c>
    </row>
    <row r="59" spans="1:438" x14ac:dyDescent="0.3">
      <c r="A59" s="31">
        <v>154</v>
      </c>
      <c r="B59" s="28">
        <v>3.44</v>
      </c>
      <c r="C59" s="30">
        <v>13.07</v>
      </c>
      <c r="D59" s="28">
        <v>2.67</v>
      </c>
      <c r="E59" s="34">
        <f t="shared" si="0"/>
        <v>5.3399999999999996E-2</v>
      </c>
      <c r="F59" s="35">
        <f t="shared" si="1"/>
        <v>3.2675000000000001</v>
      </c>
      <c r="G59" s="34">
        <f t="shared" si="2"/>
        <v>66.75</v>
      </c>
      <c r="H59" s="33">
        <f t="shared" si="3"/>
        <v>28.119912790697676</v>
      </c>
      <c r="I59" s="29">
        <f t="shared" ca="1" si="4"/>
        <v>1</v>
      </c>
      <c r="J59">
        <f ca="1">IF(AND(SUMPRODUCT($J$2:J58,$B$2:B58)&lt;500,SUM(B58,SUMPRODUCT($J$2:J58,$B$2:B58))&lt;500),1,0)</f>
        <v>1</v>
      </c>
      <c r="K59">
        <v>4</v>
      </c>
      <c r="L59">
        <v>1</v>
      </c>
    </row>
    <row r="60" spans="1:438" x14ac:dyDescent="0.3">
      <c r="A60" s="31">
        <v>160</v>
      </c>
      <c r="B60" s="28">
        <v>3.62</v>
      </c>
      <c r="C60" s="30">
        <v>67.56</v>
      </c>
      <c r="D60" s="28">
        <v>2.37</v>
      </c>
      <c r="E60" s="34">
        <f t="shared" si="0"/>
        <v>4.7400000000000005E-2</v>
      </c>
      <c r="F60" s="35">
        <f t="shared" si="1"/>
        <v>16.89</v>
      </c>
      <c r="G60" s="34">
        <f t="shared" si="2"/>
        <v>59.25</v>
      </c>
      <c r="H60" s="33">
        <f t="shared" si="3"/>
        <v>9.1464088397790047</v>
      </c>
      <c r="I60" s="29">
        <f t="shared" ca="1" si="4"/>
        <v>3</v>
      </c>
      <c r="J60">
        <f ca="1">IF(AND(SUMPRODUCT($J$2:J59,$B$2:B59)&lt;500,SUM(B59,SUMPRODUCT($J$2:J59,$B$2:B59))&lt;500),1,0)</f>
        <v>0</v>
      </c>
      <c r="K60">
        <v>2</v>
      </c>
      <c r="L60">
        <v>0</v>
      </c>
    </row>
    <row r="61" spans="1:438" x14ac:dyDescent="0.3">
      <c r="A61" s="31">
        <v>162</v>
      </c>
      <c r="B61" s="28">
        <v>0.53</v>
      </c>
      <c r="C61" s="30">
        <v>88.1</v>
      </c>
      <c r="D61" s="28">
        <v>1.21</v>
      </c>
      <c r="E61" s="34">
        <f t="shared" si="0"/>
        <v>2.4199999999999999E-2</v>
      </c>
      <c r="F61" s="35">
        <f t="shared" si="1"/>
        <v>22.024999999999999</v>
      </c>
      <c r="G61" s="34">
        <f t="shared" si="2"/>
        <v>30.25</v>
      </c>
      <c r="H61" s="33">
        <f t="shared" si="3"/>
        <v>5.6132075471698135</v>
      </c>
      <c r="I61" s="29">
        <f t="shared" ca="1" si="4"/>
        <v>0</v>
      </c>
      <c r="J61">
        <f ca="1">IF(AND(SUMPRODUCT($J$2:J60,$B$2:B60)&lt;500,SUM(B60,SUMPRODUCT($J$2:J60,$B$2:B60))&lt;500),1,0)</f>
        <v>0</v>
      </c>
      <c r="K61">
        <v>1</v>
      </c>
      <c r="L61">
        <v>0</v>
      </c>
    </row>
    <row r="62" spans="1:438" x14ac:dyDescent="0.3">
      <c r="A62" s="31">
        <v>164</v>
      </c>
      <c r="B62" s="28">
        <v>3.78</v>
      </c>
      <c r="C62" s="30">
        <v>72.78</v>
      </c>
      <c r="D62" s="28">
        <v>2.71</v>
      </c>
      <c r="E62" s="34">
        <f t="shared" si="0"/>
        <v>5.4199999999999998E-2</v>
      </c>
      <c r="F62" s="35">
        <f t="shared" si="1"/>
        <v>18.195</v>
      </c>
      <c r="G62" s="34">
        <f t="shared" si="2"/>
        <v>67.75</v>
      </c>
      <c r="H62" s="33">
        <f t="shared" si="3"/>
        <v>15.027777777777779</v>
      </c>
      <c r="I62" s="29">
        <f t="shared" ca="1" si="4"/>
        <v>1</v>
      </c>
      <c r="J62">
        <f ca="1">IF(AND(SUMPRODUCT($J$2:J61,$B$2:B61)&lt;500,SUM(B61,SUMPRODUCT($J$2:J61,$B$2:B61))&lt;500),1,0)</f>
        <v>1</v>
      </c>
      <c r="K62">
        <v>3</v>
      </c>
      <c r="L62">
        <v>1</v>
      </c>
    </row>
    <row r="63" spans="1:438" x14ac:dyDescent="0.3">
      <c r="A63" s="31">
        <v>170</v>
      </c>
      <c r="B63" s="28">
        <v>0.56000000000000005</v>
      </c>
      <c r="C63" s="30">
        <v>84.3</v>
      </c>
      <c r="D63" s="28">
        <v>2.65</v>
      </c>
      <c r="E63" s="34">
        <f t="shared" si="0"/>
        <v>5.2999999999999999E-2</v>
      </c>
      <c r="F63" s="35">
        <f t="shared" si="1"/>
        <v>21.074999999999999</v>
      </c>
      <c r="G63" s="34">
        <f t="shared" si="2"/>
        <v>66.25</v>
      </c>
      <c r="H63" s="33">
        <f t="shared" si="3"/>
        <v>274.86607142857144</v>
      </c>
      <c r="I63" s="29">
        <f t="shared" ca="1" si="4"/>
        <v>5</v>
      </c>
      <c r="J63">
        <v>1</v>
      </c>
      <c r="K63">
        <v>7</v>
      </c>
      <c r="L63">
        <v>1</v>
      </c>
    </row>
    <row r="64" spans="1:438" x14ac:dyDescent="0.3">
      <c r="A64" s="31">
        <v>171</v>
      </c>
      <c r="B64" s="28">
        <v>1.1399999999999999</v>
      </c>
      <c r="C64" s="30">
        <v>52.49</v>
      </c>
      <c r="D64" s="28">
        <v>1.27</v>
      </c>
      <c r="E64" s="34">
        <f t="shared" si="0"/>
        <v>2.5399999999999999E-2</v>
      </c>
      <c r="F64" s="35">
        <f t="shared" si="1"/>
        <v>13.1225</v>
      </c>
      <c r="G64" s="34">
        <f t="shared" si="2"/>
        <v>31.75</v>
      </c>
      <c r="H64" s="33">
        <f t="shared" si="3"/>
        <v>54.278508771929829</v>
      </c>
      <c r="I64" s="29">
        <f t="shared" ca="1" si="4"/>
        <v>1</v>
      </c>
      <c r="J64">
        <f ca="1">IF(AND(SUMPRODUCT($J$2:J63,$B$2:B63)&lt;500,SUM(B63,SUMPRODUCT($J$2:J63,$B$2:B63))&lt;500),1,0)</f>
        <v>1</v>
      </c>
      <c r="K64">
        <v>3</v>
      </c>
      <c r="L64">
        <v>1</v>
      </c>
    </row>
    <row r="65" spans="1:12" x14ac:dyDescent="0.3">
      <c r="A65" s="31">
        <v>173</v>
      </c>
      <c r="B65" s="28">
        <v>1.19</v>
      </c>
      <c r="C65" s="30">
        <v>77.41</v>
      </c>
      <c r="D65" s="28">
        <v>1.46</v>
      </c>
      <c r="E65" s="34">
        <f t="shared" si="0"/>
        <v>2.92E-2</v>
      </c>
      <c r="F65" s="35">
        <f t="shared" si="1"/>
        <v>19.352499999999999</v>
      </c>
      <c r="G65" s="34">
        <f t="shared" si="2"/>
        <v>36.5</v>
      </c>
      <c r="H65" s="33">
        <f t="shared" si="3"/>
        <v>4.745798319327732</v>
      </c>
      <c r="I65" s="29">
        <f t="shared" ca="1" si="4"/>
        <v>1</v>
      </c>
      <c r="J65">
        <f ca="1">IF(AND(SUMPRODUCT($J$2:J64,$B$2:B64)&lt;500,SUM(B64,SUMPRODUCT($J$2:J64,$B$2:B64))&lt;500),1,0)</f>
        <v>0</v>
      </c>
      <c r="K65">
        <v>1</v>
      </c>
      <c r="L65">
        <v>0</v>
      </c>
    </row>
    <row r="66" spans="1:12" x14ac:dyDescent="0.3">
      <c r="A66" s="31">
        <v>175</v>
      </c>
      <c r="B66" s="28">
        <v>2.14</v>
      </c>
      <c r="C66" s="30">
        <v>67.17</v>
      </c>
      <c r="D66" s="28">
        <v>2.2999999999999998</v>
      </c>
      <c r="E66" s="34">
        <f t="shared" ref="E66:E129" si="14">D66/50</f>
        <v>4.5999999999999999E-2</v>
      </c>
      <c r="F66" s="35">
        <f t="shared" ref="F66:F129" si="15">0.25*C66</f>
        <v>16.7925</v>
      </c>
      <c r="G66" s="34">
        <f t="shared" ref="G66:G129" si="16">25*D66</f>
        <v>57.499999999999993</v>
      </c>
      <c r="H66" s="33">
        <f t="shared" ref="H66:H129" si="17">(25*K66-0.25*C66)/B66</f>
        <v>38.882009345794387</v>
      </c>
      <c r="I66" s="29">
        <f t="shared" ref="I66:I129" ca="1" si="18">_xlfn.BINOM.INV(50,E66,RAND())</f>
        <v>0</v>
      </c>
      <c r="J66">
        <f ca="1">IF(AND(SUMPRODUCT($J$2:J65,$B$2:B65)&lt;500,SUM(B65,SUMPRODUCT($J$2:J65,$B$2:B65))&lt;500),1,0)</f>
        <v>1</v>
      </c>
      <c r="K66">
        <v>4</v>
      </c>
      <c r="L66">
        <v>1</v>
      </c>
    </row>
    <row r="67" spans="1:12" x14ac:dyDescent="0.3">
      <c r="A67" s="31">
        <v>176</v>
      </c>
      <c r="B67" s="28">
        <v>9.7200000000000006</v>
      </c>
      <c r="C67" s="30">
        <v>89.47</v>
      </c>
      <c r="D67" s="28">
        <v>3.13</v>
      </c>
      <c r="E67" s="34">
        <f t="shared" si="14"/>
        <v>6.2600000000000003E-2</v>
      </c>
      <c r="F67" s="35">
        <f t="shared" si="15"/>
        <v>22.3675</v>
      </c>
      <c r="G67" s="34">
        <f t="shared" si="16"/>
        <v>78.25</v>
      </c>
      <c r="H67" s="33">
        <f t="shared" si="17"/>
        <v>5.414866255144033</v>
      </c>
      <c r="I67" s="29">
        <f t="shared" ca="1" si="18"/>
        <v>5</v>
      </c>
      <c r="J67">
        <f ca="1">IF(AND(SUMPRODUCT($J$2:J66,$B$2:B66)&lt;500,SUM(B66,SUMPRODUCT($J$2:J66,$B$2:B66))&lt;500),1,0)</f>
        <v>0</v>
      </c>
      <c r="K67">
        <v>3</v>
      </c>
      <c r="L67">
        <v>0</v>
      </c>
    </row>
    <row r="68" spans="1:12" x14ac:dyDescent="0.3">
      <c r="A68" s="31">
        <v>179</v>
      </c>
      <c r="B68" s="28">
        <v>7.99</v>
      </c>
      <c r="C68" s="30">
        <v>11.21</v>
      </c>
      <c r="D68" s="28">
        <v>3.23</v>
      </c>
      <c r="E68" s="34">
        <f t="shared" si="14"/>
        <v>6.4600000000000005E-2</v>
      </c>
      <c r="F68" s="35">
        <f t="shared" si="15"/>
        <v>2.8025000000000002</v>
      </c>
      <c r="G68" s="34">
        <f t="shared" si="16"/>
        <v>80.75</v>
      </c>
      <c r="H68" s="33">
        <f t="shared" si="17"/>
        <v>15.293804755944931</v>
      </c>
      <c r="I68" s="29">
        <f t="shared" ca="1" si="18"/>
        <v>3</v>
      </c>
      <c r="J68">
        <f ca="1">IF(AND(SUMPRODUCT($J$2:J67,$B$2:B67)&lt;500,SUM(B67,SUMPRODUCT($J$2:J67,$B$2:B67))&lt;500),1,0)</f>
        <v>1</v>
      </c>
      <c r="K68">
        <v>5</v>
      </c>
      <c r="L68">
        <v>1</v>
      </c>
    </row>
    <row r="69" spans="1:12" x14ac:dyDescent="0.3">
      <c r="A69" s="31">
        <v>185</v>
      </c>
      <c r="B69" s="28">
        <v>0.91</v>
      </c>
      <c r="C69" s="30">
        <v>1.69</v>
      </c>
      <c r="D69" s="28">
        <v>1.75</v>
      </c>
      <c r="E69" s="34">
        <f t="shared" si="14"/>
        <v>3.5000000000000003E-2</v>
      </c>
      <c r="F69" s="35">
        <f t="shared" si="15"/>
        <v>0.42249999999999999</v>
      </c>
      <c r="G69" s="34">
        <f t="shared" si="16"/>
        <v>43.75</v>
      </c>
      <c r="H69" s="33">
        <f t="shared" si="17"/>
        <v>-0.46428571428571425</v>
      </c>
      <c r="I69" s="29">
        <f t="shared" ca="1" si="18"/>
        <v>5</v>
      </c>
      <c r="J69">
        <f ca="1">IF(AND(SUMPRODUCT($J$2:J68,$B$2:B68)&lt;500,SUM(B68,SUMPRODUCT($J$2:J68,$B$2:B68))&lt;500),1,0)</f>
        <v>0</v>
      </c>
      <c r="K69">
        <v>0</v>
      </c>
      <c r="L69">
        <v>0</v>
      </c>
    </row>
    <row r="70" spans="1:12" x14ac:dyDescent="0.3">
      <c r="A70" s="31">
        <v>187</v>
      </c>
      <c r="B70" s="28">
        <v>2.85</v>
      </c>
      <c r="C70" s="30">
        <v>48.29</v>
      </c>
      <c r="D70" s="28">
        <v>3.24</v>
      </c>
      <c r="E70" s="34">
        <f t="shared" si="14"/>
        <v>6.480000000000001E-2</v>
      </c>
      <c r="F70" s="35">
        <f t="shared" si="15"/>
        <v>12.0725</v>
      </c>
      <c r="G70" s="34">
        <f t="shared" si="16"/>
        <v>81</v>
      </c>
      <c r="H70" s="33">
        <f t="shared" si="17"/>
        <v>39.623684210526314</v>
      </c>
      <c r="I70" s="29">
        <f t="shared" ca="1" si="18"/>
        <v>2</v>
      </c>
      <c r="J70">
        <f ca="1">IF(AND(SUMPRODUCT($J$2:J69,$B$2:B69)&lt;500,SUM(B69,SUMPRODUCT($J$2:J69,$B$2:B69))&lt;500),1,0)</f>
        <v>1</v>
      </c>
      <c r="K70">
        <v>5</v>
      </c>
      <c r="L70">
        <v>1</v>
      </c>
    </row>
    <row r="71" spans="1:12" x14ac:dyDescent="0.3">
      <c r="A71" s="31">
        <v>189</v>
      </c>
      <c r="B71" s="28">
        <v>0.69</v>
      </c>
      <c r="C71" s="30">
        <v>45.49</v>
      </c>
      <c r="D71" s="28">
        <v>2.5099999999999998</v>
      </c>
      <c r="E71" s="34">
        <f t="shared" si="14"/>
        <v>5.0199999999999995E-2</v>
      </c>
      <c r="F71" s="35">
        <f t="shared" si="15"/>
        <v>11.3725</v>
      </c>
      <c r="G71" s="34">
        <f t="shared" si="16"/>
        <v>62.749999999999993</v>
      </c>
      <c r="H71" s="33">
        <f t="shared" si="17"/>
        <v>200.90942028985509</v>
      </c>
      <c r="I71" s="29">
        <f t="shared" ca="1" si="18"/>
        <v>2</v>
      </c>
      <c r="J71">
        <v>1</v>
      </c>
      <c r="K71">
        <v>6</v>
      </c>
      <c r="L71">
        <v>1</v>
      </c>
    </row>
    <row r="72" spans="1:12" x14ac:dyDescent="0.3">
      <c r="A72" s="31">
        <v>194</v>
      </c>
      <c r="B72" s="28">
        <v>1.77</v>
      </c>
      <c r="C72" s="30">
        <v>28.69</v>
      </c>
      <c r="D72" s="28">
        <v>1.25</v>
      </c>
      <c r="E72" s="34">
        <f t="shared" si="14"/>
        <v>2.5000000000000001E-2</v>
      </c>
      <c r="F72" s="35">
        <f t="shared" si="15"/>
        <v>7.1725000000000003</v>
      </c>
      <c r="G72" s="34">
        <f t="shared" si="16"/>
        <v>31.25</v>
      </c>
      <c r="H72" s="33">
        <f t="shared" si="17"/>
        <v>52.444915254237287</v>
      </c>
      <c r="I72" s="29">
        <f t="shared" ca="1" si="18"/>
        <v>1</v>
      </c>
      <c r="J72">
        <f ca="1">IF(AND(SUMPRODUCT($J$2:J71,$B$2:B71)&lt;500,SUM(B71,SUMPRODUCT($J$2:J71,$B$2:B71))&lt;500),1,0)</f>
        <v>1</v>
      </c>
      <c r="K72">
        <v>4</v>
      </c>
      <c r="L72">
        <v>1</v>
      </c>
    </row>
    <row r="73" spans="1:12" x14ac:dyDescent="0.3">
      <c r="A73" s="31">
        <v>203</v>
      </c>
      <c r="B73" s="28">
        <v>7.82</v>
      </c>
      <c r="C73" s="30">
        <v>0.03</v>
      </c>
      <c r="D73" s="28">
        <v>1.85</v>
      </c>
      <c r="E73" s="34">
        <f t="shared" si="14"/>
        <v>3.7000000000000005E-2</v>
      </c>
      <c r="F73" s="35">
        <f t="shared" si="15"/>
        <v>7.4999999999999997E-3</v>
      </c>
      <c r="G73" s="34">
        <f t="shared" si="16"/>
        <v>46.25</v>
      </c>
      <c r="H73" s="33">
        <f t="shared" si="17"/>
        <v>9.5898337595907925</v>
      </c>
      <c r="I73" s="29">
        <f t="shared" ca="1" si="18"/>
        <v>1</v>
      </c>
      <c r="J73">
        <f ca="1">IF(AND(SUMPRODUCT($J$2:J72,$B$2:B72)&lt;500,SUM(B72,SUMPRODUCT($J$2:J72,$B$2:B72))&lt;500),1,0)</f>
        <v>0</v>
      </c>
      <c r="K73">
        <v>3</v>
      </c>
      <c r="L73">
        <v>0</v>
      </c>
    </row>
    <row r="74" spans="1:12" x14ac:dyDescent="0.3">
      <c r="A74" s="31">
        <v>207</v>
      </c>
      <c r="B74" s="28">
        <v>2.4900000000000002</v>
      </c>
      <c r="C74" s="30">
        <v>49.63</v>
      </c>
      <c r="D74" s="28">
        <v>0.57999999999999996</v>
      </c>
      <c r="E74" s="34">
        <f t="shared" si="14"/>
        <v>1.1599999999999999E-2</v>
      </c>
      <c r="F74" s="35">
        <f t="shared" si="15"/>
        <v>12.407500000000001</v>
      </c>
      <c r="G74" s="34">
        <f t="shared" si="16"/>
        <v>14.499999999999998</v>
      </c>
      <c r="H74" s="33">
        <f t="shared" si="17"/>
        <v>-4.9829317269076308</v>
      </c>
      <c r="I74" s="29">
        <f t="shared" ca="1" si="18"/>
        <v>1</v>
      </c>
      <c r="J74">
        <f ca="1">IF(AND(SUMPRODUCT($J$2:J73,$B$2:B73)&lt;500,SUM(B73,SUMPRODUCT($J$2:J73,$B$2:B73))&lt;500),1,0)</f>
        <v>0</v>
      </c>
      <c r="K74">
        <v>0</v>
      </c>
      <c r="L74">
        <v>0</v>
      </c>
    </row>
    <row r="75" spans="1:12" x14ac:dyDescent="0.3">
      <c r="A75" s="31">
        <v>210</v>
      </c>
      <c r="B75" s="28">
        <v>2.62</v>
      </c>
      <c r="C75" s="30">
        <v>86.07</v>
      </c>
      <c r="D75" s="28">
        <v>2.62</v>
      </c>
      <c r="E75" s="34">
        <f t="shared" si="14"/>
        <v>5.2400000000000002E-2</v>
      </c>
      <c r="F75" s="35">
        <f t="shared" si="15"/>
        <v>21.517499999999998</v>
      </c>
      <c r="G75" s="34">
        <f t="shared" si="16"/>
        <v>65.5</v>
      </c>
      <c r="H75" s="33">
        <f t="shared" si="17"/>
        <v>20.413167938931299</v>
      </c>
      <c r="I75" s="29">
        <f t="shared" ca="1" si="18"/>
        <v>2</v>
      </c>
      <c r="J75">
        <f ca="1">IF(AND(SUMPRODUCT($J$2:J74,$B$2:B74)&lt;500,SUM(B74,SUMPRODUCT($J$2:J74,$B$2:B74))&lt;500),1,0)</f>
        <v>1</v>
      </c>
      <c r="K75">
        <v>3</v>
      </c>
      <c r="L75">
        <v>1</v>
      </c>
    </row>
    <row r="76" spans="1:12" x14ac:dyDescent="0.3">
      <c r="A76" s="31">
        <v>211</v>
      </c>
      <c r="B76" s="28">
        <v>1.71</v>
      </c>
      <c r="C76" s="30">
        <v>34.07</v>
      </c>
      <c r="D76" s="28">
        <v>1.22</v>
      </c>
      <c r="E76" s="34">
        <f t="shared" si="14"/>
        <v>2.4399999999999998E-2</v>
      </c>
      <c r="F76" s="35">
        <f t="shared" si="15"/>
        <v>8.5175000000000001</v>
      </c>
      <c r="G76" s="34">
        <f t="shared" si="16"/>
        <v>30.5</v>
      </c>
      <c r="H76" s="33">
        <f t="shared" si="17"/>
        <v>-4.980994152046784</v>
      </c>
      <c r="I76" s="29">
        <f t="shared" ca="1" si="18"/>
        <v>1</v>
      </c>
      <c r="J76">
        <f ca="1">IF(AND(SUMPRODUCT($J$2:J75,$B$2:B75)&lt;500,SUM(B75,SUMPRODUCT($J$2:J75,$B$2:B75))&lt;500),1,0)</f>
        <v>0</v>
      </c>
      <c r="K76">
        <v>0</v>
      </c>
      <c r="L76">
        <v>0</v>
      </c>
    </row>
    <row r="77" spans="1:12" x14ac:dyDescent="0.3">
      <c r="A77" s="31">
        <v>217</v>
      </c>
      <c r="B77" s="28">
        <v>2.64</v>
      </c>
      <c r="C77" s="30">
        <v>89</v>
      </c>
      <c r="D77" s="28">
        <v>2.52</v>
      </c>
      <c r="E77" s="34">
        <f t="shared" si="14"/>
        <v>5.04E-2</v>
      </c>
      <c r="F77" s="35">
        <f t="shared" si="15"/>
        <v>22.25</v>
      </c>
      <c r="G77" s="34">
        <f t="shared" si="16"/>
        <v>63</v>
      </c>
      <c r="H77" s="33">
        <f t="shared" si="17"/>
        <v>48.390151515151516</v>
      </c>
      <c r="I77" s="29">
        <f t="shared" ca="1" si="18"/>
        <v>3</v>
      </c>
      <c r="J77">
        <f ca="1">IF(AND(SUMPRODUCT($J$2:J76,$B$2:B76)&lt;500,SUM(B76,SUMPRODUCT($J$2:J76,$B$2:B76))&lt;500),1,0)</f>
        <v>1</v>
      </c>
      <c r="K77">
        <v>6</v>
      </c>
      <c r="L77">
        <v>1</v>
      </c>
    </row>
    <row r="78" spans="1:12" x14ac:dyDescent="0.3">
      <c r="A78" s="31">
        <v>219</v>
      </c>
      <c r="B78" s="28">
        <v>4.97</v>
      </c>
      <c r="C78" s="30">
        <v>3.83</v>
      </c>
      <c r="D78" s="28">
        <v>1.56</v>
      </c>
      <c r="E78" s="34">
        <f t="shared" si="14"/>
        <v>3.1200000000000002E-2</v>
      </c>
      <c r="F78" s="35">
        <f t="shared" si="15"/>
        <v>0.95750000000000002</v>
      </c>
      <c r="G78" s="34">
        <f t="shared" si="16"/>
        <v>39</v>
      </c>
      <c r="H78" s="33">
        <f t="shared" si="17"/>
        <v>4.8375251509054333</v>
      </c>
      <c r="I78" s="29">
        <f t="shared" ca="1" si="18"/>
        <v>0</v>
      </c>
      <c r="J78">
        <f ca="1">IF(AND(SUMPRODUCT($J$2:J77,$B$2:B77)&lt;500,SUM(B77,SUMPRODUCT($J$2:J77,$B$2:B77))&lt;500),1,0)</f>
        <v>0</v>
      </c>
      <c r="K78">
        <v>1</v>
      </c>
      <c r="L78">
        <v>0</v>
      </c>
    </row>
    <row r="79" spans="1:12" x14ac:dyDescent="0.3">
      <c r="A79" s="31">
        <v>220</v>
      </c>
      <c r="B79" s="28">
        <v>4.67</v>
      </c>
      <c r="C79" s="30">
        <v>8.1300000000000008</v>
      </c>
      <c r="D79" s="28">
        <v>0.77</v>
      </c>
      <c r="E79" s="34">
        <f t="shared" si="14"/>
        <v>1.54E-2</v>
      </c>
      <c r="F79" s="35">
        <f t="shared" si="15"/>
        <v>2.0325000000000002</v>
      </c>
      <c r="G79" s="34">
        <f t="shared" si="16"/>
        <v>19.25</v>
      </c>
      <c r="H79" s="33">
        <f t="shared" si="17"/>
        <v>-0.43522483940042833</v>
      </c>
      <c r="I79" s="29">
        <f t="shared" ca="1" si="18"/>
        <v>0</v>
      </c>
      <c r="J79">
        <f ca="1">IF(AND(SUMPRODUCT($J$2:J78,$B$2:B78)&lt;500,SUM(B78,SUMPRODUCT($J$2:J78,$B$2:B78))&lt;500),1,0)</f>
        <v>0</v>
      </c>
      <c r="K79">
        <v>0</v>
      </c>
      <c r="L79">
        <v>0</v>
      </c>
    </row>
    <row r="80" spans="1:12" x14ac:dyDescent="0.3">
      <c r="A80" s="31">
        <v>221</v>
      </c>
      <c r="B80" s="28">
        <v>2.41</v>
      </c>
      <c r="C80" s="30">
        <v>50.39</v>
      </c>
      <c r="D80" s="28">
        <v>1.79</v>
      </c>
      <c r="E80" s="34">
        <f t="shared" si="14"/>
        <v>3.5799999999999998E-2</v>
      </c>
      <c r="F80" s="35">
        <f t="shared" si="15"/>
        <v>12.5975</v>
      </c>
      <c r="G80" s="34">
        <f t="shared" si="16"/>
        <v>44.75</v>
      </c>
      <c r="H80" s="33">
        <f t="shared" si="17"/>
        <v>15.519709543568466</v>
      </c>
      <c r="I80" s="29">
        <f t="shared" ca="1" si="18"/>
        <v>3</v>
      </c>
      <c r="J80">
        <f ca="1">IF(AND(SUMPRODUCT($J$2:J79,$B$2:B79)&lt;500,SUM(B79,SUMPRODUCT($J$2:J79,$B$2:B79))&lt;500),1,0)</f>
        <v>1</v>
      </c>
      <c r="K80">
        <v>2</v>
      </c>
      <c r="L80">
        <v>1</v>
      </c>
    </row>
    <row r="81" spans="1:12" x14ac:dyDescent="0.3">
      <c r="A81" s="31">
        <v>225</v>
      </c>
      <c r="B81" s="28">
        <v>1.97</v>
      </c>
      <c r="C81" s="30">
        <v>40.659999999999997</v>
      </c>
      <c r="D81" s="28">
        <v>1.56</v>
      </c>
      <c r="E81" s="34">
        <f t="shared" si="14"/>
        <v>3.1200000000000002E-2</v>
      </c>
      <c r="F81" s="35">
        <f t="shared" si="15"/>
        <v>10.164999999999999</v>
      </c>
      <c r="G81" s="34">
        <f t="shared" si="16"/>
        <v>39</v>
      </c>
      <c r="H81" s="33">
        <f t="shared" si="17"/>
        <v>32.911167512690362</v>
      </c>
      <c r="I81" s="29">
        <f t="shared" ca="1" si="18"/>
        <v>1</v>
      </c>
      <c r="J81">
        <f ca="1">IF(AND(SUMPRODUCT($J$2:J80,$B$2:B80)&lt;500,SUM(B80,SUMPRODUCT($J$2:J80,$B$2:B80))&lt;500),1,0)</f>
        <v>1</v>
      </c>
      <c r="K81">
        <v>3</v>
      </c>
      <c r="L81">
        <v>1</v>
      </c>
    </row>
    <row r="82" spans="1:12" x14ac:dyDescent="0.3">
      <c r="A82" s="31">
        <v>227</v>
      </c>
      <c r="B82" s="28">
        <v>2.5499999999999998</v>
      </c>
      <c r="C82" s="30">
        <v>29.71</v>
      </c>
      <c r="D82" s="28">
        <v>1.1000000000000001</v>
      </c>
      <c r="E82" s="34">
        <f t="shared" si="14"/>
        <v>2.2000000000000002E-2</v>
      </c>
      <c r="F82" s="35">
        <f t="shared" si="15"/>
        <v>7.4275000000000002</v>
      </c>
      <c r="G82" s="34">
        <f t="shared" si="16"/>
        <v>27.500000000000004</v>
      </c>
      <c r="H82" s="33">
        <f t="shared" si="17"/>
        <v>26.499019607843142</v>
      </c>
      <c r="I82" s="29">
        <f t="shared" ca="1" si="18"/>
        <v>2</v>
      </c>
      <c r="J82">
        <f ca="1">IF(AND(SUMPRODUCT($J$2:J81,$B$2:B81)&lt;500,SUM(B81,SUMPRODUCT($J$2:J81,$B$2:B81))&lt;500),1,0)</f>
        <v>1</v>
      </c>
      <c r="K82">
        <v>3</v>
      </c>
      <c r="L82">
        <v>1</v>
      </c>
    </row>
    <row r="83" spans="1:12" x14ac:dyDescent="0.3">
      <c r="A83" s="31">
        <v>228</v>
      </c>
      <c r="B83" s="28">
        <v>5.52</v>
      </c>
      <c r="C83" s="30">
        <v>3.9</v>
      </c>
      <c r="D83" s="28">
        <v>0.5</v>
      </c>
      <c r="E83" s="34">
        <f t="shared" si="14"/>
        <v>0.01</v>
      </c>
      <c r="F83" s="35">
        <f t="shared" si="15"/>
        <v>0.97499999999999998</v>
      </c>
      <c r="G83" s="34">
        <f t="shared" si="16"/>
        <v>12.5</v>
      </c>
      <c r="H83" s="33">
        <f t="shared" si="17"/>
        <v>-0.1766304347826087</v>
      </c>
      <c r="I83" s="29">
        <f t="shared" ca="1" si="18"/>
        <v>2</v>
      </c>
      <c r="J83">
        <f ca="1">IF(AND(SUMPRODUCT($J$2:J82,$B$2:B82)&lt;500,SUM(B82,SUMPRODUCT($J$2:J82,$B$2:B82))&lt;500),1,0)</f>
        <v>0</v>
      </c>
      <c r="K83">
        <v>0</v>
      </c>
      <c r="L83">
        <v>0</v>
      </c>
    </row>
    <row r="84" spans="1:12" x14ac:dyDescent="0.3">
      <c r="A84" s="31">
        <v>229</v>
      </c>
      <c r="B84" s="28">
        <v>1.87</v>
      </c>
      <c r="C84" s="30">
        <v>18.22</v>
      </c>
      <c r="D84" s="28">
        <v>1.03</v>
      </c>
      <c r="E84" s="34">
        <f t="shared" si="14"/>
        <v>2.06E-2</v>
      </c>
      <c r="F84" s="35">
        <f t="shared" si="15"/>
        <v>4.5549999999999997</v>
      </c>
      <c r="G84" s="34">
        <f t="shared" si="16"/>
        <v>25.75</v>
      </c>
      <c r="H84" s="33">
        <f t="shared" si="17"/>
        <v>10.933155080213904</v>
      </c>
      <c r="I84" s="29">
        <f t="shared" ca="1" si="18"/>
        <v>2</v>
      </c>
      <c r="J84">
        <f ca="1">IF(AND(SUMPRODUCT($J$2:J83,$B$2:B83)&lt;500,SUM(B83,SUMPRODUCT($J$2:J83,$B$2:B83))&lt;500),1,0)</f>
        <v>0</v>
      </c>
      <c r="K84">
        <v>1</v>
      </c>
      <c r="L84">
        <v>0</v>
      </c>
    </row>
    <row r="85" spans="1:12" x14ac:dyDescent="0.3">
      <c r="A85" s="31">
        <v>230</v>
      </c>
      <c r="B85" s="28">
        <v>2.5299999999999998</v>
      </c>
      <c r="C85" s="30">
        <v>66.489999999999995</v>
      </c>
      <c r="D85" s="28">
        <v>2.17</v>
      </c>
      <c r="E85" s="34">
        <f t="shared" si="14"/>
        <v>4.3400000000000001E-2</v>
      </c>
      <c r="F85" s="35">
        <f t="shared" si="15"/>
        <v>16.622499999999999</v>
      </c>
      <c r="G85" s="34">
        <f t="shared" si="16"/>
        <v>54.25</v>
      </c>
      <c r="H85" s="33">
        <f t="shared" si="17"/>
        <v>32.955533596837945</v>
      </c>
      <c r="I85" s="29">
        <f t="shared" ca="1" si="18"/>
        <v>3</v>
      </c>
      <c r="J85">
        <f ca="1">IF(AND(SUMPRODUCT($J$2:J84,$B$2:B84)&lt;500,SUM(B84,SUMPRODUCT($J$2:J84,$B$2:B84))&lt;500),1,0)</f>
        <v>1</v>
      </c>
      <c r="K85">
        <v>4</v>
      </c>
      <c r="L85">
        <v>1</v>
      </c>
    </row>
    <row r="86" spans="1:12" x14ac:dyDescent="0.3">
      <c r="A86" s="31">
        <v>237</v>
      </c>
      <c r="B86" s="28">
        <v>3.2</v>
      </c>
      <c r="C86" s="30">
        <v>22.92</v>
      </c>
      <c r="D86" s="28">
        <v>0.97</v>
      </c>
      <c r="E86" s="34">
        <f t="shared" si="14"/>
        <v>1.9400000000000001E-2</v>
      </c>
      <c r="F86" s="35">
        <f t="shared" si="15"/>
        <v>5.73</v>
      </c>
      <c r="G86" s="34">
        <f t="shared" si="16"/>
        <v>24.25</v>
      </c>
      <c r="H86" s="33">
        <f t="shared" si="17"/>
        <v>-1.7906250000000001</v>
      </c>
      <c r="I86" s="29">
        <f t="shared" ca="1" si="18"/>
        <v>0</v>
      </c>
      <c r="J86">
        <f ca="1">IF(AND(SUMPRODUCT($J$2:J85,$B$2:B85)&lt;500,SUM(B85,SUMPRODUCT($J$2:J85,$B$2:B85))&lt;500),1,0)</f>
        <v>0</v>
      </c>
      <c r="K86">
        <v>0</v>
      </c>
      <c r="L86">
        <v>0</v>
      </c>
    </row>
    <row r="87" spans="1:12" x14ac:dyDescent="0.3">
      <c r="A87" s="31">
        <v>238</v>
      </c>
      <c r="B87" s="28">
        <v>6.45</v>
      </c>
      <c r="C87" s="30">
        <v>93.65</v>
      </c>
      <c r="D87" s="28">
        <v>3.18</v>
      </c>
      <c r="E87" s="34">
        <f t="shared" si="14"/>
        <v>6.3600000000000004E-2</v>
      </c>
      <c r="F87" s="35">
        <f t="shared" si="15"/>
        <v>23.412500000000001</v>
      </c>
      <c r="G87" s="34">
        <f t="shared" si="16"/>
        <v>79.5</v>
      </c>
      <c r="H87" s="33">
        <f t="shared" si="17"/>
        <v>15.75</v>
      </c>
      <c r="I87" s="29">
        <f t="shared" ca="1" si="18"/>
        <v>2</v>
      </c>
      <c r="J87">
        <f ca="1">IF(AND(SUMPRODUCT($J$2:J86,$B$2:B86)&lt;500,SUM(B86,SUMPRODUCT($J$2:J86,$B$2:B86))&lt;500),1,0)</f>
        <v>1</v>
      </c>
      <c r="K87">
        <v>5</v>
      </c>
      <c r="L87">
        <v>1</v>
      </c>
    </row>
    <row r="88" spans="1:12" x14ac:dyDescent="0.3">
      <c r="A88" s="31">
        <v>241</v>
      </c>
      <c r="B88" s="28">
        <v>4.88</v>
      </c>
      <c r="C88" s="30">
        <v>33.18</v>
      </c>
      <c r="D88" s="28">
        <v>2.64</v>
      </c>
      <c r="E88" s="34">
        <f t="shared" si="14"/>
        <v>5.28E-2</v>
      </c>
      <c r="F88" s="35">
        <f t="shared" si="15"/>
        <v>8.2949999999999999</v>
      </c>
      <c r="G88" s="34">
        <f t="shared" si="16"/>
        <v>66</v>
      </c>
      <c r="H88" s="33">
        <f t="shared" si="17"/>
        <v>18.792008196721312</v>
      </c>
      <c r="I88" s="29">
        <f t="shared" ca="1" si="18"/>
        <v>1</v>
      </c>
      <c r="J88">
        <f ca="1">IF(AND(SUMPRODUCT($J$2:J87,$B$2:B87)&lt;500,SUM(B87,SUMPRODUCT($J$2:J87,$B$2:B87))&lt;500),1,0)</f>
        <v>1</v>
      </c>
      <c r="K88">
        <v>4</v>
      </c>
      <c r="L88">
        <v>1</v>
      </c>
    </row>
    <row r="89" spans="1:12" x14ac:dyDescent="0.3">
      <c r="A89" s="31">
        <v>242</v>
      </c>
      <c r="B89" s="28">
        <v>3.53</v>
      </c>
      <c r="C89" s="30">
        <v>28.83</v>
      </c>
      <c r="D89" s="28">
        <v>2.46</v>
      </c>
      <c r="E89" s="34">
        <f t="shared" si="14"/>
        <v>4.9200000000000001E-2</v>
      </c>
      <c r="F89" s="35">
        <f t="shared" si="15"/>
        <v>7.2074999999999996</v>
      </c>
      <c r="G89" s="34">
        <f t="shared" si="16"/>
        <v>61.5</v>
      </c>
      <c r="H89" s="33">
        <f t="shared" si="17"/>
        <v>12.122521246458925</v>
      </c>
      <c r="I89" s="29">
        <f t="shared" ca="1" si="18"/>
        <v>1</v>
      </c>
      <c r="J89">
        <f ca="1">IF(AND(SUMPRODUCT($J$2:J88,$B$2:B88)&lt;500,SUM(B88,SUMPRODUCT($J$2:J88,$B$2:B88))&lt;500),1,0)</f>
        <v>1</v>
      </c>
      <c r="K89">
        <v>2</v>
      </c>
      <c r="L89">
        <v>1</v>
      </c>
    </row>
    <row r="90" spans="1:12" x14ac:dyDescent="0.3">
      <c r="A90" s="31">
        <v>244</v>
      </c>
      <c r="B90" s="28">
        <v>1.3</v>
      </c>
      <c r="C90" s="30">
        <v>63.74</v>
      </c>
      <c r="D90" s="28">
        <v>1.62</v>
      </c>
      <c r="E90" s="34">
        <f t="shared" si="14"/>
        <v>3.2400000000000005E-2</v>
      </c>
      <c r="F90" s="35">
        <f t="shared" si="15"/>
        <v>15.935</v>
      </c>
      <c r="G90" s="34">
        <f t="shared" si="16"/>
        <v>40.5</v>
      </c>
      <c r="H90" s="33">
        <f t="shared" si="17"/>
        <v>-12.257692307692308</v>
      </c>
      <c r="I90" s="29">
        <f t="shared" ca="1" si="18"/>
        <v>0</v>
      </c>
      <c r="J90">
        <f ca="1">IF(AND(SUMPRODUCT($J$2:J89,$B$2:B89)&lt;500,SUM(B89,SUMPRODUCT($J$2:J89,$B$2:B89))&lt;500),1,0)</f>
        <v>0</v>
      </c>
      <c r="K90">
        <v>0</v>
      </c>
      <c r="L90">
        <v>0</v>
      </c>
    </row>
    <row r="91" spans="1:12" x14ac:dyDescent="0.3">
      <c r="A91" s="31">
        <v>245</v>
      </c>
      <c r="B91" s="28">
        <v>6.82</v>
      </c>
      <c r="C91" s="30">
        <v>26.99</v>
      </c>
      <c r="D91" s="28">
        <v>2.93</v>
      </c>
      <c r="E91" s="34">
        <f t="shared" si="14"/>
        <v>5.8600000000000006E-2</v>
      </c>
      <c r="F91" s="35">
        <f t="shared" si="15"/>
        <v>6.7474999999999996</v>
      </c>
      <c r="G91" s="34">
        <f t="shared" si="16"/>
        <v>73.25</v>
      </c>
      <c r="H91" s="33">
        <f t="shared" si="17"/>
        <v>6.3420087976539588</v>
      </c>
      <c r="I91" s="29">
        <f t="shared" ca="1" si="18"/>
        <v>1</v>
      </c>
      <c r="J91">
        <f ca="1">IF(AND(SUMPRODUCT($J$2:J90,$B$2:B90)&lt;500,SUM(B90,SUMPRODUCT($J$2:J90,$B$2:B90))&lt;500),1,0)</f>
        <v>0</v>
      </c>
      <c r="K91">
        <v>2</v>
      </c>
      <c r="L91">
        <v>0</v>
      </c>
    </row>
    <row r="92" spans="1:12" x14ac:dyDescent="0.3">
      <c r="A92" s="31">
        <v>249</v>
      </c>
      <c r="B92" s="28">
        <v>8.1</v>
      </c>
      <c r="C92" s="30">
        <v>77.13</v>
      </c>
      <c r="D92" s="28">
        <v>3.09</v>
      </c>
      <c r="E92" s="34">
        <f t="shared" si="14"/>
        <v>6.1799999999999994E-2</v>
      </c>
      <c r="F92" s="35">
        <f t="shared" si="15"/>
        <v>19.282499999999999</v>
      </c>
      <c r="G92" s="34">
        <f t="shared" si="16"/>
        <v>77.25</v>
      </c>
      <c r="H92" s="33">
        <f t="shared" si="17"/>
        <v>9.9651234567901241</v>
      </c>
      <c r="I92" s="29">
        <f t="shared" ca="1" si="18"/>
        <v>3</v>
      </c>
      <c r="J92">
        <f ca="1">IF(AND(SUMPRODUCT($J$2:J91,$B$2:B91)&lt;500,SUM(B91,SUMPRODUCT($J$2:J91,$B$2:B91))&lt;500),1,0)</f>
        <v>0</v>
      </c>
      <c r="K92">
        <v>4</v>
      </c>
      <c r="L92">
        <v>0</v>
      </c>
    </row>
    <row r="93" spans="1:12" x14ac:dyDescent="0.3">
      <c r="A93" s="31">
        <v>252</v>
      </c>
      <c r="B93" s="28">
        <v>9.7200000000000006</v>
      </c>
      <c r="C93" s="30">
        <v>59.26</v>
      </c>
      <c r="D93" s="28">
        <v>2.91</v>
      </c>
      <c r="E93" s="34">
        <f t="shared" si="14"/>
        <v>5.8200000000000002E-2</v>
      </c>
      <c r="F93" s="35">
        <f t="shared" si="15"/>
        <v>14.815</v>
      </c>
      <c r="G93" s="34">
        <f t="shared" si="16"/>
        <v>72.75</v>
      </c>
      <c r="H93" s="33">
        <f t="shared" si="17"/>
        <v>11.335905349794238</v>
      </c>
      <c r="I93" s="29">
        <f t="shared" ca="1" si="18"/>
        <v>2</v>
      </c>
      <c r="J93">
        <f ca="1">IF(AND(SUMPRODUCT($J$2:J92,$B$2:B92)&lt;500,SUM(B92,SUMPRODUCT($J$2:J92,$B$2:B92))&lt;500),1,0)</f>
        <v>0</v>
      </c>
      <c r="K93">
        <v>5</v>
      </c>
      <c r="L93">
        <v>0</v>
      </c>
    </row>
    <row r="94" spans="1:12" x14ac:dyDescent="0.3">
      <c r="A94" s="31">
        <v>253</v>
      </c>
      <c r="B94" s="28">
        <v>1.79</v>
      </c>
      <c r="C94" s="30">
        <v>13.16</v>
      </c>
      <c r="D94" s="28">
        <v>1.02</v>
      </c>
      <c r="E94" s="34">
        <f t="shared" si="14"/>
        <v>2.0400000000000001E-2</v>
      </c>
      <c r="F94" s="35">
        <f t="shared" si="15"/>
        <v>3.29</v>
      </c>
      <c r="G94" s="34">
        <f t="shared" si="16"/>
        <v>25.5</v>
      </c>
      <c r="H94" s="33">
        <f t="shared" si="17"/>
        <v>12.128491620111731</v>
      </c>
      <c r="I94" s="29">
        <f t="shared" ca="1" si="18"/>
        <v>2</v>
      </c>
      <c r="J94">
        <f ca="1">IF(AND(SUMPRODUCT($J$2:J93,$B$2:B93)&lt;500,SUM(B93,SUMPRODUCT($J$2:J93,$B$2:B93))&lt;500),1,0)</f>
        <v>1</v>
      </c>
      <c r="K94">
        <v>1</v>
      </c>
      <c r="L94">
        <v>1</v>
      </c>
    </row>
    <row r="95" spans="1:12" x14ac:dyDescent="0.3">
      <c r="A95" s="31">
        <v>254</v>
      </c>
      <c r="B95" s="28">
        <v>5.18</v>
      </c>
      <c r="C95" s="30">
        <v>58.82</v>
      </c>
      <c r="D95" s="28">
        <v>3.11</v>
      </c>
      <c r="E95" s="34">
        <f t="shared" si="14"/>
        <v>6.2199999999999998E-2</v>
      </c>
      <c r="F95" s="35">
        <f t="shared" si="15"/>
        <v>14.705</v>
      </c>
      <c r="G95" s="34">
        <f t="shared" si="16"/>
        <v>77.75</v>
      </c>
      <c r="H95" s="33">
        <f t="shared" si="17"/>
        <v>11.639961389961391</v>
      </c>
      <c r="I95" s="29">
        <f t="shared" ca="1" si="18"/>
        <v>4</v>
      </c>
      <c r="J95">
        <f ca="1">IF(AND(SUMPRODUCT($J$2:J94,$B$2:B94)&lt;500,SUM(B94,SUMPRODUCT($J$2:J94,$B$2:B94))&lt;500),1,0)</f>
        <v>0</v>
      </c>
      <c r="K95">
        <v>3</v>
      </c>
      <c r="L95">
        <v>0</v>
      </c>
    </row>
    <row r="96" spans="1:12" x14ac:dyDescent="0.3">
      <c r="A96" s="31">
        <v>256</v>
      </c>
      <c r="B96" s="28">
        <v>7.36</v>
      </c>
      <c r="C96" s="30">
        <v>48.59</v>
      </c>
      <c r="D96" s="28">
        <v>3</v>
      </c>
      <c r="E96" s="34">
        <f t="shared" si="14"/>
        <v>0.06</v>
      </c>
      <c r="F96" s="35">
        <f t="shared" si="15"/>
        <v>12.147500000000001</v>
      </c>
      <c r="G96" s="34">
        <f t="shared" si="16"/>
        <v>75</v>
      </c>
      <c r="H96" s="33">
        <f t="shared" si="17"/>
        <v>5.1430027173913038</v>
      </c>
      <c r="I96" s="29">
        <f t="shared" ca="1" si="18"/>
        <v>2</v>
      </c>
      <c r="J96">
        <f ca="1">IF(AND(SUMPRODUCT($J$2:J95,$B$2:B95)&lt;500,SUM(B95,SUMPRODUCT($J$2:J95,$B$2:B95))&lt;500),1,0)</f>
        <v>0</v>
      </c>
      <c r="K96">
        <v>2</v>
      </c>
      <c r="L96">
        <v>0</v>
      </c>
    </row>
    <row r="97" spans="1:12" x14ac:dyDescent="0.3">
      <c r="A97" s="31">
        <v>257</v>
      </c>
      <c r="B97" s="28">
        <v>6.9</v>
      </c>
      <c r="C97" s="30">
        <v>83.71</v>
      </c>
      <c r="D97" s="28">
        <v>2.99</v>
      </c>
      <c r="E97" s="34">
        <f t="shared" si="14"/>
        <v>5.9800000000000006E-2</v>
      </c>
      <c r="F97" s="35">
        <f t="shared" si="15"/>
        <v>20.927499999999998</v>
      </c>
      <c r="G97" s="34">
        <f t="shared" si="16"/>
        <v>74.75</v>
      </c>
      <c r="H97" s="33">
        <f t="shared" si="17"/>
        <v>15.082971014492754</v>
      </c>
      <c r="I97" s="29">
        <f t="shared" ca="1" si="18"/>
        <v>4</v>
      </c>
      <c r="J97">
        <f ca="1">IF(AND(SUMPRODUCT($J$2:J96,$B$2:B96)&lt;500,SUM(B96,SUMPRODUCT($J$2:J96,$B$2:B96))&lt;500),1,0)</f>
        <v>1</v>
      </c>
      <c r="K97">
        <v>5</v>
      </c>
      <c r="L97">
        <v>1</v>
      </c>
    </row>
    <row r="98" spans="1:12" x14ac:dyDescent="0.3">
      <c r="A98" s="31">
        <v>258</v>
      </c>
      <c r="B98" s="28">
        <v>2.4900000000000002</v>
      </c>
      <c r="C98" s="30">
        <v>75.930000000000007</v>
      </c>
      <c r="D98" s="28">
        <v>0.56000000000000005</v>
      </c>
      <c r="E98" s="34">
        <f t="shared" si="14"/>
        <v>1.1200000000000002E-2</v>
      </c>
      <c r="F98" s="35">
        <f t="shared" si="15"/>
        <v>18.982500000000002</v>
      </c>
      <c r="G98" s="34">
        <f t="shared" si="16"/>
        <v>14.000000000000002</v>
      </c>
      <c r="H98" s="33">
        <f t="shared" si="17"/>
        <v>-7.6234939759036147</v>
      </c>
      <c r="I98" s="29">
        <f t="shared" ca="1" si="18"/>
        <v>1</v>
      </c>
      <c r="J98">
        <f ca="1">IF(AND(SUMPRODUCT($J$2:J97,$B$2:B97)&lt;500,SUM(B97,SUMPRODUCT($J$2:J97,$B$2:B97))&lt;500),1,0)</f>
        <v>0</v>
      </c>
      <c r="K98">
        <v>0</v>
      </c>
      <c r="L98">
        <v>0</v>
      </c>
    </row>
    <row r="99" spans="1:12" x14ac:dyDescent="0.3">
      <c r="A99" s="31">
        <v>259</v>
      </c>
      <c r="B99" s="28">
        <v>2.73</v>
      </c>
      <c r="C99" s="30">
        <v>58.66</v>
      </c>
      <c r="D99" s="28">
        <v>3.03</v>
      </c>
      <c r="E99" s="34">
        <f t="shared" si="14"/>
        <v>6.0599999999999994E-2</v>
      </c>
      <c r="F99" s="35">
        <f t="shared" si="15"/>
        <v>14.664999999999999</v>
      </c>
      <c r="G99" s="34">
        <f t="shared" si="16"/>
        <v>75.75</v>
      </c>
      <c r="H99" s="33">
        <f t="shared" si="17"/>
        <v>3.785714285714286</v>
      </c>
      <c r="I99" s="29">
        <f t="shared" ca="1" si="18"/>
        <v>3</v>
      </c>
      <c r="J99">
        <f ca="1">IF(AND(SUMPRODUCT($J$2:J98,$B$2:B98)&lt;500,SUM(B98,SUMPRODUCT($J$2:J98,$B$2:B98))&lt;500),1,0)</f>
        <v>0</v>
      </c>
      <c r="K99">
        <v>1</v>
      </c>
      <c r="L99">
        <v>0</v>
      </c>
    </row>
    <row r="100" spans="1:12" x14ac:dyDescent="0.3">
      <c r="A100" s="31">
        <v>261</v>
      </c>
      <c r="B100" s="28">
        <v>2.67</v>
      </c>
      <c r="C100" s="30">
        <v>79.959999999999994</v>
      </c>
      <c r="D100" s="28">
        <v>0.55000000000000004</v>
      </c>
      <c r="E100" s="34">
        <f t="shared" si="14"/>
        <v>1.1000000000000001E-2</v>
      </c>
      <c r="F100" s="35">
        <f t="shared" si="15"/>
        <v>19.989999999999998</v>
      </c>
      <c r="G100" s="34">
        <f t="shared" si="16"/>
        <v>13.750000000000002</v>
      </c>
      <c r="H100" s="33">
        <f t="shared" si="17"/>
        <v>-7.4868913857677901</v>
      </c>
      <c r="I100" s="29">
        <f t="shared" ca="1" si="18"/>
        <v>1</v>
      </c>
      <c r="J100">
        <f ca="1">IF(AND(SUMPRODUCT($J$2:J99,$B$2:B99)&lt;500,SUM(B99,SUMPRODUCT($J$2:J99,$B$2:B99))&lt;500),1,0)</f>
        <v>0</v>
      </c>
      <c r="K100">
        <v>0</v>
      </c>
      <c r="L100">
        <v>0</v>
      </c>
    </row>
    <row r="101" spans="1:12" x14ac:dyDescent="0.3">
      <c r="A101" s="31">
        <v>262</v>
      </c>
      <c r="B101" s="28">
        <v>0.81</v>
      </c>
      <c r="C101" s="30">
        <v>92.18</v>
      </c>
      <c r="D101" s="28">
        <v>1.46</v>
      </c>
      <c r="E101" s="34">
        <f t="shared" si="14"/>
        <v>2.92E-2</v>
      </c>
      <c r="F101" s="35">
        <f t="shared" si="15"/>
        <v>23.045000000000002</v>
      </c>
      <c r="G101" s="34">
        <f t="shared" si="16"/>
        <v>36.5</v>
      </c>
      <c r="H101" s="33">
        <f t="shared" si="17"/>
        <v>-28.450617283950617</v>
      </c>
      <c r="I101" s="29">
        <f t="shared" ca="1" si="18"/>
        <v>1</v>
      </c>
      <c r="J101">
        <f ca="1">IF(AND(SUMPRODUCT($J$2:J100,$B$2:B100)&lt;500,SUM(B100,SUMPRODUCT($J$2:J100,$B$2:B100))&lt;500),1,0)</f>
        <v>0</v>
      </c>
      <c r="K101">
        <v>0</v>
      </c>
      <c r="L101">
        <v>0</v>
      </c>
    </row>
    <row r="102" spans="1:12" x14ac:dyDescent="0.3">
      <c r="A102" s="31">
        <v>263</v>
      </c>
      <c r="B102" s="28">
        <v>3.13</v>
      </c>
      <c r="C102" s="30">
        <v>50.53</v>
      </c>
      <c r="D102" s="28">
        <v>1.45</v>
      </c>
      <c r="E102" s="34">
        <f t="shared" si="14"/>
        <v>2.8999999999999998E-2</v>
      </c>
      <c r="F102" s="35">
        <f t="shared" si="15"/>
        <v>12.6325</v>
      </c>
      <c r="G102" s="34">
        <f t="shared" si="16"/>
        <v>36.25</v>
      </c>
      <c r="H102" s="33">
        <f t="shared" si="17"/>
        <v>3.9512779552715656</v>
      </c>
      <c r="I102" s="29">
        <f t="shared" ca="1" si="18"/>
        <v>0</v>
      </c>
      <c r="J102">
        <f ca="1">IF(AND(SUMPRODUCT($J$2:J101,$B$2:B101)&lt;500,SUM(B101,SUMPRODUCT($J$2:J101,$B$2:B101))&lt;500),1,0)</f>
        <v>0</v>
      </c>
      <c r="K102">
        <v>1</v>
      </c>
      <c r="L102">
        <v>0</v>
      </c>
    </row>
    <row r="103" spans="1:12" x14ac:dyDescent="0.3">
      <c r="A103" s="31">
        <v>266</v>
      </c>
      <c r="B103" s="28">
        <v>2.16</v>
      </c>
      <c r="C103" s="30">
        <v>62.25</v>
      </c>
      <c r="D103" s="28">
        <v>2.42</v>
      </c>
      <c r="E103" s="34">
        <f t="shared" si="14"/>
        <v>4.8399999999999999E-2</v>
      </c>
      <c r="F103" s="35">
        <f t="shared" si="15"/>
        <v>15.5625</v>
      </c>
      <c r="G103" s="34">
        <f t="shared" si="16"/>
        <v>60.5</v>
      </c>
      <c r="H103" s="33">
        <f t="shared" si="17"/>
        <v>15.943287037037036</v>
      </c>
      <c r="I103" s="29">
        <f t="shared" ca="1" si="18"/>
        <v>2</v>
      </c>
      <c r="J103">
        <f ca="1">IF(AND(SUMPRODUCT($J$2:J102,$B$2:B102)&lt;500,SUM(B102,SUMPRODUCT($J$2:J102,$B$2:B102))&lt;500),1,0)</f>
        <v>1</v>
      </c>
      <c r="K103">
        <v>2</v>
      </c>
      <c r="L103">
        <v>1</v>
      </c>
    </row>
    <row r="104" spans="1:12" x14ac:dyDescent="0.3">
      <c r="A104" s="31">
        <v>270</v>
      </c>
      <c r="B104" s="28">
        <v>2.73</v>
      </c>
      <c r="C104" s="30">
        <v>6.51</v>
      </c>
      <c r="D104" s="28">
        <v>0.56000000000000005</v>
      </c>
      <c r="E104" s="34">
        <f t="shared" si="14"/>
        <v>1.1200000000000002E-2</v>
      </c>
      <c r="F104" s="35">
        <f t="shared" si="15"/>
        <v>1.6274999999999999</v>
      </c>
      <c r="G104" s="34">
        <f t="shared" si="16"/>
        <v>14.000000000000002</v>
      </c>
      <c r="H104" s="33">
        <f t="shared" si="17"/>
        <v>-0.59615384615384615</v>
      </c>
      <c r="I104" s="29">
        <f t="shared" ca="1" si="18"/>
        <v>0</v>
      </c>
      <c r="J104">
        <f ca="1">IF(AND(SUMPRODUCT($J$2:J103,$B$2:B103)&lt;500,SUM(B103,SUMPRODUCT($J$2:J103,$B$2:B103))&lt;500),1,0)</f>
        <v>0</v>
      </c>
      <c r="K104">
        <v>0</v>
      </c>
      <c r="L104">
        <v>0</v>
      </c>
    </row>
    <row r="105" spans="1:12" x14ac:dyDescent="0.3">
      <c r="A105" s="31">
        <v>273</v>
      </c>
      <c r="B105" s="28">
        <v>9.0500000000000007</v>
      </c>
      <c r="C105" s="30">
        <v>0.71</v>
      </c>
      <c r="D105" s="28">
        <v>2.2999999999999998</v>
      </c>
      <c r="E105" s="34">
        <f t="shared" si="14"/>
        <v>4.5999999999999999E-2</v>
      </c>
      <c r="F105" s="35">
        <f t="shared" si="15"/>
        <v>0.17749999999999999</v>
      </c>
      <c r="G105" s="34">
        <f t="shared" si="16"/>
        <v>57.499999999999993</v>
      </c>
      <c r="H105" s="33">
        <f t="shared" si="17"/>
        <v>5.5052486187845293</v>
      </c>
      <c r="I105" s="29">
        <f t="shared" ca="1" si="18"/>
        <v>2</v>
      </c>
      <c r="J105">
        <f ca="1">IF(AND(SUMPRODUCT($J$2:J104,$B$2:B104)&lt;500,SUM(B104,SUMPRODUCT($J$2:J104,$B$2:B104))&lt;500),1,0)</f>
        <v>0</v>
      </c>
      <c r="K105">
        <v>2</v>
      </c>
      <c r="L105">
        <v>0</v>
      </c>
    </row>
    <row r="106" spans="1:12" x14ac:dyDescent="0.3">
      <c r="A106" s="31">
        <v>275</v>
      </c>
      <c r="B106" s="28">
        <v>6.5</v>
      </c>
      <c r="C106" s="30">
        <v>0.85</v>
      </c>
      <c r="D106" s="28">
        <v>1.08</v>
      </c>
      <c r="E106" s="34">
        <f t="shared" si="14"/>
        <v>2.1600000000000001E-2</v>
      </c>
      <c r="F106" s="35">
        <f t="shared" si="15"/>
        <v>0.21249999999999999</v>
      </c>
      <c r="G106" s="34">
        <f t="shared" si="16"/>
        <v>27</v>
      </c>
      <c r="H106" s="33">
        <f t="shared" si="17"/>
        <v>-3.2692307692307694E-2</v>
      </c>
      <c r="I106" s="29">
        <f t="shared" ca="1" si="18"/>
        <v>1</v>
      </c>
      <c r="J106">
        <f ca="1">IF(AND(SUMPRODUCT($J$2:J105,$B$2:B105)&lt;500,SUM(B105,SUMPRODUCT($J$2:J105,$B$2:B105))&lt;500),1,0)</f>
        <v>0</v>
      </c>
      <c r="K106">
        <v>0</v>
      </c>
      <c r="L106">
        <v>0</v>
      </c>
    </row>
    <row r="107" spans="1:12" x14ac:dyDescent="0.3">
      <c r="A107" s="31">
        <v>276</v>
      </c>
      <c r="B107" s="28">
        <v>1.94</v>
      </c>
      <c r="C107" s="30">
        <v>89.52</v>
      </c>
      <c r="D107" s="28">
        <v>0.99</v>
      </c>
      <c r="E107" s="34">
        <f t="shared" si="14"/>
        <v>1.9799999999999998E-2</v>
      </c>
      <c r="F107" s="35">
        <f t="shared" si="15"/>
        <v>22.38</v>
      </c>
      <c r="G107" s="34">
        <f t="shared" si="16"/>
        <v>24.75</v>
      </c>
      <c r="H107" s="33">
        <f t="shared" si="17"/>
        <v>-11.536082474226804</v>
      </c>
      <c r="I107" s="29">
        <f t="shared" ca="1" si="18"/>
        <v>1</v>
      </c>
      <c r="J107">
        <f ca="1">IF(AND(SUMPRODUCT($J$2:J106,$B$2:B106)&lt;500,SUM(B106,SUMPRODUCT($J$2:J106,$B$2:B106))&lt;500),1,0)</f>
        <v>0</v>
      </c>
      <c r="K107">
        <v>0</v>
      </c>
      <c r="L107">
        <v>0</v>
      </c>
    </row>
    <row r="108" spans="1:12" x14ac:dyDescent="0.3">
      <c r="A108" s="31">
        <v>279</v>
      </c>
      <c r="B108" s="28">
        <v>9.1</v>
      </c>
      <c r="C108" s="30">
        <v>4.7</v>
      </c>
      <c r="D108" s="28">
        <v>2.96</v>
      </c>
      <c r="E108" s="34">
        <f t="shared" si="14"/>
        <v>5.9200000000000003E-2</v>
      </c>
      <c r="F108" s="35">
        <f t="shared" si="15"/>
        <v>1.175</v>
      </c>
      <c r="G108" s="34">
        <f t="shared" si="16"/>
        <v>74</v>
      </c>
      <c r="H108" s="33">
        <f t="shared" si="17"/>
        <v>2.6181318681318682</v>
      </c>
      <c r="I108" s="29">
        <f t="shared" ca="1" si="18"/>
        <v>3</v>
      </c>
      <c r="J108">
        <f ca="1">IF(AND(SUMPRODUCT($J$2:J107,$B$2:B107)&lt;500,SUM(B107,SUMPRODUCT($J$2:J107,$B$2:B107))&lt;500),1,0)</f>
        <v>0</v>
      </c>
      <c r="K108">
        <v>1</v>
      </c>
      <c r="L108">
        <v>0</v>
      </c>
    </row>
    <row r="109" spans="1:12" x14ac:dyDescent="0.3">
      <c r="A109" s="31">
        <v>283</v>
      </c>
      <c r="B109" s="28">
        <v>5.49</v>
      </c>
      <c r="C109" s="30">
        <v>82.74</v>
      </c>
      <c r="D109" s="28">
        <v>2.97</v>
      </c>
      <c r="E109" s="34">
        <f t="shared" si="14"/>
        <v>5.9400000000000001E-2</v>
      </c>
      <c r="F109" s="35">
        <f t="shared" si="15"/>
        <v>20.684999999999999</v>
      </c>
      <c r="G109" s="34">
        <f t="shared" si="16"/>
        <v>74.25</v>
      </c>
      <c r="H109" s="33">
        <f t="shared" si="17"/>
        <v>9.8934426229508183</v>
      </c>
      <c r="I109" s="29">
        <f t="shared" ca="1" si="18"/>
        <v>3</v>
      </c>
      <c r="J109">
        <f ca="1">IF(AND(SUMPRODUCT($J$2:J108,$B$2:B108)&lt;500,SUM(B108,SUMPRODUCT($J$2:J108,$B$2:B108))&lt;500),1,0)</f>
        <v>0</v>
      </c>
      <c r="K109">
        <v>3</v>
      </c>
      <c r="L109">
        <v>0</v>
      </c>
    </row>
    <row r="110" spans="1:12" x14ac:dyDescent="0.3">
      <c r="A110" s="31">
        <v>284</v>
      </c>
      <c r="B110" s="28">
        <v>9.52</v>
      </c>
      <c r="C110" s="30">
        <v>97.28</v>
      </c>
      <c r="D110" s="28">
        <v>2.99</v>
      </c>
      <c r="E110" s="34">
        <f t="shared" si="14"/>
        <v>5.9800000000000006E-2</v>
      </c>
      <c r="F110" s="35">
        <f t="shared" si="15"/>
        <v>24.32</v>
      </c>
      <c r="G110" s="34">
        <f t="shared" si="16"/>
        <v>74.75</v>
      </c>
      <c r="H110" s="33">
        <f t="shared" si="17"/>
        <v>2.6974789915966388</v>
      </c>
      <c r="I110" s="29">
        <f t="shared" ca="1" si="18"/>
        <v>3</v>
      </c>
      <c r="J110">
        <f ca="1">IF(AND(SUMPRODUCT($J$2:J109,$B$2:B109)&lt;500,SUM(B109,SUMPRODUCT($J$2:J109,$B$2:B109))&lt;500),1,0)</f>
        <v>0</v>
      </c>
      <c r="K110">
        <v>2</v>
      </c>
      <c r="L110">
        <v>0</v>
      </c>
    </row>
    <row r="111" spans="1:12" x14ac:dyDescent="0.3">
      <c r="A111" s="31">
        <v>287</v>
      </c>
      <c r="B111" s="28">
        <v>4.18</v>
      </c>
      <c r="C111" s="30">
        <v>3.9</v>
      </c>
      <c r="D111" s="28">
        <v>1.98</v>
      </c>
      <c r="E111" s="34">
        <f t="shared" si="14"/>
        <v>3.9599999999999996E-2</v>
      </c>
      <c r="F111" s="35">
        <f t="shared" si="15"/>
        <v>0.97499999999999998</v>
      </c>
      <c r="G111" s="34">
        <f t="shared" si="16"/>
        <v>49.5</v>
      </c>
      <c r="H111" s="33">
        <f t="shared" si="17"/>
        <v>29.671052631578952</v>
      </c>
      <c r="I111" s="29">
        <f t="shared" ca="1" si="18"/>
        <v>1</v>
      </c>
      <c r="J111">
        <f ca="1">IF(AND(SUMPRODUCT($J$2:J110,$B$2:B110)&lt;500,SUM(B110,SUMPRODUCT($J$2:J110,$B$2:B110))&lt;500),1,0)</f>
        <v>1</v>
      </c>
      <c r="K111">
        <v>5</v>
      </c>
      <c r="L111">
        <v>1</v>
      </c>
    </row>
    <row r="112" spans="1:12" x14ac:dyDescent="0.3">
      <c r="A112" s="31">
        <v>290</v>
      </c>
      <c r="B112" s="28">
        <v>5.54</v>
      </c>
      <c r="C112" s="30">
        <v>40.67</v>
      </c>
      <c r="D112" s="28">
        <v>3.22</v>
      </c>
      <c r="E112" s="34">
        <f t="shared" si="14"/>
        <v>6.4399999999999999E-2</v>
      </c>
      <c r="F112" s="35">
        <f t="shared" si="15"/>
        <v>10.1675</v>
      </c>
      <c r="G112" s="34">
        <f t="shared" si="16"/>
        <v>80.5</v>
      </c>
      <c r="H112" s="33">
        <f t="shared" si="17"/>
        <v>20.727888086642597</v>
      </c>
      <c r="I112" s="29">
        <f t="shared" ca="1" si="18"/>
        <v>2</v>
      </c>
      <c r="J112">
        <f ca="1">IF(AND(SUMPRODUCT($J$2:J111,$B$2:B111)&lt;500,SUM(B111,SUMPRODUCT($J$2:J111,$B$2:B111))&lt;500),1,0)</f>
        <v>1</v>
      </c>
      <c r="K112">
        <v>5</v>
      </c>
      <c r="L112">
        <v>1</v>
      </c>
    </row>
    <row r="113" spans="1:12" x14ac:dyDescent="0.3">
      <c r="A113" s="31">
        <v>294</v>
      </c>
      <c r="B113" s="28">
        <v>8.0399999999999991</v>
      </c>
      <c r="C113" s="30">
        <v>7.63</v>
      </c>
      <c r="D113" s="28">
        <v>1.68</v>
      </c>
      <c r="E113" s="34">
        <f t="shared" si="14"/>
        <v>3.3599999999999998E-2</v>
      </c>
      <c r="F113" s="35">
        <f t="shared" si="15"/>
        <v>1.9075</v>
      </c>
      <c r="G113" s="34">
        <f t="shared" si="16"/>
        <v>42</v>
      </c>
      <c r="H113" s="33">
        <f t="shared" si="17"/>
        <v>5.9816542288557217</v>
      </c>
      <c r="I113" s="29">
        <f t="shared" ca="1" si="18"/>
        <v>4</v>
      </c>
      <c r="J113">
        <f ca="1">IF(AND(SUMPRODUCT($J$2:J112,$B$2:B112)&lt;500,SUM(B112,SUMPRODUCT($J$2:J112,$B$2:B112))&lt;500),1,0)</f>
        <v>0</v>
      </c>
      <c r="K113">
        <v>2</v>
      </c>
      <c r="L113">
        <v>0</v>
      </c>
    </row>
    <row r="114" spans="1:12" x14ac:dyDescent="0.3">
      <c r="A114" s="31">
        <v>299</v>
      </c>
      <c r="B114" s="28">
        <v>3.33</v>
      </c>
      <c r="C114" s="30">
        <v>2.52</v>
      </c>
      <c r="D114" s="28">
        <v>1.44</v>
      </c>
      <c r="E114" s="34">
        <f t="shared" si="14"/>
        <v>2.8799999999999999E-2</v>
      </c>
      <c r="F114" s="35">
        <f t="shared" si="15"/>
        <v>0.63</v>
      </c>
      <c r="G114" s="34">
        <f t="shared" si="16"/>
        <v>36</v>
      </c>
      <c r="H114" s="33">
        <f t="shared" si="17"/>
        <v>-0.1891891891891892</v>
      </c>
      <c r="I114" s="29">
        <f t="shared" ca="1" si="18"/>
        <v>0</v>
      </c>
      <c r="J114">
        <f ca="1">IF(AND(SUMPRODUCT($J$2:J113,$B$2:B113)&lt;500,SUM(B113,SUMPRODUCT($J$2:J113,$B$2:B113))&lt;500),1,0)</f>
        <v>0</v>
      </c>
      <c r="K114">
        <v>0</v>
      </c>
      <c r="L114">
        <v>0</v>
      </c>
    </row>
    <row r="115" spans="1:12" x14ac:dyDescent="0.3">
      <c r="A115" s="31">
        <v>301</v>
      </c>
      <c r="B115" s="28">
        <v>4.4000000000000004</v>
      </c>
      <c r="C115" s="30">
        <v>0.78</v>
      </c>
      <c r="D115" s="28">
        <v>1.28</v>
      </c>
      <c r="E115" s="34">
        <f t="shared" si="14"/>
        <v>2.5600000000000001E-2</v>
      </c>
      <c r="F115" s="35">
        <f t="shared" si="15"/>
        <v>0.19500000000000001</v>
      </c>
      <c r="G115" s="34">
        <f t="shared" si="16"/>
        <v>32</v>
      </c>
      <c r="H115" s="33">
        <f t="shared" si="17"/>
        <v>-4.4318181818181819E-2</v>
      </c>
      <c r="I115" s="29">
        <f t="shared" ca="1" si="18"/>
        <v>2</v>
      </c>
      <c r="J115">
        <f ca="1">IF(AND(SUMPRODUCT($J$2:J114,$B$2:B114)&lt;500,SUM(B114,SUMPRODUCT($J$2:J114,$B$2:B114))&lt;500),1,0)</f>
        <v>0</v>
      </c>
      <c r="K115">
        <v>0</v>
      </c>
      <c r="L115">
        <v>0</v>
      </c>
    </row>
    <row r="116" spans="1:12" x14ac:dyDescent="0.3">
      <c r="A116" s="31">
        <v>305</v>
      </c>
      <c r="B116" s="28">
        <v>1.66</v>
      </c>
      <c r="C116" s="30">
        <v>71.3</v>
      </c>
      <c r="D116" s="28">
        <v>0.55000000000000004</v>
      </c>
      <c r="E116" s="34">
        <f t="shared" si="14"/>
        <v>1.1000000000000001E-2</v>
      </c>
      <c r="F116" s="35">
        <f t="shared" si="15"/>
        <v>17.824999999999999</v>
      </c>
      <c r="G116" s="34">
        <f t="shared" si="16"/>
        <v>13.750000000000002</v>
      </c>
      <c r="H116" s="33">
        <f t="shared" si="17"/>
        <v>-10.737951807228916</v>
      </c>
      <c r="I116" s="29">
        <f t="shared" ca="1" si="18"/>
        <v>0</v>
      </c>
      <c r="J116">
        <f ca="1">IF(AND(SUMPRODUCT($J$2:J115,$B$2:B115)&lt;500,SUM(B115,SUMPRODUCT($J$2:J115,$B$2:B115))&lt;500),1,0)</f>
        <v>0</v>
      </c>
      <c r="K116">
        <v>0</v>
      </c>
      <c r="L116">
        <v>0</v>
      </c>
    </row>
    <row r="117" spans="1:12" x14ac:dyDescent="0.3">
      <c r="A117" s="31">
        <v>311</v>
      </c>
      <c r="B117" s="28">
        <v>2.92</v>
      </c>
      <c r="C117" s="30">
        <v>17.5</v>
      </c>
      <c r="D117" s="28">
        <v>0.38</v>
      </c>
      <c r="E117" s="34">
        <f t="shared" si="14"/>
        <v>7.6E-3</v>
      </c>
      <c r="F117" s="35">
        <f t="shared" si="15"/>
        <v>4.375</v>
      </c>
      <c r="G117" s="34">
        <f t="shared" si="16"/>
        <v>9.5</v>
      </c>
      <c r="H117" s="33">
        <f t="shared" si="17"/>
        <v>7.0633561643835616</v>
      </c>
      <c r="I117" s="29">
        <f t="shared" ca="1" si="18"/>
        <v>1</v>
      </c>
      <c r="J117">
        <f ca="1">IF(AND(SUMPRODUCT($J$2:J116,$B$2:B116)&lt;500,SUM(B116,SUMPRODUCT($J$2:J116,$B$2:B116))&lt;500),1,0)</f>
        <v>0</v>
      </c>
      <c r="K117">
        <v>1</v>
      </c>
      <c r="L117">
        <v>0</v>
      </c>
    </row>
    <row r="118" spans="1:12" x14ac:dyDescent="0.3">
      <c r="A118" s="31">
        <v>316</v>
      </c>
      <c r="B118" s="28">
        <v>1.94</v>
      </c>
      <c r="C118" s="30">
        <v>52.51</v>
      </c>
      <c r="D118" s="28">
        <v>0.7</v>
      </c>
      <c r="E118" s="34">
        <f t="shared" si="14"/>
        <v>1.3999999999999999E-2</v>
      </c>
      <c r="F118" s="35">
        <f t="shared" si="15"/>
        <v>13.1275</v>
      </c>
      <c r="G118" s="34">
        <f t="shared" si="16"/>
        <v>17.5</v>
      </c>
      <c r="H118" s="33">
        <f t="shared" si="17"/>
        <v>-6.7667525773195871</v>
      </c>
      <c r="I118" s="29">
        <f t="shared" ca="1" si="18"/>
        <v>1</v>
      </c>
      <c r="J118">
        <f ca="1">IF(AND(SUMPRODUCT($J$2:J117,$B$2:B117)&lt;500,SUM(B117,SUMPRODUCT($J$2:J117,$B$2:B117))&lt;500),1,0)</f>
        <v>0</v>
      </c>
      <c r="K118">
        <v>0</v>
      </c>
      <c r="L118">
        <v>0</v>
      </c>
    </row>
    <row r="119" spans="1:12" x14ac:dyDescent="0.3">
      <c r="A119" s="31">
        <v>317</v>
      </c>
      <c r="B119" s="28">
        <v>2.4700000000000002</v>
      </c>
      <c r="C119" s="30">
        <v>29.47</v>
      </c>
      <c r="D119" s="28">
        <v>0.66</v>
      </c>
      <c r="E119" s="34">
        <f t="shared" si="14"/>
        <v>1.32E-2</v>
      </c>
      <c r="F119" s="35">
        <f t="shared" si="15"/>
        <v>7.3674999999999997</v>
      </c>
      <c r="G119" s="34">
        <f t="shared" si="16"/>
        <v>16.5</v>
      </c>
      <c r="H119" s="33">
        <f t="shared" si="17"/>
        <v>-2.982793522267206</v>
      </c>
      <c r="I119" s="29">
        <f t="shared" ca="1" si="18"/>
        <v>3</v>
      </c>
      <c r="J119">
        <f ca="1">IF(AND(SUMPRODUCT($J$2:J118,$B$2:B118)&lt;500,SUM(B118,SUMPRODUCT($J$2:J118,$B$2:B118))&lt;500),1,0)</f>
        <v>0</v>
      </c>
      <c r="K119">
        <v>0</v>
      </c>
      <c r="L119">
        <v>0</v>
      </c>
    </row>
    <row r="120" spans="1:12" x14ac:dyDescent="0.3">
      <c r="A120" s="31">
        <v>318</v>
      </c>
      <c r="B120" s="28">
        <v>4.3</v>
      </c>
      <c r="C120" s="30">
        <v>99.22</v>
      </c>
      <c r="D120" s="28">
        <v>2.84</v>
      </c>
      <c r="E120" s="34">
        <f t="shared" si="14"/>
        <v>5.6799999999999996E-2</v>
      </c>
      <c r="F120" s="35">
        <f t="shared" si="15"/>
        <v>24.805</v>
      </c>
      <c r="G120" s="34">
        <f t="shared" si="16"/>
        <v>71</v>
      </c>
      <c r="H120" s="33">
        <f t="shared" si="17"/>
        <v>11.673255813953489</v>
      </c>
      <c r="I120" s="29">
        <f t="shared" ca="1" si="18"/>
        <v>3</v>
      </c>
      <c r="J120">
        <f ca="1">IF(AND(SUMPRODUCT($J$2:J119,$B$2:B119)&lt;500,SUM(B119,SUMPRODUCT($J$2:J119,$B$2:B119))&lt;500),1,0)</f>
        <v>0</v>
      </c>
      <c r="K120">
        <v>3</v>
      </c>
      <c r="L120">
        <v>0</v>
      </c>
    </row>
    <row r="121" spans="1:12" x14ac:dyDescent="0.3">
      <c r="A121" s="31">
        <v>320</v>
      </c>
      <c r="B121" s="28">
        <v>2.08</v>
      </c>
      <c r="C121" s="30">
        <v>50.85</v>
      </c>
      <c r="D121" s="28">
        <v>0.89</v>
      </c>
      <c r="E121" s="34">
        <f t="shared" si="14"/>
        <v>1.78E-2</v>
      </c>
      <c r="F121" s="35">
        <f t="shared" si="15"/>
        <v>12.7125</v>
      </c>
      <c r="G121" s="34">
        <f t="shared" si="16"/>
        <v>22.25</v>
      </c>
      <c r="H121" s="33">
        <f t="shared" si="17"/>
        <v>5.9074519230769225</v>
      </c>
      <c r="I121" s="29">
        <f t="shared" ca="1" si="18"/>
        <v>2</v>
      </c>
      <c r="J121">
        <f ca="1">IF(AND(SUMPRODUCT($J$2:J120,$B$2:B120)&lt;500,SUM(B120,SUMPRODUCT($J$2:J120,$B$2:B120))&lt;500),1,0)</f>
        <v>0</v>
      </c>
      <c r="K121">
        <v>1</v>
      </c>
      <c r="L121">
        <v>0</v>
      </c>
    </row>
    <row r="122" spans="1:12" x14ac:dyDescent="0.3">
      <c r="A122" s="31">
        <v>321</v>
      </c>
      <c r="B122" s="28">
        <v>2.73</v>
      </c>
      <c r="C122" s="30">
        <v>51.06</v>
      </c>
      <c r="D122" s="28">
        <v>3</v>
      </c>
      <c r="E122" s="34">
        <f t="shared" si="14"/>
        <v>0.06</v>
      </c>
      <c r="F122" s="35">
        <f t="shared" si="15"/>
        <v>12.765000000000001</v>
      </c>
      <c r="G122" s="34">
        <f t="shared" si="16"/>
        <v>75</v>
      </c>
      <c r="H122" s="33">
        <f t="shared" si="17"/>
        <v>22.796703296703296</v>
      </c>
      <c r="I122" s="29">
        <f t="shared" ca="1" si="18"/>
        <v>4</v>
      </c>
      <c r="J122">
        <f ca="1">IF(AND(SUMPRODUCT($J$2:J121,$B$2:B121)&lt;500,SUM(B121,SUMPRODUCT($J$2:J121,$B$2:B121))&lt;500),1,0)</f>
        <v>1</v>
      </c>
      <c r="K122">
        <v>3</v>
      </c>
      <c r="L122">
        <v>1</v>
      </c>
    </row>
    <row r="123" spans="1:12" x14ac:dyDescent="0.3">
      <c r="A123" s="31">
        <v>328</v>
      </c>
      <c r="B123" s="28">
        <v>4.7300000000000004</v>
      </c>
      <c r="C123" s="30">
        <v>14.43</v>
      </c>
      <c r="D123" s="28">
        <v>2.58</v>
      </c>
      <c r="E123" s="34">
        <f t="shared" si="14"/>
        <v>5.16E-2</v>
      </c>
      <c r="F123" s="35">
        <f t="shared" si="15"/>
        <v>3.6074999999999999</v>
      </c>
      <c r="G123" s="34">
        <f t="shared" si="16"/>
        <v>64.5</v>
      </c>
      <c r="H123" s="33">
        <f t="shared" si="17"/>
        <v>20.378964059196615</v>
      </c>
      <c r="I123" s="29">
        <f t="shared" ca="1" si="18"/>
        <v>2</v>
      </c>
      <c r="J123">
        <f ca="1">IF(AND(SUMPRODUCT($J$2:J122,$B$2:B122)&lt;500,SUM(B122,SUMPRODUCT($J$2:J122,$B$2:B122))&lt;500),1,0)</f>
        <v>1</v>
      </c>
      <c r="K123">
        <v>4</v>
      </c>
      <c r="L123">
        <v>1</v>
      </c>
    </row>
    <row r="124" spans="1:12" x14ac:dyDescent="0.3">
      <c r="A124" s="31">
        <v>330</v>
      </c>
      <c r="B124" s="28">
        <v>3.67</v>
      </c>
      <c r="C124" s="30">
        <v>64.86</v>
      </c>
      <c r="D124" s="28">
        <v>2.17</v>
      </c>
      <c r="E124" s="34">
        <f t="shared" si="14"/>
        <v>4.3400000000000001E-2</v>
      </c>
      <c r="F124" s="35">
        <f t="shared" si="15"/>
        <v>16.215</v>
      </c>
      <c r="G124" s="34">
        <f t="shared" si="16"/>
        <v>54.25</v>
      </c>
      <c r="H124" s="33">
        <f t="shared" si="17"/>
        <v>22.829700272479563</v>
      </c>
      <c r="I124" s="29">
        <f t="shared" ca="1" si="18"/>
        <v>1</v>
      </c>
      <c r="J124">
        <f ca="1">IF(AND(SUMPRODUCT($J$2:J123,$B$2:B123)&lt;500,SUM(B123,SUMPRODUCT($J$2:J123,$B$2:B123))&lt;500),1,0)</f>
        <v>1</v>
      </c>
      <c r="K124">
        <v>4</v>
      </c>
      <c r="L124">
        <v>1</v>
      </c>
    </row>
    <row r="125" spans="1:12" x14ac:dyDescent="0.3">
      <c r="A125" s="31">
        <v>336</v>
      </c>
      <c r="B125" s="28">
        <v>2</v>
      </c>
      <c r="C125" s="30">
        <v>61.73</v>
      </c>
      <c r="D125" s="28">
        <v>2.17</v>
      </c>
      <c r="E125" s="34">
        <f t="shared" si="14"/>
        <v>4.3400000000000001E-2</v>
      </c>
      <c r="F125" s="35">
        <f t="shared" si="15"/>
        <v>15.432499999999999</v>
      </c>
      <c r="G125" s="34">
        <f t="shared" si="16"/>
        <v>54.25</v>
      </c>
      <c r="H125" s="33">
        <f t="shared" si="17"/>
        <v>17.283750000000001</v>
      </c>
      <c r="I125" s="29">
        <f t="shared" ca="1" si="18"/>
        <v>3</v>
      </c>
      <c r="J125">
        <f ca="1">IF(AND(SUMPRODUCT($J$2:J124,$B$2:B124)&lt;500,SUM(B124,SUMPRODUCT($J$2:J124,$B$2:B124))&lt;500),1,0)</f>
        <v>1</v>
      </c>
      <c r="K125">
        <v>2</v>
      </c>
      <c r="L125">
        <v>1</v>
      </c>
    </row>
    <row r="126" spans="1:12" x14ac:dyDescent="0.3">
      <c r="A126" s="31">
        <v>337</v>
      </c>
      <c r="B126" s="28">
        <v>9.1300000000000008</v>
      </c>
      <c r="C126" s="30">
        <v>8.93</v>
      </c>
      <c r="D126" s="28">
        <v>3.18</v>
      </c>
      <c r="E126" s="34">
        <f t="shared" si="14"/>
        <v>6.3600000000000004E-2</v>
      </c>
      <c r="F126" s="35">
        <f t="shared" si="15"/>
        <v>2.2324999999999999</v>
      </c>
      <c r="G126" s="34">
        <f t="shared" si="16"/>
        <v>79.5</v>
      </c>
      <c r="H126" s="33">
        <f t="shared" si="17"/>
        <v>10.708378970427162</v>
      </c>
      <c r="I126" s="29">
        <f t="shared" ca="1" si="18"/>
        <v>5</v>
      </c>
      <c r="J126">
        <f ca="1">IF(AND(SUMPRODUCT($J$2:J125,$B$2:B125)&lt;500,SUM(B125,SUMPRODUCT($J$2:J125,$B$2:B125))&lt;500),1,0)</f>
        <v>0</v>
      </c>
      <c r="K126">
        <v>4</v>
      </c>
      <c r="L126">
        <v>0</v>
      </c>
    </row>
    <row r="127" spans="1:12" x14ac:dyDescent="0.3">
      <c r="A127" s="31">
        <v>341</v>
      </c>
      <c r="B127" s="28">
        <v>3.51</v>
      </c>
      <c r="C127" s="30">
        <v>72.84</v>
      </c>
      <c r="D127" s="28">
        <v>2.69</v>
      </c>
      <c r="E127" s="34">
        <f t="shared" si="14"/>
        <v>5.3800000000000001E-2</v>
      </c>
      <c r="F127" s="35">
        <f t="shared" si="15"/>
        <v>18.21</v>
      </c>
      <c r="G127" s="34">
        <f t="shared" si="16"/>
        <v>67.25</v>
      </c>
      <c r="H127" s="33">
        <f t="shared" si="17"/>
        <v>51.792022792022792</v>
      </c>
      <c r="I127" s="29">
        <f t="shared" ca="1" si="18"/>
        <v>1</v>
      </c>
      <c r="J127">
        <f ca="1">IF(AND(SUMPRODUCT($J$2:J126,$B$2:B126)&lt;500,SUM(B126,SUMPRODUCT($J$2:J126,$B$2:B126))&lt;500),1,0)</f>
        <v>1</v>
      </c>
      <c r="K127">
        <v>8</v>
      </c>
      <c r="L127">
        <v>1</v>
      </c>
    </row>
    <row r="128" spans="1:12" x14ac:dyDescent="0.3">
      <c r="A128" s="31">
        <v>343</v>
      </c>
      <c r="B128" s="28">
        <v>1.19</v>
      </c>
      <c r="C128" s="30">
        <v>42.64</v>
      </c>
      <c r="D128" s="28">
        <v>1.07</v>
      </c>
      <c r="E128" s="34">
        <f t="shared" si="14"/>
        <v>2.1400000000000002E-2</v>
      </c>
      <c r="F128" s="35">
        <f t="shared" si="15"/>
        <v>10.66</v>
      </c>
      <c r="G128" s="34">
        <f t="shared" si="16"/>
        <v>26.75</v>
      </c>
      <c r="H128" s="33">
        <f t="shared" si="17"/>
        <v>54.067226890756309</v>
      </c>
      <c r="I128" s="29">
        <f t="shared" ca="1" si="18"/>
        <v>4</v>
      </c>
      <c r="J128">
        <f ca="1">IF(AND(SUMPRODUCT($J$2:J127,$B$2:B127)&lt;500,SUM(B127,SUMPRODUCT($J$2:J127,$B$2:B127))&lt;500),1,0)</f>
        <v>1</v>
      </c>
      <c r="K128">
        <v>3</v>
      </c>
      <c r="L128">
        <v>1</v>
      </c>
    </row>
    <row r="129" spans="1:12" x14ac:dyDescent="0.3">
      <c r="A129" s="31">
        <v>344</v>
      </c>
      <c r="B129" s="28">
        <v>5.89</v>
      </c>
      <c r="C129" s="30">
        <v>0.33</v>
      </c>
      <c r="D129" s="28">
        <v>0.92</v>
      </c>
      <c r="E129" s="34">
        <f t="shared" si="14"/>
        <v>1.84E-2</v>
      </c>
      <c r="F129" s="35">
        <f t="shared" si="15"/>
        <v>8.2500000000000004E-2</v>
      </c>
      <c r="G129" s="34">
        <f t="shared" si="16"/>
        <v>23</v>
      </c>
      <c r="H129" s="33">
        <f t="shared" si="17"/>
        <v>4.2304753820033962</v>
      </c>
      <c r="I129" s="29">
        <f t="shared" ca="1" si="18"/>
        <v>0</v>
      </c>
      <c r="J129">
        <f ca="1">IF(AND(SUMPRODUCT($J$2:J128,$B$2:B128)&lt;500,SUM(B128,SUMPRODUCT($J$2:J128,$B$2:B128))&lt;500),1,0)</f>
        <v>0</v>
      </c>
      <c r="K129">
        <v>1</v>
      </c>
      <c r="L129">
        <v>0</v>
      </c>
    </row>
    <row r="130" spans="1:12" x14ac:dyDescent="0.3">
      <c r="A130" s="31">
        <v>349</v>
      </c>
      <c r="B130" s="28">
        <v>4.49</v>
      </c>
      <c r="C130" s="30">
        <v>3.59</v>
      </c>
      <c r="D130" s="28">
        <v>1.75</v>
      </c>
      <c r="E130" s="34">
        <f t="shared" ref="E130:E193" si="19">D130/50</f>
        <v>3.5000000000000003E-2</v>
      </c>
      <c r="F130" s="35">
        <f t="shared" ref="F130:F193" si="20">0.25*C130</f>
        <v>0.89749999999999996</v>
      </c>
      <c r="G130" s="34">
        <f t="shared" ref="G130:G193" si="21">25*D130</f>
        <v>43.75</v>
      </c>
      <c r="H130" s="33">
        <f t="shared" ref="H130:H193" si="22">(25*K130-0.25*C130)/B130</f>
        <v>-0.19988864142538973</v>
      </c>
      <c r="I130" s="29">
        <f t="shared" ref="I130:I193" ca="1" si="23">_xlfn.BINOM.INV(50,E130,RAND())</f>
        <v>0</v>
      </c>
      <c r="J130">
        <f ca="1">IF(AND(SUMPRODUCT($J$2:J129,$B$2:B129)&lt;500,SUM(B129,SUMPRODUCT($J$2:J129,$B$2:B129))&lt;500),1,0)</f>
        <v>0</v>
      </c>
      <c r="K130">
        <v>0</v>
      </c>
      <c r="L130">
        <v>0</v>
      </c>
    </row>
    <row r="131" spans="1:12" x14ac:dyDescent="0.3">
      <c r="A131" s="31">
        <v>350</v>
      </c>
      <c r="B131" s="28">
        <v>1.66</v>
      </c>
      <c r="C131" s="30">
        <v>81.83</v>
      </c>
      <c r="D131" s="28">
        <v>0.67</v>
      </c>
      <c r="E131" s="34">
        <f t="shared" si="19"/>
        <v>1.34E-2</v>
      </c>
      <c r="F131" s="35">
        <f t="shared" si="20"/>
        <v>20.4575</v>
      </c>
      <c r="G131" s="34">
        <f t="shared" si="21"/>
        <v>16.75</v>
      </c>
      <c r="H131" s="33">
        <f t="shared" si="22"/>
        <v>-12.323795180722891</v>
      </c>
      <c r="I131" s="29">
        <f t="shared" ca="1" si="23"/>
        <v>0</v>
      </c>
      <c r="J131">
        <f ca="1">IF(AND(SUMPRODUCT($J$2:J130,$B$2:B130)&lt;500,SUM(B130,SUMPRODUCT($J$2:J130,$B$2:B130))&lt;500),1,0)</f>
        <v>0</v>
      </c>
      <c r="K131">
        <v>0</v>
      </c>
      <c r="L131">
        <v>0</v>
      </c>
    </row>
    <row r="132" spans="1:12" x14ac:dyDescent="0.3">
      <c r="A132" s="31">
        <v>351</v>
      </c>
      <c r="B132" s="28">
        <v>7.91</v>
      </c>
      <c r="C132" s="30">
        <v>19.309999999999999</v>
      </c>
      <c r="D132" s="28">
        <v>2.84</v>
      </c>
      <c r="E132" s="34">
        <f t="shared" si="19"/>
        <v>5.6799999999999996E-2</v>
      </c>
      <c r="F132" s="35">
        <f t="shared" si="20"/>
        <v>4.8274999999999997</v>
      </c>
      <c r="G132" s="34">
        <f t="shared" si="21"/>
        <v>71</v>
      </c>
      <c r="H132" s="33">
        <f t="shared" si="22"/>
        <v>8.8713653603034128</v>
      </c>
      <c r="I132" s="29">
        <f t="shared" ca="1" si="23"/>
        <v>7</v>
      </c>
      <c r="J132">
        <f ca="1">IF(AND(SUMPRODUCT($J$2:J131,$B$2:B131)&lt;500,SUM(B131,SUMPRODUCT($J$2:J131,$B$2:B131))&lt;500),1,0)</f>
        <v>0</v>
      </c>
      <c r="K132">
        <v>3</v>
      </c>
      <c r="L132">
        <v>0</v>
      </c>
    </row>
    <row r="133" spans="1:12" x14ac:dyDescent="0.3">
      <c r="A133" s="31">
        <v>354</v>
      </c>
      <c r="B133" s="28">
        <v>4.62</v>
      </c>
      <c r="C133" s="30">
        <v>82.06</v>
      </c>
      <c r="D133" s="28">
        <v>3.02</v>
      </c>
      <c r="E133" s="34">
        <f t="shared" si="19"/>
        <v>6.0400000000000002E-2</v>
      </c>
      <c r="F133" s="35">
        <f t="shared" si="20"/>
        <v>20.515000000000001</v>
      </c>
      <c r="G133" s="34">
        <f t="shared" si="21"/>
        <v>75.5</v>
      </c>
      <c r="H133" s="33">
        <f t="shared" si="22"/>
        <v>6.3820346320346317</v>
      </c>
      <c r="I133" s="29">
        <f t="shared" ca="1" si="23"/>
        <v>6</v>
      </c>
      <c r="J133">
        <f ca="1">IF(AND(SUMPRODUCT($J$2:J132,$B$2:B132)&lt;500,SUM(B132,SUMPRODUCT($J$2:J132,$B$2:B132))&lt;500),1,0)</f>
        <v>0</v>
      </c>
      <c r="K133">
        <v>2</v>
      </c>
      <c r="L133">
        <v>0</v>
      </c>
    </row>
    <row r="134" spans="1:12" x14ac:dyDescent="0.3">
      <c r="A134" s="31">
        <v>356</v>
      </c>
      <c r="B134" s="28">
        <v>2.98</v>
      </c>
      <c r="C134" s="30">
        <v>65.069999999999993</v>
      </c>
      <c r="D134" s="28">
        <v>2.61</v>
      </c>
      <c r="E134" s="34">
        <f t="shared" si="19"/>
        <v>5.2199999999999996E-2</v>
      </c>
      <c r="F134" s="35">
        <f t="shared" si="20"/>
        <v>16.267499999999998</v>
      </c>
      <c r="G134" s="34">
        <f t="shared" si="21"/>
        <v>65.25</v>
      </c>
      <c r="H134" s="33">
        <f t="shared" si="22"/>
        <v>36.48741610738255</v>
      </c>
      <c r="I134" s="29">
        <f t="shared" ca="1" si="23"/>
        <v>6</v>
      </c>
      <c r="J134">
        <f ca="1">IF(AND(SUMPRODUCT($J$2:J133,$B$2:B133)&lt;500,SUM(B133,SUMPRODUCT($J$2:J133,$B$2:B133))&lt;500),1,0)</f>
        <v>1</v>
      </c>
      <c r="K134">
        <v>5</v>
      </c>
      <c r="L134">
        <v>1</v>
      </c>
    </row>
    <row r="135" spans="1:12" x14ac:dyDescent="0.3">
      <c r="A135" s="31">
        <v>357</v>
      </c>
      <c r="B135" s="28">
        <v>1.47</v>
      </c>
      <c r="C135" s="30">
        <v>44.54</v>
      </c>
      <c r="D135" s="28">
        <v>0.88</v>
      </c>
      <c r="E135" s="34">
        <f t="shared" si="19"/>
        <v>1.7600000000000001E-2</v>
      </c>
      <c r="F135" s="35">
        <f t="shared" si="20"/>
        <v>11.135</v>
      </c>
      <c r="G135" s="34">
        <f t="shared" si="21"/>
        <v>22</v>
      </c>
      <c r="H135" s="33">
        <f t="shared" si="22"/>
        <v>-7.574829931972789</v>
      </c>
      <c r="I135" s="29">
        <f t="shared" ca="1" si="23"/>
        <v>2</v>
      </c>
      <c r="J135">
        <f ca="1">IF(AND(SUMPRODUCT($J$2:J134,$B$2:B134)&lt;500,SUM(B134,SUMPRODUCT($J$2:J134,$B$2:B134))&lt;500),1,0)</f>
        <v>0</v>
      </c>
      <c r="K135">
        <v>0</v>
      </c>
      <c r="L135">
        <v>0</v>
      </c>
    </row>
    <row r="136" spans="1:12" x14ac:dyDescent="0.3">
      <c r="A136" s="31">
        <v>359</v>
      </c>
      <c r="B136" s="28">
        <v>2.75</v>
      </c>
      <c r="C136" s="30">
        <v>53.88</v>
      </c>
      <c r="D136" s="28">
        <v>1.31</v>
      </c>
      <c r="E136" s="34">
        <f t="shared" si="19"/>
        <v>2.6200000000000001E-2</v>
      </c>
      <c r="F136" s="35">
        <f t="shared" si="20"/>
        <v>13.47</v>
      </c>
      <c r="G136" s="34">
        <f t="shared" si="21"/>
        <v>32.75</v>
      </c>
      <c r="H136" s="33">
        <f t="shared" si="22"/>
        <v>-4.8981818181818184</v>
      </c>
      <c r="I136" s="29">
        <f t="shared" ca="1" si="23"/>
        <v>1</v>
      </c>
      <c r="J136">
        <f ca="1">IF(AND(SUMPRODUCT($J$2:J135,$B$2:B135)&lt;500,SUM(B135,SUMPRODUCT($J$2:J135,$B$2:B135))&lt;500),1,0)</f>
        <v>0</v>
      </c>
      <c r="K136">
        <v>0</v>
      </c>
      <c r="L136">
        <v>0</v>
      </c>
    </row>
    <row r="137" spans="1:12" x14ac:dyDescent="0.3">
      <c r="A137" s="31">
        <v>361</v>
      </c>
      <c r="B137" s="28">
        <v>5.2</v>
      </c>
      <c r="C137" s="30">
        <v>6.11</v>
      </c>
      <c r="D137" s="28">
        <v>1.42</v>
      </c>
      <c r="E137" s="34">
        <f t="shared" si="19"/>
        <v>2.8399999999999998E-2</v>
      </c>
      <c r="F137" s="35">
        <f t="shared" si="20"/>
        <v>1.5275000000000001</v>
      </c>
      <c r="G137" s="34">
        <f t="shared" si="21"/>
        <v>35.5</v>
      </c>
      <c r="H137" s="33">
        <f t="shared" si="22"/>
        <v>4.5139423076923073</v>
      </c>
      <c r="I137" s="29">
        <f t="shared" ca="1" si="23"/>
        <v>3</v>
      </c>
      <c r="J137">
        <f ca="1">IF(AND(SUMPRODUCT($J$2:J136,$B$2:B136)&lt;500,SUM(B136,SUMPRODUCT($J$2:J136,$B$2:B136))&lt;500),1,0)</f>
        <v>0</v>
      </c>
      <c r="K137">
        <v>1</v>
      </c>
      <c r="L137">
        <v>0</v>
      </c>
    </row>
    <row r="138" spans="1:12" x14ac:dyDescent="0.3">
      <c r="A138" s="31">
        <v>363</v>
      </c>
      <c r="B138" s="28">
        <v>3.23</v>
      </c>
      <c r="C138" s="30">
        <v>64.12</v>
      </c>
      <c r="D138" s="28">
        <v>2.91</v>
      </c>
      <c r="E138" s="34">
        <f t="shared" si="19"/>
        <v>5.8200000000000002E-2</v>
      </c>
      <c r="F138" s="35">
        <f t="shared" si="20"/>
        <v>16.03</v>
      </c>
      <c r="G138" s="34">
        <f t="shared" si="21"/>
        <v>72.75</v>
      </c>
      <c r="H138" s="33">
        <f t="shared" si="22"/>
        <v>18.256965944272444</v>
      </c>
      <c r="I138" s="29">
        <f t="shared" ca="1" si="23"/>
        <v>1</v>
      </c>
      <c r="J138">
        <f ca="1">IF(AND(SUMPRODUCT($J$2:J137,$B$2:B137)&lt;500,SUM(B137,SUMPRODUCT($J$2:J137,$B$2:B137))&lt;500),1,0)</f>
        <v>1</v>
      </c>
      <c r="K138">
        <v>3</v>
      </c>
      <c r="L138">
        <v>1</v>
      </c>
    </row>
    <row r="139" spans="1:12" x14ac:dyDescent="0.3">
      <c r="A139" s="31">
        <v>369</v>
      </c>
      <c r="B139" s="28">
        <v>2.23</v>
      </c>
      <c r="C139" s="30">
        <v>84.15</v>
      </c>
      <c r="D139" s="28">
        <v>0.61</v>
      </c>
      <c r="E139" s="34">
        <f t="shared" si="19"/>
        <v>1.2199999999999999E-2</v>
      </c>
      <c r="F139" s="35">
        <f t="shared" si="20"/>
        <v>21.037500000000001</v>
      </c>
      <c r="G139" s="34">
        <f t="shared" si="21"/>
        <v>15.25</v>
      </c>
      <c r="H139" s="33">
        <f t="shared" si="22"/>
        <v>-9.4338565022421523</v>
      </c>
      <c r="I139" s="29">
        <f t="shared" ca="1" si="23"/>
        <v>1</v>
      </c>
      <c r="J139">
        <f ca="1">IF(AND(SUMPRODUCT($J$2:J138,$B$2:B138)&lt;500,SUM(B138,SUMPRODUCT($J$2:J138,$B$2:B138))&lt;500),1,0)</f>
        <v>0</v>
      </c>
      <c r="K139">
        <v>0</v>
      </c>
      <c r="L139">
        <v>0</v>
      </c>
    </row>
    <row r="140" spans="1:12" x14ac:dyDescent="0.3">
      <c r="A140" s="31">
        <v>375</v>
      </c>
      <c r="B140" s="28">
        <v>1.44</v>
      </c>
      <c r="C140" s="30">
        <v>51.83</v>
      </c>
      <c r="D140" s="28">
        <v>0.66</v>
      </c>
      <c r="E140" s="34">
        <f t="shared" si="19"/>
        <v>1.32E-2</v>
      </c>
      <c r="F140" s="35">
        <f t="shared" si="20"/>
        <v>12.9575</v>
      </c>
      <c r="G140" s="34">
        <f t="shared" si="21"/>
        <v>16.5</v>
      </c>
      <c r="H140" s="33">
        <f t="shared" si="22"/>
        <v>25.723958333333336</v>
      </c>
      <c r="I140" s="29">
        <f t="shared" ca="1" si="23"/>
        <v>0</v>
      </c>
      <c r="J140">
        <f ca="1">IF(AND(SUMPRODUCT($J$2:J139,$B$2:B139)&lt;500,SUM(B139,SUMPRODUCT($J$2:J139,$B$2:B139))&lt;500),1,0)</f>
        <v>1</v>
      </c>
      <c r="K140">
        <v>2</v>
      </c>
      <c r="L140">
        <v>1</v>
      </c>
    </row>
    <row r="141" spans="1:12" x14ac:dyDescent="0.3">
      <c r="A141" s="31">
        <v>376</v>
      </c>
      <c r="B141" s="28">
        <v>4.49</v>
      </c>
      <c r="C141" s="30">
        <v>42.2</v>
      </c>
      <c r="D141" s="28">
        <v>2.74</v>
      </c>
      <c r="E141" s="34">
        <f t="shared" si="19"/>
        <v>5.4800000000000001E-2</v>
      </c>
      <c r="F141" s="35">
        <f t="shared" si="20"/>
        <v>10.55</v>
      </c>
      <c r="G141" s="34">
        <f t="shared" si="21"/>
        <v>68.5</v>
      </c>
      <c r="H141" s="33">
        <f t="shared" si="22"/>
        <v>8.7861915367483299</v>
      </c>
      <c r="I141" s="29">
        <f t="shared" ca="1" si="23"/>
        <v>4</v>
      </c>
      <c r="J141">
        <f ca="1">IF(AND(SUMPRODUCT($J$2:J140,$B$2:B140)&lt;500,SUM(B140,SUMPRODUCT($J$2:J140,$B$2:B140))&lt;500),1,0)</f>
        <v>0</v>
      </c>
      <c r="K141">
        <v>2</v>
      </c>
      <c r="L141">
        <v>0</v>
      </c>
    </row>
    <row r="142" spans="1:12" x14ac:dyDescent="0.3">
      <c r="A142" s="31">
        <v>377</v>
      </c>
      <c r="B142" s="28">
        <v>7</v>
      </c>
      <c r="C142" s="30">
        <v>3.8</v>
      </c>
      <c r="D142" s="28">
        <v>2.48</v>
      </c>
      <c r="E142" s="34">
        <f t="shared" si="19"/>
        <v>4.9599999999999998E-2</v>
      </c>
      <c r="F142" s="35">
        <f t="shared" si="20"/>
        <v>0.95</v>
      </c>
      <c r="G142" s="34">
        <f t="shared" si="21"/>
        <v>62</v>
      </c>
      <c r="H142" s="33">
        <f t="shared" si="22"/>
        <v>7.0071428571428571</v>
      </c>
      <c r="I142" s="29">
        <f t="shared" ca="1" si="23"/>
        <v>4</v>
      </c>
      <c r="J142">
        <f ca="1">IF(AND(SUMPRODUCT($J$2:J141,$B$2:B141)&lt;500,SUM(B141,SUMPRODUCT($J$2:J141,$B$2:B141))&lt;500),1,0)</f>
        <v>0</v>
      </c>
      <c r="K142">
        <v>2</v>
      </c>
      <c r="L142">
        <v>0</v>
      </c>
    </row>
    <row r="143" spans="1:12" x14ac:dyDescent="0.3">
      <c r="A143" s="31">
        <v>383</v>
      </c>
      <c r="B143" s="28">
        <v>2.44</v>
      </c>
      <c r="C143" s="30">
        <v>29.73</v>
      </c>
      <c r="D143" s="28">
        <v>1.86</v>
      </c>
      <c r="E143" s="34">
        <f t="shared" si="19"/>
        <v>3.7200000000000004E-2</v>
      </c>
      <c r="F143" s="35">
        <f t="shared" si="20"/>
        <v>7.4325000000000001</v>
      </c>
      <c r="G143" s="34">
        <f t="shared" si="21"/>
        <v>46.5</v>
      </c>
      <c r="H143" s="33">
        <f t="shared" si="22"/>
        <v>17.445696721311478</v>
      </c>
      <c r="I143" s="29">
        <f t="shared" ca="1" si="23"/>
        <v>3</v>
      </c>
      <c r="J143">
        <f ca="1">IF(AND(SUMPRODUCT($J$2:J142,$B$2:B142)&lt;500,SUM(B142,SUMPRODUCT($J$2:J142,$B$2:B142))&lt;500),1,0)</f>
        <v>1</v>
      </c>
      <c r="K143">
        <v>2</v>
      </c>
      <c r="L143">
        <v>1</v>
      </c>
    </row>
    <row r="144" spans="1:12" x14ac:dyDescent="0.3">
      <c r="A144" s="31">
        <v>384</v>
      </c>
      <c r="B144" s="28">
        <v>1.85</v>
      </c>
      <c r="C144" s="30">
        <v>57.43</v>
      </c>
      <c r="D144" s="28">
        <v>1.93</v>
      </c>
      <c r="E144" s="34">
        <f t="shared" si="19"/>
        <v>3.8599999999999995E-2</v>
      </c>
      <c r="F144" s="35">
        <f t="shared" si="20"/>
        <v>14.3575</v>
      </c>
      <c r="G144" s="34">
        <f t="shared" si="21"/>
        <v>48.25</v>
      </c>
      <c r="H144" s="33">
        <f t="shared" si="22"/>
        <v>-7.7608108108108107</v>
      </c>
      <c r="I144" s="29">
        <f t="shared" ca="1" si="23"/>
        <v>2</v>
      </c>
      <c r="J144">
        <f ca="1">IF(AND(SUMPRODUCT($J$2:J143,$B$2:B143)&lt;500,SUM(B143,SUMPRODUCT($J$2:J143,$B$2:B143))&lt;500),1,0)</f>
        <v>0</v>
      </c>
      <c r="K144">
        <v>0</v>
      </c>
      <c r="L144">
        <v>0</v>
      </c>
    </row>
    <row r="145" spans="1:12" x14ac:dyDescent="0.3">
      <c r="A145" s="31">
        <v>386</v>
      </c>
      <c r="B145" s="28">
        <v>2.58</v>
      </c>
      <c r="C145" s="30">
        <v>40.04</v>
      </c>
      <c r="D145" s="28">
        <v>2.65</v>
      </c>
      <c r="E145" s="34">
        <f t="shared" si="19"/>
        <v>5.2999999999999999E-2</v>
      </c>
      <c r="F145" s="35">
        <f t="shared" si="20"/>
        <v>10.01</v>
      </c>
      <c r="G145" s="34">
        <f t="shared" si="21"/>
        <v>66.25</v>
      </c>
      <c r="H145" s="33">
        <f t="shared" si="22"/>
        <v>25.189922480620151</v>
      </c>
      <c r="I145" s="29">
        <f t="shared" ca="1" si="23"/>
        <v>6</v>
      </c>
      <c r="J145">
        <f ca="1">IF(AND(SUMPRODUCT($J$2:J144,$B$2:B144)&lt;500,SUM(B144,SUMPRODUCT($J$2:J144,$B$2:B144))&lt;500),1,0)</f>
        <v>1</v>
      </c>
      <c r="K145">
        <v>3</v>
      </c>
      <c r="L145">
        <v>1</v>
      </c>
    </row>
    <row r="146" spans="1:12" x14ac:dyDescent="0.3">
      <c r="A146" s="31">
        <v>387</v>
      </c>
      <c r="B146" s="28">
        <v>2.4900000000000002</v>
      </c>
      <c r="C146" s="30">
        <v>83.54</v>
      </c>
      <c r="D146" s="28">
        <v>1.86</v>
      </c>
      <c r="E146" s="34">
        <f t="shared" si="19"/>
        <v>3.7200000000000004E-2</v>
      </c>
      <c r="F146" s="35">
        <f t="shared" si="20"/>
        <v>20.885000000000002</v>
      </c>
      <c r="G146" s="34">
        <f t="shared" si="21"/>
        <v>46.5</v>
      </c>
      <c r="H146" s="33">
        <f t="shared" si="22"/>
        <v>-8.3875502008032132</v>
      </c>
      <c r="I146" s="29">
        <f t="shared" ca="1" si="23"/>
        <v>0</v>
      </c>
      <c r="J146">
        <f ca="1">IF(AND(SUMPRODUCT($J$2:J145,$B$2:B145)&lt;500,SUM(B145,SUMPRODUCT($J$2:J145,$B$2:B145))&lt;500),1,0)</f>
        <v>0</v>
      </c>
      <c r="K146">
        <v>0</v>
      </c>
      <c r="L146">
        <v>0</v>
      </c>
    </row>
    <row r="147" spans="1:12" x14ac:dyDescent="0.3">
      <c r="A147" s="31">
        <v>388</v>
      </c>
      <c r="B147" s="28">
        <v>9.16</v>
      </c>
      <c r="C147" s="30">
        <v>3.85</v>
      </c>
      <c r="D147" s="28">
        <v>2.85</v>
      </c>
      <c r="E147" s="34">
        <f t="shared" si="19"/>
        <v>5.7000000000000002E-2</v>
      </c>
      <c r="F147" s="35">
        <f t="shared" si="20"/>
        <v>0.96250000000000002</v>
      </c>
      <c r="G147" s="34">
        <f t="shared" si="21"/>
        <v>71.25</v>
      </c>
      <c r="H147" s="33">
        <f t="shared" si="22"/>
        <v>2.6241812227074237</v>
      </c>
      <c r="I147" s="29">
        <f t="shared" ca="1" si="23"/>
        <v>2</v>
      </c>
      <c r="J147">
        <f ca="1">IF(AND(SUMPRODUCT($J$2:J146,$B$2:B146)&lt;500,SUM(B146,SUMPRODUCT($J$2:J146,$B$2:B146))&lt;500),1,0)</f>
        <v>0</v>
      </c>
      <c r="K147">
        <v>1</v>
      </c>
      <c r="L147">
        <v>0</v>
      </c>
    </row>
    <row r="148" spans="1:12" x14ac:dyDescent="0.3">
      <c r="A148" s="31">
        <v>390</v>
      </c>
      <c r="B148" s="28">
        <v>1.98</v>
      </c>
      <c r="C148" s="30">
        <v>97.88</v>
      </c>
      <c r="D148" s="28">
        <v>2.2400000000000002</v>
      </c>
      <c r="E148" s="34">
        <f t="shared" si="19"/>
        <v>4.4800000000000006E-2</v>
      </c>
      <c r="F148" s="35">
        <f t="shared" si="20"/>
        <v>24.47</v>
      </c>
      <c r="G148" s="34">
        <f t="shared" si="21"/>
        <v>56.000000000000007</v>
      </c>
      <c r="H148" s="33">
        <f t="shared" si="22"/>
        <v>12.893939393939394</v>
      </c>
      <c r="I148" s="29">
        <f t="shared" ca="1" si="23"/>
        <v>1</v>
      </c>
      <c r="J148">
        <f ca="1">IF(AND(SUMPRODUCT($J$2:J147,$B$2:B147)&lt;500,SUM(B147,SUMPRODUCT($J$2:J147,$B$2:B147))&lt;500),1,0)</f>
        <v>1</v>
      </c>
      <c r="K148">
        <v>2</v>
      </c>
      <c r="L148">
        <v>1</v>
      </c>
    </row>
    <row r="149" spans="1:12" x14ac:dyDescent="0.3">
      <c r="A149" s="31">
        <v>401</v>
      </c>
      <c r="B149" s="28">
        <v>0.82</v>
      </c>
      <c r="C149" s="30">
        <v>5.89</v>
      </c>
      <c r="D149" s="28">
        <v>0.47</v>
      </c>
      <c r="E149" s="34">
        <f t="shared" si="19"/>
        <v>9.3999999999999986E-3</v>
      </c>
      <c r="F149" s="35">
        <f t="shared" si="20"/>
        <v>1.4724999999999999</v>
      </c>
      <c r="G149" s="34">
        <f t="shared" si="21"/>
        <v>11.75</v>
      </c>
      <c r="H149" s="33">
        <f t="shared" si="22"/>
        <v>-1.7957317073170731</v>
      </c>
      <c r="I149" s="29">
        <f t="shared" ca="1" si="23"/>
        <v>1</v>
      </c>
      <c r="J149">
        <f ca="1">IF(AND(SUMPRODUCT($J$2:J148,$B$2:B148)&lt;500,SUM(B148,SUMPRODUCT($J$2:J148,$B$2:B148))&lt;500),1,0)</f>
        <v>0</v>
      </c>
      <c r="K149">
        <v>0</v>
      </c>
      <c r="L149">
        <v>0</v>
      </c>
    </row>
    <row r="150" spans="1:12" x14ac:dyDescent="0.3">
      <c r="A150" s="31">
        <v>406</v>
      </c>
      <c r="B150" s="28">
        <v>3.14</v>
      </c>
      <c r="C150" s="30">
        <v>31.51</v>
      </c>
      <c r="D150" s="28">
        <v>3.25</v>
      </c>
      <c r="E150" s="34">
        <f t="shared" si="19"/>
        <v>6.5000000000000002E-2</v>
      </c>
      <c r="F150" s="35">
        <f t="shared" si="20"/>
        <v>7.8775000000000004</v>
      </c>
      <c r="G150" s="34">
        <f t="shared" si="21"/>
        <v>81.25</v>
      </c>
      <c r="H150" s="33">
        <f t="shared" si="22"/>
        <v>29.338375796178344</v>
      </c>
      <c r="I150" s="29">
        <f t="shared" ca="1" si="23"/>
        <v>3</v>
      </c>
      <c r="J150">
        <f ca="1">IF(AND(SUMPRODUCT($J$2:J149,$B$2:B149)&lt;500,SUM(B149,SUMPRODUCT($J$2:J149,$B$2:B149))&lt;500),1,0)</f>
        <v>1</v>
      </c>
      <c r="K150">
        <v>4</v>
      </c>
      <c r="L150">
        <v>1</v>
      </c>
    </row>
    <row r="151" spans="1:12" x14ac:dyDescent="0.3">
      <c r="A151" s="31">
        <v>408</v>
      </c>
      <c r="B151" s="28">
        <v>4.46</v>
      </c>
      <c r="C151" s="30">
        <v>94.18</v>
      </c>
      <c r="D151" s="28">
        <v>2.48</v>
      </c>
      <c r="E151" s="34">
        <f t="shared" si="19"/>
        <v>4.9599999999999998E-2</v>
      </c>
      <c r="F151" s="35">
        <f t="shared" si="20"/>
        <v>23.545000000000002</v>
      </c>
      <c r="G151" s="34">
        <f t="shared" si="21"/>
        <v>62</v>
      </c>
      <c r="H151" s="33">
        <f t="shared" si="22"/>
        <v>5.9316143497757841</v>
      </c>
      <c r="I151" s="29">
        <f t="shared" ca="1" si="23"/>
        <v>3</v>
      </c>
      <c r="J151">
        <f ca="1">IF(AND(SUMPRODUCT($J$2:J150,$B$2:B150)&lt;500,SUM(B150,SUMPRODUCT($J$2:J150,$B$2:B150))&lt;500),1,0)</f>
        <v>0</v>
      </c>
      <c r="K151">
        <v>2</v>
      </c>
      <c r="L151">
        <v>0</v>
      </c>
    </row>
    <row r="152" spans="1:12" x14ac:dyDescent="0.3">
      <c r="A152" s="31">
        <v>413</v>
      </c>
      <c r="B152" s="28">
        <v>7.37</v>
      </c>
      <c r="C152" s="30">
        <v>63.63</v>
      </c>
      <c r="D152" s="28">
        <v>2.76</v>
      </c>
      <c r="E152" s="34">
        <f t="shared" si="19"/>
        <v>5.5199999999999999E-2</v>
      </c>
      <c r="F152" s="35">
        <f t="shared" si="20"/>
        <v>15.907500000000001</v>
      </c>
      <c r="G152" s="34">
        <f t="shared" si="21"/>
        <v>69</v>
      </c>
      <c r="H152" s="33">
        <f t="shared" si="22"/>
        <v>4.6258480325644502</v>
      </c>
      <c r="I152" s="29">
        <f t="shared" ca="1" si="23"/>
        <v>1</v>
      </c>
      <c r="J152">
        <f ca="1">IF(AND(SUMPRODUCT($J$2:J151,$B$2:B151)&lt;500,SUM(B151,SUMPRODUCT($J$2:J151,$B$2:B151))&lt;500),1,0)</f>
        <v>0</v>
      </c>
      <c r="K152">
        <v>2</v>
      </c>
      <c r="L152">
        <v>0</v>
      </c>
    </row>
    <row r="153" spans="1:12" x14ac:dyDescent="0.3">
      <c r="A153" s="31">
        <v>415</v>
      </c>
      <c r="B153" s="28">
        <v>2.38</v>
      </c>
      <c r="C153" s="30">
        <v>85.29</v>
      </c>
      <c r="D153" s="28">
        <v>0.43</v>
      </c>
      <c r="E153" s="34">
        <f t="shared" si="19"/>
        <v>8.6E-3</v>
      </c>
      <c r="F153" s="35">
        <f t="shared" si="20"/>
        <v>21.322500000000002</v>
      </c>
      <c r="G153" s="34">
        <f t="shared" si="21"/>
        <v>10.75</v>
      </c>
      <c r="H153" s="33">
        <f t="shared" si="22"/>
        <v>1.5451680672268902</v>
      </c>
      <c r="I153" s="29">
        <f t="shared" ca="1" si="23"/>
        <v>1</v>
      </c>
      <c r="J153">
        <f ca="1">IF(AND(SUMPRODUCT($J$2:J152,$B$2:B152)&lt;500,SUM(B152,SUMPRODUCT($J$2:J152,$B$2:B152))&lt;500),1,0)</f>
        <v>0</v>
      </c>
      <c r="K153">
        <v>1</v>
      </c>
      <c r="L153">
        <v>0</v>
      </c>
    </row>
    <row r="154" spans="1:12" x14ac:dyDescent="0.3">
      <c r="A154" s="31">
        <v>416</v>
      </c>
      <c r="B154" s="28">
        <v>1.08</v>
      </c>
      <c r="C154" s="30">
        <v>43.87</v>
      </c>
      <c r="D154" s="28">
        <v>1.49</v>
      </c>
      <c r="E154" s="34">
        <f t="shared" si="19"/>
        <v>2.98E-2</v>
      </c>
      <c r="F154" s="35">
        <f t="shared" si="20"/>
        <v>10.967499999999999</v>
      </c>
      <c r="G154" s="34">
        <f t="shared" si="21"/>
        <v>37.25</v>
      </c>
      <c r="H154" s="33">
        <f t="shared" si="22"/>
        <v>12.993055555555555</v>
      </c>
      <c r="I154" s="29">
        <f t="shared" ca="1" si="23"/>
        <v>3</v>
      </c>
      <c r="J154">
        <f ca="1">IF(AND(SUMPRODUCT($J$2:J153,$B$2:B153)&lt;500,SUM(B153,SUMPRODUCT($J$2:J153,$B$2:B153))&lt;500),1,0)</f>
        <v>1</v>
      </c>
      <c r="K154">
        <v>1</v>
      </c>
      <c r="L154">
        <v>1</v>
      </c>
    </row>
    <row r="155" spans="1:12" x14ac:dyDescent="0.3">
      <c r="A155" s="31">
        <v>417</v>
      </c>
      <c r="B155" s="28">
        <v>0.76</v>
      </c>
      <c r="C155" s="30">
        <v>38.340000000000003</v>
      </c>
      <c r="D155" s="28">
        <v>0.53</v>
      </c>
      <c r="E155" s="34">
        <f t="shared" si="19"/>
        <v>1.06E-2</v>
      </c>
      <c r="F155" s="35">
        <f t="shared" si="20"/>
        <v>9.5850000000000009</v>
      </c>
      <c r="G155" s="34">
        <f t="shared" si="21"/>
        <v>13.25</v>
      </c>
      <c r="H155" s="33">
        <f t="shared" si="22"/>
        <v>-12.611842105263159</v>
      </c>
      <c r="I155" s="29">
        <f t="shared" ca="1" si="23"/>
        <v>1</v>
      </c>
      <c r="J155">
        <f ca="1">IF(AND(SUMPRODUCT($J$2:J154,$B$2:B154)&lt;500,SUM(B154,SUMPRODUCT($J$2:J154,$B$2:B154))&lt;500),1,0)</f>
        <v>0</v>
      </c>
      <c r="K155">
        <v>0</v>
      </c>
      <c r="L155">
        <v>0</v>
      </c>
    </row>
    <row r="156" spans="1:12" x14ac:dyDescent="0.3">
      <c r="A156" s="31">
        <v>418</v>
      </c>
      <c r="B156" s="28">
        <v>0.9</v>
      </c>
      <c r="C156" s="30">
        <v>39.619999999999997</v>
      </c>
      <c r="D156" s="28">
        <v>0.41</v>
      </c>
      <c r="E156" s="34">
        <f t="shared" si="19"/>
        <v>8.199999999999999E-3</v>
      </c>
      <c r="F156" s="35">
        <f t="shared" si="20"/>
        <v>9.9049999999999994</v>
      </c>
      <c r="G156" s="34">
        <f t="shared" si="21"/>
        <v>10.25</v>
      </c>
      <c r="H156" s="33">
        <f t="shared" si="22"/>
        <v>16.772222222222222</v>
      </c>
      <c r="I156" s="29">
        <f t="shared" ca="1" si="23"/>
        <v>1</v>
      </c>
      <c r="J156">
        <f ca="1">IF(AND(SUMPRODUCT($J$2:J155,$B$2:B155)&lt;500,SUM(B155,SUMPRODUCT($J$2:J155,$B$2:B155))&lt;500),1,0)</f>
        <v>1</v>
      </c>
      <c r="K156">
        <v>1</v>
      </c>
      <c r="L156">
        <v>1</v>
      </c>
    </row>
    <row r="157" spans="1:12" x14ac:dyDescent="0.3">
      <c r="A157" s="31">
        <v>423</v>
      </c>
      <c r="B157" s="28">
        <v>0.34</v>
      </c>
      <c r="C157" s="30">
        <v>57.7</v>
      </c>
      <c r="D157" s="28">
        <v>2.9</v>
      </c>
      <c r="E157" s="34">
        <f t="shared" si="19"/>
        <v>5.7999999999999996E-2</v>
      </c>
      <c r="F157" s="35">
        <f t="shared" si="20"/>
        <v>14.425000000000001</v>
      </c>
      <c r="G157" s="34">
        <f t="shared" si="21"/>
        <v>72.5</v>
      </c>
      <c r="H157" s="33">
        <f t="shared" si="22"/>
        <v>104.63235294117648</v>
      </c>
      <c r="I157" s="29">
        <f t="shared" ca="1" si="23"/>
        <v>3</v>
      </c>
      <c r="J157">
        <f ca="1">IF(AND(SUMPRODUCT($J$2:J156,$B$2:B156)&lt;500,SUM(B156,SUMPRODUCT($J$2:J156,$B$2:B156))&lt;500),1,0)</f>
        <v>1</v>
      </c>
      <c r="K157">
        <v>2</v>
      </c>
      <c r="L157">
        <v>1</v>
      </c>
    </row>
    <row r="158" spans="1:12" x14ac:dyDescent="0.3">
      <c r="A158" s="31">
        <v>424</v>
      </c>
      <c r="B158" s="28">
        <v>2.79</v>
      </c>
      <c r="C158" s="30">
        <v>5.21</v>
      </c>
      <c r="D158" s="28">
        <v>0.93</v>
      </c>
      <c r="E158" s="34">
        <f t="shared" si="19"/>
        <v>1.8600000000000002E-2</v>
      </c>
      <c r="F158" s="35">
        <f t="shared" si="20"/>
        <v>1.3025</v>
      </c>
      <c r="G158" s="34">
        <f t="shared" si="21"/>
        <v>23.25</v>
      </c>
      <c r="H158" s="33">
        <f t="shared" si="22"/>
        <v>17.454301075268816</v>
      </c>
      <c r="I158" s="29">
        <f t="shared" ca="1" si="23"/>
        <v>0</v>
      </c>
      <c r="J158">
        <f ca="1">IF(AND(SUMPRODUCT($J$2:J157,$B$2:B157)&lt;500,SUM(B157,SUMPRODUCT($J$2:J157,$B$2:B157))&lt;500),1,0)</f>
        <v>1</v>
      </c>
      <c r="K158">
        <v>2</v>
      </c>
      <c r="L158">
        <v>1</v>
      </c>
    </row>
    <row r="159" spans="1:12" x14ac:dyDescent="0.3">
      <c r="A159" s="31">
        <v>427</v>
      </c>
      <c r="B159" s="28">
        <v>9.42</v>
      </c>
      <c r="C159" s="30">
        <v>0.4</v>
      </c>
      <c r="D159" s="28">
        <v>2.0299999999999998</v>
      </c>
      <c r="E159" s="34">
        <f t="shared" si="19"/>
        <v>4.0599999999999997E-2</v>
      </c>
      <c r="F159" s="35">
        <f t="shared" si="20"/>
        <v>0.1</v>
      </c>
      <c r="G159" s="34">
        <f t="shared" si="21"/>
        <v>50.749999999999993</v>
      </c>
      <c r="H159" s="33">
        <f t="shared" si="22"/>
        <v>2.6433121019108281</v>
      </c>
      <c r="I159" s="29">
        <f t="shared" ca="1" si="23"/>
        <v>3</v>
      </c>
      <c r="J159">
        <f ca="1">IF(AND(SUMPRODUCT($J$2:J158,$B$2:B158)&lt;500,SUM(B158,SUMPRODUCT($J$2:J158,$B$2:B158))&lt;500),1,0)</f>
        <v>0</v>
      </c>
      <c r="K159">
        <v>1</v>
      </c>
      <c r="L159">
        <v>0</v>
      </c>
    </row>
    <row r="160" spans="1:12" x14ac:dyDescent="0.3">
      <c r="A160" s="31">
        <v>431</v>
      </c>
      <c r="B160" s="28">
        <v>2.9</v>
      </c>
      <c r="C160" s="30">
        <v>28.18</v>
      </c>
      <c r="D160" s="28">
        <v>2.35</v>
      </c>
      <c r="E160" s="34">
        <f t="shared" si="19"/>
        <v>4.7E-2</v>
      </c>
      <c r="F160" s="35">
        <f t="shared" si="20"/>
        <v>7.0449999999999999</v>
      </c>
      <c r="G160" s="34">
        <f t="shared" si="21"/>
        <v>58.75</v>
      </c>
      <c r="H160" s="33">
        <f t="shared" si="22"/>
        <v>23.432758620689654</v>
      </c>
      <c r="I160" s="29">
        <f t="shared" ca="1" si="23"/>
        <v>3</v>
      </c>
      <c r="J160">
        <f ca="1">IF(AND(SUMPRODUCT($J$2:J159,$B$2:B159)&lt;500,SUM(B159,SUMPRODUCT($J$2:J159,$B$2:B159))&lt;500),1,0)</f>
        <v>1</v>
      </c>
      <c r="K160">
        <v>3</v>
      </c>
      <c r="L160">
        <v>1</v>
      </c>
    </row>
    <row r="161" spans="1:12" x14ac:dyDescent="0.3">
      <c r="A161" s="31">
        <v>437</v>
      </c>
      <c r="B161" s="28">
        <v>6.54</v>
      </c>
      <c r="C161" s="30">
        <v>83.82</v>
      </c>
      <c r="D161" s="28">
        <v>2.94</v>
      </c>
      <c r="E161" s="34">
        <f t="shared" si="19"/>
        <v>5.8799999999999998E-2</v>
      </c>
      <c r="F161" s="35">
        <f t="shared" si="20"/>
        <v>20.954999999999998</v>
      </c>
      <c r="G161" s="34">
        <f t="shared" si="21"/>
        <v>73.5</v>
      </c>
      <c r="H161" s="33">
        <f t="shared" si="22"/>
        <v>4.4411314984709485</v>
      </c>
      <c r="I161" s="29">
        <f t="shared" ca="1" si="23"/>
        <v>5</v>
      </c>
      <c r="J161">
        <f ca="1">IF(AND(SUMPRODUCT($J$2:J160,$B$2:B160)&lt;500,SUM(B160,SUMPRODUCT($J$2:J160,$B$2:B160))&lt;500),1,0)</f>
        <v>0</v>
      </c>
      <c r="K161">
        <v>2</v>
      </c>
      <c r="L161">
        <v>0</v>
      </c>
    </row>
    <row r="162" spans="1:12" x14ac:dyDescent="0.3">
      <c r="A162" s="31">
        <v>441</v>
      </c>
      <c r="B162" s="28">
        <v>0.98</v>
      </c>
      <c r="C162" s="30">
        <v>46.52</v>
      </c>
      <c r="D162" s="28">
        <v>1.24</v>
      </c>
      <c r="E162" s="34">
        <f t="shared" si="19"/>
        <v>2.4799999999999999E-2</v>
      </c>
      <c r="F162" s="35">
        <f t="shared" si="20"/>
        <v>11.63</v>
      </c>
      <c r="G162" s="34">
        <f t="shared" si="21"/>
        <v>31</v>
      </c>
      <c r="H162" s="33">
        <f t="shared" si="22"/>
        <v>-11.867346938775512</v>
      </c>
      <c r="I162" s="29">
        <f t="shared" ca="1" si="23"/>
        <v>0</v>
      </c>
      <c r="J162">
        <f ca="1">IF(AND(SUMPRODUCT($J$2:J161,$B$2:B161)&lt;500,SUM(B161,SUMPRODUCT($J$2:J161,$B$2:B161))&lt;500),1,0)</f>
        <v>0</v>
      </c>
      <c r="K162">
        <v>0</v>
      </c>
      <c r="L162">
        <v>0</v>
      </c>
    </row>
    <row r="163" spans="1:12" x14ac:dyDescent="0.3">
      <c r="A163" s="31">
        <v>442</v>
      </c>
      <c r="B163" s="28">
        <v>3.44</v>
      </c>
      <c r="C163" s="30">
        <v>11.73</v>
      </c>
      <c r="D163" s="28">
        <v>2.16</v>
      </c>
      <c r="E163" s="34">
        <f t="shared" si="19"/>
        <v>4.3200000000000002E-2</v>
      </c>
      <c r="F163" s="35">
        <f t="shared" si="20"/>
        <v>2.9325000000000001</v>
      </c>
      <c r="G163" s="34">
        <f t="shared" si="21"/>
        <v>54</v>
      </c>
      <c r="H163" s="33">
        <f t="shared" si="22"/>
        <v>20.949854651162791</v>
      </c>
      <c r="I163" s="29">
        <f t="shared" ca="1" si="23"/>
        <v>1</v>
      </c>
      <c r="J163">
        <f ca="1">IF(AND(SUMPRODUCT($J$2:J162,$B$2:B162)&lt;500,SUM(B162,SUMPRODUCT($J$2:J162,$B$2:B162))&lt;500),1,0)</f>
        <v>1</v>
      </c>
      <c r="K163">
        <v>3</v>
      </c>
      <c r="L163">
        <v>1</v>
      </c>
    </row>
    <row r="164" spans="1:12" x14ac:dyDescent="0.3">
      <c r="A164" s="31">
        <v>443</v>
      </c>
      <c r="B164" s="28">
        <v>7.58</v>
      </c>
      <c r="C164" s="30">
        <v>1.03</v>
      </c>
      <c r="D164" s="28">
        <v>1.9</v>
      </c>
      <c r="E164" s="34">
        <f t="shared" si="19"/>
        <v>3.7999999999999999E-2</v>
      </c>
      <c r="F164" s="35">
        <f t="shared" si="20"/>
        <v>0.25750000000000001</v>
      </c>
      <c r="G164" s="34">
        <f t="shared" si="21"/>
        <v>47.5</v>
      </c>
      <c r="H164" s="33">
        <f t="shared" si="22"/>
        <v>9.8604881266490771</v>
      </c>
      <c r="I164" s="29">
        <f t="shared" ca="1" si="23"/>
        <v>1</v>
      </c>
      <c r="J164">
        <f ca="1">IF(AND(SUMPRODUCT($J$2:J163,$B$2:B163)&lt;500,SUM(B163,SUMPRODUCT($J$2:J163,$B$2:B163))&lt;500),1,0)</f>
        <v>0</v>
      </c>
      <c r="K164">
        <v>3</v>
      </c>
      <c r="L164">
        <v>0</v>
      </c>
    </row>
    <row r="165" spans="1:12" x14ac:dyDescent="0.3">
      <c r="A165" s="31">
        <v>445</v>
      </c>
      <c r="B165" s="28">
        <v>2.37</v>
      </c>
      <c r="C165" s="30">
        <v>65.23</v>
      </c>
      <c r="D165" s="28">
        <v>0.93</v>
      </c>
      <c r="E165" s="34">
        <f t="shared" si="19"/>
        <v>1.8600000000000002E-2</v>
      </c>
      <c r="F165" s="35">
        <f t="shared" si="20"/>
        <v>16.307500000000001</v>
      </c>
      <c r="G165" s="34">
        <f t="shared" si="21"/>
        <v>23.25</v>
      </c>
      <c r="H165" s="33">
        <f t="shared" si="22"/>
        <v>-6.8808016877637135</v>
      </c>
      <c r="I165" s="29">
        <f t="shared" ca="1" si="23"/>
        <v>0</v>
      </c>
      <c r="J165">
        <f ca="1">IF(AND(SUMPRODUCT($J$2:J164,$B$2:B164)&lt;500,SUM(B164,SUMPRODUCT($J$2:J164,$B$2:B164))&lt;500),1,0)</f>
        <v>0</v>
      </c>
      <c r="K165">
        <v>0</v>
      </c>
      <c r="L165">
        <v>0</v>
      </c>
    </row>
    <row r="166" spans="1:12" x14ac:dyDescent="0.3">
      <c r="A166" s="31">
        <v>452</v>
      </c>
      <c r="B166" s="28">
        <v>6.56</v>
      </c>
      <c r="C166" s="30">
        <v>35.119999999999997</v>
      </c>
      <c r="D166" s="28">
        <v>2.79</v>
      </c>
      <c r="E166" s="34">
        <f t="shared" si="19"/>
        <v>5.5800000000000002E-2</v>
      </c>
      <c r="F166" s="35">
        <f t="shared" si="20"/>
        <v>8.7799999999999994</v>
      </c>
      <c r="G166" s="34">
        <f t="shared" si="21"/>
        <v>69.75</v>
      </c>
      <c r="H166" s="33">
        <f t="shared" si="22"/>
        <v>10.094512195121952</v>
      </c>
      <c r="I166" s="29">
        <f t="shared" ca="1" si="23"/>
        <v>3</v>
      </c>
      <c r="J166">
        <f ca="1">IF(AND(SUMPRODUCT($J$2:J165,$B$2:B165)&lt;500,SUM(B165,SUMPRODUCT($J$2:J165,$B$2:B165))&lt;500),1,0)</f>
        <v>0</v>
      </c>
      <c r="K166">
        <v>3</v>
      </c>
      <c r="L166">
        <v>0</v>
      </c>
    </row>
    <row r="167" spans="1:12" x14ac:dyDescent="0.3">
      <c r="A167" s="31">
        <v>453</v>
      </c>
      <c r="B167" s="28">
        <v>3.14</v>
      </c>
      <c r="C167" s="30">
        <v>89</v>
      </c>
      <c r="D167" s="28">
        <v>0.45</v>
      </c>
      <c r="E167" s="34">
        <f t="shared" si="19"/>
        <v>9.0000000000000011E-3</v>
      </c>
      <c r="F167" s="35">
        <f t="shared" si="20"/>
        <v>22.25</v>
      </c>
      <c r="G167" s="34">
        <f t="shared" si="21"/>
        <v>11.25</v>
      </c>
      <c r="H167" s="33">
        <f t="shared" si="22"/>
        <v>-7.0859872611464967</v>
      </c>
      <c r="I167" s="29">
        <f t="shared" ca="1" si="23"/>
        <v>0</v>
      </c>
      <c r="J167">
        <f ca="1">IF(AND(SUMPRODUCT($J$2:J166,$B$2:B166)&lt;500,SUM(B166,SUMPRODUCT($J$2:J166,$B$2:B166))&lt;500),1,0)</f>
        <v>0</v>
      </c>
      <c r="K167">
        <v>0</v>
      </c>
      <c r="L167">
        <v>0</v>
      </c>
    </row>
    <row r="168" spans="1:12" x14ac:dyDescent="0.3">
      <c r="A168" s="31">
        <v>456</v>
      </c>
      <c r="B168" s="28">
        <v>3.04</v>
      </c>
      <c r="C168" s="30">
        <v>54.39</v>
      </c>
      <c r="D168" s="28">
        <v>1.44</v>
      </c>
      <c r="E168" s="34">
        <f t="shared" si="19"/>
        <v>2.8799999999999999E-2</v>
      </c>
      <c r="F168" s="35">
        <f t="shared" si="20"/>
        <v>13.5975</v>
      </c>
      <c r="G168" s="34">
        <f t="shared" si="21"/>
        <v>36</v>
      </c>
      <c r="H168" s="33">
        <f t="shared" si="22"/>
        <v>3.7508223684210527</v>
      </c>
      <c r="I168" s="29">
        <f t="shared" ca="1" si="23"/>
        <v>1</v>
      </c>
      <c r="J168">
        <f ca="1">IF(AND(SUMPRODUCT($J$2:J167,$B$2:B167)&lt;500,SUM(B167,SUMPRODUCT($J$2:J167,$B$2:B167))&lt;500),1,0)</f>
        <v>0</v>
      </c>
      <c r="K168">
        <v>1</v>
      </c>
      <c r="L168">
        <v>0</v>
      </c>
    </row>
    <row r="169" spans="1:12" x14ac:dyDescent="0.3">
      <c r="A169" s="31">
        <v>457</v>
      </c>
      <c r="B169" s="28">
        <v>2.88</v>
      </c>
      <c r="C169" s="30">
        <v>65.87</v>
      </c>
      <c r="D169" s="28">
        <v>2.2000000000000002</v>
      </c>
      <c r="E169" s="34">
        <f t="shared" si="19"/>
        <v>4.4000000000000004E-2</v>
      </c>
      <c r="F169" s="35">
        <f t="shared" si="20"/>
        <v>16.467500000000001</v>
      </c>
      <c r="G169" s="34">
        <f t="shared" si="21"/>
        <v>55.000000000000007</v>
      </c>
      <c r="H169" s="33">
        <f t="shared" si="22"/>
        <v>20.323784722222221</v>
      </c>
      <c r="I169" s="29">
        <f t="shared" ca="1" si="23"/>
        <v>1</v>
      </c>
      <c r="J169">
        <f ca="1">IF(AND(SUMPRODUCT($J$2:J168,$B$2:B168)&lt;500,SUM(B168,SUMPRODUCT($J$2:J168,$B$2:B168))&lt;500),1,0)</f>
        <v>1</v>
      </c>
      <c r="K169">
        <v>3</v>
      </c>
      <c r="L169">
        <v>1</v>
      </c>
    </row>
    <row r="170" spans="1:12" x14ac:dyDescent="0.3">
      <c r="A170" s="31">
        <v>458</v>
      </c>
      <c r="B170" s="28">
        <v>8.44</v>
      </c>
      <c r="C170" s="30">
        <v>3.8</v>
      </c>
      <c r="D170" s="28">
        <v>1.37</v>
      </c>
      <c r="E170" s="34">
        <f t="shared" si="19"/>
        <v>2.7400000000000001E-2</v>
      </c>
      <c r="F170" s="35">
        <f t="shared" si="20"/>
        <v>0.95</v>
      </c>
      <c r="G170" s="34">
        <f t="shared" si="21"/>
        <v>34.25</v>
      </c>
      <c r="H170" s="33">
        <f t="shared" si="22"/>
        <v>5.8116113744075832</v>
      </c>
      <c r="I170" s="29">
        <f t="shared" ca="1" si="23"/>
        <v>3</v>
      </c>
      <c r="J170">
        <f ca="1">IF(AND(SUMPRODUCT($J$2:J169,$B$2:B169)&lt;500,SUM(B169,SUMPRODUCT($J$2:J169,$B$2:B169))&lt;500),1,0)</f>
        <v>0</v>
      </c>
      <c r="K170">
        <v>2</v>
      </c>
      <c r="L170">
        <v>0</v>
      </c>
    </row>
    <row r="171" spans="1:12" x14ac:dyDescent="0.3">
      <c r="A171" s="31">
        <v>461</v>
      </c>
      <c r="B171" s="28">
        <v>1.36</v>
      </c>
      <c r="C171" s="30">
        <v>35.17</v>
      </c>
      <c r="D171" s="28">
        <v>1.46</v>
      </c>
      <c r="E171" s="34">
        <f t="shared" si="19"/>
        <v>2.92E-2</v>
      </c>
      <c r="F171" s="35">
        <f t="shared" si="20"/>
        <v>8.7925000000000004</v>
      </c>
      <c r="G171" s="34">
        <f t="shared" si="21"/>
        <v>36.5</v>
      </c>
      <c r="H171" s="33">
        <f t="shared" si="22"/>
        <v>-6.4650735294117645</v>
      </c>
      <c r="I171" s="29">
        <f t="shared" ca="1" si="23"/>
        <v>3</v>
      </c>
      <c r="J171">
        <f ca="1">IF(AND(SUMPRODUCT($J$2:J170,$B$2:B170)&lt;500,SUM(B170,SUMPRODUCT($J$2:J170,$B$2:B170))&lt;500),1,0)</f>
        <v>0</v>
      </c>
      <c r="K171">
        <v>0</v>
      </c>
      <c r="L171">
        <v>0</v>
      </c>
    </row>
    <row r="172" spans="1:12" x14ac:dyDescent="0.3">
      <c r="A172" s="31">
        <v>464</v>
      </c>
      <c r="B172" s="28">
        <v>1.18</v>
      </c>
      <c r="C172" s="30">
        <v>61</v>
      </c>
      <c r="D172" s="28">
        <v>2.46</v>
      </c>
      <c r="E172" s="34">
        <f t="shared" si="19"/>
        <v>4.9200000000000001E-2</v>
      </c>
      <c r="F172" s="35">
        <f t="shared" si="20"/>
        <v>15.25</v>
      </c>
      <c r="G172" s="34">
        <f t="shared" si="21"/>
        <v>61.5</v>
      </c>
      <c r="H172" s="33">
        <f t="shared" si="22"/>
        <v>71.822033898305094</v>
      </c>
      <c r="I172" s="29">
        <f t="shared" ca="1" si="23"/>
        <v>2</v>
      </c>
      <c r="J172">
        <f ca="1">IF(AND(SUMPRODUCT($J$2:J171,$B$2:B171)&lt;500,SUM(B171,SUMPRODUCT($J$2:J171,$B$2:B171))&lt;500),1,0)</f>
        <v>1</v>
      </c>
      <c r="K172">
        <v>4</v>
      </c>
      <c r="L172">
        <v>1</v>
      </c>
    </row>
    <row r="173" spans="1:12" x14ac:dyDescent="0.3">
      <c r="A173" s="31">
        <v>465</v>
      </c>
      <c r="B173" s="28">
        <v>2.96</v>
      </c>
      <c r="C173" s="30">
        <v>24.24</v>
      </c>
      <c r="D173" s="28">
        <v>0.95</v>
      </c>
      <c r="E173" s="34">
        <f t="shared" si="19"/>
        <v>1.9E-2</v>
      </c>
      <c r="F173" s="35">
        <f t="shared" si="20"/>
        <v>6.06</v>
      </c>
      <c r="G173" s="34">
        <f t="shared" si="21"/>
        <v>23.75</v>
      </c>
      <c r="H173" s="33">
        <f t="shared" si="22"/>
        <v>-2.0472972972972974</v>
      </c>
      <c r="I173" s="29">
        <f t="shared" ca="1" si="23"/>
        <v>1</v>
      </c>
      <c r="J173">
        <f ca="1">IF(AND(SUMPRODUCT($J$2:J172,$B$2:B172)&lt;500,SUM(B172,SUMPRODUCT($J$2:J172,$B$2:B172))&lt;500),1,0)</f>
        <v>0</v>
      </c>
      <c r="K173">
        <v>0</v>
      </c>
      <c r="L173">
        <v>0</v>
      </c>
    </row>
    <row r="174" spans="1:12" x14ac:dyDescent="0.3">
      <c r="A174" s="31">
        <v>466</v>
      </c>
      <c r="B174" s="28">
        <v>2.99</v>
      </c>
      <c r="C174" s="30">
        <v>82.2</v>
      </c>
      <c r="D174" s="28">
        <v>2.87</v>
      </c>
      <c r="E174" s="34">
        <f t="shared" si="19"/>
        <v>5.74E-2</v>
      </c>
      <c r="F174" s="35">
        <f t="shared" si="20"/>
        <v>20.55</v>
      </c>
      <c r="G174" s="34">
        <f t="shared" si="21"/>
        <v>71.75</v>
      </c>
      <c r="H174" s="33">
        <f t="shared" si="22"/>
        <v>26.57190635451505</v>
      </c>
      <c r="I174" s="29">
        <f t="shared" ca="1" si="23"/>
        <v>2</v>
      </c>
      <c r="J174">
        <f ca="1">IF(AND(SUMPRODUCT($J$2:J173,$B$2:B173)&lt;500,SUM(B173,SUMPRODUCT($J$2:J173,$B$2:B173))&lt;500),1,0)</f>
        <v>1</v>
      </c>
      <c r="K174">
        <v>4</v>
      </c>
      <c r="L174">
        <v>1</v>
      </c>
    </row>
    <row r="175" spans="1:12" x14ac:dyDescent="0.3">
      <c r="A175" s="31">
        <v>468</v>
      </c>
      <c r="B175" s="28">
        <v>8.76</v>
      </c>
      <c r="C175" s="30">
        <v>6.39</v>
      </c>
      <c r="D175" s="28">
        <v>1.64</v>
      </c>
      <c r="E175" s="34">
        <f t="shared" si="19"/>
        <v>3.2799999999999996E-2</v>
      </c>
      <c r="F175" s="35">
        <f t="shared" si="20"/>
        <v>1.5974999999999999</v>
      </c>
      <c r="G175" s="34">
        <f t="shared" si="21"/>
        <v>41</v>
      </c>
      <c r="H175" s="33">
        <f t="shared" si="22"/>
        <v>5.5253995433789962</v>
      </c>
      <c r="I175" s="29">
        <f t="shared" ca="1" si="23"/>
        <v>3</v>
      </c>
      <c r="J175">
        <f ca="1">IF(AND(SUMPRODUCT($J$2:J174,$B$2:B174)&lt;500,SUM(B174,SUMPRODUCT($J$2:J174,$B$2:B174))&lt;500),1,0)</f>
        <v>0</v>
      </c>
      <c r="K175">
        <v>2</v>
      </c>
      <c r="L175">
        <v>0</v>
      </c>
    </row>
    <row r="176" spans="1:12" x14ac:dyDescent="0.3">
      <c r="A176" s="31">
        <v>469</v>
      </c>
      <c r="B176" s="28">
        <v>1.1499999999999999</v>
      </c>
      <c r="C176" s="30">
        <v>82.61</v>
      </c>
      <c r="D176" s="28">
        <v>0.98</v>
      </c>
      <c r="E176" s="34">
        <f t="shared" si="19"/>
        <v>1.9599999999999999E-2</v>
      </c>
      <c r="F176" s="35">
        <f t="shared" si="20"/>
        <v>20.6525</v>
      </c>
      <c r="G176" s="34">
        <f t="shared" si="21"/>
        <v>24.5</v>
      </c>
      <c r="H176" s="33">
        <f t="shared" si="22"/>
        <v>-17.958695652173915</v>
      </c>
      <c r="I176" s="29">
        <f t="shared" ca="1" si="23"/>
        <v>1</v>
      </c>
      <c r="J176">
        <f ca="1">IF(AND(SUMPRODUCT($J$2:J175,$B$2:B175)&lt;500,SUM(B175,SUMPRODUCT($J$2:J175,$B$2:B175))&lt;500),1,0)</f>
        <v>0</v>
      </c>
      <c r="K176">
        <v>0</v>
      </c>
      <c r="L176">
        <v>0</v>
      </c>
    </row>
    <row r="177" spans="1:12" x14ac:dyDescent="0.3">
      <c r="A177" s="31">
        <v>470</v>
      </c>
      <c r="B177" s="28">
        <v>2.35</v>
      </c>
      <c r="C177" s="30">
        <v>44.38</v>
      </c>
      <c r="D177" s="28">
        <v>2.2599999999999998</v>
      </c>
      <c r="E177" s="34">
        <f t="shared" si="19"/>
        <v>4.5199999999999997E-2</v>
      </c>
      <c r="F177" s="35">
        <f t="shared" si="20"/>
        <v>11.095000000000001</v>
      </c>
      <c r="G177" s="34">
        <f t="shared" si="21"/>
        <v>56.499999999999993</v>
      </c>
      <c r="H177" s="33">
        <f t="shared" si="22"/>
        <v>5.9170212765957446</v>
      </c>
      <c r="I177" s="29">
        <f t="shared" ca="1" si="23"/>
        <v>4</v>
      </c>
      <c r="J177">
        <f ca="1">IF(AND(SUMPRODUCT($J$2:J176,$B$2:B176)&lt;500,SUM(B176,SUMPRODUCT($J$2:J176,$B$2:B176))&lt;500),1,0)</f>
        <v>0</v>
      </c>
      <c r="K177">
        <v>1</v>
      </c>
      <c r="L177">
        <v>0</v>
      </c>
    </row>
    <row r="178" spans="1:12" x14ac:dyDescent="0.3">
      <c r="A178" s="31">
        <v>476</v>
      </c>
      <c r="B178" s="28">
        <v>3.34</v>
      </c>
      <c r="C178" s="30">
        <v>38.07</v>
      </c>
      <c r="D178" s="28">
        <v>2.4500000000000002</v>
      </c>
      <c r="E178" s="34">
        <f t="shared" si="19"/>
        <v>4.9000000000000002E-2</v>
      </c>
      <c r="F178" s="35">
        <f t="shared" si="20"/>
        <v>9.5175000000000001</v>
      </c>
      <c r="G178" s="34">
        <f t="shared" si="21"/>
        <v>61.250000000000007</v>
      </c>
      <c r="H178" s="33">
        <f t="shared" si="22"/>
        <v>4.6354790419161676</v>
      </c>
      <c r="I178" s="29">
        <f t="shared" ca="1" si="23"/>
        <v>3</v>
      </c>
      <c r="J178">
        <f ca="1">IF(AND(SUMPRODUCT($J$2:J177,$B$2:B177)&lt;500,SUM(B177,SUMPRODUCT($J$2:J177,$B$2:B177))&lt;500),1,0)</f>
        <v>0</v>
      </c>
      <c r="K178">
        <v>1</v>
      </c>
      <c r="L178">
        <v>0</v>
      </c>
    </row>
    <row r="179" spans="1:12" x14ac:dyDescent="0.3">
      <c r="A179" s="31">
        <v>478</v>
      </c>
      <c r="B179" s="28">
        <v>0.93</v>
      </c>
      <c r="C179" s="30">
        <v>75.39</v>
      </c>
      <c r="D179" s="28">
        <v>0.95</v>
      </c>
      <c r="E179" s="34">
        <f t="shared" si="19"/>
        <v>1.9E-2</v>
      </c>
      <c r="F179" s="35">
        <f t="shared" si="20"/>
        <v>18.8475</v>
      </c>
      <c r="G179" s="34">
        <f t="shared" si="21"/>
        <v>23.75</v>
      </c>
      <c r="H179" s="33">
        <f t="shared" si="22"/>
        <v>-20.266129032258064</v>
      </c>
      <c r="I179" s="29">
        <f t="shared" ca="1" si="23"/>
        <v>1</v>
      </c>
      <c r="J179">
        <f ca="1">IF(AND(SUMPRODUCT($J$2:J178,$B$2:B178)&lt;500,SUM(B178,SUMPRODUCT($J$2:J178,$B$2:B178))&lt;500),1,0)</f>
        <v>0</v>
      </c>
      <c r="K179">
        <v>0</v>
      </c>
      <c r="L179">
        <v>0</v>
      </c>
    </row>
    <row r="180" spans="1:12" x14ac:dyDescent="0.3">
      <c r="A180" s="31">
        <v>479</v>
      </c>
      <c r="B180" s="28">
        <v>2.6</v>
      </c>
      <c r="C180" s="30">
        <v>52.65</v>
      </c>
      <c r="D180" s="28">
        <v>2.6</v>
      </c>
      <c r="E180" s="34">
        <f t="shared" si="19"/>
        <v>5.2000000000000005E-2</v>
      </c>
      <c r="F180" s="35">
        <f t="shared" si="20"/>
        <v>13.1625</v>
      </c>
      <c r="G180" s="34">
        <f t="shared" si="21"/>
        <v>65</v>
      </c>
      <c r="H180" s="33">
        <f t="shared" si="22"/>
        <v>23.783653846153843</v>
      </c>
      <c r="I180" s="29">
        <f t="shared" ca="1" si="23"/>
        <v>2</v>
      </c>
      <c r="J180">
        <f ca="1">IF(AND(SUMPRODUCT($J$2:J179,$B$2:B179)&lt;500,SUM(B179,SUMPRODUCT($J$2:J179,$B$2:B179))&lt;500),1,0)</f>
        <v>1</v>
      </c>
      <c r="K180">
        <v>3</v>
      </c>
      <c r="L180">
        <v>1</v>
      </c>
    </row>
    <row r="181" spans="1:12" x14ac:dyDescent="0.3">
      <c r="A181" s="31">
        <v>480</v>
      </c>
      <c r="B181" s="28">
        <v>2.25</v>
      </c>
      <c r="C181" s="30">
        <v>45.33</v>
      </c>
      <c r="D181" s="28">
        <v>2.4</v>
      </c>
      <c r="E181" s="34">
        <f t="shared" si="19"/>
        <v>4.8000000000000001E-2</v>
      </c>
      <c r="F181" s="35">
        <f t="shared" si="20"/>
        <v>11.3325</v>
      </c>
      <c r="G181" s="34">
        <f t="shared" si="21"/>
        <v>60</v>
      </c>
      <c r="H181" s="33">
        <f t="shared" si="22"/>
        <v>28.296666666666667</v>
      </c>
      <c r="I181" s="29">
        <f t="shared" ca="1" si="23"/>
        <v>3</v>
      </c>
      <c r="J181">
        <f ca="1">IF(AND(SUMPRODUCT($J$2:J180,$B$2:B180)&lt;500,SUM(B180,SUMPRODUCT($J$2:J180,$B$2:B180))&lt;500),1,0)</f>
        <v>1</v>
      </c>
      <c r="K181">
        <v>3</v>
      </c>
      <c r="L181">
        <v>1</v>
      </c>
    </row>
    <row r="182" spans="1:12" x14ac:dyDescent="0.3">
      <c r="A182" s="31">
        <v>497</v>
      </c>
      <c r="B182" s="28">
        <v>9.64</v>
      </c>
      <c r="C182" s="30">
        <v>72.5</v>
      </c>
      <c r="D182" s="28">
        <v>3.04</v>
      </c>
      <c r="E182" s="34">
        <f t="shared" si="19"/>
        <v>6.08E-2</v>
      </c>
      <c r="F182" s="35">
        <f t="shared" si="20"/>
        <v>18.125</v>
      </c>
      <c r="G182" s="34">
        <f t="shared" si="21"/>
        <v>76</v>
      </c>
      <c r="H182" s="33">
        <f t="shared" si="22"/>
        <v>5.8998962655601659</v>
      </c>
      <c r="I182" s="29">
        <f t="shared" ca="1" si="23"/>
        <v>3</v>
      </c>
      <c r="J182">
        <f ca="1">IF(AND(SUMPRODUCT($J$2:J181,$B$2:B181)&lt;500,SUM(B181,SUMPRODUCT($J$2:J181,$B$2:B181))&lt;500),1,0)</f>
        <v>0</v>
      </c>
      <c r="K182">
        <v>3</v>
      </c>
      <c r="L182">
        <v>0</v>
      </c>
    </row>
    <row r="183" spans="1:12" x14ac:dyDescent="0.3">
      <c r="A183" s="31">
        <v>498</v>
      </c>
      <c r="B183" s="28">
        <v>2.1800000000000002</v>
      </c>
      <c r="C183" s="30">
        <v>30.95</v>
      </c>
      <c r="D183" s="28">
        <v>0.61</v>
      </c>
      <c r="E183" s="34">
        <f t="shared" si="19"/>
        <v>1.2199999999999999E-2</v>
      </c>
      <c r="F183" s="35">
        <f t="shared" si="20"/>
        <v>7.7374999999999998</v>
      </c>
      <c r="G183" s="34">
        <f t="shared" si="21"/>
        <v>15.25</v>
      </c>
      <c r="H183" s="33">
        <f t="shared" si="22"/>
        <v>19.386467889908257</v>
      </c>
      <c r="I183" s="29">
        <f t="shared" ca="1" si="23"/>
        <v>1</v>
      </c>
      <c r="J183">
        <f ca="1">IF(AND(SUMPRODUCT($J$2:J182,$B$2:B182)&lt;500,SUM(B182,SUMPRODUCT($J$2:J182,$B$2:B182))&lt;500),1,0)</f>
        <v>1</v>
      </c>
      <c r="K183">
        <v>2</v>
      </c>
      <c r="L183">
        <v>1</v>
      </c>
    </row>
    <row r="184" spans="1:12" x14ac:dyDescent="0.3">
      <c r="A184" s="31">
        <v>502</v>
      </c>
      <c r="B184" s="28">
        <v>2.54</v>
      </c>
      <c r="C184" s="30">
        <v>19.440000000000001</v>
      </c>
      <c r="D184" s="28">
        <v>1.34</v>
      </c>
      <c r="E184" s="34">
        <f t="shared" si="19"/>
        <v>2.6800000000000001E-2</v>
      </c>
      <c r="F184" s="35">
        <f t="shared" si="20"/>
        <v>4.8600000000000003</v>
      </c>
      <c r="G184" s="34">
        <f t="shared" si="21"/>
        <v>33.5</v>
      </c>
      <c r="H184" s="33">
        <f t="shared" si="22"/>
        <v>7.9291338582677167</v>
      </c>
      <c r="I184" s="29">
        <f t="shared" ca="1" si="23"/>
        <v>3</v>
      </c>
      <c r="J184">
        <f ca="1">IF(AND(SUMPRODUCT($J$2:J183,$B$2:B183)&lt;500,SUM(B183,SUMPRODUCT($J$2:J183,$B$2:B183))&lt;500),1,0)</f>
        <v>0</v>
      </c>
      <c r="K184">
        <v>1</v>
      </c>
      <c r="L184">
        <v>0</v>
      </c>
    </row>
    <row r="185" spans="1:12" x14ac:dyDescent="0.3">
      <c r="A185" s="31">
        <v>505</v>
      </c>
      <c r="B185" s="28">
        <v>1.96</v>
      </c>
      <c r="C185" s="30">
        <v>84.83</v>
      </c>
      <c r="D185" s="28">
        <v>1.49</v>
      </c>
      <c r="E185" s="34">
        <f t="shared" si="19"/>
        <v>2.98E-2</v>
      </c>
      <c r="F185" s="35">
        <f t="shared" si="20"/>
        <v>21.2075</v>
      </c>
      <c r="G185" s="34">
        <f t="shared" si="21"/>
        <v>37.25</v>
      </c>
      <c r="H185" s="33">
        <f t="shared" si="22"/>
        <v>14.690051020408164</v>
      </c>
      <c r="I185" s="29">
        <f t="shared" ca="1" si="23"/>
        <v>1</v>
      </c>
      <c r="J185">
        <f ca="1">IF(AND(SUMPRODUCT($J$2:J184,$B$2:B184)&lt;500,SUM(B184,SUMPRODUCT($J$2:J184,$B$2:B184))&lt;500),1,0)</f>
        <v>1</v>
      </c>
      <c r="K185">
        <v>2</v>
      </c>
      <c r="L185">
        <v>1</v>
      </c>
    </row>
    <row r="186" spans="1:12" x14ac:dyDescent="0.3">
      <c r="A186" s="31">
        <v>512</v>
      </c>
      <c r="B186" s="28">
        <v>2.8</v>
      </c>
      <c r="C186" s="30">
        <v>85.75</v>
      </c>
      <c r="D186" s="28">
        <v>2.27</v>
      </c>
      <c r="E186" s="34">
        <f t="shared" si="19"/>
        <v>4.5400000000000003E-2</v>
      </c>
      <c r="F186" s="35">
        <f t="shared" si="20"/>
        <v>21.4375</v>
      </c>
      <c r="G186" s="34">
        <f t="shared" si="21"/>
        <v>56.75</v>
      </c>
      <c r="H186" s="33">
        <f t="shared" si="22"/>
        <v>10.200892857142858</v>
      </c>
      <c r="I186" s="29">
        <f t="shared" ca="1" si="23"/>
        <v>4</v>
      </c>
      <c r="J186">
        <f ca="1">IF(AND(SUMPRODUCT($J$2:J185,$B$2:B185)&lt;500,SUM(B185,SUMPRODUCT($J$2:J185,$B$2:B185))&lt;500),1,0)</f>
        <v>0</v>
      </c>
      <c r="K186">
        <v>2</v>
      </c>
      <c r="L186">
        <v>0</v>
      </c>
    </row>
    <row r="187" spans="1:12" x14ac:dyDescent="0.3">
      <c r="A187" s="31">
        <v>515</v>
      </c>
      <c r="B187" s="28">
        <v>9.64</v>
      </c>
      <c r="C187" s="30">
        <v>4.74</v>
      </c>
      <c r="D187" s="28">
        <v>1.17</v>
      </c>
      <c r="E187" s="34">
        <f t="shared" si="19"/>
        <v>2.3399999999999997E-2</v>
      </c>
      <c r="F187" s="35">
        <f t="shared" si="20"/>
        <v>1.1850000000000001</v>
      </c>
      <c r="G187" s="34">
        <f t="shared" si="21"/>
        <v>29.25</v>
      </c>
      <c r="H187" s="33">
        <f t="shared" si="22"/>
        <v>5.0637966804979246</v>
      </c>
      <c r="I187" s="29">
        <f t="shared" ca="1" si="23"/>
        <v>0</v>
      </c>
      <c r="J187">
        <f ca="1">IF(AND(SUMPRODUCT($J$2:J186,$B$2:B186)&lt;500,SUM(B186,SUMPRODUCT($J$2:J186,$B$2:B186))&lt;500),1,0)</f>
        <v>0</v>
      </c>
      <c r="K187">
        <v>2</v>
      </c>
      <c r="L187">
        <v>0</v>
      </c>
    </row>
    <row r="188" spans="1:12" x14ac:dyDescent="0.3">
      <c r="A188" s="31">
        <v>516</v>
      </c>
      <c r="B188" s="28">
        <v>2.98</v>
      </c>
      <c r="C188" s="30">
        <v>77.67</v>
      </c>
      <c r="D188" s="28">
        <v>1.78</v>
      </c>
      <c r="E188" s="34">
        <f t="shared" si="19"/>
        <v>3.56E-2</v>
      </c>
      <c r="F188" s="35">
        <f t="shared" si="20"/>
        <v>19.4175</v>
      </c>
      <c r="G188" s="34">
        <f t="shared" si="21"/>
        <v>44.5</v>
      </c>
      <c r="H188" s="33">
        <f t="shared" si="22"/>
        <v>1.8733221476510067</v>
      </c>
      <c r="I188" s="29">
        <f t="shared" ca="1" si="23"/>
        <v>0</v>
      </c>
      <c r="J188">
        <f ca="1">IF(AND(SUMPRODUCT($J$2:J187,$B$2:B187)&lt;500,SUM(B187,SUMPRODUCT($J$2:J187,$B$2:B187))&lt;500),1,0)</f>
        <v>0</v>
      </c>
      <c r="K188">
        <v>1</v>
      </c>
      <c r="L188">
        <v>0</v>
      </c>
    </row>
    <row r="189" spans="1:12" x14ac:dyDescent="0.3">
      <c r="A189" s="31">
        <v>519</v>
      </c>
      <c r="B189" s="28">
        <v>6.54</v>
      </c>
      <c r="C189" s="30">
        <v>2.35</v>
      </c>
      <c r="D189" s="28">
        <v>2</v>
      </c>
      <c r="E189" s="34">
        <f t="shared" si="19"/>
        <v>0.04</v>
      </c>
      <c r="F189" s="35">
        <f t="shared" si="20"/>
        <v>0.58750000000000002</v>
      </c>
      <c r="G189" s="34">
        <f t="shared" si="21"/>
        <v>50</v>
      </c>
      <c r="H189" s="33">
        <f t="shared" si="22"/>
        <v>3.732798165137615</v>
      </c>
      <c r="I189" s="29">
        <f t="shared" ca="1" si="23"/>
        <v>2</v>
      </c>
      <c r="J189">
        <f ca="1">IF(AND(SUMPRODUCT($J$2:J188,$B$2:B188)&lt;500,SUM(B188,SUMPRODUCT($J$2:J188,$B$2:B188))&lt;500),1,0)</f>
        <v>0</v>
      </c>
      <c r="K189">
        <v>1</v>
      </c>
      <c r="L189">
        <v>0</v>
      </c>
    </row>
    <row r="190" spans="1:12" x14ac:dyDescent="0.3">
      <c r="A190" s="31">
        <v>523</v>
      </c>
      <c r="B190" s="28">
        <v>7.54</v>
      </c>
      <c r="C190" s="30">
        <v>8.16</v>
      </c>
      <c r="D190" s="28">
        <v>2.48</v>
      </c>
      <c r="E190" s="34">
        <f t="shared" si="19"/>
        <v>4.9599999999999998E-2</v>
      </c>
      <c r="F190" s="35">
        <f t="shared" si="20"/>
        <v>2.04</v>
      </c>
      <c r="G190" s="34">
        <f t="shared" si="21"/>
        <v>62</v>
      </c>
      <c r="H190" s="33">
        <f t="shared" si="22"/>
        <v>9.6763925729442963</v>
      </c>
      <c r="I190" s="29">
        <f t="shared" ca="1" si="23"/>
        <v>5</v>
      </c>
      <c r="J190">
        <f ca="1">IF(AND(SUMPRODUCT($J$2:J189,$B$2:B189)&lt;500,SUM(B189,SUMPRODUCT($J$2:J189,$B$2:B189))&lt;500),1,0)</f>
        <v>0</v>
      </c>
      <c r="K190">
        <v>3</v>
      </c>
      <c r="L190">
        <v>0</v>
      </c>
    </row>
    <row r="191" spans="1:12" x14ac:dyDescent="0.3">
      <c r="A191" s="31">
        <v>524</v>
      </c>
      <c r="B191" s="28">
        <v>2.97</v>
      </c>
      <c r="C191" s="30">
        <v>45.15</v>
      </c>
      <c r="D191" s="28">
        <v>2.75</v>
      </c>
      <c r="E191" s="34">
        <f t="shared" si="19"/>
        <v>5.5E-2</v>
      </c>
      <c r="F191" s="35">
        <f t="shared" si="20"/>
        <v>11.2875</v>
      </c>
      <c r="G191" s="34">
        <f t="shared" si="21"/>
        <v>68.75</v>
      </c>
      <c r="H191" s="33">
        <f t="shared" si="22"/>
        <v>29.869528619528619</v>
      </c>
      <c r="I191" s="29">
        <f t="shared" ca="1" si="23"/>
        <v>6</v>
      </c>
      <c r="J191">
        <f ca="1">IF(AND(SUMPRODUCT($J$2:J190,$B$2:B190)&lt;500,SUM(B190,SUMPRODUCT($J$2:J190,$B$2:B190))&lt;500),1,0)</f>
        <v>1</v>
      </c>
      <c r="K191">
        <v>4</v>
      </c>
      <c r="L191">
        <v>1</v>
      </c>
    </row>
    <row r="192" spans="1:12" x14ac:dyDescent="0.3">
      <c r="A192" s="31">
        <v>525</v>
      </c>
      <c r="B192" s="28">
        <v>1.9</v>
      </c>
      <c r="C192" s="30">
        <v>21.78</v>
      </c>
      <c r="D192" s="28">
        <v>1.04</v>
      </c>
      <c r="E192" s="34">
        <f t="shared" si="19"/>
        <v>2.0799999999999999E-2</v>
      </c>
      <c r="F192" s="35">
        <f t="shared" si="20"/>
        <v>5.4450000000000003</v>
      </c>
      <c r="G192" s="34">
        <f t="shared" si="21"/>
        <v>26</v>
      </c>
      <c r="H192" s="33">
        <f t="shared" si="22"/>
        <v>-2.8657894736842109</v>
      </c>
      <c r="I192" s="29">
        <f t="shared" ca="1" si="23"/>
        <v>0</v>
      </c>
      <c r="J192">
        <f ca="1">IF(AND(SUMPRODUCT($J$2:J191,$B$2:B191)&lt;500,SUM(B191,SUMPRODUCT($J$2:J191,$B$2:B191))&lt;500),1,0)</f>
        <v>0</v>
      </c>
      <c r="K192">
        <v>0</v>
      </c>
      <c r="L192">
        <v>0</v>
      </c>
    </row>
    <row r="193" spans="1:12" x14ac:dyDescent="0.3">
      <c r="A193" s="31">
        <v>528</v>
      </c>
      <c r="B193" s="28">
        <v>1.49</v>
      </c>
      <c r="C193" s="30">
        <v>26.99</v>
      </c>
      <c r="D193" s="28">
        <v>1.81</v>
      </c>
      <c r="E193" s="34">
        <f t="shared" si="19"/>
        <v>3.6200000000000003E-2</v>
      </c>
      <c r="F193" s="35">
        <f t="shared" si="20"/>
        <v>6.7474999999999996</v>
      </c>
      <c r="G193" s="34">
        <f t="shared" si="21"/>
        <v>45.25</v>
      </c>
      <c r="H193" s="33">
        <f t="shared" si="22"/>
        <v>12.250000000000002</v>
      </c>
      <c r="I193" s="29">
        <f t="shared" ca="1" si="23"/>
        <v>1</v>
      </c>
      <c r="J193">
        <f ca="1">IF(AND(SUMPRODUCT($J$2:J192,$B$2:B192)&lt;500,SUM(B192,SUMPRODUCT($J$2:J192,$B$2:B192))&lt;500),1,0)</f>
        <v>1</v>
      </c>
      <c r="K193">
        <v>1</v>
      </c>
      <c r="L193">
        <v>1</v>
      </c>
    </row>
    <row r="194" spans="1:12" x14ac:dyDescent="0.3">
      <c r="A194" s="31">
        <v>530</v>
      </c>
      <c r="B194" s="28">
        <v>2.21</v>
      </c>
      <c r="C194" s="30">
        <v>4.4800000000000004</v>
      </c>
      <c r="D194" s="28">
        <v>0.62</v>
      </c>
      <c r="E194" s="34">
        <f t="shared" ref="E194:E257" si="24">D194/50</f>
        <v>1.24E-2</v>
      </c>
      <c r="F194" s="35">
        <f t="shared" ref="F194:F257" si="25">0.25*C194</f>
        <v>1.1200000000000001</v>
      </c>
      <c r="G194" s="34">
        <f t="shared" ref="G194:G257" si="26">25*D194</f>
        <v>15.5</v>
      </c>
      <c r="H194" s="33">
        <f t="shared" ref="H194:H257" si="27">(25*K194-0.25*C194)/B194</f>
        <v>10.805429864253393</v>
      </c>
      <c r="I194" s="29">
        <f t="shared" ref="I194:I257" ca="1" si="28">_xlfn.BINOM.INV(50,E194,RAND())</f>
        <v>0</v>
      </c>
      <c r="J194">
        <f ca="1">IF(AND(SUMPRODUCT($J$2:J193,$B$2:B193)&lt;500,SUM(B193,SUMPRODUCT($J$2:J193,$B$2:B193))&lt;500),1,0)</f>
        <v>0</v>
      </c>
      <c r="K194">
        <v>1</v>
      </c>
      <c r="L194">
        <v>0</v>
      </c>
    </row>
    <row r="195" spans="1:12" x14ac:dyDescent="0.3">
      <c r="A195" s="31">
        <v>531</v>
      </c>
      <c r="B195" s="28">
        <v>5.87</v>
      </c>
      <c r="C195" s="30">
        <v>44.7</v>
      </c>
      <c r="D195" s="28">
        <v>2.08</v>
      </c>
      <c r="E195" s="34">
        <f t="shared" si="24"/>
        <v>4.1599999999999998E-2</v>
      </c>
      <c r="F195" s="35">
        <f t="shared" si="25"/>
        <v>11.175000000000001</v>
      </c>
      <c r="G195" s="34">
        <f t="shared" si="26"/>
        <v>52</v>
      </c>
      <c r="H195" s="33">
        <f t="shared" si="27"/>
        <v>15.132027257240205</v>
      </c>
      <c r="I195" s="29">
        <f t="shared" ca="1" si="28"/>
        <v>1</v>
      </c>
      <c r="J195">
        <f ca="1">IF(AND(SUMPRODUCT($J$2:J194,$B$2:B194)&lt;500,SUM(B194,SUMPRODUCT($J$2:J194,$B$2:B194))&lt;500),1,0)</f>
        <v>1</v>
      </c>
      <c r="K195">
        <v>4</v>
      </c>
      <c r="L195">
        <v>1</v>
      </c>
    </row>
    <row r="196" spans="1:12" x14ac:dyDescent="0.3">
      <c r="A196" s="31">
        <v>532</v>
      </c>
      <c r="B196" s="28">
        <v>2.4900000000000002</v>
      </c>
      <c r="C196" s="30">
        <v>16.149999999999999</v>
      </c>
      <c r="D196" s="28">
        <v>0.99</v>
      </c>
      <c r="E196" s="34">
        <f t="shared" si="24"/>
        <v>1.9799999999999998E-2</v>
      </c>
      <c r="F196" s="35">
        <f t="shared" si="25"/>
        <v>4.0374999999999996</v>
      </c>
      <c r="G196" s="34">
        <f t="shared" si="26"/>
        <v>24.75</v>
      </c>
      <c r="H196" s="33">
        <f t="shared" si="27"/>
        <v>8.4186746987951793</v>
      </c>
      <c r="I196" s="29">
        <f t="shared" ca="1" si="28"/>
        <v>0</v>
      </c>
      <c r="J196">
        <f ca="1">IF(AND(SUMPRODUCT($J$2:J195,$B$2:B195)&lt;500,SUM(B195,SUMPRODUCT($J$2:J195,$B$2:B195))&lt;500),1,0)</f>
        <v>0</v>
      </c>
      <c r="K196">
        <v>1</v>
      </c>
      <c r="L196">
        <v>0</v>
      </c>
    </row>
    <row r="197" spans="1:12" x14ac:dyDescent="0.3">
      <c r="A197" s="31">
        <v>536</v>
      </c>
      <c r="B197" s="28">
        <v>4.8899999999999997</v>
      </c>
      <c r="C197" s="30">
        <v>43.66</v>
      </c>
      <c r="D197" s="28">
        <v>2.8</v>
      </c>
      <c r="E197" s="34">
        <f t="shared" si="24"/>
        <v>5.5999999999999994E-2</v>
      </c>
      <c r="F197" s="35">
        <f t="shared" si="25"/>
        <v>10.914999999999999</v>
      </c>
      <c r="G197" s="34">
        <f t="shared" si="26"/>
        <v>70</v>
      </c>
      <c r="H197" s="33">
        <f t="shared" si="27"/>
        <v>7.9928425357873216</v>
      </c>
      <c r="I197" s="29">
        <f t="shared" ca="1" si="28"/>
        <v>2</v>
      </c>
      <c r="J197">
        <f ca="1">IF(AND(SUMPRODUCT($J$2:J196,$B$2:B196)&lt;500,SUM(B196,SUMPRODUCT($J$2:J196,$B$2:B196))&lt;500),1,0)</f>
        <v>0</v>
      </c>
      <c r="K197">
        <v>2</v>
      </c>
      <c r="L197">
        <v>0</v>
      </c>
    </row>
    <row r="198" spans="1:12" x14ac:dyDescent="0.3">
      <c r="A198" s="31">
        <v>537</v>
      </c>
      <c r="B198" s="28">
        <v>7.66</v>
      </c>
      <c r="C198" s="30">
        <v>3.92</v>
      </c>
      <c r="D198" s="28">
        <v>0.64</v>
      </c>
      <c r="E198" s="34">
        <f t="shared" si="24"/>
        <v>1.2800000000000001E-2</v>
      </c>
      <c r="F198" s="35">
        <f t="shared" si="25"/>
        <v>0.98</v>
      </c>
      <c r="G198" s="34">
        <f t="shared" si="26"/>
        <v>16</v>
      </c>
      <c r="H198" s="33">
        <f t="shared" si="27"/>
        <v>3.135770234986945</v>
      </c>
      <c r="I198" s="29">
        <f t="shared" ca="1" si="28"/>
        <v>1</v>
      </c>
      <c r="J198">
        <f ca="1">IF(AND(SUMPRODUCT($J$2:J197,$B$2:B197)&lt;500,SUM(B197,SUMPRODUCT($J$2:J197,$B$2:B197))&lt;500),1,0)</f>
        <v>0</v>
      </c>
      <c r="K198">
        <v>1</v>
      </c>
      <c r="L198">
        <v>0</v>
      </c>
    </row>
    <row r="199" spans="1:12" x14ac:dyDescent="0.3">
      <c r="A199" s="31">
        <v>541</v>
      </c>
      <c r="B199" s="28">
        <v>9.24</v>
      </c>
      <c r="C199" s="30">
        <v>13.69</v>
      </c>
      <c r="D199" s="28">
        <v>3.11</v>
      </c>
      <c r="E199" s="34">
        <f t="shared" si="24"/>
        <v>6.2199999999999998E-2</v>
      </c>
      <c r="F199" s="35">
        <f t="shared" si="25"/>
        <v>3.4224999999999999</v>
      </c>
      <c r="G199" s="34">
        <f t="shared" si="26"/>
        <v>77.75</v>
      </c>
      <c r="H199" s="33">
        <f t="shared" si="27"/>
        <v>13.157738095238095</v>
      </c>
      <c r="I199" s="29">
        <f t="shared" ca="1" si="28"/>
        <v>3</v>
      </c>
      <c r="J199">
        <f ca="1">IF(AND(SUMPRODUCT($J$2:J198,$B$2:B198)&lt;500,SUM(B198,SUMPRODUCT($J$2:J198,$B$2:B198))&lt;500),1,0)</f>
        <v>1</v>
      </c>
      <c r="K199">
        <v>5</v>
      </c>
      <c r="L199">
        <v>1</v>
      </c>
    </row>
    <row r="200" spans="1:12" x14ac:dyDescent="0.3">
      <c r="A200" s="31">
        <v>542</v>
      </c>
      <c r="B200" s="28">
        <v>3.43</v>
      </c>
      <c r="C200" s="30">
        <v>96.18</v>
      </c>
      <c r="D200" s="28">
        <v>2.4500000000000002</v>
      </c>
      <c r="E200" s="34">
        <f t="shared" si="24"/>
        <v>4.9000000000000002E-2</v>
      </c>
      <c r="F200" s="35">
        <f t="shared" si="25"/>
        <v>24.045000000000002</v>
      </c>
      <c r="G200" s="34">
        <f t="shared" si="26"/>
        <v>61.250000000000007</v>
      </c>
      <c r="H200" s="33">
        <f t="shared" si="27"/>
        <v>14.855685131195335</v>
      </c>
      <c r="I200" s="29">
        <f t="shared" ca="1" si="28"/>
        <v>0</v>
      </c>
      <c r="J200">
        <f ca="1">IF(AND(SUMPRODUCT($J$2:J199,$B$2:B199)&lt;500,SUM(B199,SUMPRODUCT($J$2:J199,$B$2:B199))&lt;500),1,0)</f>
        <v>1</v>
      </c>
      <c r="K200">
        <v>3</v>
      </c>
      <c r="L200">
        <v>1</v>
      </c>
    </row>
    <row r="201" spans="1:12" x14ac:dyDescent="0.3">
      <c r="A201" s="31">
        <v>543</v>
      </c>
      <c r="B201" s="28">
        <v>6.63</v>
      </c>
      <c r="C201" s="30">
        <v>7.31</v>
      </c>
      <c r="D201" s="28">
        <v>1.17</v>
      </c>
      <c r="E201" s="34">
        <f t="shared" si="24"/>
        <v>2.3399999999999997E-2</v>
      </c>
      <c r="F201" s="35">
        <f t="shared" si="25"/>
        <v>1.8274999999999999</v>
      </c>
      <c r="G201" s="34">
        <f t="shared" si="26"/>
        <v>29.25</v>
      </c>
      <c r="H201" s="33">
        <f t="shared" si="27"/>
        <v>3.4950980392156863</v>
      </c>
      <c r="I201" s="29">
        <f t="shared" ca="1" si="28"/>
        <v>1</v>
      </c>
      <c r="J201">
        <f ca="1">IF(AND(SUMPRODUCT($J$2:J200,$B$2:B200)&lt;500,SUM(B200,SUMPRODUCT($J$2:J200,$B$2:B200))&lt;500),1,0)</f>
        <v>0</v>
      </c>
      <c r="K201">
        <v>1</v>
      </c>
      <c r="L201">
        <v>0</v>
      </c>
    </row>
    <row r="202" spans="1:12" x14ac:dyDescent="0.3">
      <c r="A202" s="31">
        <v>546</v>
      </c>
      <c r="B202" s="28">
        <v>4.7</v>
      </c>
      <c r="C202" s="30">
        <v>25.75</v>
      </c>
      <c r="D202" s="28">
        <v>2.34</v>
      </c>
      <c r="E202" s="34">
        <f t="shared" si="24"/>
        <v>4.6799999999999994E-2</v>
      </c>
      <c r="F202" s="35">
        <f t="shared" si="25"/>
        <v>6.4375</v>
      </c>
      <c r="G202" s="34">
        <f t="shared" si="26"/>
        <v>58.5</v>
      </c>
      <c r="H202" s="33">
        <f t="shared" si="27"/>
        <v>9.2686170212765955</v>
      </c>
      <c r="I202" s="29">
        <f t="shared" ca="1" si="28"/>
        <v>1</v>
      </c>
      <c r="J202">
        <f ca="1">IF(AND(SUMPRODUCT($J$2:J201,$B$2:B201)&lt;500,SUM(B201,SUMPRODUCT($J$2:J201,$B$2:B201))&lt;500),1,0)</f>
        <v>0</v>
      </c>
      <c r="K202">
        <v>2</v>
      </c>
      <c r="L202">
        <v>0</v>
      </c>
    </row>
    <row r="203" spans="1:12" x14ac:dyDescent="0.3">
      <c r="A203" s="31">
        <v>549</v>
      </c>
      <c r="B203" s="28">
        <v>7.11</v>
      </c>
      <c r="C203" s="30">
        <v>0.76</v>
      </c>
      <c r="D203" s="28">
        <v>0.4</v>
      </c>
      <c r="E203" s="34">
        <f t="shared" si="24"/>
        <v>8.0000000000000002E-3</v>
      </c>
      <c r="F203" s="35">
        <f t="shared" si="25"/>
        <v>0.19</v>
      </c>
      <c r="G203" s="34">
        <f t="shared" si="26"/>
        <v>10</v>
      </c>
      <c r="H203" s="33">
        <f t="shared" si="27"/>
        <v>-2.672292545710267E-2</v>
      </c>
      <c r="I203" s="29">
        <f t="shared" ca="1" si="28"/>
        <v>0</v>
      </c>
      <c r="J203">
        <f ca="1">IF(AND(SUMPRODUCT($J$2:J202,$B$2:B202)&lt;500,SUM(B202,SUMPRODUCT($J$2:J202,$B$2:B202))&lt;500),1,0)</f>
        <v>0</v>
      </c>
      <c r="K203">
        <v>0</v>
      </c>
      <c r="L203">
        <v>0</v>
      </c>
    </row>
    <row r="204" spans="1:12" x14ac:dyDescent="0.3">
      <c r="A204" s="31">
        <v>552</v>
      </c>
      <c r="B204" s="28">
        <v>3.51</v>
      </c>
      <c r="C204" s="30">
        <v>18.91</v>
      </c>
      <c r="D204" s="28">
        <v>2.4900000000000002</v>
      </c>
      <c r="E204" s="34">
        <f t="shared" si="24"/>
        <v>4.9800000000000004E-2</v>
      </c>
      <c r="F204" s="35">
        <f t="shared" si="25"/>
        <v>4.7275</v>
      </c>
      <c r="G204" s="34">
        <f t="shared" si="26"/>
        <v>62.250000000000007</v>
      </c>
      <c r="H204" s="33">
        <f t="shared" si="27"/>
        <v>12.898148148148149</v>
      </c>
      <c r="I204" s="29">
        <f t="shared" ca="1" si="28"/>
        <v>2</v>
      </c>
      <c r="J204">
        <f ca="1">IF(AND(SUMPRODUCT($J$2:J203,$B$2:B203)&lt;500,SUM(B203,SUMPRODUCT($J$2:J203,$B$2:B203))&lt;500),1,0)</f>
        <v>1</v>
      </c>
      <c r="K204">
        <v>2</v>
      </c>
      <c r="L204">
        <v>1</v>
      </c>
    </row>
    <row r="205" spans="1:12" x14ac:dyDescent="0.3">
      <c r="A205" s="31">
        <v>555</v>
      </c>
      <c r="B205" s="28">
        <v>5.75</v>
      </c>
      <c r="C205" s="30">
        <v>52.73</v>
      </c>
      <c r="D205" s="28">
        <v>2.93</v>
      </c>
      <c r="E205" s="34">
        <f t="shared" si="24"/>
        <v>5.8600000000000006E-2</v>
      </c>
      <c r="F205" s="35">
        <f t="shared" si="25"/>
        <v>13.182499999999999</v>
      </c>
      <c r="G205" s="34">
        <f t="shared" si="26"/>
        <v>73.25</v>
      </c>
      <c r="H205" s="33">
        <f t="shared" si="27"/>
        <v>6.4030434782608703</v>
      </c>
      <c r="I205" s="29">
        <f t="shared" ca="1" si="28"/>
        <v>3</v>
      </c>
      <c r="J205">
        <f ca="1">IF(AND(SUMPRODUCT($J$2:J204,$B$2:B204)&lt;500,SUM(B204,SUMPRODUCT($J$2:J204,$B$2:B204))&lt;500),1,0)</f>
        <v>0</v>
      </c>
      <c r="K205">
        <v>2</v>
      </c>
      <c r="L205">
        <v>0</v>
      </c>
    </row>
    <row r="206" spans="1:12" x14ac:dyDescent="0.3">
      <c r="A206" s="31">
        <v>558</v>
      </c>
      <c r="B206" s="28">
        <v>4.12</v>
      </c>
      <c r="C206" s="30">
        <v>69.27</v>
      </c>
      <c r="D206" s="28">
        <v>2.0499999999999998</v>
      </c>
      <c r="E206" s="34">
        <f t="shared" si="24"/>
        <v>4.0999999999999995E-2</v>
      </c>
      <c r="F206" s="35">
        <f t="shared" si="25"/>
        <v>17.317499999999999</v>
      </c>
      <c r="G206" s="34">
        <f t="shared" si="26"/>
        <v>51.249999999999993</v>
      </c>
      <c r="H206" s="33">
        <f t="shared" si="27"/>
        <v>14.000606796116505</v>
      </c>
      <c r="I206" s="29">
        <f t="shared" ca="1" si="28"/>
        <v>1</v>
      </c>
      <c r="J206">
        <f ca="1">IF(AND(SUMPRODUCT($J$2:J205,$B$2:B205)&lt;500,SUM(B205,SUMPRODUCT($J$2:J205,$B$2:B205))&lt;500),1,0)</f>
        <v>1</v>
      </c>
      <c r="K206">
        <v>3</v>
      </c>
      <c r="L206">
        <v>1</v>
      </c>
    </row>
    <row r="207" spans="1:12" x14ac:dyDescent="0.3">
      <c r="A207" s="31">
        <v>561</v>
      </c>
      <c r="B207" s="28">
        <v>1.93</v>
      </c>
      <c r="C207" s="30">
        <v>62.52</v>
      </c>
      <c r="D207" s="28">
        <v>1.57</v>
      </c>
      <c r="E207" s="34">
        <f t="shared" si="24"/>
        <v>3.1400000000000004E-2</v>
      </c>
      <c r="F207" s="35">
        <f t="shared" si="25"/>
        <v>15.63</v>
      </c>
      <c r="G207" s="34">
        <f t="shared" si="26"/>
        <v>39.25</v>
      </c>
      <c r="H207" s="33">
        <f t="shared" si="27"/>
        <v>17.808290155440414</v>
      </c>
      <c r="I207" s="29">
        <f t="shared" ca="1" si="28"/>
        <v>2</v>
      </c>
      <c r="J207">
        <f ca="1">IF(AND(SUMPRODUCT($J$2:J206,$B$2:B206)&lt;500,SUM(B206,SUMPRODUCT($J$2:J206,$B$2:B206))&lt;500),1,0)</f>
        <v>1</v>
      </c>
      <c r="K207">
        <v>2</v>
      </c>
      <c r="L207">
        <v>1</v>
      </c>
    </row>
    <row r="208" spans="1:12" x14ac:dyDescent="0.3">
      <c r="A208" s="31">
        <v>567</v>
      </c>
      <c r="B208" s="28">
        <v>2.5</v>
      </c>
      <c r="C208" s="30">
        <v>14.12</v>
      </c>
      <c r="D208" s="28">
        <v>2.0299999999999998</v>
      </c>
      <c r="E208" s="34">
        <f t="shared" si="24"/>
        <v>4.0599999999999997E-2</v>
      </c>
      <c r="F208" s="35">
        <f t="shared" si="25"/>
        <v>3.53</v>
      </c>
      <c r="G208" s="34">
        <f t="shared" si="26"/>
        <v>50.749999999999993</v>
      </c>
      <c r="H208" s="33">
        <f t="shared" si="27"/>
        <v>18.588000000000001</v>
      </c>
      <c r="I208" s="29">
        <f t="shared" ca="1" si="28"/>
        <v>4</v>
      </c>
      <c r="J208">
        <f ca="1">IF(AND(SUMPRODUCT($J$2:J207,$B$2:B207)&lt;500,SUM(B207,SUMPRODUCT($J$2:J207,$B$2:B207))&lt;500),1,0)</f>
        <v>1</v>
      </c>
      <c r="K208">
        <v>2</v>
      </c>
      <c r="L208">
        <v>1</v>
      </c>
    </row>
    <row r="209" spans="1:12" x14ac:dyDescent="0.3">
      <c r="A209" s="31">
        <v>569</v>
      </c>
      <c r="B209" s="28">
        <v>5.41</v>
      </c>
      <c r="C209" s="30">
        <v>37.33</v>
      </c>
      <c r="D209" s="28">
        <v>3.07</v>
      </c>
      <c r="E209" s="34">
        <f t="shared" si="24"/>
        <v>6.1399999999999996E-2</v>
      </c>
      <c r="F209" s="35">
        <f t="shared" si="25"/>
        <v>9.3324999999999996</v>
      </c>
      <c r="G209" s="34">
        <f t="shared" si="26"/>
        <v>76.75</v>
      </c>
      <c r="H209" s="33">
        <f t="shared" si="27"/>
        <v>21.380314232902034</v>
      </c>
      <c r="I209" s="29">
        <f t="shared" ca="1" si="28"/>
        <v>1</v>
      </c>
      <c r="J209">
        <f ca="1">IF(AND(SUMPRODUCT($J$2:J208,$B$2:B208)&lt;500,SUM(B208,SUMPRODUCT($J$2:J208,$B$2:B208))&lt;500),1,0)</f>
        <v>1</v>
      </c>
      <c r="K209">
        <v>5</v>
      </c>
      <c r="L209">
        <v>1</v>
      </c>
    </row>
    <row r="210" spans="1:12" x14ac:dyDescent="0.3">
      <c r="A210" s="31">
        <v>570</v>
      </c>
      <c r="B210" s="28">
        <v>0.56000000000000005</v>
      </c>
      <c r="C210" s="30">
        <v>64.569999999999993</v>
      </c>
      <c r="D210" s="28">
        <v>2.39</v>
      </c>
      <c r="E210" s="34">
        <f t="shared" si="24"/>
        <v>4.7800000000000002E-2</v>
      </c>
      <c r="F210" s="35">
        <f t="shared" si="25"/>
        <v>16.142499999999998</v>
      </c>
      <c r="G210" s="34">
        <f t="shared" si="26"/>
        <v>59.75</v>
      </c>
      <c r="H210" s="33">
        <f t="shared" si="27"/>
        <v>-28.825892857142851</v>
      </c>
      <c r="I210" s="29">
        <f t="shared" ca="1" si="28"/>
        <v>5</v>
      </c>
      <c r="J210">
        <f ca="1">IF(AND(SUMPRODUCT($J$2:J209,$B$2:B209)&lt;500,SUM(B209,SUMPRODUCT($J$2:J209,$B$2:B209))&lt;500),1,0)</f>
        <v>0</v>
      </c>
      <c r="K210">
        <v>0</v>
      </c>
      <c r="L210">
        <v>0</v>
      </c>
    </row>
    <row r="211" spans="1:12" x14ac:dyDescent="0.3">
      <c r="A211" s="31">
        <v>578</v>
      </c>
      <c r="B211" s="28">
        <v>3.28</v>
      </c>
      <c r="C211" s="30">
        <v>36.83</v>
      </c>
      <c r="D211" s="28">
        <v>0.54</v>
      </c>
      <c r="E211" s="34">
        <f t="shared" si="24"/>
        <v>1.0800000000000001E-2</v>
      </c>
      <c r="F211" s="35">
        <f t="shared" si="25"/>
        <v>9.2074999999999996</v>
      </c>
      <c r="G211" s="34">
        <f t="shared" si="26"/>
        <v>13.5</v>
      </c>
      <c r="H211" s="33">
        <f t="shared" si="27"/>
        <v>-2.8071646341463414</v>
      </c>
      <c r="I211" s="29">
        <f t="shared" ca="1" si="28"/>
        <v>0</v>
      </c>
      <c r="J211">
        <f ca="1">IF(AND(SUMPRODUCT($J$2:J210,$B$2:B210)&lt;500,SUM(B210,SUMPRODUCT($J$2:J210,$B$2:B210))&lt;500),1,0)</f>
        <v>0</v>
      </c>
      <c r="K211">
        <v>0</v>
      </c>
      <c r="L211">
        <v>0</v>
      </c>
    </row>
    <row r="212" spans="1:12" x14ac:dyDescent="0.3">
      <c r="A212" s="31">
        <v>580</v>
      </c>
      <c r="B212" s="28">
        <v>3.03</v>
      </c>
      <c r="C212" s="30">
        <v>36.81</v>
      </c>
      <c r="D212" s="28">
        <v>2.14</v>
      </c>
      <c r="E212" s="34">
        <f t="shared" si="24"/>
        <v>4.2800000000000005E-2</v>
      </c>
      <c r="F212" s="35">
        <f t="shared" si="25"/>
        <v>9.2025000000000006</v>
      </c>
      <c r="G212" s="34">
        <f t="shared" si="26"/>
        <v>53.5</v>
      </c>
      <c r="H212" s="33">
        <f t="shared" si="27"/>
        <v>-3.0371287128712874</v>
      </c>
      <c r="I212" s="29">
        <f t="shared" ca="1" si="28"/>
        <v>3</v>
      </c>
      <c r="J212">
        <f ca="1">IF(AND(SUMPRODUCT($J$2:J211,$B$2:B211)&lt;500,SUM(B211,SUMPRODUCT($J$2:J211,$B$2:B211))&lt;500),1,0)</f>
        <v>0</v>
      </c>
      <c r="K212">
        <v>0</v>
      </c>
      <c r="L212">
        <v>0</v>
      </c>
    </row>
    <row r="213" spans="1:12" x14ac:dyDescent="0.3">
      <c r="A213" s="31">
        <v>581</v>
      </c>
      <c r="B213" s="28">
        <v>6.46</v>
      </c>
      <c r="C213" s="30">
        <v>73.53</v>
      </c>
      <c r="D213" s="28">
        <v>2.92</v>
      </c>
      <c r="E213" s="34">
        <f t="shared" si="24"/>
        <v>5.8400000000000001E-2</v>
      </c>
      <c r="F213" s="35">
        <f t="shared" si="25"/>
        <v>18.3825</v>
      </c>
      <c r="G213" s="34">
        <f t="shared" si="26"/>
        <v>73</v>
      </c>
      <c r="H213" s="33">
        <f t="shared" si="27"/>
        <v>8.7643188854489171</v>
      </c>
      <c r="I213" s="29">
        <f t="shared" ca="1" si="28"/>
        <v>5</v>
      </c>
      <c r="J213">
        <f ca="1">IF(AND(SUMPRODUCT($J$2:J212,$B$2:B212)&lt;500,SUM(B212,SUMPRODUCT($J$2:J212,$B$2:B212))&lt;500),1,0)</f>
        <v>0</v>
      </c>
      <c r="K213">
        <v>3</v>
      </c>
      <c r="L213">
        <v>0</v>
      </c>
    </row>
    <row r="214" spans="1:12" x14ac:dyDescent="0.3">
      <c r="A214" s="31">
        <v>582</v>
      </c>
      <c r="B214" s="28">
        <v>5.69</v>
      </c>
      <c r="C214" s="30">
        <v>56.42</v>
      </c>
      <c r="D214" s="28">
        <v>2.99</v>
      </c>
      <c r="E214" s="34">
        <f t="shared" si="24"/>
        <v>5.9800000000000006E-2</v>
      </c>
      <c r="F214" s="35">
        <f t="shared" si="25"/>
        <v>14.105</v>
      </c>
      <c r="G214" s="34">
        <f t="shared" si="26"/>
        <v>74.75</v>
      </c>
      <c r="H214" s="33">
        <f t="shared" si="27"/>
        <v>28.276801405975394</v>
      </c>
      <c r="I214" s="29">
        <f t="shared" ca="1" si="28"/>
        <v>1</v>
      </c>
      <c r="J214">
        <f ca="1">IF(AND(SUMPRODUCT($J$2:J213,$B$2:B213)&lt;500,SUM(B213,SUMPRODUCT($J$2:J213,$B$2:B213))&lt;500),1,0)</f>
        <v>1</v>
      </c>
      <c r="K214">
        <v>7</v>
      </c>
      <c r="L214">
        <v>1</v>
      </c>
    </row>
    <row r="215" spans="1:12" x14ac:dyDescent="0.3">
      <c r="A215" s="31">
        <v>586</v>
      </c>
      <c r="B215" s="28">
        <v>5.42</v>
      </c>
      <c r="C215" s="30">
        <v>18.32</v>
      </c>
      <c r="D215" s="28">
        <v>2.94</v>
      </c>
      <c r="E215" s="34">
        <f t="shared" si="24"/>
        <v>5.8799999999999998E-2</v>
      </c>
      <c r="F215" s="35">
        <f t="shared" si="25"/>
        <v>4.58</v>
      </c>
      <c r="G215" s="34">
        <f t="shared" si="26"/>
        <v>73.5</v>
      </c>
      <c r="H215" s="33">
        <f t="shared" si="27"/>
        <v>17.605166051660518</v>
      </c>
      <c r="I215" s="29">
        <f t="shared" ca="1" si="28"/>
        <v>3</v>
      </c>
      <c r="J215">
        <f ca="1">IF(AND(SUMPRODUCT($J$2:J214,$B$2:B214)&lt;500,SUM(B214,SUMPRODUCT($J$2:J214,$B$2:B214))&lt;500),1,0)</f>
        <v>1</v>
      </c>
      <c r="K215">
        <v>4</v>
      </c>
      <c r="L215">
        <v>1</v>
      </c>
    </row>
    <row r="216" spans="1:12" x14ac:dyDescent="0.3">
      <c r="A216" s="31">
        <v>592</v>
      </c>
      <c r="B216" s="28">
        <v>9.9499999999999993</v>
      </c>
      <c r="C216" s="30">
        <v>73.319999999999993</v>
      </c>
      <c r="D216" s="28">
        <v>3.04</v>
      </c>
      <c r="E216" s="34">
        <f t="shared" si="24"/>
        <v>6.08E-2</v>
      </c>
      <c r="F216" s="35">
        <f t="shared" si="25"/>
        <v>18.329999999999998</v>
      </c>
      <c r="G216" s="34">
        <f t="shared" si="26"/>
        <v>76</v>
      </c>
      <c r="H216" s="33">
        <f t="shared" si="27"/>
        <v>0.67035175879397002</v>
      </c>
      <c r="I216" s="29">
        <f t="shared" ca="1" si="28"/>
        <v>3</v>
      </c>
      <c r="J216">
        <f ca="1">IF(AND(SUMPRODUCT($J$2:J215,$B$2:B215)&lt;500,SUM(B215,SUMPRODUCT($J$2:J215,$B$2:B215))&lt;500),1,0)</f>
        <v>0</v>
      </c>
      <c r="K216">
        <v>1</v>
      </c>
      <c r="L216">
        <v>0</v>
      </c>
    </row>
    <row r="217" spans="1:12" x14ac:dyDescent="0.3">
      <c r="A217" s="31">
        <v>596</v>
      </c>
      <c r="B217" s="28">
        <v>7.95</v>
      </c>
      <c r="C217" s="30">
        <v>5.0199999999999996</v>
      </c>
      <c r="D217" s="28">
        <v>2.87</v>
      </c>
      <c r="E217" s="34">
        <f t="shared" si="24"/>
        <v>5.74E-2</v>
      </c>
      <c r="F217" s="35">
        <f t="shared" si="25"/>
        <v>1.2549999999999999</v>
      </c>
      <c r="G217" s="34">
        <f t="shared" si="26"/>
        <v>71.75</v>
      </c>
      <c r="H217" s="33">
        <f t="shared" si="27"/>
        <v>18.710062893081762</v>
      </c>
      <c r="I217" s="29">
        <f t="shared" ca="1" si="28"/>
        <v>4</v>
      </c>
      <c r="J217">
        <f ca="1">IF(AND(SUMPRODUCT($J$2:J216,$B$2:B216)&lt;500,SUM(B216,SUMPRODUCT($J$2:J216,$B$2:B216))&lt;500),1,0)</f>
        <v>1</v>
      </c>
      <c r="K217">
        <v>6</v>
      </c>
      <c r="L217">
        <v>1</v>
      </c>
    </row>
    <row r="218" spans="1:12" x14ac:dyDescent="0.3">
      <c r="A218" s="31">
        <v>612</v>
      </c>
      <c r="B218" s="28">
        <v>3.74</v>
      </c>
      <c r="C218" s="30">
        <v>33.93</v>
      </c>
      <c r="D218" s="28">
        <v>2.14</v>
      </c>
      <c r="E218" s="34">
        <f t="shared" si="24"/>
        <v>4.2800000000000005E-2</v>
      </c>
      <c r="F218" s="35">
        <f t="shared" si="25"/>
        <v>8.4824999999999999</v>
      </c>
      <c r="G218" s="34">
        <f t="shared" si="26"/>
        <v>53.5</v>
      </c>
      <c r="H218" s="33">
        <f t="shared" si="27"/>
        <v>11.100935828877004</v>
      </c>
      <c r="I218" s="29">
        <f t="shared" ca="1" si="28"/>
        <v>5</v>
      </c>
      <c r="J218">
        <f ca="1">IF(AND(SUMPRODUCT($J$2:J217,$B$2:B217)&lt;500,SUM(B217,SUMPRODUCT($J$2:J217,$B$2:B217))&lt;500),1,0)</f>
        <v>0</v>
      </c>
      <c r="K218">
        <v>2</v>
      </c>
      <c r="L218">
        <v>0</v>
      </c>
    </row>
    <row r="219" spans="1:12" x14ac:dyDescent="0.3">
      <c r="A219" s="31">
        <v>615</v>
      </c>
      <c r="B219" s="28">
        <v>3.03</v>
      </c>
      <c r="C219" s="30">
        <v>50.92</v>
      </c>
      <c r="D219" s="28">
        <v>1.72</v>
      </c>
      <c r="E219" s="34">
        <f t="shared" si="24"/>
        <v>3.44E-2</v>
      </c>
      <c r="F219" s="35">
        <f t="shared" si="25"/>
        <v>12.73</v>
      </c>
      <c r="G219" s="34">
        <f t="shared" si="26"/>
        <v>43</v>
      </c>
      <c r="H219" s="33">
        <f t="shared" si="27"/>
        <v>-4.2013201320132021</v>
      </c>
      <c r="I219" s="29">
        <f t="shared" ca="1" si="28"/>
        <v>2</v>
      </c>
      <c r="J219">
        <f ca="1">IF(AND(SUMPRODUCT($J$2:J218,$B$2:B218)&lt;500,SUM(B218,SUMPRODUCT($J$2:J218,$B$2:B218))&lt;500),1,0)</f>
        <v>0</v>
      </c>
      <c r="K219">
        <v>0</v>
      </c>
      <c r="L219">
        <v>0</v>
      </c>
    </row>
    <row r="220" spans="1:12" x14ac:dyDescent="0.3">
      <c r="A220" s="31">
        <v>616</v>
      </c>
      <c r="B220" s="28">
        <v>0.74</v>
      </c>
      <c r="C220" s="30">
        <v>78.8</v>
      </c>
      <c r="D220" s="28">
        <v>1.0900000000000001</v>
      </c>
      <c r="E220" s="34">
        <f t="shared" si="24"/>
        <v>2.18E-2</v>
      </c>
      <c r="F220" s="35">
        <f t="shared" si="25"/>
        <v>19.7</v>
      </c>
      <c r="G220" s="34">
        <f t="shared" si="26"/>
        <v>27.250000000000004</v>
      </c>
      <c r="H220" s="33">
        <f t="shared" si="27"/>
        <v>7.1621621621621632</v>
      </c>
      <c r="I220" s="29">
        <f t="shared" ca="1" si="28"/>
        <v>0</v>
      </c>
      <c r="J220">
        <f ca="1">IF(AND(SUMPRODUCT($J$2:J219,$B$2:B219)&lt;500,SUM(B219,SUMPRODUCT($J$2:J219,$B$2:B219))&lt;500),1,0)</f>
        <v>0</v>
      </c>
      <c r="K220">
        <v>1</v>
      </c>
      <c r="L220">
        <v>0</v>
      </c>
    </row>
    <row r="221" spans="1:12" x14ac:dyDescent="0.3">
      <c r="A221" s="31">
        <v>617</v>
      </c>
      <c r="B221" s="28">
        <v>9.8699999999999992</v>
      </c>
      <c r="C221" s="30">
        <v>6.51</v>
      </c>
      <c r="D221" s="28">
        <v>2.36</v>
      </c>
      <c r="E221" s="34">
        <f t="shared" si="24"/>
        <v>4.7199999999999999E-2</v>
      </c>
      <c r="F221" s="35">
        <f t="shared" si="25"/>
        <v>1.6274999999999999</v>
      </c>
      <c r="G221" s="34">
        <f t="shared" si="26"/>
        <v>59</v>
      </c>
      <c r="H221" s="33">
        <f t="shared" si="27"/>
        <v>7.4338905775075999</v>
      </c>
      <c r="I221" s="29">
        <f t="shared" ca="1" si="28"/>
        <v>0</v>
      </c>
      <c r="J221">
        <f ca="1">IF(AND(SUMPRODUCT($J$2:J220,$B$2:B220)&lt;500,SUM(B220,SUMPRODUCT($J$2:J220,$B$2:B220))&lt;500),1,0)</f>
        <v>0</v>
      </c>
      <c r="K221">
        <v>3</v>
      </c>
      <c r="L221">
        <v>0</v>
      </c>
    </row>
    <row r="222" spans="1:12" x14ac:dyDescent="0.3">
      <c r="A222" s="31">
        <v>618</v>
      </c>
      <c r="B222" s="28">
        <v>2.72</v>
      </c>
      <c r="C222" s="30">
        <v>64.22</v>
      </c>
      <c r="D222" s="28">
        <v>0.88</v>
      </c>
      <c r="E222" s="34">
        <f t="shared" si="24"/>
        <v>1.7600000000000001E-2</v>
      </c>
      <c r="F222" s="35">
        <f t="shared" si="25"/>
        <v>16.055</v>
      </c>
      <c r="G222" s="34">
        <f t="shared" si="26"/>
        <v>22</v>
      </c>
      <c r="H222" s="33">
        <f t="shared" si="27"/>
        <v>12.479779411764705</v>
      </c>
      <c r="I222" s="29">
        <f t="shared" ca="1" si="28"/>
        <v>0</v>
      </c>
      <c r="J222">
        <f ca="1">IF(AND(SUMPRODUCT($J$2:J221,$B$2:B221)&lt;500,SUM(B221,SUMPRODUCT($J$2:J221,$B$2:B221))&lt;500),1,0)</f>
        <v>1</v>
      </c>
      <c r="K222">
        <v>2</v>
      </c>
      <c r="L222">
        <v>1</v>
      </c>
    </row>
    <row r="223" spans="1:12" x14ac:dyDescent="0.3">
      <c r="A223" s="31">
        <v>623</v>
      </c>
      <c r="B223" s="28">
        <v>2.92</v>
      </c>
      <c r="C223" s="30">
        <v>50.29</v>
      </c>
      <c r="D223" s="28">
        <v>2.0699999999999998</v>
      </c>
      <c r="E223" s="34">
        <f t="shared" si="24"/>
        <v>4.1399999999999999E-2</v>
      </c>
      <c r="F223" s="35">
        <f t="shared" si="25"/>
        <v>12.5725</v>
      </c>
      <c r="G223" s="34">
        <f t="shared" si="26"/>
        <v>51.749999999999993</v>
      </c>
      <c r="H223" s="33">
        <f t="shared" si="27"/>
        <v>12.817636986301371</v>
      </c>
      <c r="I223" s="29">
        <f t="shared" ca="1" si="28"/>
        <v>3</v>
      </c>
      <c r="J223">
        <f ca="1">IF(AND(SUMPRODUCT($J$2:J222,$B$2:B222)&lt;500,SUM(B222,SUMPRODUCT($J$2:J222,$B$2:B222))&lt;500),1,0)</f>
        <v>1</v>
      </c>
      <c r="K223">
        <v>2</v>
      </c>
      <c r="L223">
        <v>1</v>
      </c>
    </row>
    <row r="224" spans="1:12" x14ac:dyDescent="0.3">
      <c r="A224" s="31">
        <v>627</v>
      </c>
      <c r="B224" s="28">
        <v>7.76</v>
      </c>
      <c r="C224" s="30">
        <v>60.72</v>
      </c>
      <c r="D224" s="28">
        <v>2.82</v>
      </c>
      <c r="E224" s="34">
        <f t="shared" si="24"/>
        <v>5.6399999999999999E-2</v>
      </c>
      <c r="F224" s="35">
        <f t="shared" si="25"/>
        <v>15.18</v>
      </c>
      <c r="G224" s="34">
        <f t="shared" si="26"/>
        <v>70.5</v>
      </c>
      <c r="H224" s="33">
        <f t="shared" si="27"/>
        <v>4.4871134020618557</v>
      </c>
      <c r="I224" s="29">
        <f t="shared" ca="1" si="28"/>
        <v>1</v>
      </c>
      <c r="J224">
        <f ca="1">IF(AND(SUMPRODUCT($J$2:J223,$B$2:B223)&lt;500,SUM(B223,SUMPRODUCT($J$2:J223,$B$2:B223))&lt;500),1,0)</f>
        <v>0</v>
      </c>
      <c r="K224">
        <v>2</v>
      </c>
      <c r="L224">
        <v>0</v>
      </c>
    </row>
    <row r="225" spans="1:12" x14ac:dyDescent="0.3">
      <c r="A225" s="31">
        <v>631</v>
      </c>
      <c r="B225" s="28">
        <v>0.88</v>
      </c>
      <c r="C225" s="30">
        <v>88.76</v>
      </c>
      <c r="D225" s="28">
        <v>2.5099999999999998</v>
      </c>
      <c r="E225" s="34">
        <f t="shared" si="24"/>
        <v>5.0199999999999995E-2</v>
      </c>
      <c r="F225" s="35">
        <f t="shared" si="25"/>
        <v>22.19</v>
      </c>
      <c r="G225" s="34">
        <f t="shared" si="26"/>
        <v>62.749999999999993</v>
      </c>
      <c r="H225" s="33">
        <f t="shared" si="27"/>
        <v>60.01136363636364</v>
      </c>
      <c r="I225" s="29">
        <f t="shared" ca="1" si="28"/>
        <v>3</v>
      </c>
      <c r="J225">
        <f ca="1">IF(AND(SUMPRODUCT($J$2:J224,$B$2:B224)&lt;500,SUM(B224,SUMPRODUCT($J$2:J224,$B$2:B224))&lt;500),1,0)</f>
        <v>1</v>
      </c>
      <c r="K225">
        <v>3</v>
      </c>
      <c r="L225">
        <v>1</v>
      </c>
    </row>
    <row r="226" spans="1:12" x14ac:dyDescent="0.3">
      <c r="A226" s="31">
        <v>633</v>
      </c>
      <c r="B226" s="28">
        <v>7.58</v>
      </c>
      <c r="C226" s="30">
        <v>21.1</v>
      </c>
      <c r="D226" s="28">
        <v>3.08</v>
      </c>
      <c r="E226" s="34">
        <f t="shared" si="24"/>
        <v>6.1600000000000002E-2</v>
      </c>
      <c r="F226" s="35">
        <f t="shared" si="25"/>
        <v>5.2750000000000004</v>
      </c>
      <c r="G226" s="34">
        <f t="shared" si="26"/>
        <v>77</v>
      </c>
      <c r="H226" s="33">
        <f t="shared" si="27"/>
        <v>9.1985488126649066</v>
      </c>
      <c r="I226" s="29">
        <f t="shared" ca="1" si="28"/>
        <v>6</v>
      </c>
      <c r="J226">
        <f ca="1">IF(AND(SUMPRODUCT($J$2:J225,$B$2:B225)&lt;500,SUM(B225,SUMPRODUCT($J$2:J225,$B$2:B225))&lt;500),1,0)</f>
        <v>0</v>
      </c>
      <c r="K226">
        <v>3</v>
      </c>
      <c r="L226">
        <v>0</v>
      </c>
    </row>
    <row r="227" spans="1:12" x14ac:dyDescent="0.3">
      <c r="A227" s="31">
        <v>634</v>
      </c>
      <c r="B227" s="28">
        <v>2.29</v>
      </c>
      <c r="C227" s="30">
        <v>59.61</v>
      </c>
      <c r="D227" s="28">
        <v>1.74</v>
      </c>
      <c r="E227" s="34">
        <f t="shared" si="24"/>
        <v>3.4799999999999998E-2</v>
      </c>
      <c r="F227" s="35">
        <f t="shared" si="25"/>
        <v>14.9025</v>
      </c>
      <c r="G227" s="34">
        <f t="shared" si="26"/>
        <v>43.5</v>
      </c>
      <c r="H227" s="33">
        <f t="shared" si="27"/>
        <v>48.077510917030565</v>
      </c>
      <c r="I227" s="29">
        <f t="shared" ca="1" si="28"/>
        <v>1</v>
      </c>
      <c r="J227">
        <f ca="1">IF(AND(SUMPRODUCT($J$2:J226,$B$2:B226)&lt;500,SUM(B226,SUMPRODUCT($J$2:J226,$B$2:B226))&lt;500),1,0)</f>
        <v>1</v>
      </c>
      <c r="K227">
        <v>5</v>
      </c>
      <c r="L227">
        <v>1</v>
      </c>
    </row>
    <row r="228" spans="1:12" x14ac:dyDescent="0.3">
      <c r="A228" s="31">
        <v>636</v>
      </c>
      <c r="B228" s="28">
        <v>6.35</v>
      </c>
      <c r="C228" s="30">
        <v>5.52</v>
      </c>
      <c r="D228" s="28">
        <v>0.4</v>
      </c>
      <c r="E228" s="34">
        <f t="shared" si="24"/>
        <v>8.0000000000000002E-3</v>
      </c>
      <c r="F228" s="35">
        <f t="shared" si="25"/>
        <v>1.38</v>
      </c>
      <c r="G228" s="34">
        <f t="shared" si="26"/>
        <v>10</v>
      </c>
      <c r="H228" s="33">
        <f t="shared" si="27"/>
        <v>-0.21732283464566929</v>
      </c>
      <c r="I228" s="29">
        <f t="shared" ca="1" si="28"/>
        <v>1</v>
      </c>
      <c r="J228">
        <f ca="1">IF(AND(SUMPRODUCT($J$2:J227,$B$2:B227)&lt;500,SUM(B227,SUMPRODUCT($J$2:J227,$B$2:B227))&lt;500),1,0)</f>
        <v>0</v>
      </c>
      <c r="K228">
        <v>0</v>
      </c>
      <c r="L228">
        <v>0</v>
      </c>
    </row>
    <row r="229" spans="1:12" x14ac:dyDescent="0.3">
      <c r="A229" s="31">
        <v>642</v>
      </c>
      <c r="B229" s="28">
        <v>2.0499999999999998</v>
      </c>
      <c r="C229" s="30">
        <v>94.35</v>
      </c>
      <c r="D229" s="28">
        <v>3.22</v>
      </c>
      <c r="E229" s="34">
        <f t="shared" si="24"/>
        <v>6.4399999999999999E-2</v>
      </c>
      <c r="F229" s="35">
        <f t="shared" si="25"/>
        <v>23.587499999999999</v>
      </c>
      <c r="G229" s="34">
        <f t="shared" si="26"/>
        <v>80.5</v>
      </c>
      <c r="H229" s="33">
        <f t="shared" si="27"/>
        <v>12.884146341463417</v>
      </c>
      <c r="I229" s="29">
        <f t="shared" ca="1" si="28"/>
        <v>2</v>
      </c>
      <c r="J229">
        <f ca="1">IF(AND(SUMPRODUCT($J$2:J228,$B$2:B228)&lt;500,SUM(B228,SUMPRODUCT($J$2:J228,$B$2:B228))&lt;500),1,0)</f>
        <v>1</v>
      </c>
      <c r="K229">
        <v>2</v>
      </c>
      <c r="L229">
        <v>1</v>
      </c>
    </row>
    <row r="230" spans="1:12" x14ac:dyDescent="0.3">
      <c r="A230" s="31">
        <v>645</v>
      </c>
      <c r="B230" s="28">
        <v>8.73</v>
      </c>
      <c r="C230" s="30">
        <v>2.68</v>
      </c>
      <c r="D230" s="28">
        <v>0.75</v>
      </c>
      <c r="E230" s="34">
        <f t="shared" si="24"/>
        <v>1.4999999999999999E-2</v>
      </c>
      <c r="F230" s="35">
        <f t="shared" si="25"/>
        <v>0.67</v>
      </c>
      <c r="G230" s="34">
        <f t="shared" si="26"/>
        <v>18.75</v>
      </c>
      <c r="H230" s="33">
        <f t="shared" si="27"/>
        <v>2.7869415807560136</v>
      </c>
      <c r="I230" s="29">
        <f t="shared" ca="1" si="28"/>
        <v>2</v>
      </c>
      <c r="J230">
        <f ca="1">IF(AND(SUMPRODUCT($J$2:J229,$B$2:B229)&lt;500,SUM(B229,SUMPRODUCT($J$2:J229,$B$2:B229))&lt;500),1,0)</f>
        <v>0</v>
      </c>
      <c r="K230">
        <v>1</v>
      </c>
      <c r="L230">
        <v>0</v>
      </c>
    </row>
    <row r="231" spans="1:12" x14ac:dyDescent="0.3">
      <c r="A231" s="31">
        <v>648</v>
      </c>
      <c r="B231" s="28">
        <v>9.6</v>
      </c>
      <c r="C231" s="30">
        <v>0.17</v>
      </c>
      <c r="D231" s="28">
        <v>2.7</v>
      </c>
      <c r="E231" s="34">
        <f t="shared" si="24"/>
        <v>5.4000000000000006E-2</v>
      </c>
      <c r="F231" s="35">
        <f t="shared" si="25"/>
        <v>4.2500000000000003E-2</v>
      </c>
      <c r="G231" s="34">
        <f t="shared" si="26"/>
        <v>67.5</v>
      </c>
      <c r="H231" s="33">
        <f t="shared" si="27"/>
        <v>5.2039062500000002</v>
      </c>
      <c r="I231" s="29">
        <f t="shared" ca="1" si="28"/>
        <v>4</v>
      </c>
      <c r="J231">
        <f ca="1">IF(AND(SUMPRODUCT($J$2:J230,$B$2:B230)&lt;500,SUM(B230,SUMPRODUCT($J$2:J230,$B$2:B230))&lt;500),1,0)</f>
        <v>0</v>
      </c>
      <c r="K231">
        <v>2</v>
      </c>
      <c r="L231">
        <v>0</v>
      </c>
    </row>
    <row r="232" spans="1:12" x14ac:dyDescent="0.3">
      <c r="A232" s="31">
        <v>649</v>
      </c>
      <c r="B232" s="28">
        <v>1.53</v>
      </c>
      <c r="C232" s="30">
        <v>91.4</v>
      </c>
      <c r="D232" s="28">
        <v>1.01</v>
      </c>
      <c r="E232" s="34">
        <f t="shared" si="24"/>
        <v>2.0199999999999999E-2</v>
      </c>
      <c r="F232" s="35">
        <f t="shared" si="25"/>
        <v>22.85</v>
      </c>
      <c r="G232" s="34">
        <f t="shared" si="26"/>
        <v>25.25</v>
      </c>
      <c r="H232" s="33">
        <f t="shared" si="27"/>
        <v>-14.934640522875817</v>
      </c>
      <c r="I232" s="29">
        <f t="shared" ca="1" si="28"/>
        <v>0</v>
      </c>
      <c r="J232">
        <f ca="1">IF(AND(SUMPRODUCT($J$2:J231,$B$2:B231)&lt;500,SUM(B231,SUMPRODUCT($J$2:J231,$B$2:B231))&lt;500),1,0)</f>
        <v>0</v>
      </c>
      <c r="K232">
        <v>0</v>
      </c>
      <c r="L232">
        <v>0</v>
      </c>
    </row>
    <row r="233" spans="1:12" x14ac:dyDescent="0.3">
      <c r="A233" s="31">
        <v>651</v>
      </c>
      <c r="B233" s="28">
        <v>4.37</v>
      </c>
      <c r="C233" s="30">
        <v>57.54</v>
      </c>
      <c r="D233" s="28">
        <v>2.5</v>
      </c>
      <c r="E233" s="34">
        <f t="shared" si="24"/>
        <v>0.05</v>
      </c>
      <c r="F233" s="35">
        <f t="shared" si="25"/>
        <v>14.385</v>
      </c>
      <c r="G233" s="34">
        <f t="shared" si="26"/>
        <v>62.5</v>
      </c>
      <c r="H233" s="33">
        <f t="shared" si="27"/>
        <v>19.591533180778029</v>
      </c>
      <c r="I233" s="29">
        <f t="shared" ca="1" si="28"/>
        <v>0</v>
      </c>
      <c r="J233">
        <f ca="1">IF(AND(SUMPRODUCT($J$2:J232,$B$2:B232)&lt;500,SUM(B232,SUMPRODUCT($J$2:J232,$B$2:B232))&lt;500),1,0)</f>
        <v>1</v>
      </c>
      <c r="K233">
        <v>4</v>
      </c>
      <c r="L233">
        <v>1</v>
      </c>
    </row>
    <row r="234" spans="1:12" x14ac:dyDescent="0.3">
      <c r="A234" s="31">
        <v>655</v>
      </c>
      <c r="B234" s="28">
        <v>6.25</v>
      </c>
      <c r="C234" s="30">
        <v>0.84</v>
      </c>
      <c r="D234" s="28">
        <v>1.66</v>
      </c>
      <c r="E234" s="34">
        <f t="shared" si="24"/>
        <v>3.32E-2</v>
      </c>
      <c r="F234" s="35">
        <f t="shared" si="25"/>
        <v>0.21</v>
      </c>
      <c r="G234" s="34">
        <f t="shared" si="26"/>
        <v>41.5</v>
      </c>
      <c r="H234" s="33">
        <f t="shared" si="27"/>
        <v>7.9664000000000001</v>
      </c>
      <c r="I234" s="29">
        <f t="shared" ca="1" si="28"/>
        <v>0</v>
      </c>
      <c r="J234">
        <f ca="1">IF(AND(SUMPRODUCT($J$2:J233,$B$2:B233)&lt;500,SUM(B233,SUMPRODUCT($J$2:J233,$B$2:B233))&lt;500),1,0)</f>
        <v>0</v>
      </c>
      <c r="K234">
        <v>2</v>
      </c>
      <c r="L234">
        <v>0</v>
      </c>
    </row>
    <row r="235" spans="1:12" x14ac:dyDescent="0.3">
      <c r="A235" s="31">
        <v>656</v>
      </c>
      <c r="B235" s="28">
        <v>2.13</v>
      </c>
      <c r="C235" s="30">
        <v>28.77</v>
      </c>
      <c r="D235" s="28">
        <v>0.96</v>
      </c>
      <c r="E235" s="34">
        <f t="shared" si="24"/>
        <v>1.9199999999999998E-2</v>
      </c>
      <c r="F235" s="35">
        <f t="shared" si="25"/>
        <v>7.1924999999999999</v>
      </c>
      <c r="G235" s="34">
        <f t="shared" si="26"/>
        <v>24</v>
      </c>
      <c r="H235" s="33">
        <f t="shared" si="27"/>
        <v>8.3603286384976538</v>
      </c>
      <c r="I235" s="29">
        <f t="shared" ca="1" si="28"/>
        <v>4</v>
      </c>
      <c r="J235">
        <f ca="1">IF(AND(SUMPRODUCT($J$2:J234,$B$2:B234)&lt;500,SUM(B234,SUMPRODUCT($J$2:J234,$B$2:B234))&lt;500),1,0)</f>
        <v>0</v>
      </c>
      <c r="K235">
        <v>1</v>
      </c>
      <c r="L235">
        <v>0</v>
      </c>
    </row>
    <row r="236" spans="1:12" x14ac:dyDescent="0.3">
      <c r="A236" s="31">
        <v>658</v>
      </c>
      <c r="B236" s="28">
        <v>7.11</v>
      </c>
      <c r="C236" s="30">
        <v>68.709999999999994</v>
      </c>
      <c r="D236" s="28">
        <v>3.09</v>
      </c>
      <c r="E236" s="34">
        <f t="shared" si="24"/>
        <v>6.1799999999999994E-2</v>
      </c>
      <c r="F236" s="35">
        <f t="shared" si="25"/>
        <v>17.177499999999998</v>
      </c>
      <c r="G236" s="34">
        <f t="shared" si="26"/>
        <v>77.25</v>
      </c>
      <c r="H236" s="33">
        <f t="shared" si="27"/>
        <v>11.648734177215189</v>
      </c>
      <c r="I236" s="29">
        <f t="shared" ca="1" si="28"/>
        <v>4</v>
      </c>
      <c r="J236">
        <f ca="1">IF(AND(SUMPRODUCT($J$2:J235,$B$2:B235)&lt;500,SUM(B235,SUMPRODUCT($J$2:J235,$B$2:B235))&lt;500),1,0)</f>
        <v>0</v>
      </c>
      <c r="K236">
        <v>4</v>
      </c>
      <c r="L236">
        <v>0</v>
      </c>
    </row>
    <row r="237" spans="1:12" x14ac:dyDescent="0.3">
      <c r="A237" s="31">
        <v>660</v>
      </c>
      <c r="B237" s="28">
        <v>1.8</v>
      </c>
      <c r="C237" s="30">
        <v>90.93</v>
      </c>
      <c r="D237" s="28">
        <v>2.66</v>
      </c>
      <c r="E237" s="34">
        <f t="shared" si="24"/>
        <v>5.3200000000000004E-2</v>
      </c>
      <c r="F237" s="35">
        <f t="shared" si="25"/>
        <v>22.732500000000002</v>
      </c>
      <c r="G237" s="34">
        <f t="shared" si="26"/>
        <v>66.5</v>
      </c>
      <c r="H237" s="33">
        <f t="shared" si="27"/>
        <v>42.926388888888887</v>
      </c>
      <c r="I237" s="29">
        <f t="shared" ca="1" si="28"/>
        <v>3</v>
      </c>
      <c r="J237">
        <f ca="1">IF(AND(SUMPRODUCT($J$2:J236,$B$2:B236)&lt;500,SUM(B236,SUMPRODUCT($J$2:J236,$B$2:B236))&lt;500),1,0)</f>
        <v>1</v>
      </c>
      <c r="K237">
        <v>4</v>
      </c>
      <c r="L237">
        <v>1</v>
      </c>
    </row>
    <row r="238" spans="1:12" x14ac:dyDescent="0.3">
      <c r="A238" s="31">
        <v>664</v>
      </c>
      <c r="B238" s="28">
        <v>8.93</v>
      </c>
      <c r="C238" s="30">
        <v>78.27</v>
      </c>
      <c r="D238" s="28">
        <v>3.1</v>
      </c>
      <c r="E238" s="34">
        <f t="shared" si="24"/>
        <v>6.2E-2</v>
      </c>
      <c r="F238" s="35">
        <f t="shared" si="25"/>
        <v>19.567499999999999</v>
      </c>
      <c r="G238" s="34">
        <f t="shared" si="26"/>
        <v>77.5</v>
      </c>
      <c r="H238" s="33">
        <f t="shared" si="27"/>
        <v>6.2074468085106389</v>
      </c>
      <c r="I238" s="29">
        <f t="shared" ca="1" si="28"/>
        <v>5</v>
      </c>
      <c r="J238">
        <f ca="1">IF(AND(SUMPRODUCT($J$2:J237,$B$2:B237)&lt;500,SUM(B237,SUMPRODUCT($J$2:J237,$B$2:B237))&lt;500),1,0)</f>
        <v>0</v>
      </c>
      <c r="K238">
        <v>3</v>
      </c>
      <c r="L238">
        <v>0</v>
      </c>
    </row>
    <row r="239" spans="1:12" x14ac:dyDescent="0.3">
      <c r="A239" s="31">
        <v>666</v>
      </c>
      <c r="B239" s="28">
        <v>2.5099999999999998</v>
      </c>
      <c r="C239" s="30">
        <v>79.47</v>
      </c>
      <c r="D239" s="28">
        <v>2.54</v>
      </c>
      <c r="E239" s="34">
        <f t="shared" si="24"/>
        <v>5.0799999999999998E-2</v>
      </c>
      <c r="F239" s="35">
        <f t="shared" si="25"/>
        <v>19.8675</v>
      </c>
      <c r="G239" s="34">
        <f t="shared" si="26"/>
        <v>63.5</v>
      </c>
      <c r="H239" s="33">
        <f t="shared" si="27"/>
        <v>21.965139442231077</v>
      </c>
      <c r="I239" s="29">
        <f t="shared" ca="1" si="28"/>
        <v>1</v>
      </c>
      <c r="J239">
        <f ca="1">IF(AND(SUMPRODUCT($J$2:J238,$B$2:B238)&lt;500,SUM(B238,SUMPRODUCT($J$2:J238,$B$2:B238))&lt;500),1,0)</f>
        <v>1</v>
      </c>
      <c r="K239">
        <v>3</v>
      </c>
      <c r="L239">
        <v>1</v>
      </c>
    </row>
    <row r="240" spans="1:12" x14ac:dyDescent="0.3">
      <c r="A240" s="31">
        <v>671</v>
      </c>
      <c r="B240" s="28">
        <v>5.61</v>
      </c>
      <c r="C240" s="30">
        <v>62.24</v>
      </c>
      <c r="D240" s="28">
        <v>2.95</v>
      </c>
      <c r="E240" s="34">
        <f t="shared" si="24"/>
        <v>5.9000000000000004E-2</v>
      </c>
      <c r="F240" s="35">
        <f t="shared" si="25"/>
        <v>15.56</v>
      </c>
      <c r="G240" s="34">
        <f t="shared" si="26"/>
        <v>73.75</v>
      </c>
      <c r="H240" s="33">
        <f t="shared" si="27"/>
        <v>15.05169340463458</v>
      </c>
      <c r="I240" s="29">
        <f t="shared" ca="1" si="28"/>
        <v>0</v>
      </c>
      <c r="J240">
        <f ca="1">IF(AND(SUMPRODUCT($J$2:J239,$B$2:B239)&lt;500,SUM(B239,SUMPRODUCT($J$2:J239,$B$2:B239))&lt;500),1,0)</f>
        <v>1</v>
      </c>
      <c r="K240">
        <v>4</v>
      </c>
      <c r="L240">
        <v>1</v>
      </c>
    </row>
    <row r="241" spans="1:12" x14ac:dyDescent="0.3">
      <c r="A241" s="31">
        <v>672</v>
      </c>
      <c r="B241" s="28">
        <v>2.54</v>
      </c>
      <c r="C241" s="30">
        <v>48.65</v>
      </c>
      <c r="D241" s="28">
        <v>2.04</v>
      </c>
      <c r="E241" s="34">
        <f t="shared" si="24"/>
        <v>4.0800000000000003E-2</v>
      </c>
      <c r="F241" s="35">
        <f t="shared" si="25"/>
        <v>12.1625</v>
      </c>
      <c r="G241" s="34">
        <f t="shared" si="26"/>
        <v>51</v>
      </c>
      <c r="H241" s="33">
        <f t="shared" si="27"/>
        <v>24.739173228346456</v>
      </c>
      <c r="I241" s="29">
        <f t="shared" ca="1" si="28"/>
        <v>1</v>
      </c>
      <c r="J241">
        <f ca="1">IF(AND(SUMPRODUCT($J$2:J240,$B$2:B240)&lt;500,SUM(B240,SUMPRODUCT($J$2:J240,$B$2:B240))&lt;500),1,0)</f>
        <v>1</v>
      </c>
      <c r="K241">
        <v>3</v>
      </c>
      <c r="L241">
        <v>1</v>
      </c>
    </row>
    <row r="242" spans="1:12" x14ac:dyDescent="0.3">
      <c r="A242" s="31">
        <v>673</v>
      </c>
      <c r="B242" s="28">
        <v>4.79</v>
      </c>
      <c r="C242" s="30">
        <v>40.880000000000003</v>
      </c>
      <c r="D242" s="28">
        <v>2.84</v>
      </c>
      <c r="E242" s="34">
        <f t="shared" si="24"/>
        <v>5.6799999999999996E-2</v>
      </c>
      <c r="F242" s="35">
        <f t="shared" si="25"/>
        <v>10.220000000000001</v>
      </c>
      <c r="G242" s="34">
        <f t="shared" si="26"/>
        <v>71</v>
      </c>
      <c r="H242" s="33">
        <f t="shared" si="27"/>
        <v>18.743215031315241</v>
      </c>
      <c r="I242" s="29">
        <f t="shared" ca="1" si="28"/>
        <v>3</v>
      </c>
      <c r="J242">
        <f ca="1">IF(AND(SUMPRODUCT($J$2:J241,$B$2:B241)&lt;500,SUM(B241,SUMPRODUCT($J$2:J241,$B$2:B241))&lt;500),1,0)</f>
        <v>1</v>
      </c>
      <c r="K242">
        <v>4</v>
      </c>
      <c r="L242">
        <v>1</v>
      </c>
    </row>
    <row r="243" spans="1:12" x14ac:dyDescent="0.3">
      <c r="A243" s="31">
        <v>676</v>
      </c>
      <c r="B243" s="28">
        <v>2.88</v>
      </c>
      <c r="C243" s="30">
        <v>10.36</v>
      </c>
      <c r="D243" s="28">
        <v>2.41</v>
      </c>
      <c r="E243" s="34">
        <f t="shared" si="24"/>
        <v>4.82E-2</v>
      </c>
      <c r="F243" s="35">
        <f t="shared" si="25"/>
        <v>2.59</v>
      </c>
      <c r="G243" s="34">
        <f t="shared" si="26"/>
        <v>60.25</v>
      </c>
      <c r="H243" s="33">
        <f t="shared" si="27"/>
        <v>33.822916666666664</v>
      </c>
      <c r="I243" s="29">
        <f t="shared" ca="1" si="28"/>
        <v>3</v>
      </c>
      <c r="J243">
        <f ca="1">IF(AND(SUMPRODUCT($J$2:J242,$B$2:B242)&lt;500,SUM(B242,SUMPRODUCT($J$2:J242,$B$2:B242))&lt;500),1,0)</f>
        <v>1</v>
      </c>
      <c r="K243">
        <v>4</v>
      </c>
      <c r="L243">
        <v>1</v>
      </c>
    </row>
    <row r="244" spans="1:12" x14ac:dyDescent="0.3">
      <c r="A244" s="31">
        <v>680</v>
      </c>
      <c r="B244" s="28">
        <v>8.2200000000000006</v>
      </c>
      <c r="C244" s="30">
        <v>0.18</v>
      </c>
      <c r="D244" s="28">
        <v>1.76</v>
      </c>
      <c r="E244" s="34">
        <f t="shared" si="24"/>
        <v>3.5200000000000002E-2</v>
      </c>
      <c r="F244" s="35">
        <f t="shared" si="25"/>
        <v>4.4999999999999998E-2</v>
      </c>
      <c r="G244" s="34">
        <f t="shared" si="26"/>
        <v>44</v>
      </c>
      <c r="H244" s="33">
        <f t="shared" si="27"/>
        <v>6.0772506082725055</v>
      </c>
      <c r="I244" s="29">
        <f t="shared" ca="1" si="28"/>
        <v>1</v>
      </c>
      <c r="J244">
        <f ca="1">IF(AND(SUMPRODUCT($J$2:J243,$B$2:B243)&lt;500,SUM(B243,SUMPRODUCT($J$2:J243,$B$2:B243))&lt;500),1,0)</f>
        <v>0</v>
      </c>
      <c r="K244">
        <v>2</v>
      </c>
      <c r="L244">
        <v>0</v>
      </c>
    </row>
    <row r="245" spans="1:12" x14ac:dyDescent="0.3">
      <c r="A245" s="31">
        <v>684</v>
      </c>
      <c r="B245" s="28">
        <v>2.3199999999999998</v>
      </c>
      <c r="C245" s="30">
        <v>52.21</v>
      </c>
      <c r="D245" s="28">
        <v>1.55</v>
      </c>
      <c r="E245" s="34">
        <f t="shared" si="24"/>
        <v>3.1E-2</v>
      </c>
      <c r="F245" s="35">
        <f t="shared" si="25"/>
        <v>13.0525</v>
      </c>
      <c r="G245" s="34">
        <f t="shared" si="26"/>
        <v>38.75</v>
      </c>
      <c r="H245" s="33">
        <f t="shared" si="27"/>
        <v>26.701508620689655</v>
      </c>
      <c r="I245" s="29">
        <f t="shared" ca="1" si="28"/>
        <v>2</v>
      </c>
      <c r="J245">
        <f ca="1">IF(AND(SUMPRODUCT($J$2:J244,$B$2:B244)&lt;500,SUM(B244,SUMPRODUCT($J$2:J244,$B$2:B244))&lt;500),1,0)</f>
        <v>1</v>
      </c>
      <c r="K245">
        <v>3</v>
      </c>
      <c r="L245">
        <v>1</v>
      </c>
    </row>
    <row r="246" spans="1:12" x14ac:dyDescent="0.3">
      <c r="A246" s="31">
        <v>685</v>
      </c>
      <c r="B246" s="28">
        <v>2.93</v>
      </c>
      <c r="C246" s="30">
        <v>53.09</v>
      </c>
      <c r="D246" s="28">
        <v>2.58</v>
      </c>
      <c r="E246" s="34">
        <f t="shared" si="24"/>
        <v>5.16E-2</v>
      </c>
      <c r="F246" s="35">
        <f t="shared" si="25"/>
        <v>13.272500000000001</v>
      </c>
      <c r="G246" s="34">
        <f t="shared" si="26"/>
        <v>64.5</v>
      </c>
      <c r="H246" s="33">
        <f t="shared" si="27"/>
        <v>12.534982935153582</v>
      </c>
      <c r="I246" s="29">
        <f t="shared" ca="1" si="28"/>
        <v>2</v>
      </c>
      <c r="J246">
        <f ca="1">IF(AND(SUMPRODUCT($J$2:J245,$B$2:B245)&lt;500,SUM(B245,SUMPRODUCT($J$2:J245,$B$2:B245))&lt;500),1,0)</f>
        <v>1</v>
      </c>
      <c r="K246">
        <v>2</v>
      </c>
      <c r="L246">
        <v>1</v>
      </c>
    </row>
    <row r="247" spans="1:12" x14ac:dyDescent="0.3">
      <c r="A247" s="31">
        <v>688</v>
      </c>
      <c r="B247" s="28">
        <v>2.4500000000000002</v>
      </c>
      <c r="C247" s="30">
        <v>42.91</v>
      </c>
      <c r="D247" s="28">
        <v>2.34</v>
      </c>
      <c r="E247" s="34">
        <f t="shared" si="24"/>
        <v>4.6799999999999994E-2</v>
      </c>
      <c r="F247" s="35">
        <f t="shared" si="25"/>
        <v>10.727499999999999</v>
      </c>
      <c r="G247" s="34">
        <f t="shared" si="26"/>
        <v>58.5</v>
      </c>
      <c r="H247" s="33">
        <f t="shared" si="27"/>
        <v>-4.3785714285714281</v>
      </c>
      <c r="I247" s="29">
        <f t="shared" ca="1" si="28"/>
        <v>4</v>
      </c>
      <c r="J247">
        <f ca="1">IF(AND(SUMPRODUCT($J$2:J246,$B$2:B246)&lt;500,SUM(B246,SUMPRODUCT($J$2:J246,$B$2:B246))&lt;500),1,0)</f>
        <v>0</v>
      </c>
      <c r="K247">
        <v>0</v>
      </c>
      <c r="L247">
        <v>0</v>
      </c>
    </row>
    <row r="248" spans="1:12" x14ac:dyDescent="0.3">
      <c r="A248" s="31">
        <v>689</v>
      </c>
      <c r="B248" s="28">
        <v>9.6999999999999993</v>
      </c>
      <c r="C248" s="30">
        <v>22.86</v>
      </c>
      <c r="D248" s="28">
        <v>2.85</v>
      </c>
      <c r="E248" s="34">
        <f t="shared" si="24"/>
        <v>5.7000000000000002E-2</v>
      </c>
      <c r="F248" s="35">
        <f t="shared" si="25"/>
        <v>5.7149999999999999</v>
      </c>
      <c r="G248" s="34">
        <f t="shared" si="26"/>
        <v>71.25</v>
      </c>
      <c r="H248" s="33">
        <f t="shared" si="27"/>
        <v>4.565463917525773</v>
      </c>
      <c r="I248" s="29">
        <f t="shared" ca="1" si="28"/>
        <v>1</v>
      </c>
      <c r="J248">
        <f ca="1">IF(AND(SUMPRODUCT($J$2:J247,$B$2:B247)&lt;500,SUM(B247,SUMPRODUCT($J$2:J247,$B$2:B247))&lt;500),1,0)</f>
        <v>0</v>
      </c>
      <c r="K248">
        <v>2</v>
      </c>
      <c r="L248">
        <v>0</v>
      </c>
    </row>
    <row r="249" spans="1:12" x14ac:dyDescent="0.3">
      <c r="A249" s="31">
        <v>693</v>
      </c>
      <c r="B249" s="28">
        <v>7.07</v>
      </c>
      <c r="C249" s="30">
        <v>83.95</v>
      </c>
      <c r="D249" s="28">
        <v>3.18</v>
      </c>
      <c r="E249" s="34">
        <f t="shared" si="24"/>
        <v>6.3600000000000004E-2</v>
      </c>
      <c r="F249" s="35">
        <f t="shared" si="25"/>
        <v>20.987500000000001</v>
      </c>
      <c r="G249" s="34">
        <f t="shared" si="26"/>
        <v>79.5</v>
      </c>
      <c r="H249" s="33">
        <f t="shared" si="27"/>
        <v>11.175742574257425</v>
      </c>
      <c r="I249" s="29">
        <f t="shared" ca="1" si="28"/>
        <v>5</v>
      </c>
      <c r="J249">
        <f ca="1">IF(AND(SUMPRODUCT($J$2:J248,$B$2:B248)&lt;500,SUM(B248,SUMPRODUCT($J$2:J248,$B$2:B248))&lt;500),1,0)</f>
        <v>0</v>
      </c>
      <c r="K249">
        <v>4</v>
      </c>
      <c r="L249">
        <v>0</v>
      </c>
    </row>
    <row r="250" spans="1:12" x14ac:dyDescent="0.3">
      <c r="A250" s="31">
        <v>694</v>
      </c>
      <c r="B250" s="28">
        <v>0.93</v>
      </c>
      <c r="C250" s="30">
        <v>88.66</v>
      </c>
      <c r="D250" s="28">
        <v>2.66</v>
      </c>
      <c r="E250" s="34">
        <f t="shared" si="24"/>
        <v>5.3200000000000004E-2</v>
      </c>
      <c r="F250" s="35">
        <f t="shared" si="25"/>
        <v>22.164999999999999</v>
      </c>
      <c r="G250" s="34">
        <f t="shared" si="26"/>
        <v>66.5</v>
      </c>
      <c r="H250" s="33">
        <f t="shared" si="27"/>
        <v>3.0483870967741944</v>
      </c>
      <c r="I250" s="29">
        <f t="shared" ca="1" si="28"/>
        <v>2</v>
      </c>
      <c r="J250">
        <f ca="1">IF(AND(SUMPRODUCT($J$2:J249,$B$2:B249)&lt;500,SUM(B249,SUMPRODUCT($J$2:J249,$B$2:B249))&lt;500),1,0)</f>
        <v>0</v>
      </c>
      <c r="K250">
        <v>1</v>
      </c>
      <c r="L250">
        <v>0</v>
      </c>
    </row>
    <row r="251" spans="1:12" x14ac:dyDescent="0.3">
      <c r="A251" s="31">
        <v>696</v>
      </c>
      <c r="B251" s="28">
        <v>9.91</v>
      </c>
      <c r="C251" s="30">
        <v>3.51</v>
      </c>
      <c r="D251" s="28">
        <v>0.93</v>
      </c>
      <c r="E251" s="34">
        <f t="shared" si="24"/>
        <v>1.8600000000000002E-2</v>
      </c>
      <c r="F251" s="35">
        <f t="shared" si="25"/>
        <v>0.87749999999999995</v>
      </c>
      <c r="G251" s="34">
        <f t="shared" si="26"/>
        <v>23.25</v>
      </c>
      <c r="H251" s="33">
        <f t="shared" si="27"/>
        <v>-8.8546922300706349E-2</v>
      </c>
      <c r="I251" s="29">
        <f t="shared" ca="1" si="28"/>
        <v>1</v>
      </c>
      <c r="J251">
        <f ca="1">IF(AND(SUMPRODUCT($J$2:J250,$B$2:B250)&lt;500,SUM(B250,SUMPRODUCT($J$2:J250,$B$2:B250))&lt;500),1,0)</f>
        <v>0</v>
      </c>
      <c r="K251">
        <v>0</v>
      </c>
      <c r="L251">
        <v>0</v>
      </c>
    </row>
    <row r="252" spans="1:12" x14ac:dyDescent="0.3">
      <c r="A252" s="31">
        <v>697</v>
      </c>
      <c r="B252" s="28">
        <v>0.34</v>
      </c>
      <c r="C252" s="30">
        <v>47.44</v>
      </c>
      <c r="D252" s="28">
        <v>1.4</v>
      </c>
      <c r="E252" s="34">
        <f t="shared" si="24"/>
        <v>2.7999999999999997E-2</v>
      </c>
      <c r="F252" s="35">
        <f t="shared" si="25"/>
        <v>11.86</v>
      </c>
      <c r="G252" s="34">
        <f t="shared" si="26"/>
        <v>35</v>
      </c>
      <c r="H252" s="33">
        <f t="shared" si="27"/>
        <v>112.17647058823529</v>
      </c>
      <c r="I252" s="29">
        <f t="shared" ca="1" si="28"/>
        <v>0</v>
      </c>
      <c r="J252">
        <f ca="1">IF(AND(SUMPRODUCT($J$2:J251,$B$2:B251)&lt;500,SUM(B251,SUMPRODUCT($J$2:J251,$B$2:B251))&lt;500),1,0)</f>
        <v>1</v>
      </c>
      <c r="K252">
        <v>2</v>
      </c>
      <c r="L252">
        <v>1</v>
      </c>
    </row>
    <row r="253" spans="1:12" x14ac:dyDescent="0.3">
      <c r="A253" s="31">
        <v>699</v>
      </c>
      <c r="B253" s="28">
        <v>3.13</v>
      </c>
      <c r="C253" s="30">
        <v>56.38</v>
      </c>
      <c r="D253" s="28">
        <v>2.57</v>
      </c>
      <c r="E253" s="34">
        <f t="shared" si="24"/>
        <v>5.1399999999999994E-2</v>
      </c>
      <c r="F253" s="35">
        <f t="shared" si="25"/>
        <v>14.095000000000001</v>
      </c>
      <c r="G253" s="34">
        <f t="shared" si="26"/>
        <v>64.25</v>
      </c>
      <c r="H253" s="33">
        <f t="shared" si="27"/>
        <v>11.471246006389777</v>
      </c>
      <c r="I253" s="29">
        <f t="shared" ca="1" si="28"/>
        <v>4</v>
      </c>
      <c r="J253">
        <f ca="1">IF(AND(SUMPRODUCT($J$2:J252,$B$2:B252)&lt;500,SUM(B252,SUMPRODUCT($J$2:J252,$B$2:B252))&lt;500),1,0)</f>
        <v>0</v>
      </c>
      <c r="K253">
        <v>2</v>
      </c>
      <c r="L253">
        <v>0</v>
      </c>
    </row>
    <row r="254" spans="1:12" x14ac:dyDescent="0.3">
      <c r="A254" s="31">
        <v>707</v>
      </c>
      <c r="B254" s="28">
        <v>0.42</v>
      </c>
      <c r="C254" s="30">
        <v>90.36</v>
      </c>
      <c r="D254" s="28">
        <v>0.69</v>
      </c>
      <c r="E254" s="34">
        <f t="shared" si="24"/>
        <v>1.38E-2</v>
      </c>
      <c r="F254" s="35">
        <f t="shared" si="25"/>
        <v>22.59</v>
      </c>
      <c r="G254" s="34">
        <f t="shared" si="26"/>
        <v>17.25</v>
      </c>
      <c r="H254" s="33">
        <f t="shared" si="27"/>
        <v>-53.785714285714285</v>
      </c>
      <c r="I254" s="29">
        <f t="shared" ca="1" si="28"/>
        <v>0</v>
      </c>
      <c r="J254">
        <f ca="1">IF(AND(SUMPRODUCT($J$2:J253,$B$2:B253)&lt;500,SUM(B253,SUMPRODUCT($J$2:J253,$B$2:B253))&lt;500),1,0)</f>
        <v>0</v>
      </c>
      <c r="K254">
        <v>0</v>
      </c>
      <c r="L254">
        <v>0</v>
      </c>
    </row>
    <row r="255" spans="1:12" x14ac:dyDescent="0.3">
      <c r="A255" s="31">
        <v>711</v>
      </c>
      <c r="B255" s="28">
        <v>1.49</v>
      </c>
      <c r="C255" s="30">
        <v>5.78</v>
      </c>
      <c r="D255" s="28">
        <v>2.2200000000000002</v>
      </c>
      <c r="E255" s="34">
        <f t="shared" si="24"/>
        <v>4.4400000000000002E-2</v>
      </c>
      <c r="F255" s="35">
        <f t="shared" si="25"/>
        <v>1.4450000000000001</v>
      </c>
      <c r="G255" s="34">
        <f t="shared" si="26"/>
        <v>55.500000000000007</v>
      </c>
      <c r="H255" s="33">
        <f t="shared" si="27"/>
        <v>32.587248322147651</v>
      </c>
      <c r="I255" s="29">
        <f t="shared" ca="1" si="28"/>
        <v>5</v>
      </c>
      <c r="J255">
        <f ca="1">IF(AND(SUMPRODUCT($J$2:J254,$B$2:B254)&lt;500,SUM(B254,SUMPRODUCT($J$2:J254,$B$2:B254))&lt;500),1,0)</f>
        <v>1</v>
      </c>
      <c r="K255">
        <v>2</v>
      </c>
      <c r="L255">
        <v>1</v>
      </c>
    </row>
    <row r="256" spans="1:12" x14ac:dyDescent="0.3">
      <c r="A256" s="31">
        <v>712</v>
      </c>
      <c r="B256" s="28">
        <v>7.1</v>
      </c>
      <c r="C256" s="30">
        <v>28.81</v>
      </c>
      <c r="D256" s="28">
        <v>2.85</v>
      </c>
      <c r="E256" s="34">
        <f t="shared" si="24"/>
        <v>5.7000000000000002E-2</v>
      </c>
      <c r="F256" s="35">
        <f t="shared" si="25"/>
        <v>7.2024999999999997</v>
      </c>
      <c r="G256" s="34">
        <f t="shared" si="26"/>
        <v>71.25</v>
      </c>
      <c r="H256" s="33">
        <f t="shared" si="27"/>
        <v>9.5489436619718315</v>
      </c>
      <c r="I256" s="29">
        <f t="shared" ca="1" si="28"/>
        <v>3</v>
      </c>
      <c r="J256">
        <f ca="1">IF(AND(SUMPRODUCT($J$2:J255,$B$2:B255)&lt;500,SUM(B255,SUMPRODUCT($J$2:J255,$B$2:B255))&lt;500),1,0)</f>
        <v>0</v>
      </c>
      <c r="K256">
        <v>3</v>
      </c>
      <c r="L256">
        <v>0</v>
      </c>
    </row>
    <row r="257" spans="1:12" x14ac:dyDescent="0.3">
      <c r="A257" s="31">
        <v>715</v>
      </c>
      <c r="B257" s="28">
        <v>8.8000000000000007</v>
      </c>
      <c r="C257" s="30">
        <v>61.08</v>
      </c>
      <c r="D257" s="28">
        <v>3.08</v>
      </c>
      <c r="E257" s="34">
        <f t="shared" si="24"/>
        <v>6.1600000000000002E-2</v>
      </c>
      <c r="F257" s="35">
        <f t="shared" si="25"/>
        <v>15.27</v>
      </c>
      <c r="G257" s="34">
        <f t="shared" si="26"/>
        <v>77</v>
      </c>
      <c r="H257" s="33">
        <f t="shared" si="27"/>
        <v>9.6284090909090914</v>
      </c>
      <c r="I257" s="29">
        <f t="shared" ca="1" si="28"/>
        <v>3</v>
      </c>
      <c r="J257">
        <f ca="1">IF(AND(SUMPRODUCT($J$2:J256,$B$2:B256)&lt;500,SUM(B256,SUMPRODUCT($J$2:J256,$B$2:B256))&lt;500),1,0)</f>
        <v>0</v>
      </c>
      <c r="K257">
        <v>4</v>
      </c>
      <c r="L257">
        <v>0</v>
      </c>
    </row>
    <row r="258" spans="1:12" x14ac:dyDescent="0.3">
      <c r="A258" s="31">
        <v>718</v>
      </c>
      <c r="B258" s="28">
        <v>0.7</v>
      </c>
      <c r="C258" s="30">
        <v>48.2</v>
      </c>
      <c r="D258" s="28">
        <v>0.31</v>
      </c>
      <c r="E258" s="34">
        <f t="shared" ref="E258:E321" si="29">D258/50</f>
        <v>6.1999999999999998E-3</v>
      </c>
      <c r="F258" s="35">
        <f t="shared" ref="F258:F321" si="30">0.25*C258</f>
        <v>12.05</v>
      </c>
      <c r="G258" s="34">
        <f t="shared" ref="G258:G321" si="31">25*D258</f>
        <v>7.75</v>
      </c>
      <c r="H258" s="33">
        <f t="shared" ref="H258:H321" si="32">(25*K258-0.25*C258)/B258</f>
        <v>-17.214285714285715</v>
      </c>
      <c r="I258" s="29">
        <f t="shared" ref="I258:I321" ca="1" si="33">_xlfn.BINOM.INV(50,E258,RAND())</f>
        <v>0</v>
      </c>
      <c r="J258">
        <f ca="1">IF(AND(SUMPRODUCT($J$2:J257,$B$2:B257)&lt;500,SUM(B257,SUMPRODUCT($J$2:J257,$B$2:B257))&lt;500),1,0)</f>
        <v>0</v>
      </c>
      <c r="K258">
        <v>0</v>
      </c>
      <c r="L258">
        <v>0</v>
      </c>
    </row>
    <row r="259" spans="1:12" x14ac:dyDescent="0.3">
      <c r="A259" s="31">
        <v>719</v>
      </c>
      <c r="B259" s="28">
        <v>7.96</v>
      </c>
      <c r="C259" s="30">
        <v>15.76</v>
      </c>
      <c r="D259" s="28">
        <v>2.79</v>
      </c>
      <c r="E259" s="34">
        <f t="shared" si="29"/>
        <v>5.5800000000000002E-2</v>
      </c>
      <c r="F259" s="35">
        <f t="shared" si="30"/>
        <v>3.94</v>
      </c>
      <c r="G259" s="34">
        <f t="shared" si="31"/>
        <v>69.75</v>
      </c>
      <c r="H259" s="33">
        <f t="shared" si="32"/>
        <v>12.0678391959799</v>
      </c>
      <c r="I259" s="29">
        <f t="shared" ca="1" si="33"/>
        <v>2</v>
      </c>
      <c r="J259">
        <f ca="1">IF(AND(SUMPRODUCT($J$2:J258,$B$2:B258)&lt;500,SUM(B258,SUMPRODUCT($J$2:J258,$B$2:B258))&lt;500),1,0)</f>
        <v>1</v>
      </c>
      <c r="K259">
        <v>4</v>
      </c>
      <c r="L259">
        <v>1</v>
      </c>
    </row>
    <row r="260" spans="1:12" x14ac:dyDescent="0.3">
      <c r="A260" s="31">
        <v>723</v>
      </c>
      <c r="B260" s="28">
        <v>9.9499999999999993</v>
      </c>
      <c r="C260" s="30">
        <v>62.52</v>
      </c>
      <c r="D260" s="28">
        <v>3.15</v>
      </c>
      <c r="E260" s="34">
        <f t="shared" si="29"/>
        <v>6.3E-2</v>
      </c>
      <c r="F260" s="35">
        <f t="shared" si="30"/>
        <v>15.63</v>
      </c>
      <c r="G260" s="34">
        <f t="shared" si="31"/>
        <v>78.75</v>
      </c>
      <c r="H260" s="33">
        <f t="shared" si="32"/>
        <v>10.991959798994976</v>
      </c>
      <c r="I260" s="29">
        <f t="shared" ca="1" si="33"/>
        <v>3</v>
      </c>
      <c r="J260">
        <f ca="1">IF(AND(SUMPRODUCT($J$2:J259,$B$2:B259)&lt;500,SUM(B259,SUMPRODUCT($J$2:J259,$B$2:B259))&lt;500),1,0)</f>
        <v>0</v>
      </c>
      <c r="K260">
        <v>5</v>
      </c>
      <c r="L260">
        <v>0</v>
      </c>
    </row>
    <row r="261" spans="1:12" x14ac:dyDescent="0.3">
      <c r="A261" s="31">
        <v>727</v>
      </c>
      <c r="B261" s="28">
        <v>1.53</v>
      </c>
      <c r="C261" s="30">
        <v>36.46</v>
      </c>
      <c r="D261" s="28">
        <v>2.97</v>
      </c>
      <c r="E261" s="34">
        <f t="shared" si="29"/>
        <v>5.9400000000000001E-2</v>
      </c>
      <c r="F261" s="35">
        <f t="shared" si="30"/>
        <v>9.1150000000000002</v>
      </c>
      <c r="G261" s="34">
        <f t="shared" si="31"/>
        <v>74.25</v>
      </c>
      <c r="H261" s="33">
        <f t="shared" si="32"/>
        <v>26.722222222222221</v>
      </c>
      <c r="I261" s="29">
        <f t="shared" ca="1" si="33"/>
        <v>2</v>
      </c>
      <c r="J261">
        <f ca="1">IF(AND(SUMPRODUCT($J$2:J260,$B$2:B260)&lt;500,SUM(B260,SUMPRODUCT($J$2:J260,$B$2:B260))&lt;500),1,0)</f>
        <v>1</v>
      </c>
      <c r="K261">
        <v>2</v>
      </c>
      <c r="L261">
        <v>1</v>
      </c>
    </row>
    <row r="262" spans="1:12" x14ac:dyDescent="0.3">
      <c r="A262" s="31">
        <v>728</v>
      </c>
      <c r="B262" s="28">
        <v>1.47</v>
      </c>
      <c r="C262" s="30">
        <v>53.88</v>
      </c>
      <c r="D262" s="28">
        <v>1.34</v>
      </c>
      <c r="E262" s="34">
        <f t="shared" si="29"/>
        <v>2.6800000000000001E-2</v>
      </c>
      <c r="F262" s="35">
        <f t="shared" si="30"/>
        <v>13.47</v>
      </c>
      <c r="G262" s="34">
        <f t="shared" si="31"/>
        <v>33.5</v>
      </c>
      <c r="H262" s="33">
        <f t="shared" si="32"/>
        <v>41.857142857142861</v>
      </c>
      <c r="I262" s="29">
        <f t="shared" ca="1" si="33"/>
        <v>2</v>
      </c>
      <c r="J262">
        <f ca="1">IF(AND(SUMPRODUCT($J$2:J261,$B$2:B261)&lt;500,SUM(B261,SUMPRODUCT($J$2:J261,$B$2:B261))&lt;500),1,0)</f>
        <v>1</v>
      </c>
      <c r="K262">
        <v>3</v>
      </c>
      <c r="L262">
        <v>1</v>
      </c>
    </row>
    <row r="263" spans="1:12" x14ac:dyDescent="0.3">
      <c r="A263" s="31">
        <v>732</v>
      </c>
      <c r="B263" s="28">
        <v>2.71</v>
      </c>
      <c r="C263" s="30">
        <v>56.51</v>
      </c>
      <c r="D263" s="28">
        <v>3.23</v>
      </c>
      <c r="E263" s="34">
        <f t="shared" si="29"/>
        <v>6.4600000000000005E-2</v>
      </c>
      <c r="F263" s="35">
        <f t="shared" si="30"/>
        <v>14.1275</v>
      </c>
      <c r="G263" s="34">
        <f t="shared" si="31"/>
        <v>80.75</v>
      </c>
      <c r="H263" s="33">
        <f t="shared" si="32"/>
        <v>13.23708487084871</v>
      </c>
      <c r="I263" s="29">
        <f t="shared" ca="1" si="33"/>
        <v>2</v>
      </c>
      <c r="J263">
        <f ca="1">IF(AND(SUMPRODUCT($J$2:J262,$B$2:B262)&lt;500,SUM(B262,SUMPRODUCT($J$2:J262,$B$2:B262))&lt;500),1,0)</f>
        <v>1</v>
      </c>
      <c r="K263">
        <v>2</v>
      </c>
      <c r="L263">
        <v>1</v>
      </c>
    </row>
    <row r="264" spans="1:12" x14ac:dyDescent="0.3">
      <c r="A264" s="31">
        <v>742</v>
      </c>
      <c r="B264" s="28">
        <v>8.1999999999999993</v>
      </c>
      <c r="C264" s="30">
        <v>5.83</v>
      </c>
      <c r="D264" s="28">
        <v>3.03</v>
      </c>
      <c r="E264" s="34">
        <f t="shared" si="29"/>
        <v>6.0599999999999994E-2</v>
      </c>
      <c r="F264" s="35">
        <f t="shared" si="30"/>
        <v>1.4575</v>
      </c>
      <c r="G264" s="34">
        <f t="shared" si="31"/>
        <v>75.75</v>
      </c>
      <c r="H264" s="33">
        <f t="shared" si="32"/>
        <v>15.066158536585368</v>
      </c>
      <c r="I264" s="29">
        <f t="shared" ca="1" si="33"/>
        <v>2</v>
      </c>
      <c r="J264">
        <f ca="1">IF(AND(SUMPRODUCT($J$2:J263,$B$2:B263)&lt;500,SUM(B263,SUMPRODUCT($J$2:J263,$B$2:B263))&lt;500),1,0)</f>
        <v>1</v>
      </c>
      <c r="K264">
        <v>5</v>
      </c>
      <c r="L264">
        <v>1</v>
      </c>
    </row>
    <row r="265" spans="1:12" x14ac:dyDescent="0.3">
      <c r="A265" s="31">
        <v>749</v>
      </c>
      <c r="B265" s="28">
        <v>3.84</v>
      </c>
      <c r="C265" s="30">
        <v>40.520000000000003</v>
      </c>
      <c r="D265" s="28">
        <v>3.07</v>
      </c>
      <c r="E265" s="34">
        <f t="shared" si="29"/>
        <v>6.1399999999999996E-2</v>
      </c>
      <c r="F265" s="35">
        <f t="shared" si="30"/>
        <v>10.130000000000001</v>
      </c>
      <c r="G265" s="34">
        <f t="shared" si="31"/>
        <v>76.75</v>
      </c>
      <c r="H265" s="33">
        <f t="shared" si="32"/>
        <v>-2.6380208333333335</v>
      </c>
      <c r="I265" s="29">
        <f t="shared" ca="1" si="33"/>
        <v>7</v>
      </c>
      <c r="J265">
        <f ca="1">IF(AND(SUMPRODUCT($J$2:J264,$B$2:B264)&lt;500,SUM(B264,SUMPRODUCT($J$2:J264,$B$2:B264))&lt;500),1,0)</f>
        <v>0</v>
      </c>
      <c r="K265">
        <v>0</v>
      </c>
      <c r="L265">
        <v>0</v>
      </c>
    </row>
    <row r="266" spans="1:12" x14ac:dyDescent="0.3">
      <c r="A266" s="31">
        <v>750</v>
      </c>
      <c r="B266" s="28">
        <v>2.92</v>
      </c>
      <c r="C266" s="30">
        <v>12.62</v>
      </c>
      <c r="D266" s="28">
        <v>0.4</v>
      </c>
      <c r="E266" s="34">
        <f t="shared" si="29"/>
        <v>8.0000000000000002E-3</v>
      </c>
      <c r="F266" s="35">
        <f t="shared" si="30"/>
        <v>3.1549999999999998</v>
      </c>
      <c r="G266" s="34">
        <f t="shared" si="31"/>
        <v>10</v>
      </c>
      <c r="H266" s="33">
        <f t="shared" si="32"/>
        <v>7.4811643835616435</v>
      </c>
      <c r="I266" s="29">
        <f t="shared" ca="1" si="33"/>
        <v>0</v>
      </c>
      <c r="J266">
        <f ca="1">IF(AND(SUMPRODUCT($J$2:J265,$B$2:B265)&lt;500,SUM(B265,SUMPRODUCT($J$2:J265,$B$2:B265))&lt;500),1,0)</f>
        <v>0</v>
      </c>
      <c r="K266">
        <v>1</v>
      </c>
      <c r="L266">
        <v>0</v>
      </c>
    </row>
    <row r="267" spans="1:12" x14ac:dyDescent="0.3">
      <c r="A267" s="31">
        <v>751</v>
      </c>
      <c r="B267" s="28">
        <v>8.86</v>
      </c>
      <c r="C267" s="30">
        <v>41.47</v>
      </c>
      <c r="D267" s="28">
        <v>2.79</v>
      </c>
      <c r="E267" s="34">
        <f t="shared" si="29"/>
        <v>5.5800000000000002E-2</v>
      </c>
      <c r="F267" s="35">
        <f t="shared" si="30"/>
        <v>10.3675</v>
      </c>
      <c r="G267" s="34">
        <f t="shared" si="31"/>
        <v>69.75</v>
      </c>
      <c r="H267" s="33">
        <f t="shared" si="32"/>
        <v>1.6515237020316029</v>
      </c>
      <c r="I267" s="29">
        <f t="shared" ca="1" si="33"/>
        <v>2</v>
      </c>
      <c r="J267">
        <f ca="1">IF(AND(SUMPRODUCT($J$2:J266,$B$2:B266)&lt;500,SUM(B266,SUMPRODUCT($J$2:J266,$B$2:B266))&lt;500),1,0)</f>
        <v>0</v>
      </c>
      <c r="K267">
        <v>1</v>
      </c>
      <c r="L267">
        <v>0</v>
      </c>
    </row>
    <row r="268" spans="1:12" x14ac:dyDescent="0.3">
      <c r="A268" s="31">
        <v>753</v>
      </c>
      <c r="B268" s="28">
        <v>3.11</v>
      </c>
      <c r="C268" s="30">
        <v>93.06</v>
      </c>
      <c r="D268" s="28">
        <v>2.1800000000000002</v>
      </c>
      <c r="E268" s="34">
        <f t="shared" si="29"/>
        <v>4.36E-2</v>
      </c>
      <c r="F268" s="35">
        <f t="shared" si="30"/>
        <v>23.265000000000001</v>
      </c>
      <c r="G268" s="34">
        <f t="shared" si="31"/>
        <v>54.500000000000007</v>
      </c>
      <c r="H268" s="33">
        <f t="shared" si="32"/>
        <v>8.5964630225080381</v>
      </c>
      <c r="I268" s="29">
        <f t="shared" ca="1" si="33"/>
        <v>1</v>
      </c>
      <c r="J268">
        <f ca="1">IF(AND(SUMPRODUCT($J$2:J267,$B$2:B267)&lt;500,SUM(B267,SUMPRODUCT($J$2:J267,$B$2:B267))&lt;500),1,0)</f>
        <v>0</v>
      </c>
      <c r="K268">
        <v>2</v>
      </c>
      <c r="L268">
        <v>0</v>
      </c>
    </row>
    <row r="269" spans="1:12" x14ac:dyDescent="0.3">
      <c r="A269" s="31">
        <v>755</v>
      </c>
      <c r="B269" s="28">
        <v>0.91</v>
      </c>
      <c r="C269" s="30">
        <v>91.4</v>
      </c>
      <c r="D269" s="28">
        <v>0.68</v>
      </c>
      <c r="E269" s="34">
        <f t="shared" si="29"/>
        <v>1.3600000000000001E-2</v>
      </c>
      <c r="F269" s="35">
        <f t="shared" si="30"/>
        <v>22.85</v>
      </c>
      <c r="G269" s="34">
        <f t="shared" si="31"/>
        <v>17</v>
      </c>
      <c r="H269" s="33">
        <f t="shared" si="32"/>
        <v>-25.109890109890109</v>
      </c>
      <c r="I269" s="29">
        <f t="shared" ca="1" si="33"/>
        <v>0</v>
      </c>
      <c r="J269">
        <f ca="1">IF(AND(SUMPRODUCT($J$2:J268,$B$2:B268)&lt;500,SUM(B268,SUMPRODUCT($J$2:J268,$B$2:B268))&lt;500),1,0)</f>
        <v>0</v>
      </c>
      <c r="K269">
        <v>0</v>
      </c>
      <c r="L269">
        <v>0</v>
      </c>
    </row>
    <row r="270" spans="1:12" x14ac:dyDescent="0.3">
      <c r="A270" s="31">
        <v>757</v>
      </c>
      <c r="B270" s="28">
        <v>4.6399999999999997</v>
      </c>
      <c r="C270" s="30">
        <v>0.74</v>
      </c>
      <c r="D270" s="28">
        <v>1.93</v>
      </c>
      <c r="E270" s="34">
        <f t="shared" si="29"/>
        <v>3.8599999999999995E-2</v>
      </c>
      <c r="F270" s="35">
        <f t="shared" si="30"/>
        <v>0.185</v>
      </c>
      <c r="G270" s="34">
        <f t="shared" si="31"/>
        <v>48.25</v>
      </c>
      <c r="H270" s="33">
        <f t="shared" si="32"/>
        <v>5.3480603448275872</v>
      </c>
      <c r="I270" s="29">
        <f t="shared" ca="1" si="33"/>
        <v>1</v>
      </c>
      <c r="J270">
        <f ca="1">IF(AND(SUMPRODUCT($J$2:J269,$B$2:B269)&lt;500,SUM(B269,SUMPRODUCT($J$2:J269,$B$2:B269))&lt;500),1,0)</f>
        <v>0</v>
      </c>
      <c r="K270">
        <v>1</v>
      </c>
      <c r="L270">
        <v>0</v>
      </c>
    </row>
    <row r="271" spans="1:12" x14ac:dyDescent="0.3">
      <c r="A271" s="31">
        <v>760</v>
      </c>
      <c r="B271" s="28">
        <v>5.25</v>
      </c>
      <c r="C271" s="30">
        <v>6.82</v>
      </c>
      <c r="D271" s="28">
        <v>0.69</v>
      </c>
      <c r="E271" s="34">
        <f t="shared" si="29"/>
        <v>1.38E-2</v>
      </c>
      <c r="F271" s="35">
        <f t="shared" si="30"/>
        <v>1.7050000000000001</v>
      </c>
      <c r="G271" s="34">
        <f t="shared" si="31"/>
        <v>17.25</v>
      </c>
      <c r="H271" s="33">
        <f t="shared" si="32"/>
        <v>-0.32476190476190475</v>
      </c>
      <c r="I271" s="29">
        <f t="shared" ca="1" si="33"/>
        <v>0</v>
      </c>
      <c r="J271">
        <f ca="1">IF(AND(SUMPRODUCT($J$2:J270,$B$2:B270)&lt;500,SUM(B270,SUMPRODUCT($J$2:J270,$B$2:B270))&lt;500),1,0)</f>
        <v>0</v>
      </c>
      <c r="K271">
        <v>0</v>
      </c>
      <c r="L271">
        <v>0</v>
      </c>
    </row>
    <row r="272" spans="1:12" x14ac:dyDescent="0.3">
      <c r="A272" s="31">
        <v>762</v>
      </c>
      <c r="B272" s="28">
        <v>0.81</v>
      </c>
      <c r="C272" s="30">
        <v>96.18</v>
      </c>
      <c r="D272" s="28">
        <v>0.51</v>
      </c>
      <c r="E272" s="34">
        <f t="shared" si="29"/>
        <v>1.0200000000000001E-2</v>
      </c>
      <c r="F272" s="35">
        <f t="shared" si="30"/>
        <v>24.045000000000002</v>
      </c>
      <c r="G272" s="34">
        <f t="shared" si="31"/>
        <v>12.75</v>
      </c>
      <c r="H272" s="33">
        <f t="shared" si="32"/>
        <v>-29.685185185185187</v>
      </c>
      <c r="I272" s="29">
        <f t="shared" ca="1" si="33"/>
        <v>1</v>
      </c>
      <c r="J272">
        <f ca="1">IF(AND(SUMPRODUCT($J$2:J271,$B$2:B271)&lt;500,SUM(B271,SUMPRODUCT($J$2:J271,$B$2:B271))&lt;500),1,0)</f>
        <v>0</v>
      </c>
      <c r="K272">
        <v>0</v>
      </c>
      <c r="L272">
        <v>0</v>
      </c>
    </row>
    <row r="273" spans="1:12" x14ac:dyDescent="0.3">
      <c r="A273" s="31">
        <v>764</v>
      </c>
      <c r="B273" s="28">
        <v>5</v>
      </c>
      <c r="C273" s="30">
        <v>72.290000000000006</v>
      </c>
      <c r="D273" s="28">
        <v>3.12</v>
      </c>
      <c r="E273" s="34">
        <f t="shared" si="29"/>
        <v>6.2400000000000004E-2</v>
      </c>
      <c r="F273" s="35">
        <f t="shared" si="30"/>
        <v>18.072500000000002</v>
      </c>
      <c r="G273" s="34">
        <f t="shared" si="31"/>
        <v>78</v>
      </c>
      <c r="H273" s="33">
        <f t="shared" si="32"/>
        <v>31.3855</v>
      </c>
      <c r="I273" s="29">
        <f t="shared" ca="1" si="33"/>
        <v>2</v>
      </c>
      <c r="J273">
        <f ca="1">IF(AND(SUMPRODUCT($J$2:J272,$B$2:B272)&lt;500,SUM(B272,SUMPRODUCT($J$2:J272,$B$2:B272))&lt;500),1,0)</f>
        <v>1</v>
      </c>
      <c r="K273">
        <v>7</v>
      </c>
      <c r="L273">
        <v>1</v>
      </c>
    </row>
    <row r="274" spans="1:12" x14ac:dyDescent="0.3">
      <c r="A274" s="31">
        <v>766</v>
      </c>
      <c r="B274" s="28">
        <v>2.84</v>
      </c>
      <c r="C274" s="30">
        <v>56.39</v>
      </c>
      <c r="D274" s="28">
        <v>0.54</v>
      </c>
      <c r="E274" s="34">
        <f t="shared" si="29"/>
        <v>1.0800000000000001E-2</v>
      </c>
      <c r="F274" s="35">
        <f t="shared" si="30"/>
        <v>14.0975</v>
      </c>
      <c r="G274" s="34">
        <f t="shared" si="31"/>
        <v>13.5</v>
      </c>
      <c r="H274" s="33">
        <f t="shared" si="32"/>
        <v>12.641725352112678</v>
      </c>
      <c r="I274" s="29">
        <f t="shared" ca="1" si="33"/>
        <v>1</v>
      </c>
      <c r="J274">
        <f ca="1">IF(AND(SUMPRODUCT($J$2:J273,$B$2:B273)&lt;500,SUM(B273,SUMPRODUCT($J$2:J273,$B$2:B273))&lt;500),1,0)</f>
        <v>1</v>
      </c>
      <c r="K274">
        <v>2</v>
      </c>
      <c r="L274">
        <v>1</v>
      </c>
    </row>
    <row r="275" spans="1:12" x14ac:dyDescent="0.3">
      <c r="A275" s="31">
        <v>768</v>
      </c>
      <c r="B275" s="28">
        <v>2.75</v>
      </c>
      <c r="C275" s="30">
        <v>22.01</v>
      </c>
      <c r="D275" s="28">
        <v>2.19</v>
      </c>
      <c r="E275" s="34">
        <f t="shared" si="29"/>
        <v>4.3799999999999999E-2</v>
      </c>
      <c r="F275" s="35">
        <f t="shared" si="30"/>
        <v>5.5025000000000004</v>
      </c>
      <c r="G275" s="34">
        <f t="shared" si="31"/>
        <v>54.75</v>
      </c>
      <c r="H275" s="33">
        <f t="shared" si="32"/>
        <v>-2.000909090909091</v>
      </c>
      <c r="I275" s="29">
        <f t="shared" ca="1" si="33"/>
        <v>1</v>
      </c>
      <c r="J275">
        <f ca="1">IF(AND(SUMPRODUCT($J$2:J274,$B$2:B274)&lt;500,SUM(B274,SUMPRODUCT($J$2:J274,$B$2:B274))&lt;500),1,0)</f>
        <v>0</v>
      </c>
      <c r="K275">
        <v>0</v>
      </c>
      <c r="L275">
        <v>0</v>
      </c>
    </row>
    <row r="276" spans="1:12" x14ac:dyDescent="0.3">
      <c r="A276" s="31">
        <v>770</v>
      </c>
      <c r="B276" s="28">
        <v>2.77</v>
      </c>
      <c r="C276" s="30">
        <v>43.97</v>
      </c>
      <c r="D276" s="28">
        <v>2</v>
      </c>
      <c r="E276" s="34">
        <f t="shared" si="29"/>
        <v>0.04</v>
      </c>
      <c r="F276" s="35">
        <f t="shared" si="30"/>
        <v>10.9925</v>
      </c>
      <c r="G276" s="34">
        <f t="shared" si="31"/>
        <v>50</v>
      </c>
      <c r="H276" s="33">
        <f t="shared" si="32"/>
        <v>32.132671480144403</v>
      </c>
      <c r="I276" s="29">
        <f t="shared" ca="1" si="33"/>
        <v>2</v>
      </c>
      <c r="J276">
        <f ca="1">IF(AND(SUMPRODUCT($J$2:J275,$B$2:B275)&lt;500,SUM(B275,SUMPRODUCT($J$2:J275,$B$2:B275))&lt;500),1,0)</f>
        <v>1</v>
      </c>
      <c r="K276">
        <v>4</v>
      </c>
      <c r="L276">
        <v>1</v>
      </c>
    </row>
    <row r="277" spans="1:12" x14ac:dyDescent="0.3">
      <c r="A277" s="31">
        <v>773</v>
      </c>
      <c r="B277" s="28">
        <v>1.75</v>
      </c>
      <c r="C277" s="30">
        <v>77.94</v>
      </c>
      <c r="D277" s="28">
        <v>0.94</v>
      </c>
      <c r="E277" s="34">
        <f t="shared" si="29"/>
        <v>1.8799999999999997E-2</v>
      </c>
      <c r="F277" s="35">
        <f t="shared" si="30"/>
        <v>19.484999999999999</v>
      </c>
      <c r="G277" s="34">
        <f t="shared" si="31"/>
        <v>23.5</v>
      </c>
      <c r="H277" s="33">
        <f t="shared" si="32"/>
        <v>17.437142857142856</v>
      </c>
      <c r="I277" s="29">
        <f t="shared" ca="1" si="33"/>
        <v>0</v>
      </c>
      <c r="J277">
        <f ca="1">IF(AND(SUMPRODUCT($J$2:J276,$B$2:B276)&lt;500,SUM(B276,SUMPRODUCT($J$2:J276,$B$2:B276))&lt;500),1,0)</f>
        <v>1</v>
      </c>
      <c r="K277">
        <v>2</v>
      </c>
      <c r="L277">
        <v>1</v>
      </c>
    </row>
    <row r="278" spans="1:12" x14ac:dyDescent="0.3">
      <c r="A278" s="31">
        <v>774</v>
      </c>
      <c r="B278" s="28">
        <v>0.95</v>
      </c>
      <c r="C278" s="30">
        <v>53.75</v>
      </c>
      <c r="D278" s="28">
        <v>0.71</v>
      </c>
      <c r="E278" s="34">
        <f t="shared" si="29"/>
        <v>1.4199999999999999E-2</v>
      </c>
      <c r="F278" s="35">
        <f t="shared" si="30"/>
        <v>13.4375</v>
      </c>
      <c r="G278" s="34">
        <f t="shared" si="31"/>
        <v>17.75</v>
      </c>
      <c r="H278" s="33">
        <f t="shared" si="32"/>
        <v>-14.144736842105264</v>
      </c>
      <c r="I278" s="29">
        <f t="shared" ca="1" si="33"/>
        <v>3</v>
      </c>
      <c r="J278">
        <f ca="1">IF(AND(SUMPRODUCT($J$2:J277,$B$2:B277)&lt;500,SUM(B277,SUMPRODUCT($J$2:J277,$B$2:B277))&lt;500),1,0)</f>
        <v>0</v>
      </c>
      <c r="K278">
        <v>0</v>
      </c>
      <c r="L278">
        <v>0</v>
      </c>
    </row>
    <row r="279" spans="1:12" x14ac:dyDescent="0.3">
      <c r="A279" s="31">
        <v>777</v>
      </c>
      <c r="B279" s="28">
        <v>6.53</v>
      </c>
      <c r="C279" s="30">
        <v>0.02</v>
      </c>
      <c r="D279" s="28">
        <v>1.38</v>
      </c>
      <c r="E279" s="34">
        <f t="shared" si="29"/>
        <v>2.76E-2</v>
      </c>
      <c r="F279" s="35">
        <f t="shared" si="30"/>
        <v>5.0000000000000001E-3</v>
      </c>
      <c r="G279" s="34">
        <f t="shared" si="31"/>
        <v>34.5</v>
      </c>
      <c r="H279" s="33">
        <f t="shared" si="32"/>
        <v>7.6562021439509946</v>
      </c>
      <c r="I279" s="29">
        <f t="shared" ca="1" si="33"/>
        <v>1</v>
      </c>
      <c r="J279">
        <f ca="1">IF(AND(SUMPRODUCT($J$2:J278,$B$2:B278)&lt;500,SUM(B278,SUMPRODUCT($J$2:J278,$B$2:B278))&lt;500),1,0)</f>
        <v>0</v>
      </c>
      <c r="K279">
        <v>2</v>
      </c>
      <c r="L279">
        <v>0</v>
      </c>
    </row>
    <row r="280" spans="1:12" x14ac:dyDescent="0.3">
      <c r="A280" s="31">
        <v>786</v>
      </c>
      <c r="B280" s="28">
        <v>3</v>
      </c>
      <c r="C280" s="30">
        <v>99.09</v>
      </c>
      <c r="D280" s="28">
        <v>2.75</v>
      </c>
      <c r="E280" s="34">
        <f t="shared" si="29"/>
        <v>5.5E-2</v>
      </c>
      <c r="F280" s="35">
        <f t="shared" si="30"/>
        <v>24.772500000000001</v>
      </c>
      <c r="G280" s="34">
        <f t="shared" si="31"/>
        <v>68.75</v>
      </c>
      <c r="H280" s="33">
        <f t="shared" si="32"/>
        <v>7.5833333333333044E-2</v>
      </c>
      <c r="I280" s="29">
        <f t="shared" ca="1" si="33"/>
        <v>3</v>
      </c>
      <c r="J280">
        <f ca="1">IF(AND(SUMPRODUCT($J$2:J279,$B$2:B279)&lt;500,SUM(B279,SUMPRODUCT($J$2:J279,$B$2:B279))&lt;500),1,0)</f>
        <v>0</v>
      </c>
      <c r="K280">
        <v>1</v>
      </c>
      <c r="L280">
        <v>0</v>
      </c>
    </row>
    <row r="281" spans="1:12" x14ac:dyDescent="0.3">
      <c r="A281" s="31">
        <v>787</v>
      </c>
      <c r="B281" s="28">
        <v>7.49</v>
      </c>
      <c r="C281" s="30">
        <v>6.61</v>
      </c>
      <c r="D281" s="28">
        <v>2.99</v>
      </c>
      <c r="E281" s="34">
        <f t="shared" si="29"/>
        <v>5.9800000000000006E-2</v>
      </c>
      <c r="F281" s="35">
        <f t="shared" si="30"/>
        <v>1.6525000000000001</v>
      </c>
      <c r="G281" s="34">
        <f t="shared" si="31"/>
        <v>74.75</v>
      </c>
      <c r="H281" s="33">
        <f t="shared" si="32"/>
        <v>3.1171562082777036</v>
      </c>
      <c r="I281" s="29">
        <f t="shared" ca="1" si="33"/>
        <v>4</v>
      </c>
      <c r="J281">
        <f ca="1">IF(AND(SUMPRODUCT($J$2:J280,$B$2:B280)&lt;500,SUM(B280,SUMPRODUCT($J$2:J280,$B$2:B280))&lt;500),1,0)</f>
        <v>0</v>
      </c>
      <c r="K281">
        <v>1</v>
      </c>
      <c r="L281">
        <v>0</v>
      </c>
    </row>
    <row r="282" spans="1:12" x14ac:dyDescent="0.3">
      <c r="A282" s="31">
        <v>788</v>
      </c>
      <c r="B282" s="28">
        <v>4.42</v>
      </c>
      <c r="C282" s="30">
        <v>45.66</v>
      </c>
      <c r="D282" s="28">
        <v>2.58</v>
      </c>
      <c r="E282" s="34">
        <f t="shared" si="29"/>
        <v>5.16E-2</v>
      </c>
      <c r="F282" s="35">
        <f t="shared" si="30"/>
        <v>11.414999999999999</v>
      </c>
      <c r="G282" s="34">
        <f t="shared" si="31"/>
        <v>64.5</v>
      </c>
      <c r="H282" s="33">
        <f t="shared" si="32"/>
        <v>20.04185520361991</v>
      </c>
      <c r="I282" s="29">
        <f t="shared" ca="1" si="33"/>
        <v>2</v>
      </c>
      <c r="J282">
        <f ca="1">IF(AND(SUMPRODUCT($J$2:J281,$B$2:B281)&lt;500,SUM(B281,SUMPRODUCT($J$2:J281,$B$2:B281))&lt;500),1,0)</f>
        <v>1</v>
      </c>
      <c r="K282">
        <v>4</v>
      </c>
      <c r="L282">
        <v>1</v>
      </c>
    </row>
    <row r="283" spans="1:12" x14ac:dyDescent="0.3">
      <c r="A283" s="31">
        <v>789</v>
      </c>
      <c r="B283" s="28">
        <v>3.44</v>
      </c>
      <c r="C283" s="30">
        <v>88.54</v>
      </c>
      <c r="D283" s="28">
        <v>2.29</v>
      </c>
      <c r="E283" s="34">
        <f t="shared" si="29"/>
        <v>4.58E-2</v>
      </c>
      <c r="F283" s="35">
        <f t="shared" si="30"/>
        <v>22.135000000000002</v>
      </c>
      <c r="G283" s="34">
        <f t="shared" si="31"/>
        <v>57.25</v>
      </c>
      <c r="H283" s="33">
        <f t="shared" si="32"/>
        <v>-6.4345930232558146</v>
      </c>
      <c r="I283" s="29">
        <f t="shared" ca="1" si="33"/>
        <v>2</v>
      </c>
      <c r="J283">
        <f ca="1">IF(AND(SUMPRODUCT($J$2:J282,$B$2:B282)&lt;500,SUM(B282,SUMPRODUCT($J$2:J282,$B$2:B282))&lt;500),1,0)</f>
        <v>0</v>
      </c>
      <c r="K283">
        <v>0</v>
      </c>
      <c r="L283">
        <v>0</v>
      </c>
    </row>
    <row r="284" spans="1:12" x14ac:dyDescent="0.3">
      <c r="A284" s="31">
        <v>790</v>
      </c>
      <c r="B284" s="28">
        <v>0.8</v>
      </c>
      <c r="C284" s="30">
        <v>30.11</v>
      </c>
      <c r="D284" s="28">
        <v>2.41</v>
      </c>
      <c r="E284" s="34">
        <f t="shared" si="29"/>
        <v>4.82E-2</v>
      </c>
      <c r="F284" s="35">
        <f t="shared" si="30"/>
        <v>7.5274999999999999</v>
      </c>
      <c r="G284" s="34">
        <f t="shared" si="31"/>
        <v>60.25</v>
      </c>
      <c r="H284" s="33">
        <f t="shared" si="32"/>
        <v>84.340624999999989</v>
      </c>
      <c r="I284" s="29">
        <f t="shared" ca="1" si="33"/>
        <v>1</v>
      </c>
      <c r="J284">
        <f ca="1">IF(AND(SUMPRODUCT($J$2:J283,$B$2:B283)&lt;500,SUM(B283,SUMPRODUCT($J$2:J283,$B$2:B283))&lt;500),1,0)</f>
        <v>1</v>
      </c>
      <c r="K284">
        <v>3</v>
      </c>
      <c r="L284">
        <v>1</v>
      </c>
    </row>
    <row r="285" spans="1:12" x14ac:dyDescent="0.3">
      <c r="A285" s="31">
        <v>792</v>
      </c>
      <c r="B285" s="28">
        <v>0.53</v>
      </c>
      <c r="C285" s="30">
        <v>36.39</v>
      </c>
      <c r="D285" s="28">
        <v>0.55000000000000004</v>
      </c>
      <c r="E285" s="34">
        <f t="shared" si="29"/>
        <v>1.1000000000000001E-2</v>
      </c>
      <c r="F285" s="35">
        <f t="shared" si="30"/>
        <v>9.0975000000000001</v>
      </c>
      <c r="G285" s="34">
        <f t="shared" si="31"/>
        <v>13.750000000000002</v>
      </c>
      <c r="H285" s="33">
        <f t="shared" si="32"/>
        <v>-17.165094339622641</v>
      </c>
      <c r="I285" s="29">
        <f t="shared" ca="1" si="33"/>
        <v>0</v>
      </c>
      <c r="J285">
        <f ca="1">IF(AND(SUMPRODUCT($J$2:J284,$B$2:B284)&lt;500,SUM(B284,SUMPRODUCT($J$2:J284,$B$2:B284))&lt;500),1,0)</f>
        <v>0</v>
      </c>
      <c r="K285">
        <v>0</v>
      </c>
      <c r="L285">
        <v>0</v>
      </c>
    </row>
    <row r="286" spans="1:12" x14ac:dyDescent="0.3">
      <c r="A286" s="31">
        <v>793</v>
      </c>
      <c r="B286" s="28">
        <v>2.76</v>
      </c>
      <c r="C286" s="30">
        <v>37.72</v>
      </c>
      <c r="D286" s="28">
        <v>1.17</v>
      </c>
      <c r="E286" s="34">
        <f t="shared" si="29"/>
        <v>2.3399999999999997E-2</v>
      </c>
      <c r="F286" s="35">
        <f t="shared" si="30"/>
        <v>9.43</v>
      </c>
      <c r="G286" s="34">
        <f t="shared" si="31"/>
        <v>29.25</v>
      </c>
      <c r="H286" s="33">
        <f t="shared" si="32"/>
        <v>5.6413043478260878</v>
      </c>
      <c r="I286" s="29">
        <f t="shared" ca="1" si="33"/>
        <v>0</v>
      </c>
      <c r="J286">
        <f ca="1">IF(AND(SUMPRODUCT($J$2:J285,$B$2:B285)&lt;500,SUM(B285,SUMPRODUCT($J$2:J285,$B$2:B285))&lt;500),1,0)</f>
        <v>0</v>
      </c>
      <c r="K286">
        <v>1</v>
      </c>
      <c r="L286">
        <v>0</v>
      </c>
    </row>
    <row r="287" spans="1:12" x14ac:dyDescent="0.3">
      <c r="A287" s="31">
        <v>794</v>
      </c>
      <c r="B287" s="28">
        <v>8.42</v>
      </c>
      <c r="C287" s="30">
        <v>3.23</v>
      </c>
      <c r="D287" s="28">
        <v>2.44</v>
      </c>
      <c r="E287" s="34">
        <f t="shared" si="29"/>
        <v>4.8799999999999996E-2</v>
      </c>
      <c r="F287" s="35">
        <f t="shared" si="30"/>
        <v>0.8075</v>
      </c>
      <c r="G287" s="34">
        <f t="shared" si="31"/>
        <v>61</v>
      </c>
      <c r="H287" s="33">
        <f t="shared" si="32"/>
        <v>5.8423396674584325</v>
      </c>
      <c r="I287" s="29">
        <f t="shared" ca="1" si="33"/>
        <v>5</v>
      </c>
      <c r="J287">
        <f ca="1">IF(AND(SUMPRODUCT($J$2:J286,$B$2:B286)&lt;500,SUM(B286,SUMPRODUCT($J$2:J286,$B$2:B286))&lt;500),1,0)</f>
        <v>0</v>
      </c>
      <c r="K287">
        <v>2</v>
      </c>
      <c r="L287">
        <v>0</v>
      </c>
    </row>
    <row r="288" spans="1:12" x14ac:dyDescent="0.3">
      <c r="A288" s="31">
        <v>796</v>
      </c>
      <c r="B288" s="28">
        <v>4.82</v>
      </c>
      <c r="C288" s="30">
        <v>4.63</v>
      </c>
      <c r="D288" s="28">
        <v>0.44</v>
      </c>
      <c r="E288" s="34">
        <f t="shared" si="29"/>
        <v>8.8000000000000005E-3</v>
      </c>
      <c r="F288" s="35">
        <f t="shared" si="30"/>
        <v>1.1575</v>
      </c>
      <c r="G288" s="34">
        <f t="shared" si="31"/>
        <v>11</v>
      </c>
      <c r="H288" s="33">
        <f t="shared" si="32"/>
        <v>-0.24014522821576761</v>
      </c>
      <c r="I288" s="29">
        <f t="shared" ca="1" si="33"/>
        <v>0</v>
      </c>
      <c r="J288">
        <f ca="1">IF(AND(SUMPRODUCT($J$2:J287,$B$2:B287)&lt;500,SUM(B287,SUMPRODUCT($J$2:J287,$B$2:B287))&lt;500),1,0)</f>
        <v>0</v>
      </c>
      <c r="K288">
        <v>0</v>
      </c>
      <c r="L288">
        <v>0</v>
      </c>
    </row>
    <row r="289" spans="1:12" x14ac:dyDescent="0.3">
      <c r="A289" s="31">
        <v>798</v>
      </c>
      <c r="B289" s="28">
        <v>1.73</v>
      </c>
      <c r="C289" s="30">
        <v>45.42</v>
      </c>
      <c r="D289" s="28">
        <v>1.81</v>
      </c>
      <c r="E289" s="34">
        <f t="shared" si="29"/>
        <v>3.6200000000000003E-2</v>
      </c>
      <c r="F289" s="35">
        <f t="shared" si="30"/>
        <v>11.355</v>
      </c>
      <c r="G289" s="34">
        <f t="shared" si="31"/>
        <v>45.25</v>
      </c>
      <c r="H289" s="33">
        <f t="shared" si="32"/>
        <v>22.338150289017339</v>
      </c>
      <c r="I289" s="29">
        <f t="shared" ca="1" si="33"/>
        <v>2</v>
      </c>
      <c r="J289">
        <f ca="1">IF(AND(SUMPRODUCT($J$2:J288,$B$2:B288)&lt;500,SUM(B288,SUMPRODUCT($J$2:J288,$B$2:B288))&lt;500),1,0)</f>
        <v>1</v>
      </c>
      <c r="K289">
        <v>2</v>
      </c>
      <c r="L289">
        <v>1</v>
      </c>
    </row>
    <row r="290" spans="1:12" x14ac:dyDescent="0.3">
      <c r="A290" s="31">
        <v>800</v>
      </c>
      <c r="B290" s="28">
        <v>3.29</v>
      </c>
      <c r="C290" s="30">
        <v>29.65</v>
      </c>
      <c r="D290" s="28">
        <v>2.4700000000000002</v>
      </c>
      <c r="E290" s="34">
        <f t="shared" si="29"/>
        <v>4.9400000000000006E-2</v>
      </c>
      <c r="F290" s="35">
        <f t="shared" si="30"/>
        <v>7.4124999999999996</v>
      </c>
      <c r="G290" s="34">
        <f t="shared" si="31"/>
        <v>61.750000000000007</v>
      </c>
      <c r="H290" s="33">
        <f t="shared" si="32"/>
        <v>28.142097264437691</v>
      </c>
      <c r="I290" s="29">
        <f t="shared" ca="1" si="33"/>
        <v>5</v>
      </c>
      <c r="J290">
        <f ca="1">IF(AND(SUMPRODUCT($J$2:J289,$B$2:B289)&lt;500,SUM(B289,SUMPRODUCT($J$2:J289,$B$2:B289))&lt;500),1,0)</f>
        <v>1</v>
      </c>
      <c r="K290">
        <v>4</v>
      </c>
      <c r="L290">
        <v>1</v>
      </c>
    </row>
    <row r="291" spans="1:12" x14ac:dyDescent="0.3">
      <c r="A291" s="31">
        <v>802</v>
      </c>
      <c r="B291" s="28">
        <v>1.49</v>
      </c>
      <c r="C291" s="30">
        <v>15.72</v>
      </c>
      <c r="D291" s="28">
        <v>2.66</v>
      </c>
      <c r="E291" s="34">
        <f t="shared" si="29"/>
        <v>5.3200000000000004E-2</v>
      </c>
      <c r="F291" s="35">
        <f t="shared" si="30"/>
        <v>3.93</v>
      </c>
      <c r="G291" s="34">
        <f t="shared" si="31"/>
        <v>66.5</v>
      </c>
      <c r="H291" s="33">
        <f t="shared" si="32"/>
        <v>30.919463087248321</v>
      </c>
      <c r="I291" s="29">
        <f t="shared" ca="1" si="33"/>
        <v>3</v>
      </c>
      <c r="J291">
        <f ca="1">IF(AND(SUMPRODUCT($J$2:J290,$B$2:B290)&lt;500,SUM(B290,SUMPRODUCT($J$2:J290,$B$2:B290))&lt;500),1,0)</f>
        <v>1</v>
      </c>
      <c r="K291">
        <v>2</v>
      </c>
      <c r="L291">
        <v>1</v>
      </c>
    </row>
    <row r="292" spans="1:12" x14ac:dyDescent="0.3">
      <c r="A292" s="31">
        <v>804</v>
      </c>
      <c r="B292" s="28">
        <v>7.05</v>
      </c>
      <c r="C292" s="30">
        <v>5.33</v>
      </c>
      <c r="D292" s="28">
        <v>1.92</v>
      </c>
      <c r="E292" s="34">
        <f t="shared" si="29"/>
        <v>3.8399999999999997E-2</v>
      </c>
      <c r="F292" s="35">
        <f t="shared" si="30"/>
        <v>1.3325</v>
      </c>
      <c r="G292" s="34">
        <f t="shared" si="31"/>
        <v>48</v>
      </c>
      <c r="H292" s="33">
        <f t="shared" si="32"/>
        <v>-0.18900709219858156</v>
      </c>
      <c r="I292" s="29">
        <f t="shared" ca="1" si="33"/>
        <v>1</v>
      </c>
      <c r="J292">
        <f ca="1">IF(AND(SUMPRODUCT($J$2:J291,$B$2:B291)&lt;500,SUM(B291,SUMPRODUCT($J$2:J291,$B$2:B291))&lt;500),1,0)</f>
        <v>0</v>
      </c>
      <c r="K292">
        <v>0</v>
      </c>
      <c r="L292">
        <v>0</v>
      </c>
    </row>
    <row r="293" spans="1:12" x14ac:dyDescent="0.3">
      <c r="A293" s="31">
        <v>805</v>
      </c>
      <c r="B293" s="28">
        <v>7.01</v>
      </c>
      <c r="C293" s="30">
        <v>0.99</v>
      </c>
      <c r="D293" s="28">
        <v>1.1399999999999999</v>
      </c>
      <c r="E293" s="34">
        <f t="shared" si="29"/>
        <v>2.2799999999999997E-2</v>
      </c>
      <c r="F293" s="35">
        <f t="shared" si="30"/>
        <v>0.2475</v>
      </c>
      <c r="G293" s="34">
        <f t="shared" si="31"/>
        <v>28.499999999999996</v>
      </c>
      <c r="H293" s="33">
        <f t="shared" si="32"/>
        <v>3.5310271041369474</v>
      </c>
      <c r="I293" s="29">
        <f t="shared" ca="1" si="33"/>
        <v>3</v>
      </c>
      <c r="J293">
        <f ca="1">IF(AND(SUMPRODUCT($J$2:J292,$B$2:B292)&lt;500,SUM(B292,SUMPRODUCT($J$2:J292,$B$2:B292))&lt;500),1,0)</f>
        <v>0</v>
      </c>
      <c r="K293">
        <v>1</v>
      </c>
      <c r="L293">
        <v>0</v>
      </c>
    </row>
    <row r="294" spans="1:12" x14ac:dyDescent="0.3">
      <c r="A294" s="31">
        <v>807</v>
      </c>
      <c r="B294" s="28">
        <v>5.24</v>
      </c>
      <c r="C294" s="30">
        <v>57.87</v>
      </c>
      <c r="D294" s="28">
        <v>2.79</v>
      </c>
      <c r="E294" s="34">
        <f t="shared" si="29"/>
        <v>5.5800000000000002E-2</v>
      </c>
      <c r="F294" s="35">
        <f t="shared" si="30"/>
        <v>14.467499999999999</v>
      </c>
      <c r="G294" s="34">
        <f t="shared" si="31"/>
        <v>69.75</v>
      </c>
      <c r="H294" s="33">
        <f t="shared" si="32"/>
        <v>11.552003816793892</v>
      </c>
      <c r="I294" s="29">
        <f t="shared" ca="1" si="33"/>
        <v>0</v>
      </c>
      <c r="J294">
        <f ca="1">IF(AND(SUMPRODUCT($J$2:J293,$B$2:B293)&lt;500,SUM(B293,SUMPRODUCT($J$2:J293,$B$2:B293))&lt;500),1,0)</f>
        <v>0</v>
      </c>
      <c r="K294">
        <v>3</v>
      </c>
      <c r="L294">
        <v>0</v>
      </c>
    </row>
    <row r="295" spans="1:12" x14ac:dyDescent="0.3">
      <c r="A295" s="31">
        <v>811</v>
      </c>
      <c r="B295" s="28">
        <v>4.75</v>
      </c>
      <c r="C295" s="30">
        <v>38.28</v>
      </c>
      <c r="D295" s="28">
        <v>3.14</v>
      </c>
      <c r="E295" s="34">
        <f t="shared" si="29"/>
        <v>6.2800000000000009E-2</v>
      </c>
      <c r="F295" s="35">
        <f t="shared" si="30"/>
        <v>9.57</v>
      </c>
      <c r="G295" s="34">
        <f t="shared" si="31"/>
        <v>78.5</v>
      </c>
      <c r="H295" s="33">
        <f t="shared" si="32"/>
        <v>3.2484210526315791</v>
      </c>
      <c r="I295" s="29">
        <f t="shared" ca="1" si="33"/>
        <v>4</v>
      </c>
      <c r="J295">
        <f ca="1">IF(AND(SUMPRODUCT($J$2:J294,$B$2:B294)&lt;500,SUM(B294,SUMPRODUCT($J$2:J294,$B$2:B294))&lt;500),1,0)</f>
        <v>0</v>
      </c>
      <c r="K295">
        <v>1</v>
      </c>
      <c r="L295">
        <v>0</v>
      </c>
    </row>
    <row r="296" spans="1:12" x14ac:dyDescent="0.3">
      <c r="A296" s="31">
        <v>813</v>
      </c>
      <c r="B296" s="28">
        <v>2.31</v>
      </c>
      <c r="C296" s="30">
        <v>18.14</v>
      </c>
      <c r="D296" s="28">
        <v>2.72</v>
      </c>
      <c r="E296" s="34">
        <f t="shared" si="29"/>
        <v>5.4400000000000004E-2</v>
      </c>
      <c r="F296" s="35">
        <f t="shared" si="30"/>
        <v>4.5350000000000001</v>
      </c>
      <c r="G296" s="34">
        <f t="shared" si="31"/>
        <v>68</v>
      </c>
      <c r="H296" s="33">
        <f t="shared" si="32"/>
        <v>8.8593073593073584</v>
      </c>
      <c r="I296" s="29">
        <f t="shared" ca="1" si="33"/>
        <v>1</v>
      </c>
      <c r="J296">
        <f ca="1">IF(AND(SUMPRODUCT($J$2:J295,$B$2:B295)&lt;500,SUM(B295,SUMPRODUCT($J$2:J295,$B$2:B295))&lt;500),1,0)</f>
        <v>0</v>
      </c>
      <c r="K296">
        <v>1</v>
      </c>
      <c r="L296">
        <v>0</v>
      </c>
    </row>
    <row r="297" spans="1:12" x14ac:dyDescent="0.3">
      <c r="A297" s="31">
        <v>814</v>
      </c>
      <c r="B297" s="28">
        <v>2.54</v>
      </c>
      <c r="C297" s="30">
        <v>67.67</v>
      </c>
      <c r="D297" s="28">
        <v>1.39</v>
      </c>
      <c r="E297" s="34">
        <f t="shared" si="29"/>
        <v>2.7799999999999998E-2</v>
      </c>
      <c r="F297" s="35">
        <f t="shared" si="30"/>
        <v>16.9175</v>
      </c>
      <c r="G297" s="34">
        <f t="shared" si="31"/>
        <v>34.75</v>
      </c>
      <c r="H297" s="33">
        <f t="shared" si="32"/>
        <v>3.1820866141732282</v>
      </c>
      <c r="I297" s="29">
        <f t="shared" ca="1" si="33"/>
        <v>2</v>
      </c>
      <c r="J297">
        <f ca="1">IF(AND(SUMPRODUCT($J$2:J296,$B$2:B296)&lt;500,SUM(B296,SUMPRODUCT($J$2:J296,$B$2:B296))&lt;500),1,0)</f>
        <v>0</v>
      </c>
      <c r="K297">
        <v>1</v>
      </c>
      <c r="L297">
        <v>0</v>
      </c>
    </row>
    <row r="298" spans="1:12" x14ac:dyDescent="0.3">
      <c r="A298" s="31">
        <v>820</v>
      </c>
      <c r="B298" s="28">
        <v>3.11</v>
      </c>
      <c r="C298" s="30">
        <v>97.38</v>
      </c>
      <c r="D298" s="28">
        <v>1.49</v>
      </c>
      <c r="E298" s="34">
        <f t="shared" si="29"/>
        <v>2.98E-2</v>
      </c>
      <c r="F298" s="35">
        <f t="shared" si="30"/>
        <v>24.344999999999999</v>
      </c>
      <c r="G298" s="34">
        <f t="shared" si="31"/>
        <v>37.25</v>
      </c>
      <c r="H298" s="33">
        <f t="shared" si="32"/>
        <v>16.287781350482316</v>
      </c>
      <c r="I298" s="29">
        <f t="shared" ca="1" si="33"/>
        <v>0</v>
      </c>
      <c r="J298">
        <f ca="1">IF(AND(SUMPRODUCT($J$2:J297,$B$2:B297)&lt;500,SUM(B297,SUMPRODUCT($J$2:J297,$B$2:B297))&lt;500),1,0)</f>
        <v>1</v>
      </c>
      <c r="K298">
        <v>3</v>
      </c>
      <c r="L298">
        <v>1</v>
      </c>
    </row>
    <row r="299" spans="1:12" x14ac:dyDescent="0.3">
      <c r="A299" s="31">
        <v>821</v>
      </c>
      <c r="B299" s="28">
        <v>1.49</v>
      </c>
      <c r="C299" s="30">
        <v>17.670000000000002</v>
      </c>
      <c r="D299" s="28">
        <v>1.18</v>
      </c>
      <c r="E299" s="34">
        <f t="shared" si="29"/>
        <v>2.3599999999999999E-2</v>
      </c>
      <c r="F299" s="35">
        <f t="shared" si="30"/>
        <v>4.4175000000000004</v>
      </c>
      <c r="G299" s="34">
        <f t="shared" si="31"/>
        <v>29.5</v>
      </c>
      <c r="H299" s="33">
        <f t="shared" si="32"/>
        <v>30.59228187919463</v>
      </c>
      <c r="I299" s="29">
        <f t="shared" ca="1" si="33"/>
        <v>1</v>
      </c>
      <c r="J299">
        <f ca="1">IF(AND(SUMPRODUCT($J$2:J298,$B$2:B298)&lt;500,SUM(B298,SUMPRODUCT($J$2:J298,$B$2:B298))&lt;500),1,0)</f>
        <v>1</v>
      </c>
      <c r="K299">
        <v>2</v>
      </c>
      <c r="L299">
        <v>1</v>
      </c>
    </row>
    <row r="300" spans="1:12" x14ac:dyDescent="0.3">
      <c r="A300" s="31">
        <v>822</v>
      </c>
      <c r="B300" s="28">
        <v>1.3</v>
      </c>
      <c r="C300" s="30">
        <v>57.07</v>
      </c>
      <c r="D300" s="28">
        <v>1.02</v>
      </c>
      <c r="E300" s="34">
        <f t="shared" si="29"/>
        <v>2.0400000000000001E-2</v>
      </c>
      <c r="F300" s="35">
        <f t="shared" si="30"/>
        <v>14.2675</v>
      </c>
      <c r="G300" s="34">
        <f t="shared" si="31"/>
        <v>25.5</v>
      </c>
      <c r="H300" s="33">
        <f t="shared" si="32"/>
        <v>-10.975</v>
      </c>
      <c r="I300" s="29">
        <f t="shared" ca="1" si="33"/>
        <v>0</v>
      </c>
      <c r="J300">
        <f ca="1">IF(AND(SUMPRODUCT($J$2:J299,$B$2:B299)&lt;500,SUM(B299,SUMPRODUCT($J$2:J299,$B$2:B299))&lt;500),1,0)</f>
        <v>0</v>
      </c>
      <c r="K300">
        <v>0</v>
      </c>
      <c r="L300">
        <v>0</v>
      </c>
    </row>
    <row r="301" spans="1:12" x14ac:dyDescent="0.3">
      <c r="A301" s="31">
        <v>832</v>
      </c>
      <c r="B301" s="28">
        <v>2.5499999999999998</v>
      </c>
      <c r="C301" s="30">
        <v>82.21</v>
      </c>
      <c r="D301" s="28">
        <v>1.36</v>
      </c>
      <c r="E301" s="34">
        <f t="shared" si="29"/>
        <v>2.7200000000000002E-2</v>
      </c>
      <c r="F301" s="35">
        <f t="shared" si="30"/>
        <v>20.552499999999998</v>
      </c>
      <c r="G301" s="34">
        <f t="shared" si="31"/>
        <v>34</v>
      </c>
      <c r="H301" s="33">
        <f t="shared" si="32"/>
        <v>1.7441176470588242</v>
      </c>
      <c r="I301" s="29">
        <f t="shared" ca="1" si="33"/>
        <v>1</v>
      </c>
      <c r="J301">
        <f ca="1">IF(AND(SUMPRODUCT($J$2:J300,$B$2:B300)&lt;500,SUM(B300,SUMPRODUCT($J$2:J300,$B$2:B300))&lt;500),1,0)</f>
        <v>0</v>
      </c>
      <c r="K301">
        <v>1</v>
      </c>
      <c r="L301">
        <v>0</v>
      </c>
    </row>
    <row r="302" spans="1:12" x14ac:dyDescent="0.3">
      <c r="A302" s="31">
        <v>834</v>
      </c>
      <c r="B302" s="28">
        <v>3.3</v>
      </c>
      <c r="C302" s="30">
        <v>25.37</v>
      </c>
      <c r="D302" s="28">
        <v>2.46</v>
      </c>
      <c r="E302" s="34">
        <f t="shared" si="29"/>
        <v>4.9200000000000001E-2</v>
      </c>
      <c r="F302" s="35">
        <f t="shared" si="30"/>
        <v>6.3425000000000002</v>
      </c>
      <c r="G302" s="34">
        <f t="shared" si="31"/>
        <v>61.5</v>
      </c>
      <c r="H302" s="33">
        <f t="shared" si="32"/>
        <v>28.381060606060608</v>
      </c>
      <c r="I302" s="29">
        <f t="shared" ca="1" si="33"/>
        <v>3</v>
      </c>
      <c r="J302">
        <f ca="1">IF(AND(SUMPRODUCT($J$2:J301,$B$2:B301)&lt;500,SUM(B301,SUMPRODUCT($J$2:J301,$B$2:B301))&lt;500),1,0)</f>
        <v>1</v>
      </c>
      <c r="K302">
        <v>4</v>
      </c>
      <c r="L302">
        <v>1</v>
      </c>
    </row>
    <row r="303" spans="1:12" x14ac:dyDescent="0.3">
      <c r="A303" s="31">
        <v>836</v>
      </c>
      <c r="B303" s="28">
        <v>1.39</v>
      </c>
      <c r="C303" s="30">
        <v>14.51</v>
      </c>
      <c r="D303" s="28">
        <v>2.8</v>
      </c>
      <c r="E303" s="34">
        <f t="shared" si="29"/>
        <v>5.5999999999999994E-2</v>
      </c>
      <c r="F303" s="35">
        <f t="shared" si="30"/>
        <v>3.6274999999999999</v>
      </c>
      <c r="G303" s="34">
        <f t="shared" si="31"/>
        <v>70</v>
      </c>
      <c r="H303" s="33">
        <f t="shared" si="32"/>
        <v>33.361510791366911</v>
      </c>
      <c r="I303" s="29">
        <f t="shared" ca="1" si="33"/>
        <v>3</v>
      </c>
      <c r="J303">
        <f ca="1">IF(AND(SUMPRODUCT($J$2:J302,$B$2:B302)&lt;500,SUM(B302,SUMPRODUCT($J$2:J302,$B$2:B302))&lt;500),1,0)</f>
        <v>1</v>
      </c>
      <c r="K303">
        <v>2</v>
      </c>
      <c r="L303">
        <v>1</v>
      </c>
    </row>
    <row r="304" spans="1:12" x14ac:dyDescent="0.3">
      <c r="A304" s="31">
        <v>839</v>
      </c>
      <c r="B304" s="28">
        <v>1.24</v>
      </c>
      <c r="C304" s="30">
        <v>54.59</v>
      </c>
      <c r="D304" s="28">
        <v>1</v>
      </c>
      <c r="E304" s="34">
        <f t="shared" si="29"/>
        <v>0.02</v>
      </c>
      <c r="F304" s="35">
        <f t="shared" si="30"/>
        <v>13.647500000000001</v>
      </c>
      <c r="G304" s="34">
        <f t="shared" si="31"/>
        <v>25</v>
      </c>
      <c r="H304" s="33">
        <f t="shared" si="32"/>
        <v>9.1552419354838701</v>
      </c>
      <c r="I304" s="29">
        <f t="shared" ca="1" si="33"/>
        <v>2</v>
      </c>
      <c r="J304">
        <f ca="1">IF(AND(SUMPRODUCT($J$2:J303,$B$2:B303)&lt;500,SUM(B303,SUMPRODUCT($J$2:J303,$B$2:B303))&lt;500),1,0)</f>
        <v>0</v>
      </c>
      <c r="K304">
        <v>1</v>
      </c>
      <c r="L304">
        <v>0</v>
      </c>
    </row>
    <row r="305" spans="1:12" x14ac:dyDescent="0.3">
      <c r="A305" s="31">
        <v>840</v>
      </c>
      <c r="B305" s="28">
        <v>2.87</v>
      </c>
      <c r="C305" s="30">
        <v>36.799999999999997</v>
      </c>
      <c r="D305" s="28">
        <v>1.74</v>
      </c>
      <c r="E305" s="34">
        <f t="shared" si="29"/>
        <v>3.4799999999999998E-2</v>
      </c>
      <c r="F305" s="35">
        <f t="shared" si="30"/>
        <v>9.1999999999999993</v>
      </c>
      <c r="G305" s="34">
        <f t="shared" si="31"/>
        <v>43.5</v>
      </c>
      <c r="H305" s="33">
        <f t="shared" si="32"/>
        <v>31.637630662020904</v>
      </c>
      <c r="I305" s="29">
        <f t="shared" ca="1" si="33"/>
        <v>0</v>
      </c>
      <c r="J305">
        <f ca="1">IF(AND(SUMPRODUCT($J$2:J304,$B$2:B304)&lt;500,SUM(B304,SUMPRODUCT($J$2:J304,$B$2:B304))&lt;500),1,0)</f>
        <v>1</v>
      </c>
      <c r="K305">
        <v>4</v>
      </c>
      <c r="L305">
        <v>1</v>
      </c>
    </row>
    <row r="306" spans="1:12" x14ac:dyDescent="0.3">
      <c r="A306" s="31">
        <v>841</v>
      </c>
      <c r="B306" s="28">
        <v>1.35</v>
      </c>
      <c r="C306" s="30">
        <v>1.37</v>
      </c>
      <c r="D306" s="28">
        <v>1.28</v>
      </c>
      <c r="E306" s="34">
        <f t="shared" si="29"/>
        <v>2.5600000000000001E-2</v>
      </c>
      <c r="F306" s="35">
        <f t="shared" si="30"/>
        <v>0.34250000000000003</v>
      </c>
      <c r="G306" s="34">
        <f t="shared" si="31"/>
        <v>32</v>
      </c>
      <c r="H306" s="33">
        <f t="shared" si="32"/>
        <v>36.783333333333331</v>
      </c>
      <c r="I306" s="29">
        <f t="shared" ca="1" si="33"/>
        <v>1</v>
      </c>
      <c r="J306">
        <f ca="1">IF(AND(SUMPRODUCT($J$2:J305,$B$2:B305)&lt;500,SUM(B305,SUMPRODUCT($J$2:J305,$B$2:B305))&lt;500),1,0)</f>
        <v>1</v>
      </c>
      <c r="K306">
        <v>2</v>
      </c>
      <c r="L306">
        <v>1</v>
      </c>
    </row>
    <row r="307" spans="1:12" x14ac:dyDescent="0.3">
      <c r="A307" s="31">
        <v>842</v>
      </c>
      <c r="B307" s="28">
        <v>9.6300000000000008</v>
      </c>
      <c r="C307" s="30">
        <v>21.59</v>
      </c>
      <c r="D307" s="28">
        <v>3.22</v>
      </c>
      <c r="E307" s="34">
        <f t="shared" si="29"/>
        <v>6.4399999999999999E-2</v>
      </c>
      <c r="F307" s="35">
        <f t="shared" si="30"/>
        <v>5.3975</v>
      </c>
      <c r="G307" s="34">
        <f t="shared" si="31"/>
        <v>80.5</v>
      </c>
      <c r="H307" s="33">
        <f t="shared" si="32"/>
        <v>7.2276739356178608</v>
      </c>
      <c r="I307" s="29">
        <f t="shared" ca="1" si="33"/>
        <v>4</v>
      </c>
      <c r="J307">
        <f ca="1">IF(AND(SUMPRODUCT($J$2:J306,$B$2:B306)&lt;500,SUM(B306,SUMPRODUCT($J$2:J306,$B$2:B306))&lt;500),1,0)</f>
        <v>0</v>
      </c>
      <c r="K307">
        <v>3</v>
      </c>
      <c r="L307">
        <v>0</v>
      </c>
    </row>
    <row r="308" spans="1:12" x14ac:dyDescent="0.3">
      <c r="A308" s="31">
        <v>843</v>
      </c>
      <c r="B308" s="28">
        <v>4.2</v>
      </c>
      <c r="C308" s="30">
        <v>29.55</v>
      </c>
      <c r="D308" s="28">
        <v>2.38</v>
      </c>
      <c r="E308" s="34">
        <f t="shared" si="29"/>
        <v>4.7599999999999996E-2</v>
      </c>
      <c r="F308" s="35">
        <f t="shared" si="30"/>
        <v>7.3875000000000002</v>
      </c>
      <c r="G308" s="34">
        <f t="shared" si="31"/>
        <v>59.5</v>
      </c>
      <c r="H308" s="33">
        <f t="shared" si="32"/>
        <v>22.050595238095237</v>
      </c>
      <c r="I308" s="29">
        <f t="shared" ca="1" si="33"/>
        <v>1</v>
      </c>
      <c r="J308">
        <f ca="1">IF(AND(SUMPRODUCT($J$2:J307,$B$2:B307)&lt;500,SUM(B307,SUMPRODUCT($J$2:J307,$B$2:B307))&lt;500),1,0)</f>
        <v>1</v>
      </c>
      <c r="K308">
        <v>4</v>
      </c>
      <c r="L308">
        <v>1</v>
      </c>
    </row>
    <row r="309" spans="1:12" x14ac:dyDescent="0.3">
      <c r="A309" s="31">
        <v>844</v>
      </c>
      <c r="B309" s="28">
        <v>3.76</v>
      </c>
      <c r="C309" s="30">
        <v>44.52</v>
      </c>
      <c r="D309" s="28">
        <v>2.2999999999999998</v>
      </c>
      <c r="E309" s="34">
        <f t="shared" si="29"/>
        <v>4.5999999999999999E-2</v>
      </c>
      <c r="F309" s="35">
        <f t="shared" si="30"/>
        <v>11.13</v>
      </c>
      <c r="G309" s="34">
        <f t="shared" si="31"/>
        <v>57.499999999999993</v>
      </c>
      <c r="H309" s="33">
        <f t="shared" si="32"/>
        <v>10.337765957446809</v>
      </c>
      <c r="I309" s="29">
        <f t="shared" ca="1" si="33"/>
        <v>2</v>
      </c>
      <c r="J309">
        <f ca="1">IF(AND(SUMPRODUCT($J$2:J308,$B$2:B308)&lt;500,SUM(B308,SUMPRODUCT($J$2:J308,$B$2:B308))&lt;500),1,0)</f>
        <v>0</v>
      </c>
      <c r="K309">
        <v>2</v>
      </c>
      <c r="L309">
        <v>0</v>
      </c>
    </row>
    <row r="310" spans="1:12" x14ac:dyDescent="0.3">
      <c r="A310" s="31">
        <v>847</v>
      </c>
      <c r="B310" s="28">
        <v>2.31</v>
      </c>
      <c r="C310" s="30">
        <v>20.27</v>
      </c>
      <c r="D310" s="28">
        <v>1.5</v>
      </c>
      <c r="E310" s="34">
        <f t="shared" si="29"/>
        <v>0.03</v>
      </c>
      <c r="F310" s="35">
        <f t="shared" si="30"/>
        <v>5.0674999999999999</v>
      </c>
      <c r="G310" s="34">
        <f t="shared" si="31"/>
        <v>37.5</v>
      </c>
      <c r="H310" s="33">
        <f t="shared" si="32"/>
        <v>8.6287878787878789</v>
      </c>
      <c r="I310" s="29">
        <f t="shared" ca="1" si="33"/>
        <v>1</v>
      </c>
      <c r="J310">
        <f ca="1">IF(AND(SUMPRODUCT($J$2:J309,$B$2:B309)&lt;500,SUM(B309,SUMPRODUCT($J$2:J309,$B$2:B309))&lt;500),1,0)</f>
        <v>0</v>
      </c>
      <c r="K310">
        <v>1</v>
      </c>
      <c r="L310">
        <v>0</v>
      </c>
    </row>
    <row r="311" spans="1:12" x14ac:dyDescent="0.3">
      <c r="A311" s="31">
        <v>850</v>
      </c>
      <c r="B311" s="28">
        <v>1.64</v>
      </c>
      <c r="C311" s="30">
        <v>67.510000000000005</v>
      </c>
      <c r="D311" s="28">
        <v>1.31</v>
      </c>
      <c r="E311" s="34">
        <f t="shared" si="29"/>
        <v>2.6200000000000001E-2</v>
      </c>
      <c r="F311" s="35">
        <f t="shared" si="30"/>
        <v>16.877500000000001</v>
      </c>
      <c r="G311" s="34">
        <f t="shared" si="31"/>
        <v>32.75</v>
      </c>
      <c r="H311" s="33">
        <f t="shared" si="32"/>
        <v>20.196646341463417</v>
      </c>
      <c r="I311" s="29">
        <f t="shared" ca="1" si="33"/>
        <v>1</v>
      </c>
      <c r="J311">
        <f ca="1">IF(AND(SUMPRODUCT($J$2:J310,$B$2:B310)&lt;500,SUM(B310,SUMPRODUCT($J$2:J310,$B$2:B310))&lt;500),1,0)</f>
        <v>1</v>
      </c>
      <c r="K311">
        <v>2</v>
      </c>
      <c r="L311">
        <v>1</v>
      </c>
    </row>
    <row r="312" spans="1:12" x14ac:dyDescent="0.3">
      <c r="A312" s="31">
        <v>853</v>
      </c>
      <c r="B312" s="28">
        <v>2.06</v>
      </c>
      <c r="C312" s="30">
        <v>77.38</v>
      </c>
      <c r="D312" s="28">
        <v>2.4500000000000002</v>
      </c>
      <c r="E312" s="34">
        <f t="shared" si="29"/>
        <v>4.9000000000000002E-2</v>
      </c>
      <c r="F312" s="35">
        <f t="shared" si="30"/>
        <v>19.344999999999999</v>
      </c>
      <c r="G312" s="34">
        <f t="shared" si="31"/>
        <v>61.250000000000007</v>
      </c>
      <c r="H312" s="33">
        <f t="shared" si="32"/>
        <v>51.288834951456309</v>
      </c>
      <c r="I312" s="29">
        <f t="shared" ca="1" si="33"/>
        <v>4</v>
      </c>
      <c r="J312">
        <f ca="1">IF(AND(SUMPRODUCT($J$2:J311,$B$2:B311)&lt;500,SUM(B311,SUMPRODUCT($J$2:J311,$B$2:B311))&lt;500),1,0)</f>
        <v>1</v>
      </c>
      <c r="K312">
        <v>5</v>
      </c>
      <c r="L312">
        <v>1</v>
      </c>
    </row>
    <row r="313" spans="1:12" x14ac:dyDescent="0.3">
      <c r="A313" s="31">
        <v>854</v>
      </c>
      <c r="B313" s="28">
        <v>9.36</v>
      </c>
      <c r="C313" s="30">
        <v>84.22</v>
      </c>
      <c r="D313" s="28">
        <v>3.25</v>
      </c>
      <c r="E313" s="34">
        <f t="shared" si="29"/>
        <v>6.5000000000000002E-2</v>
      </c>
      <c r="F313" s="35">
        <f t="shared" si="30"/>
        <v>21.055</v>
      </c>
      <c r="G313" s="34">
        <f t="shared" si="31"/>
        <v>81.25</v>
      </c>
      <c r="H313" s="33">
        <f t="shared" si="32"/>
        <v>11.105235042735043</v>
      </c>
      <c r="I313" s="29">
        <f t="shared" ca="1" si="33"/>
        <v>3</v>
      </c>
      <c r="J313">
        <f ca="1">IF(AND(SUMPRODUCT($J$2:J312,$B$2:B312)&lt;500,SUM(B312,SUMPRODUCT($J$2:J312,$B$2:B312))&lt;500),1,0)</f>
        <v>0</v>
      </c>
      <c r="K313">
        <v>5</v>
      </c>
      <c r="L313">
        <v>0</v>
      </c>
    </row>
    <row r="314" spans="1:12" x14ac:dyDescent="0.3">
      <c r="A314" s="31">
        <v>857</v>
      </c>
      <c r="B314" s="28">
        <v>1.91</v>
      </c>
      <c r="C314" s="30">
        <v>82.94</v>
      </c>
      <c r="D314" s="28">
        <v>2.84</v>
      </c>
      <c r="E314" s="34">
        <f t="shared" si="29"/>
        <v>5.6799999999999996E-2</v>
      </c>
      <c r="F314" s="35">
        <f t="shared" si="30"/>
        <v>20.734999999999999</v>
      </c>
      <c r="G314" s="34">
        <f t="shared" si="31"/>
        <v>71</v>
      </c>
      <c r="H314" s="33">
        <f t="shared" si="32"/>
        <v>2.2329842931937178</v>
      </c>
      <c r="I314" s="29">
        <f t="shared" ca="1" si="33"/>
        <v>6</v>
      </c>
      <c r="J314">
        <f ca="1">IF(AND(SUMPRODUCT($J$2:J313,$B$2:B313)&lt;500,SUM(B313,SUMPRODUCT($J$2:J313,$B$2:B313))&lt;500),1,0)</f>
        <v>0</v>
      </c>
      <c r="K314">
        <v>1</v>
      </c>
      <c r="L314">
        <v>0</v>
      </c>
    </row>
    <row r="315" spans="1:12" x14ac:dyDescent="0.3">
      <c r="A315" s="31">
        <v>860</v>
      </c>
      <c r="B315" s="28">
        <v>1.22</v>
      </c>
      <c r="C315" s="30">
        <v>83.58</v>
      </c>
      <c r="D315" s="28">
        <v>1.97</v>
      </c>
      <c r="E315" s="34">
        <f t="shared" si="29"/>
        <v>3.9399999999999998E-2</v>
      </c>
      <c r="F315" s="35">
        <f t="shared" si="30"/>
        <v>20.895</v>
      </c>
      <c r="G315" s="34">
        <f t="shared" si="31"/>
        <v>49.25</v>
      </c>
      <c r="H315" s="33">
        <f t="shared" si="32"/>
        <v>-17.127049180327869</v>
      </c>
      <c r="I315" s="29">
        <f t="shared" ca="1" si="33"/>
        <v>2</v>
      </c>
      <c r="J315">
        <f ca="1">IF(AND(SUMPRODUCT($J$2:J314,$B$2:B314)&lt;500,SUM(B314,SUMPRODUCT($J$2:J314,$B$2:B314))&lt;500),1,0)</f>
        <v>0</v>
      </c>
      <c r="K315">
        <v>0</v>
      </c>
      <c r="L315">
        <v>0</v>
      </c>
    </row>
    <row r="316" spans="1:12" x14ac:dyDescent="0.3">
      <c r="A316" s="31">
        <v>865</v>
      </c>
      <c r="B316" s="28">
        <v>3.35</v>
      </c>
      <c r="C316" s="30">
        <v>59.53</v>
      </c>
      <c r="D316" s="28">
        <v>0.86</v>
      </c>
      <c r="E316" s="34">
        <f t="shared" si="29"/>
        <v>1.72E-2</v>
      </c>
      <c r="F316" s="35">
        <f t="shared" si="30"/>
        <v>14.8825</v>
      </c>
      <c r="G316" s="34">
        <f t="shared" si="31"/>
        <v>21.5</v>
      </c>
      <c r="H316" s="33">
        <f t="shared" si="32"/>
        <v>3.020149253731343</v>
      </c>
      <c r="I316" s="29">
        <f t="shared" ca="1" si="33"/>
        <v>0</v>
      </c>
      <c r="J316">
        <f ca="1">IF(AND(SUMPRODUCT($J$2:J315,$B$2:B315)&lt;500,SUM(B315,SUMPRODUCT($J$2:J315,$B$2:B315))&lt;500),1,0)</f>
        <v>0</v>
      </c>
      <c r="K316">
        <v>1</v>
      </c>
      <c r="L316">
        <v>0</v>
      </c>
    </row>
    <row r="317" spans="1:12" x14ac:dyDescent="0.3">
      <c r="A317" s="31">
        <v>866</v>
      </c>
      <c r="B317" s="28">
        <v>2.64</v>
      </c>
      <c r="C317" s="30">
        <v>85.07</v>
      </c>
      <c r="D317" s="28">
        <v>1.34</v>
      </c>
      <c r="E317" s="34">
        <f t="shared" si="29"/>
        <v>2.6800000000000001E-2</v>
      </c>
      <c r="F317" s="35">
        <f t="shared" si="30"/>
        <v>21.267499999999998</v>
      </c>
      <c r="G317" s="34">
        <f t="shared" si="31"/>
        <v>33.5</v>
      </c>
      <c r="H317" s="33">
        <f t="shared" si="32"/>
        <v>1.4138257575757582</v>
      </c>
      <c r="I317" s="29">
        <f t="shared" ca="1" si="33"/>
        <v>2</v>
      </c>
      <c r="J317">
        <f ca="1">IF(AND(SUMPRODUCT($J$2:J316,$B$2:B316)&lt;500,SUM(B316,SUMPRODUCT($J$2:J316,$B$2:B316))&lt;500),1,0)</f>
        <v>0</v>
      </c>
      <c r="K317">
        <v>1</v>
      </c>
      <c r="L317">
        <v>0</v>
      </c>
    </row>
    <row r="318" spans="1:12" x14ac:dyDescent="0.3">
      <c r="A318" s="31">
        <v>869</v>
      </c>
      <c r="B318" s="28">
        <v>0.45</v>
      </c>
      <c r="C318" s="30">
        <v>99.34</v>
      </c>
      <c r="D318" s="28">
        <v>1.2</v>
      </c>
      <c r="E318" s="34">
        <f t="shared" si="29"/>
        <v>2.4E-2</v>
      </c>
      <c r="F318" s="35">
        <f t="shared" si="30"/>
        <v>24.835000000000001</v>
      </c>
      <c r="G318" s="34">
        <f t="shared" si="31"/>
        <v>30</v>
      </c>
      <c r="H318" s="33">
        <f t="shared" si="32"/>
        <v>-55.18888888888889</v>
      </c>
      <c r="I318" s="29">
        <f t="shared" ca="1" si="33"/>
        <v>1</v>
      </c>
      <c r="J318">
        <f ca="1">IF(AND(SUMPRODUCT($J$2:J317,$B$2:B317)&lt;500,SUM(B317,SUMPRODUCT($J$2:J317,$B$2:B317))&lt;500),1,0)</f>
        <v>0</v>
      </c>
      <c r="K318">
        <v>0</v>
      </c>
      <c r="L318">
        <v>0</v>
      </c>
    </row>
    <row r="319" spans="1:12" x14ac:dyDescent="0.3">
      <c r="A319" s="31">
        <v>870</v>
      </c>
      <c r="B319" s="28">
        <v>2.5</v>
      </c>
      <c r="C319" s="30">
        <v>63.71</v>
      </c>
      <c r="D319" s="28">
        <v>2.86</v>
      </c>
      <c r="E319" s="34">
        <f t="shared" si="29"/>
        <v>5.7200000000000001E-2</v>
      </c>
      <c r="F319" s="35">
        <f t="shared" si="30"/>
        <v>15.9275</v>
      </c>
      <c r="G319" s="34">
        <f t="shared" si="31"/>
        <v>71.5</v>
      </c>
      <c r="H319" s="33">
        <f t="shared" si="32"/>
        <v>33.629000000000005</v>
      </c>
      <c r="I319" s="29">
        <f t="shared" ca="1" si="33"/>
        <v>0</v>
      </c>
      <c r="J319">
        <f ca="1">IF(AND(SUMPRODUCT($J$2:J318,$B$2:B318)&lt;500,SUM(B318,SUMPRODUCT($J$2:J318,$B$2:B318))&lt;500),1,0)</f>
        <v>1</v>
      </c>
      <c r="K319">
        <v>4</v>
      </c>
      <c r="L319">
        <v>1</v>
      </c>
    </row>
    <row r="320" spans="1:12" x14ac:dyDescent="0.3">
      <c r="A320" s="31">
        <v>872</v>
      </c>
      <c r="B320" s="28">
        <v>1.77</v>
      </c>
      <c r="C320" s="30">
        <v>45.96</v>
      </c>
      <c r="D320" s="28">
        <v>2.89</v>
      </c>
      <c r="E320" s="34">
        <f t="shared" si="29"/>
        <v>5.7800000000000004E-2</v>
      </c>
      <c r="F320" s="35">
        <f t="shared" si="30"/>
        <v>11.49</v>
      </c>
      <c r="G320" s="34">
        <f t="shared" si="31"/>
        <v>72.25</v>
      </c>
      <c r="H320" s="33">
        <f t="shared" si="32"/>
        <v>21.757062146892654</v>
      </c>
      <c r="I320" s="29">
        <f t="shared" ca="1" si="33"/>
        <v>5</v>
      </c>
      <c r="J320">
        <f ca="1">IF(AND(SUMPRODUCT($J$2:J319,$B$2:B319)&lt;500,SUM(B319,SUMPRODUCT($J$2:J319,$B$2:B319))&lt;500),1,0)</f>
        <v>1</v>
      </c>
      <c r="K320">
        <v>2</v>
      </c>
      <c r="L320">
        <v>1</v>
      </c>
    </row>
    <row r="321" spans="1:12" x14ac:dyDescent="0.3">
      <c r="A321" s="31">
        <v>877</v>
      </c>
      <c r="B321" s="28">
        <v>1.1299999999999999</v>
      </c>
      <c r="C321" s="30">
        <v>19.760000000000002</v>
      </c>
      <c r="D321" s="28">
        <v>0.46</v>
      </c>
      <c r="E321" s="34">
        <f t="shared" si="29"/>
        <v>9.1999999999999998E-3</v>
      </c>
      <c r="F321" s="35">
        <f t="shared" si="30"/>
        <v>4.9400000000000004</v>
      </c>
      <c r="G321" s="34">
        <f t="shared" si="31"/>
        <v>11.5</v>
      </c>
      <c r="H321" s="33">
        <f t="shared" si="32"/>
        <v>-4.3716814159292046</v>
      </c>
      <c r="I321" s="29">
        <f t="shared" ca="1" si="33"/>
        <v>1</v>
      </c>
      <c r="J321">
        <f ca="1">IF(AND(SUMPRODUCT($J$2:J320,$B$2:B320)&lt;500,SUM(B320,SUMPRODUCT($J$2:J320,$B$2:B320))&lt;500),1,0)</f>
        <v>0</v>
      </c>
      <c r="K321">
        <v>0</v>
      </c>
      <c r="L321">
        <v>0</v>
      </c>
    </row>
    <row r="322" spans="1:12" x14ac:dyDescent="0.3">
      <c r="A322" s="31">
        <v>881</v>
      </c>
      <c r="B322" s="28">
        <v>2.86</v>
      </c>
      <c r="C322" s="30">
        <v>7.89</v>
      </c>
      <c r="D322" s="28">
        <v>0.52</v>
      </c>
      <c r="E322" s="34">
        <f t="shared" ref="E322:E385" si="34">D322/50</f>
        <v>1.04E-2</v>
      </c>
      <c r="F322" s="35">
        <f t="shared" ref="F322:F385" si="35">0.25*C322</f>
        <v>1.9724999999999999</v>
      </c>
      <c r="G322" s="34">
        <f t="shared" ref="G322:G385" si="36">25*D322</f>
        <v>13</v>
      </c>
      <c r="H322" s="33">
        <f t="shared" ref="H322:H385" si="37">(25*K322-0.25*C322)/B322</f>
        <v>-0.68968531468531469</v>
      </c>
      <c r="I322" s="29">
        <f t="shared" ref="I322:I385" ca="1" si="38">_xlfn.BINOM.INV(50,E322,RAND())</f>
        <v>1</v>
      </c>
      <c r="J322">
        <f ca="1">IF(AND(SUMPRODUCT($J$2:J321,$B$2:B321)&lt;500,SUM(B321,SUMPRODUCT($J$2:J321,$B$2:B321))&lt;500),1,0)</f>
        <v>0</v>
      </c>
      <c r="K322">
        <v>0</v>
      </c>
      <c r="L322">
        <v>0</v>
      </c>
    </row>
    <row r="323" spans="1:12" x14ac:dyDescent="0.3">
      <c r="A323" s="31">
        <v>882</v>
      </c>
      <c r="B323" s="28">
        <v>4.21</v>
      </c>
      <c r="C323" s="30">
        <v>75.38</v>
      </c>
      <c r="D323" s="28">
        <v>3.07</v>
      </c>
      <c r="E323" s="34">
        <f t="shared" si="34"/>
        <v>6.1399999999999996E-2</v>
      </c>
      <c r="F323" s="35">
        <f t="shared" si="35"/>
        <v>18.844999999999999</v>
      </c>
      <c r="G323" s="34">
        <f t="shared" si="36"/>
        <v>76.75</v>
      </c>
      <c r="H323" s="33">
        <f t="shared" si="37"/>
        <v>19.276722090261284</v>
      </c>
      <c r="I323" s="29">
        <f t="shared" ca="1" si="38"/>
        <v>4</v>
      </c>
      <c r="J323">
        <f ca="1">IF(AND(SUMPRODUCT($J$2:J322,$B$2:B322)&lt;500,SUM(B322,SUMPRODUCT($J$2:J322,$B$2:B322))&lt;500),1,0)</f>
        <v>1</v>
      </c>
      <c r="K323">
        <v>4</v>
      </c>
      <c r="L323">
        <v>1</v>
      </c>
    </row>
    <row r="324" spans="1:12" x14ac:dyDescent="0.3">
      <c r="A324" s="31">
        <v>887</v>
      </c>
      <c r="B324" s="28">
        <v>0.73</v>
      </c>
      <c r="C324" s="30">
        <v>24.16</v>
      </c>
      <c r="D324" s="28">
        <v>0.84</v>
      </c>
      <c r="E324" s="34">
        <f t="shared" si="34"/>
        <v>1.6799999999999999E-2</v>
      </c>
      <c r="F324" s="35">
        <f t="shared" si="35"/>
        <v>6.04</v>
      </c>
      <c r="G324" s="34">
        <f t="shared" si="36"/>
        <v>21</v>
      </c>
      <c r="H324" s="33">
        <f t="shared" si="37"/>
        <v>-8.2739726027397271</v>
      </c>
      <c r="I324" s="29">
        <f t="shared" ca="1" si="38"/>
        <v>1</v>
      </c>
      <c r="J324">
        <f ca="1">IF(AND(SUMPRODUCT($J$2:J323,$B$2:B323)&lt;500,SUM(B323,SUMPRODUCT($J$2:J323,$B$2:B323))&lt;500),1,0)</f>
        <v>0</v>
      </c>
      <c r="K324">
        <v>0</v>
      </c>
      <c r="L324">
        <v>0</v>
      </c>
    </row>
    <row r="325" spans="1:12" x14ac:dyDescent="0.3">
      <c r="A325" s="31">
        <v>892</v>
      </c>
      <c r="B325" s="28">
        <v>6.66</v>
      </c>
      <c r="C325" s="30">
        <v>1.58</v>
      </c>
      <c r="D325" s="28">
        <v>0.56000000000000005</v>
      </c>
      <c r="E325" s="34">
        <f t="shared" si="34"/>
        <v>1.1200000000000002E-2</v>
      </c>
      <c r="F325" s="35">
        <f t="shared" si="35"/>
        <v>0.39500000000000002</v>
      </c>
      <c r="G325" s="34">
        <f t="shared" si="36"/>
        <v>14.000000000000002</v>
      </c>
      <c r="H325" s="33">
        <f t="shared" si="37"/>
        <v>-5.9309309309309312E-2</v>
      </c>
      <c r="I325" s="29">
        <f t="shared" ca="1" si="38"/>
        <v>2</v>
      </c>
      <c r="J325">
        <f ca="1">IF(AND(SUMPRODUCT($J$2:J324,$B$2:B324)&lt;500,SUM(B324,SUMPRODUCT($J$2:J324,$B$2:B324))&lt;500),1,0)</f>
        <v>0</v>
      </c>
      <c r="K325">
        <v>0</v>
      </c>
      <c r="L325">
        <v>0</v>
      </c>
    </row>
    <row r="326" spans="1:12" x14ac:dyDescent="0.3">
      <c r="A326" s="31">
        <v>893</v>
      </c>
      <c r="B326" s="28">
        <v>3.77</v>
      </c>
      <c r="C326" s="30">
        <v>80.819999999999993</v>
      </c>
      <c r="D326" s="28">
        <v>2.5</v>
      </c>
      <c r="E326" s="34">
        <f t="shared" si="34"/>
        <v>0.05</v>
      </c>
      <c r="F326" s="35">
        <f t="shared" si="35"/>
        <v>20.204999999999998</v>
      </c>
      <c r="G326" s="34">
        <f t="shared" si="36"/>
        <v>62.5</v>
      </c>
      <c r="H326" s="33">
        <f t="shared" si="37"/>
        <v>14.53448275862069</v>
      </c>
      <c r="I326" s="29">
        <f t="shared" ca="1" si="38"/>
        <v>2</v>
      </c>
      <c r="J326">
        <f ca="1">IF(AND(SUMPRODUCT($J$2:J325,$B$2:B325)&lt;500,SUM(B325,SUMPRODUCT($J$2:J325,$B$2:B325))&lt;500),1,0)</f>
        <v>1</v>
      </c>
      <c r="K326">
        <v>3</v>
      </c>
      <c r="L326">
        <v>1</v>
      </c>
    </row>
    <row r="327" spans="1:12" x14ac:dyDescent="0.3">
      <c r="A327" s="31">
        <v>897</v>
      </c>
      <c r="B327" s="28">
        <v>3.78</v>
      </c>
      <c r="C327" s="30">
        <v>26.46</v>
      </c>
      <c r="D327" s="28">
        <v>2.9</v>
      </c>
      <c r="E327" s="34">
        <f t="shared" si="34"/>
        <v>5.7999999999999996E-2</v>
      </c>
      <c r="F327" s="35">
        <f t="shared" si="35"/>
        <v>6.6150000000000002</v>
      </c>
      <c r="G327" s="34">
        <f t="shared" si="36"/>
        <v>72.5</v>
      </c>
      <c r="H327" s="33">
        <f t="shared" si="37"/>
        <v>4.8637566137566131</v>
      </c>
      <c r="I327" s="29">
        <f t="shared" ca="1" si="38"/>
        <v>0</v>
      </c>
      <c r="J327">
        <f ca="1">IF(AND(SUMPRODUCT($J$2:J326,$B$2:B326)&lt;500,SUM(B326,SUMPRODUCT($J$2:J326,$B$2:B326))&lt;500),1,0)</f>
        <v>0</v>
      </c>
      <c r="K327">
        <v>1</v>
      </c>
      <c r="L327">
        <v>0</v>
      </c>
    </row>
    <row r="328" spans="1:12" x14ac:dyDescent="0.3">
      <c r="A328" s="31">
        <v>898</v>
      </c>
      <c r="B328" s="28">
        <v>6.85</v>
      </c>
      <c r="C328" s="30">
        <v>3.92</v>
      </c>
      <c r="D328" s="28">
        <v>2.88</v>
      </c>
      <c r="E328" s="34">
        <f t="shared" si="34"/>
        <v>5.7599999999999998E-2</v>
      </c>
      <c r="F328" s="35">
        <f t="shared" si="35"/>
        <v>0.98</v>
      </c>
      <c r="G328" s="34">
        <f t="shared" si="36"/>
        <v>72</v>
      </c>
      <c r="H328" s="33">
        <f t="shared" si="37"/>
        <v>14.455474452554745</v>
      </c>
      <c r="I328" s="29">
        <f t="shared" ca="1" si="38"/>
        <v>3</v>
      </c>
      <c r="J328">
        <f ca="1">IF(AND(SUMPRODUCT($J$2:J327,$B$2:B327)&lt;500,SUM(B327,SUMPRODUCT($J$2:J327,$B$2:B327))&lt;500),1,0)</f>
        <v>1</v>
      </c>
      <c r="K328">
        <v>4</v>
      </c>
      <c r="L328">
        <v>1</v>
      </c>
    </row>
    <row r="329" spans="1:12" x14ac:dyDescent="0.3">
      <c r="A329" s="31">
        <v>902</v>
      </c>
      <c r="B329" s="28">
        <v>0.78</v>
      </c>
      <c r="C329" s="30">
        <v>75.16</v>
      </c>
      <c r="D329" s="28">
        <v>1.1499999999999999</v>
      </c>
      <c r="E329" s="34">
        <f t="shared" si="34"/>
        <v>2.3E-2</v>
      </c>
      <c r="F329" s="35">
        <f t="shared" si="35"/>
        <v>18.79</v>
      </c>
      <c r="G329" s="34">
        <f t="shared" si="36"/>
        <v>28.749999999999996</v>
      </c>
      <c r="H329" s="33">
        <f t="shared" si="37"/>
        <v>-24.089743589743588</v>
      </c>
      <c r="I329" s="29">
        <f t="shared" ca="1" si="38"/>
        <v>0</v>
      </c>
      <c r="J329">
        <f ca="1">IF(AND(SUMPRODUCT($J$2:J328,$B$2:B328)&lt;500,SUM(B328,SUMPRODUCT($J$2:J328,$B$2:B328))&lt;500),1,0)</f>
        <v>0</v>
      </c>
      <c r="K329">
        <v>0</v>
      </c>
      <c r="L329">
        <v>0</v>
      </c>
    </row>
    <row r="330" spans="1:12" x14ac:dyDescent="0.3">
      <c r="A330" s="31">
        <v>906</v>
      </c>
      <c r="B330" s="28">
        <v>2.0099999999999998</v>
      </c>
      <c r="C330" s="30">
        <v>93.76</v>
      </c>
      <c r="D330" s="28">
        <v>2.7</v>
      </c>
      <c r="E330" s="34">
        <f t="shared" si="34"/>
        <v>5.4000000000000006E-2</v>
      </c>
      <c r="F330" s="35">
        <f t="shared" si="35"/>
        <v>23.44</v>
      </c>
      <c r="G330" s="34">
        <f t="shared" si="36"/>
        <v>67.5</v>
      </c>
      <c r="H330" s="33">
        <f t="shared" si="37"/>
        <v>25.651741293532343</v>
      </c>
      <c r="I330" s="29">
        <f t="shared" ca="1" si="38"/>
        <v>4</v>
      </c>
      <c r="J330">
        <f ca="1">IF(AND(SUMPRODUCT($J$2:J329,$B$2:B329)&lt;500,SUM(B329,SUMPRODUCT($J$2:J329,$B$2:B329))&lt;500),1,0)</f>
        <v>1</v>
      </c>
      <c r="K330">
        <v>3</v>
      </c>
      <c r="L330">
        <v>1</v>
      </c>
    </row>
    <row r="331" spans="1:12" x14ac:dyDescent="0.3">
      <c r="A331" s="31">
        <v>907</v>
      </c>
      <c r="B331" s="28">
        <v>1.62</v>
      </c>
      <c r="C331" s="30">
        <v>5.28</v>
      </c>
      <c r="D331" s="28">
        <v>1.1100000000000001</v>
      </c>
      <c r="E331" s="34">
        <f t="shared" si="34"/>
        <v>2.2200000000000001E-2</v>
      </c>
      <c r="F331" s="35">
        <f t="shared" si="35"/>
        <v>1.32</v>
      </c>
      <c r="G331" s="34">
        <f t="shared" si="36"/>
        <v>27.750000000000004</v>
      </c>
      <c r="H331" s="33">
        <f t="shared" si="37"/>
        <v>14.617283950617283</v>
      </c>
      <c r="I331" s="29">
        <f t="shared" ca="1" si="38"/>
        <v>1</v>
      </c>
      <c r="J331">
        <f ca="1">IF(AND(SUMPRODUCT($J$2:J330,$B$2:B330)&lt;500,SUM(B330,SUMPRODUCT($J$2:J330,$B$2:B330))&lt;500),1,0)</f>
        <v>1</v>
      </c>
      <c r="K331">
        <v>1</v>
      </c>
      <c r="L331">
        <v>1</v>
      </c>
    </row>
    <row r="332" spans="1:12" x14ac:dyDescent="0.3">
      <c r="A332" s="31">
        <v>908</v>
      </c>
      <c r="B332" s="28">
        <v>0.73</v>
      </c>
      <c r="C332" s="30">
        <v>21.89</v>
      </c>
      <c r="D332" s="28">
        <v>0.65</v>
      </c>
      <c r="E332" s="34">
        <f t="shared" si="34"/>
        <v>1.3000000000000001E-2</v>
      </c>
      <c r="F332" s="35">
        <f t="shared" si="35"/>
        <v>5.4725000000000001</v>
      </c>
      <c r="G332" s="34">
        <f t="shared" si="36"/>
        <v>16.25</v>
      </c>
      <c r="H332" s="33">
        <f t="shared" si="37"/>
        <v>-7.4965753424657535</v>
      </c>
      <c r="I332" s="29">
        <f t="shared" ca="1" si="38"/>
        <v>0</v>
      </c>
      <c r="J332">
        <f ca="1">IF(AND(SUMPRODUCT($J$2:J331,$B$2:B331)&lt;500,SUM(B331,SUMPRODUCT($J$2:J331,$B$2:B331))&lt;500),1,0)</f>
        <v>0</v>
      </c>
      <c r="K332">
        <v>0</v>
      </c>
      <c r="L332">
        <v>0</v>
      </c>
    </row>
    <row r="333" spans="1:12" x14ac:dyDescent="0.3">
      <c r="A333" s="31">
        <v>909</v>
      </c>
      <c r="B333" s="28">
        <v>1.92</v>
      </c>
      <c r="C333" s="30">
        <v>18.11</v>
      </c>
      <c r="D333" s="28">
        <v>0.94</v>
      </c>
      <c r="E333" s="34">
        <f t="shared" si="34"/>
        <v>1.8799999999999997E-2</v>
      </c>
      <c r="F333" s="35">
        <f t="shared" si="35"/>
        <v>4.5274999999999999</v>
      </c>
      <c r="G333" s="34">
        <f t="shared" si="36"/>
        <v>23.5</v>
      </c>
      <c r="H333" s="33">
        <f t="shared" si="37"/>
        <v>-2.3580729166666665</v>
      </c>
      <c r="I333" s="29">
        <f t="shared" ca="1" si="38"/>
        <v>1</v>
      </c>
      <c r="J333">
        <f ca="1">IF(AND(SUMPRODUCT($J$2:J332,$B$2:B332)&lt;500,SUM(B332,SUMPRODUCT($J$2:J332,$B$2:B332))&lt;500),1,0)</f>
        <v>0</v>
      </c>
      <c r="K333">
        <v>0</v>
      </c>
      <c r="L333">
        <v>0</v>
      </c>
    </row>
    <row r="334" spans="1:12" x14ac:dyDescent="0.3">
      <c r="A334" s="31">
        <v>910</v>
      </c>
      <c r="B334" s="28">
        <v>3.04</v>
      </c>
      <c r="C334" s="30">
        <v>61.33</v>
      </c>
      <c r="D334" s="28">
        <v>1.97</v>
      </c>
      <c r="E334" s="34">
        <f t="shared" si="34"/>
        <v>3.9399999999999998E-2</v>
      </c>
      <c r="F334" s="35">
        <f t="shared" si="35"/>
        <v>15.3325</v>
      </c>
      <c r="G334" s="34">
        <f t="shared" si="36"/>
        <v>49.25</v>
      </c>
      <c r="H334" s="33">
        <f t="shared" si="37"/>
        <v>19.627467105263158</v>
      </c>
      <c r="I334" s="29">
        <f t="shared" ca="1" si="38"/>
        <v>2</v>
      </c>
      <c r="J334">
        <f ca="1">IF(AND(SUMPRODUCT($J$2:J333,$B$2:B333)&lt;500,SUM(B333,SUMPRODUCT($J$2:J333,$B$2:B333))&lt;500),1,0)</f>
        <v>1</v>
      </c>
      <c r="K334">
        <v>3</v>
      </c>
      <c r="L334">
        <v>1</v>
      </c>
    </row>
    <row r="335" spans="1:12" x14ac:dyDescent="0.3">
      <c r="A335" s="31">
        <v>911</v>
      </c>
      <c r="B335" s="28">
        <v>9.7899999999999991</v>
      </c>
      <c r="C335" s="30">
        <v>39.33</v>
      </c>
      <c r="D335" s="28">
        <v>3.21</v>
      </c>
      <c r="E335" s="34">
        <f t="shared" si="34"/>
        <v>6.4199999999999993E-2</v>
      </c>
      <c r="F335" s="35">
        <f t="shared" si="35"/>
        <v>9.8324999999999996</v>
      </c>
      <c r="G335" s="34">
        <f t="shared" si="36"/>
        <v>80.25</v>
      </c>
      <c r="H335" s="33">
        <f t="shared" si="37"/>
        <v>11.763789581205312</v>
      </c>
      <c r="I335" s="29">
        <f t="shared" ca="1" si="38"/>
        <v>5</v>
      </c>
      <c r="J335">
        <f ca="1">IF(AND(SUMPRODUCT($J$2:J334,$B$2:B334)&lt;500,SUM(B334,SUMPRODUCT($J$2:J334,$B$2:B334))&lt;500),1,0)</f>
        <v>0</v>
      </c>
      <c r="K335">
        <v>5</v>
      </c>
      <c r="L335">
        <v>0</v>
      </c>
    </row>
    <row r="336" spans="1:12" x14ac:dyDescent="0.3">
      <c r="A336" s="31">
        <v>914</v>
      </c>
      <c r="B336" s="28">
        <v>3.74</v>
      </c>
      <c r="C336" s="30">
        <v>46.47</v>
      </c>
      <c r="D336" s="28">
        <v>1.95</v>
      </c>
      <c r="E336" s="34">
        <f t="shared" si="34"/>
        <v>3.9E-2</v>
      </c>
      <c r="F336" s="35">
        <f t="shared" si="35"/>
        <v>11.6175</v>
      </c>
      <c r="G336" s="34">
        <f t="shared" si="36"/>
        <v>48.75</v>
      </c>
      <c r="H336" s="33">
        <f t="shared" si="37"/>
        <v>37.00066844919786</v>
      </c>
      <c r="I336" s="29">
        <f t="shared" ca="1" si="38"/>
        <v>1</v>
      </c>
      <c r="J336">
        <f ca="1">IF(AND(SUMPRODUCT($J$2:J335,$B$2:B335)&lt;500,SUM(B335,SUMPRODUCT($J$2:J335,$B$2:B335))&lt;500),1,0)</f>
        <v>1</v>
      </c>
      <c r="K336">
        <v>6</v>
      </c>
      <c r="L336">
        <v>1</v>
      </c>
    </row>
    <row r="337" spans="1:12" x14ac:dyDescent="0.3">
      <c r="A337" s="31">
        <v>919</v>
      </c>
      <c r="B337" s="28">
        <v>3.66</v>
      </c>
      <c r="C337" s="30">
        <v>28.54</v>
      </c>
      <c r="D337" s="28">
        <v>2.2000000000000002</v>
      </c>
      <c r="E337" s="34">
        <f t="shared" si="34"/>
        <v>4.4000000000000004E-2</v>
      </c>
      <c r="F337" s="35">
        <f t="shared" si="35"/>
        <v>7.1349999999999998</v>
      </c>
      <c r="G337" s="34">
        <f t="shared" si="36"/>
        <v>55.000000000000007</v>
      </c>
      <c r="H337" s="33">
        <f t="shared" si="37"/>
        <v>18.542349726775953</v>
      </c>
      <c r="I337" s="29">
        <f t="shared" ca="1" si="38"/>
        <v>2</v>
      </c>
      <c r="J337">
        <f ca="1">IF(AND(SUMPRODUCT($J$2:J336,$B$2:B336)&lt;500,SUM(B336,SUMPRODUCT($J$2:J336,$B$2:B336))&lt;500),1,0)</f>
        <v>1</v>
      </c>
      <c r="K337">
        <v>3</v>
      </c>
      <c r="L337">
        <v>1</v>
      </c>
    </row>
    <row r="338" spans="1:12" x14ac:dyDescent="0.3">
      <c r="A338" s="31">
        <v>921</v>
      </c>
      <c r="B338" s="28">
        <v>2.74</v>
      </c>
      <c r="C338" s="30">
        <v>38.78</v>
      </c>
      <c r="D338" s="28">
        <v>1.75</v>
      </c>
      <c r="E338" s="34">
        <f t="shared" si="34"/>
        <v>3.5000000000000003E-2</v>
      </c>
      <c r="F338" s="35">
        <f t="shared" si="35"/>
        <v>9.6950000000000003</v>
      </c>
      <c r="G338" s="34">
        <f t="shared" si="36"/>
        <v>43.75</v>
      </c>
      <c r="H338" s="33">
        <f t="shared" si="37"/>
        <v>32.958029197080293</v>
      </c>
      <c r="I338" s="29">
        <f t="shared" ca="1" si="38"/>
        <v>1</v>
      </c>
      <c r="J338">
        <f ca="1">IF(AND(SUMPRODUCT($J$2:J337,$B$2:B337)&lt;500,SUM(B337,SUMPRODUCT($J$2:J337,$B$2:B337))&lt;500),1,0)</f>
        <v>1</v>
      </c>
      <c r="K338">
        <v>4</v>
      </c>
      <c r="L338">
        <v>1</v>
      </c>
    </row>
    <row r="339" spans="1:12" x14ac:dyDescent="0.3">
      <c r="A339" s="31">
        <v>925</v>
      </c>
      <c r="B339" s="28">
        <v>2.83</v>
      </c>
      <c r="C339" s="30">
        <v>91.61</v>
      </c>
      <c r="D339" s="28">
        <v>1.1599999999999999</v>
      </c>
      <c r="E339" s="34">
        <f t="shared" si="34"/>
        <v>2.3199999999999998E-2</v>
      </c>
      <c r="F339" s="35">
        <f t="shared" si="35"/>
        <v>22.9025</v>
      </c>
      <c r="G339" s="34">
        <f t="shared" si="36"/>
        <v>28.999999999999996</v>
      </c>
      <c r="H339" s="33">
        <f t="shared" si="37"/>
        <v>9.5750883392226154</v>
      </c>
      <c r="I339" s="29">
        <f t="shared" ca="1" si="38"/>
        <v>3</v>
      </c>
      <c r="J339">
        <f ca="1">IF(AND(SUMPRODUCT($J$2:J338,$B$2:B338)&lt;500,SUM(B338,SUMPRODUCT($J$2:J338,$B$2:B338))&lt;500),1,0)</f>
        <v>0</v>
      </c>
      <c r="K339">
        <v>2</v>
      </c>
      <c r="L339">
        <v>0</v>
      </c>
    </row>
    <row r="340" spans="1:12" x14ac:dyDescent="0.3">
      <c r="A340" s="31">
        <v>926</v>
      </c>
      <c r="B340" s="28">
        <v>5.53</v>
      </c>
      <c r="C340" s="30">
        <v>8.08</v>
      </c>
      <c r="D340" s="28">
        <v>2.0299999999999998</v>
      </c>
      <c r="E340" s="34">
        <f t="shared" si="34"/>
        <v>4.0599999999999997E-2</v>
      </c>
      <c r="F340" s="35">
        <f t="shared" si="35"/>
        <v>2.02</v>
      </c>
      <c r="G340" s="34">
        <f t="shared" si="36"/>
        <v>50.749999999999993</v>
      </c>
      <c r="H340" s="33">
        <f t="shared" si="37"/>
        <v>8.6763110307414095</v>
      </c>
      <c r="I340" s="29">
        <f t="shared" ca="1" si="38"/>
        <v>1</v>
      </c>
      <c r="J340">
        <f ca="1">IF(AND(SUMPRODUCT($J$2:J339,$B$2:B339)&lt;500,SUM(B339,SUMPRODUCT($J$2:J339,$B$2:B339))&lt;500),1,0)</f>
        <v>0</v>
      </c>
      <c r="K340">
        <v>2</v>
      </c>
      <c r="L340">
        <v>0</v>
      </c>
    </row>
    <row r="341" spans="1:12" x14ac:dyDescent="0.3">
      <c r="A341" s="31">
        <v>927</v>
      </c>
      <c r="B341" s="28">
        <v>7.34</v>
      </c>
      <c r="C341" s="30">
        <v>0.8</v>
      </c>
      <c r="D341" s="28">
        <v>2.5299999999999998</v>
      </c>
      <c r="E341" s="34">
        <f t="shared" si="34"/>
        <v>5.0599999999999999E-2</v>
      </c>
      <c r="F341" s="35">
        <f t="shared" si="35"/>
        <v>0.2</v>
      </c>
      <c r="G341" s="34">
        <f t="shared" si="36"/>
        <v>63.249999999999993</v>
      </c>
      <c r="H341" s="33">
        <f t="shared" si="37"/>
        <v>3.3787465940054497</v>
      </c>
      <c r="I341" s="29">
        <f t="shared" ca="1" si="38"/>
        <v>3</v>
      </c>
      <c r="J341">
        <f ca="1">IF(AND(SUMPRODUCT($J$2:J340,$B$2:B340)&lt;500,SUM(B340,SUMPRODUCT($J$2:J340,$B$2:B340))&lt;500),1,0)</f>
        <v>0</v>
      </c>
      <c r="K341">
        <v>1</v>
      </c>
      <c r="L341">
        <v>0</v>
      </c>
    </row>
    <row r="342" spans="1:12" x14ac:dyDescent="0.3">
      <c r="A342" s="31">
        <v>930</v>
      </c>
      <c r="B342" s="28">
        <v>2.88</v>
      </c>
      <c r="C342" s="30">
        <v>4.17</v>
      </c>
      <c r="D342" s="28">
        <v>1.99</v>
      </c>
      <c r="E342" s="34">
        <f t="shared" si="34"/>
        <v>3.9800000000000002E-2</v>
      </c>
      <c r="F342" s="35">
        <f t="shared" si="35"/>
        <v>1.0425</v>
      </c>
      <c r="G342" s="34">
        <f t="shared" si="36"/>
        <v>49.75</v>
      </c>
      <c r="H342" s="33">
        <f t="shared" si="37"/>
        <v>34.360243055555557</v>
      </c>
      <c r="I342" s="29">
        <f t="shared" ca="1" si="38"/>
        <v>1</v>
      </c>
      <c r="J342">
        <f ca="1">IF(AND(SUMPRODUCT($J$2:J341,$B$2:B341)&lt;500,SUM(B341,SUMPRODUCT($J$2:J341,$B$2:B341))&lt;500),1,0)</f>
        <v>1</v>
      </c>
      <c r="K342">
        <v>4</v>
      </c>
      <c r="L342">
        <v>1</v>
      </c>
    </row>
    <row r="343" spans="1:12" x14ac:dyDescent="0.3">
      <c r="A343" s="31">
        <v>931</v>
      </c>
      <c r="B343" s="28">
        <v>2.71</v>
      </c>
      <c r="C343" s="30">
        <v>49.9</v>
      </c>
      <c r="D343" s="28">
        <v>2.3199999999999998</v>
      </c>
      <c r="E343" s="34">
        <f t="shared" si="34"/>
        <v>4.6399999999999997E-2</v>
      </c>
      <c r="F343" s="35">
        <f t="shared" si="35"/>
        <v>12.475</v>
      </c>
      <c r="G343" s="34">
        <f t="shared" si="36"/>
        <v>57.999999999999993</v>
      </c>
      <c r="H343" s="33">
        <f t="shared" si="37"/>
        <v>41.522140221402218</v>
      </c>
      <c r="I343" s="29">
        <f t="shared" ca="1" si="38"/>
        <v>4</v>
      </c>
      <c r="J343">
        <f ca="1">IF(AND(SUMPRODUCT($J$2:J342,$B$2:B342)&lt;500,SUM(B342,SUMPRODUCT($J$2:J342,$B$2:B342))&lt;500),1,0)</f>
        <v>1</v>
      </c>
      <c r="K343">
        <v>5</v>
      </c>
      <c r="L343">
        <v>1</v>
      </c>
    </row>
    <row r="344" spans="1:12" x14ac:dyDescent="0.3">
      <c r="A344" s="31">
        <v>932</v>
      </c>
      <c r="B344" s="28">
        <v>6.63</v>
      </c>
      <c r="C344" s="30">
        <v>88.08</v>
      </c>
      <c r="D344" s="28">
        <v>2.97</v>
      </c>
      <c r="E344" s="34">
        <f t="shared" si="34"/>
        <v>5.9400000000000001E-2</v>
      </c>
      <c r="F344" s="35">
        <f t="shared" si="35"/>
        <v>22.02</v>
      </c>
      <c r="G344" s="34">
        <f t="shared" si="36"/>
        <v>74.25</v>
      </c>
      <c r="H344" s="33">
        <f t="shared" si="37"/>
        <v>15.532428355957769</v>
      </c>
      <c r="I344" s="29">
        <f t="shared" ca="1" si="38"/>
        <v>3</v>
      </c>
      <c r="J344">
        <f ca="1">IF(AND(SUMPRODUCT($J$2:J343,$B$2:B343)&lt;500,SUM(B343,SUMPRODUCT($J$2:J343,$B$2:B343))&lt;500),1,0)</f>
        <v>1</v>
      </c>
      <c r="K344">
        <v>5</v>
      </c>
      <c r="L344">
        <v>1</v>
      </c>
    </row>
    <row r="345" spans="1:12" x14ac:dyDescent="0.3">
      <c r="A345" s="31">
        <v>940</v>
      </c>
      <c r="B345" s="28">
        <v>4.4000000000000004</v>
      </c>
      <c r="C345" s="30">
        <v>24.66</v>
      </c>
      <c r="D345" s="28">
        <v>2.2599999999999998</v>
      </c>
      <c r="E345" s="34">
        <f t="shared" si="34"/>
        <v>4.5199999999999997E-2</v>
      </c>
      <c r="F345" s="35">
        <f t="shared" si="35"/>
        <v>6.165</v>
      </c>
      <c r="G345" s="34">
        <f t="shared" si="36"/>
        <v>56.499999999999993</v>
      </c>
      <c r="H345" s="33">
        <f t="shared" si="37"/>
        <v>15.644318181818178</v>
      </c>
      <c r="I345" s="29">
        <f t="shared" ca="1" si="38"/>
        <v>1</v>
      </c>
      <c r="J345">
        <f ca="1">IF(AND(SUMPRODUCT($J$2:J344,$B$2:B344)&lt;500,SUM(B344,SUMPRODUCT($J$2:J344,$B$2:B344))&lt;500),1,0)</f>
        <v>1</v>
      </c>
      <c r="K345">
        <v>3</v>
      </c>
      <c r="L345">
        <v>1</v>
      </c>
    </row>
    <row r="346" spans="1:12" x14ac:dyDescent="0.3">
      <c r="A346" s="31">
        <v>941</v>
      </c>
      <c r="B346" s="28">
        <v>9.74</v>
      </c>
      <c r="C346" s="30">
        <v>61.3</v>
      </c>
      <c r="D346" s="28">
        <v>3.04</v>
      </c>
      <c r="E346" s="34">
        <f t="shared" si="34"/>
        <v>6.08E-2</v>
      </c>
      <c r="F346" s="35">
        <f t="shared" si="35"/>
        <v>15.324999999999999</v>
      </c>
      <c r="G346" s="34">
        <f t="shared" si="36"/>
        <v>76</v>
      </c>
      <c r="H346" s="33">
        <f t="shared" si="37"/>
        <v>8.6935318275154003</v>
      </c>
      <c r="I346" s="29">
        <f t="shared" ca="1" si="38"/>
        <v>3</v>
      </c>
      <c r="J346">
        <f ca="1">IF(AND(SUMPRODUCT($J$2:J345,$B$2:B345)&lt;500,SUM(B345,SUMPRODUCT($J$2:J345,$B$2:B345))&lt;500),1,0)</f>
        <v>0</v>
      </c>
      <c r="K346">
        <v>4</v>
      </c>
      <c r="L346">
        <v>0</v>
      </c>
    </row>
    <row r="347" spans="1:12" x14ac:dyDescent="0.3">
      <c r="A347" s="31">
        <v>942</v>
      </c>
      <c r="B347" s="28">
        <v>4.22</v>
      </c>
      <c r="C347" s="30">
        <v>69.7</v>
      </c>
      <c r="D347" s="28">
        <v>2.39</v>
      </c>
      <c r="E347" s="34">
        <f t="shared" si="34"/>
        <v>4.7800000000000002E-2</v>
      </c>
      <c r="F347" s="35">
        <f t="shared" si="35"/>
        <v>17.425000000000001</v>
      </c>
      <c r="G347" s="34">
        <f t="shared" si="36"/>
        <v>59.75</v>
      </c>
      <c r="H347" s="33">
        <f t="shared" si="37"/>
        <v>19.567535545023699</v>
      </c>
      <c r="I347" s="29">
        <f t="shared" ca="1" si="38"/>
        <v>1</v>
      </c>
      <c r="J347">
        <f ca="1">IF(AND(SUMPRODUCT($J$2:J346,$B$2:B346)&lt;500,SUM(B346,SUMPRODUCT($J$2:J346,$B$2:B346))&lt;500),1,0)</f>
        <v>1</v>
      </c>
      <c r="K347">
        <v>4</v>
      </c>
      <c r="L347">
        <v>1</v>
      </c>
    </row>
    <row r="348" spans="1:12" x14ac:dyDescent="0.3">
      <c r="A348" s="31">
        <v>945</v>
      </c>
      <c r="B348" s="28">
        <v>8.17</v>
      </c>
      <c r="C348" s="30">
        <v>6.16</v>
      </c>
      <c r="D348" s="28">
        <v>1.91</v>
      </c>
      <c r="E348" s="34">
        <f t="shared" si="34"/>
        <v>3.8199999999999998E-2</v>
      </c>
      <c r="F348" s="35">
        <f t="shared" si="35"/>
        <v>1.54</v>
      </c>
      <c r="G348" s="34">
        <f t="shared" si="36"/>
        <v>47.75</v>
      </c>
      <c r="H348" s="33">
        <f t="shared" si="37"/>
        <v>5.9314565483476134</v>
      </c>
      <c r="I348" s="29">
        <f t="shared" ca="1" si="38"/>
        <v>2</v>
      </c>
      <c r="J348">
        <f ca="1">IF(AND(SUMPRODUCT($J$2:J347,$B$2:B347)&lt;500,SUM(B347,SUMPRODUCT($J$2:J347,$B$2:B347))&lt;500),1,0)</f>
        <v>0</v>
      </c>
      <c r="K348">
        <v>2</v>
      </c>
      <c r="L348">
        <v>0</v>
      </c>
    </row>
    <row r="349" spans="1:12" x14ac:dyDescent="0.3">
      <c r="A349" s="31">
        <v>946</v>
      </c>
      <c r="B349" s="28">
        <v>3.76</v>
      </c>
      <c r="C349" s="30">
        <v>53.68</v>
      </c>
      <c r="D349" s="28">
        <v>2.06</v>
      </c>
      <c r="E349" s="34">
        <f t="shared" si="34"/>
        <v>4.1200000000000001E-2</v>
      </c>
      <c r="F349" s="35">
        <f t="shared" si="35"/>
        <v>13.42</v>
      </c>
      <c r="G349" s="34">
        <f t="shared" si="36"/>
        <v>51.5</v>
      </c>
      <c r="H349" s="33">
        <f t="shared" si="37"/>
        <v>-3.5691489361702131</v>
      </c>
      <c r="I349" s="29">
        <f t="shared" ca="1" si="38"/>
        <v>5</v>
      </c>
      <c r="J349">
        <f ca="1">IF(AND(SUMPRODUCT($J$2:J348,$B$2:B348)&lt;500,SUM(B348,SUMPRODUCT($J$2:J348,$B$2:B348))&lt;500),1,0)</f>
        <v>0</v>
      </c>
      <c r="K349">
        <v>0</v>
      </c>
      <c r="L349">
        <v>0</v>
      </c>
    </row>
    <row r="350" spans="1:12" x14ac:dyDescent="0.3">
      <c r="A350" s="31">
        <v>948</v>
      </c>
      <c r="B350" s="28">
        <v>5.46</v>
      </c>
      <c r="C350" s="30">
        <v>72.34</v>
      </c>
      <c r="D350" s="28">
        <v>2.38</v>
      </c>
      <c r="E350" s="34">
        <f t="shared" si="34"/>
        <v>4.7599999999999996E-2</v>
      </c>
      <c r="F350" s="35">
        <f t="shared" si="35"/>
        <v>18.085000000000001</v>
      </c>
      <c r="G350" s="34">
        <f t="shared" si="36"/>
        <v>59.5</v>
      </c>
      <c r="H350" s="33">
        <f t="shared" si="37"/>
        <v>15.002747252747252</v>
      </c>
      <c r="I350" s="29">
        <f t="shared" ca="1" si="38"/>
        <v>1</v>
      </c>
      <c r="J350">
        <f ca="1">IF(AND(SUMPRODUCT($J$2:J349,$B$2:B349)&lt;500,SUM(B349,SUMPRODUCT($J$2:J349,$B$2:B349))&lt;500),1,0)</f>
        <v>1</v>
      </c>
      <c r="K350">
        <v>4</v>
      </c>
      <c r="L350">
        <v>1</v>
      </c>
    </row>
    <row r="351" spans="1:12" x14ac:dyDescent="0.3">
      <c r="A351" s="31">
        <v>949</v>
      </c>
      <c r="B351" s="28">
        <v>3.26</v>
      </c>
      <c r="C351" s="30">
        <v>82.43</v>
      </c>
      <c r="D351" s="28">
        <v>0.54</v>
      </c>
      <c r="E351" s="34">
        <f t="shared" si="34"/>
        <v>1.0800000000000001E-2</v>
      </c>
      <c r="F351" s="35">
        <f t="shared" si="35"/>
        <v>20.607500000000002</v>
      </c>
      <c r="G351" s="34">
        <f t="shared" si="36"/>
        <v>13.5</v>
      </c>
      <c r="H351" s="33">
        <f t="shared" si="37"/>
        <v>-6.3213190184049086</v>
      </c>
      <c r="I351" s="29">
        <f t="shared" ca="1" si="38"/>
        <v>0</v>
      </c>
      <c r="J351">
        <f ca="1">IF(AND(SUMPRODUCT($J$2:J350,$B$2:B350)&lt;500,SUM(B350,SUMPRODUCT($J$2:J350,$B$2:B350))&lt;500),1,0)</f>
        <v>0</v>
      </c>
      <c r="K351">
        <v>0</v>
      </c>
      <c r="L351">
        <v>0</v>
      </c>
    </row>
    <row r="352" spans="1:12" x14ac:dyDescent="0.3">
      <c r="A352" s="31">
        <v>951</v>
      </c>
      <c r="B352" s="28">
        <v>2.6</v>
      </c>
      <c r="C352" s="30">
        <v>77.930000000000007</v>
      </c>
      <c r="D352" s="28">
        <v>1.29</v>
      </c>
      <c r="E352" s="34">
        <f t="shared" si="34"/>
        <v>2.58E-2</v>
      </c>
      <c r="F352" s="35">
        <f t="shared" si="35"/>
        <v>19.482500000000002</v>
      </c>
      <c r="G352" s="34">
        <f t="shared" si="36"/>
        <v>32.25</v>
      </c>
      <c r="H352" s="33">
        <f t="shared" si="37"/>
        <v>2.122115384615384</v>
      </c>
      <c r="I352" s="29">
        <f t="shared" ca="1" si="38"/>
        <v>1</v>
      </c>
      <c r="J352">
        <f ca="1">IF(AND(SUMPRODUCT($J$2:J351,$B$2:B351)&lt;500,SUM(B351,SUMPRODUCT($J$2:J351,$B$2:B351))&lt;500),1,0)</f>
        <v>0</v>
      </c>
      <c r="K352">
        <v>1</v>
      </c>
      <c r="L352">
        <v>0</v>
      </c>
    </row>
    <row r="353" spans="1:12" x14ac:dyDescent="0.3">
      <c r="A353" s="31">
        <v>952</v>
      </c>
      <c r="B353" s="28">
        <v>2.69</v>
      </c>
      <c r="C353" s="30">
        <v>90.91</v>
      </c>
      <c r="D353" s="28">
        <v>2.38</v>
      </c>
      <c r="E353" s="34">
        <f t="shared" si="34"/>
        <v>4.7599999999999996E-2</v>
      </c>
      <c r="F353" s="35">
        <f t="shared" si="35"/>
        <v>22.727499999999999</v>
      </c>
      <c r="G353" s="34">
        <f t="shared" si="36"/>
        <v>59.5</v>
      </c>
      <c r="H353" s="33">
        <f t="shared" si="37"/>
        <v>0.84479553903345761</v>
      </c>
      <c r="I353" s="29">
        <f t="shared" ca="1" si="38"/>
        <v>1</v>
      </c>
      <c r="J353">
        <f ca="1">IF(AND(SUMPRODUCT($J$2:J352,$B$2:B352)&lt;500,SUM(B352,SUMPRODUCT($J$2:J352,$B$2:B352))&lt;500),1,0)</f>
        <v>0</v>
      </c>
      <c r="K353">
        <v>1</v>
      </c>
      <c r="L353">
        <v>0</v>
      </c>
    </row>
    <row r="354" spans="1:12" x14ac:dyDescent="0.3">
      <c r="A354" s="31">
        <v>954</v>
      </c>
      <c r="B354" s="28">
        <v>2.4900000000000002</v>
      </c>
      <c r="C354" s="30">
        <v>25.62</v>
      </c>
      <c r="D354" s="28">
        <v>2.83</v>
      </c>
      <c r="E354" s="34">
        <f t="shared" si="34"/>
        <v>5.6600000000000004E-2</v>
      </c>
      <c r="F354" s="35">
        <f t="shared" si="35"/>
        <v>6.4050000000000002</v>
      </c>
      <c r="G354" s="34">
        <f t="shared" si="36"/>
        <v>70.75</v>
      </c>
      <c r="H354" s="33">
        <f t="shared" si="37"/>
        <v>17.508032128514053</v>
      </c>
      <c r="I354" s="29">
        <f t="shared" ca="1" si="38"/>
        <v>4</v>
      </c>
      <c r="J354">
        <f ca="1">IF(AND(SUMPRODUCT($J$2:J353,$B$2:B353)&lt;500,SUM(B353,SUMPRODUCT($J$2:J353,$B$2:B353))&lt;500),1,0)</f>
        <v>1</v>
      </c>
      <c r="K354">
        <v>2</v>
      </c>
      <c r="L354">
        <v>1</v>
      </c>
    </row>
    <row r="355" spans="1:12" x14ac:dyDescent="0.3">
      <c r="A355" s="31">
        <v>955</v>
      </c>
      <c r="B355" s="28">
        <v>2.96</v>
      </c>
      <c r="C355" s="30">
        <v>73.38</v>
      </c>
      <c r="D355" s="28">
        <v>2.69</v>
      </c>
      <c r="E355" s="34">
        <f t="shared" si="34"/>
        <v>5.3800000000000001E-2</v>
      </c>
      <c r="F355" s="35">
        <f t="shared" si="35"/>
        <v>18.344999999999999</v>
      </c>
      <c r="G355" s="34">
        <f t="shared" si="36"/>
        <v>67.25</v>
      </c>
      <c r="H355" s="33">
        <f t="shared" si="37"/>
        <v>19.140202702702702</v>
      </c>
      <c r="I355" s="29">
        <f t="shared" ca="1" si="38"/>
        <v>1</v>
      </c>
      <c r="J355">
        <f ca="1">IF(AND(SUMPRODUCT($J$2:J354,$B$2:B354)&lt;500,SUM(B354,SUMPRODUCT($J$2:J354,$B$2:B354))&lt;500),1,0)</f>
        <v>1</v>
      </c>
      <c r="K355">
        <v>3</v>
      </c>
      <c r="L355">
        <v>1</v>
      </c>
    </row>
    <row r="356" spans="1:12" x14ac:dyDescent="0.3">
      <c r="A356" s="31">
        <v>956</v>
      </c>
      <c r="B356" s="28">
        <v>1.38</v>
      </c>
      <c r="C356" s="30">
        <v>95.37</v>
      </c>
      <c r="D356" s="28">
        <v>1.94</v>
      </c>
      <c r="E356" s="34">
        <f t="shared" si="34"/>
        <v>3.8800000000000001E-2</v>
      </c>
      <c r="F356" s="35">
        <f t="shared" si="35"/>
        <v>23.842500000000001</v>
      </c>
      <c r="G356" s="34">
        <f t="shared" si="36"/>
        <v>48.5</v>
      </c>
      <c r="H356" s="33">
        <f t="shared" si="37"/>
        <v>37.070652173913047</v>
      </c>
      <c r="I356" s="29">
        <f t="shared" ca="1" si="38"/>
        <v>1</v>
      </c>
      <c r="J356">
        <f ca="1">IF(AND(SUMPRODUCT($J$2:J355,$B$2:B355)&lt;500,SUM(B355,SUMPRODUCT($J$2:J355,$B$2:B355))&lt;500),1,0)</f>
        <v>1</v>
      </c>
      <c r="K356">
        <v>3</v>
      </c>
      <c r="L356">
        <v>1</v>
      </c>
    </row>
    <row r="357" spans="1:12" x14ac:dyDescent="0.3">
      <c r="A357" s="31">
        <v>957</v>
      </c>
      <c r="B357" s="28">
        <v>3.37</v>
      </c>
      <c r="C357" s="30">
        <v>48.39</v>
      </c>
      <c r="D357" s="28">
        <v>1.88</v>
      </c>
      <c r="E357" s="34">
        <f t="shared" si="34"/>
        <v>3.7599999999999995E-2</v>
      </c>
      <c r="F357" s="35">
        <f t="shared" si="35"/>
        <v>12.0975</v>
      </c>
      <c r="G357" s="34">
        <f t="shared" si="36"/>
        <v>47</v>
      </c>
      <c r="H357" s="33">
        <f t="shared" si="37"/>
        <v>-3.5897626112759644</v>
      </c>
      <c r="I357" s="29">
        <f t="shared" ca="1" si="38"/>
        <v>2</v>
      </c>
      <c r="J357">
        <f ca="1">IF(AND(SUMPRODUCT($J$2:J356,$B$2:B356)&lt;500,SUM(B356,SUMPRODUCT($J$2:J356,$B$2:B356))&lt;500),1,0)</f>
        <v>0</v>
      </c>
      <c r="K357">
        <v>0</v>
      </c>
      <c r="L357">
        <v>0</v>
      </c>
    </row>
    <row r="358" spans="1:12" x14ac:dyDescent="0.3">
      <c r="A358" s="31">
        <v>959</v>
      </c>
      <c r="B358" s="28">
        <v>2</v>
      </c>
      <c r="C358" s="30">
        <v>75.08</v>
      </c>
      <c r="D358" s="28">
        <v>2.2000000000000002</v>
      </c>
      <c r="E358" s="34">
        <f t="shared" si="34"/>
        <v>4.4000000000000004E-2</v>
      </c>
      <c r="F358" s="35">
        <f t="shared" si="35"/>
        <v>18.77</v>
      </c>
      <c r="G358" s="34">
        <f t="shared" si="36"/>
        <v>55.000000000000007</v>
      </c>
      <c r="H358" s="33">
        <f t="shared" si="37"/>
        <v>28.115000000000002</v>
      </c>
      <c r="I358" s="29">
        <f t="shared" ca="1" si="38"/>
        <v>3</v>
      </c>
      <c r="J358">
        <f ca="1">IF(AND(SUMPRODUCT($J$2:J357,$B$2:B357)&lt;500,SUM(B357,SUMPRODUCT($J$2:J357,$B$2:B357))&lt;500),1,0)</f>
        <v>1</v>
      </c>
      <c r="K358">
        <v>3</v>
      </c>
      <c r="L358">
        <v>1</v>
      </c>
    </row>
    <row r="359" spans="1:12" x14ac:dyDescent="0.3">
      <c r="A359" s="31">
        <v>961</v>
      </c>
      <c r="B359" s="28">
        <v>3.91</v>
      </c>
      <c r="C359" s="30">
        <v>84.9</v>
      </c>
      <c r="D359" s="28">
        <v>2.52</v>
      </c>
      <c r="E359" s="34">
        <f t="shared" si="34"/>
        <v>5.04E-2</v>
      </c>
      <c r="F359" s="35">
        <f t="shared" si="35"/>
        <v>21.225000000000001</v>
      </c>
      <c r="G359" s="34">
        <f t="shared" si="36"/>
        <v>63</v>
      </c>
      <c r="H359" s="33">
        <f t="shared" si="37"/>
        <v>26.540920716112531</v>
      </c>
      <c r="I359" s="29">
        <f t="shared" ca="1" si="38"/>
        <v>4</v>
      </c>
      <c r="J359">
        <f ca="1">IF(AND(SUMPRODUCT($J$2:J358,$B$2:B358)&lt;500,SUM(B358,SUMPRODUCT($J$2:J358,$B$2:B358))&lt;500),1,0)</f>
        <v>1</v>
      </c>
      <c r="K359">
        <v>5</v>
      </c>
      <c r="L359">
        <v>1</v>
      </c>
    </row>
    <row r="360" spans="1:12" x14ac:dyDescent="0.3">
      <c r="A360" s="31">
        <v>962</v>
      </c>
      <c r="B360" s="28">
        <v>0.34</v>
      </c>
      <c r="C360" s="30">
        <v>91.73</v>
      </c>
      <c r="D360" s="28">
        <v>0.65</v>
      </c>
      <c r="E360" s="34">
        <f t="shared" si="34"/>
        <v>1.3000000000000001E-2</v>
      </c>
      <c r="F360" s="35">
        <f t="shared" si="35"/>
        <v>22.932500000000001</v>
      </c>
      <c r="G360" s="34">
        <f t="shared" si="36"/>
        <v>16.25</v>
      </c>
      <c r="H360" s="33">
        <f t="shared" si="37"/>
        <v>-67.44852941176471</v>
      </c>
      <c r="I360" s="29">
        <f t="shared" ca="1" si="38"/>
        <v>1</v>
      </c>
      <c r="J360">
        <f ca="1">IF(AND(SUMPRODUCT($J$2:J359,$B$2:B359)&lt;500,SUM(B359,SUMPRODUCT($J$2:J359,$B$2:B359))&lt;500),1,0)</f>
        <v>0</v>
      </c>
      <c r="K360">
        <v>0</v>
      </c>
      <c r="L360">
        <v>0</v>
      </c>
    </row>
    <row r="361" spans="1:12" x14ac:dyDescent="0.3">
      <c r="A361" s="31">
        <v>966</v>
      </c>
      <c r="B361" s="28">
        <v>9.59</v>
      </c>
      <c r="C361" s="30">
        <v>5.55</v>
      </c>
      <c r="D361" s="28">
        <v>2.87</v>
      </c>
      <c r="E361" s="34">
        <f t="shared" si="34"/>
        <v>5.74E-2</v>
      </c>
      <c r="F361" s="35">
        <f t="shared" si="35"/>
        <v>1.3875</v>
      </c>
      <c r="G361" s="34">
        <f t="shared" si="36"/>
        <v>71.75</v>
      </c>
      <c r="H361" s="33">
        <f t="shared" si="37"/>
        <v>7.6759645464025024</v>
      </c>
      <c r="I361" s="29">
        <f t="shared" ca="1" si="38"/>
        <v>2</v>
      </c>
      <c r="J361">
        <f ca="1">IF(AND(SUMPRODUCT($J$2:J360,$B$2:B360)&lt;500,SUM(B360,SUMPRODUCT($J$2:J360,$B$2:B360))&lt;500),1,0)</f>
        <v>0</v>
      </c>
      <c r="K361">
        <v>3</v>
      </c>
      <c r="L361">
        <v>0</v>
      </c>
    </row>
    <row r="362" spans="1:12" x14ac:dyDescent="0.3">
      <c r="A362" s="31">
        <v>970</v>
      </c>
      <c r="B362" s="28">
        <v>9.52</v>
      </c>
      <c r="C362" s="30">
        <v>66.489999999999995</v>
      </c>
      <c r="D362" s="28">
        <v>2.98</v>
      </c>
      <c r="E362" s="34">
        <f t="shared" si="34"/>
        <v>5.96E-2</v>
      </c>
      <c r="F362" s="35">
        <f t="shared" si="35"/>
        <v>16.622499999999999</v>
      </c>
      <c r="G362" s="34">
        <f t="shared" si="36"/>
        <v>74.5</v>
      </c>
      <c r="H362" s="33">
        <f t="shared" si="37"/>
        <v>6.1320903361344534</v>
      </c>
      <c r="I362" s="29">
        <f t="shared" ca="1" si="38"/>
        <v>7</v>
      </c>
      <c r="J362">
        <f ca="1">IF(AND(SUMPRODUCT($J$2:J361,$B$2:B361)&lt;500,SUM(B361,SUMPRODUCT($J$2:J361,$B$2:B361))&lt;500),1,0)</f>
        <v>0</v>
      </c>
      <c r="K362">
        <v>3</v>
      </c>
      <c r="L362">
        <v>0</v>
      </c>
    </row>
    <row r="363" spans="1:12" x14ac:dyDescent="0.3">
      <c r="A363" s="31">
        <v>971</v>
      </c>
      <c r="B363" s="28">
        <v>0.36</v>
      </c>
      <c r="C363" s="30">
        <v>95.41</v>
      </c>
      <c r="D363" s="28">
        <v>0.62</v>
      </c>
      <c r="E363" s="34">
        <f t="shared" si="34"/>
        <v>1.24E-2</v>
      </c>
      <c r="F363" s="35">
        <f t="shared" si="35"/>
        <v>23.852499999999999</v>
      </c>
      <c r="G363" s="34">
        <f t="shared" si="36"/>
        <v>15.5</v>
      </c>
      <c r="H363" s="33">
        <f t="shared" si="37"/>
        <v>-66.256944444444443</v>
      </c>
      <c r="I363" s="29">
        <f t="shared" ca="1" si="38"/>
        <v>1</v>
      </c>
      <c r="J363">
        <f ca="1">IF(AND(SUMPRODUCT($J$2:J362,$B$2:B362)&lt;500,SUM(B362,SUMPRODUCT($J$2:J362,$B$2:B362))&lt;500),1,0)</f>
        <v>0</v>
      </c>
      <c r="K363">
        <v>0</v>
      </c>
      <c r="L363">
        <v>0</v>
      </c>
    </row>
    <row r="364" spans="1:12" x14ac:dyDescent="0.3">
      <c r="A364" s="31">
        <v>974</v>
      </c>
      <c r="B364" s="28">
        <v>0.67</v>
      </c>
      <c r="C364" s="30">
        <v>91.1</v>
      </c>
      <c r="D364" s="28">
        <v>1.06</v>
      </c>
      <c r="E364" s="34">
        <f t="shared" si="34"/>
        <v>2.12E-2</v>
      </c>
      <c r="F364" s="35">
        <f t="shared" si="35"/>
        <v>22.774999999999999</v>
      </c>
      <c r="G364" s="34">
        <f t="shared" si="36"/>
        <v>26.5</v>
      </c>
      <c r="H364" s="33">
        <f t="shared" si="37"/>
        <v>3.3208955223880614</v>
      </c>
      <c r="I364" s="29">
        <f t="shared" ca="1" si="38"/>
        <v>3</v>
      </c>
      <c r="J364">
        <f ca="1">IF(AND(SUMPRODUCT($J$2:J363,$B$2:B363)&lt;500,SUM(B363,SUMPRODUCT($J$2:J363,$B$2:B363))&lt;500),1,0)</f>
        <v>0</v>
      </c>
      <c r="K364">
        <v>1</v>
      </c>
      <c r="L364">
        <v>0</v>
      </c>
    </row>
    <row r="365" spans="1:12" x14ac:dyDescent="0.3">
      <c r="A365" s="31">
        <v>977</v>
      </c>
      <c r="B365" s="28">
        <v>2.25</v>
      </c>
      <c r="C365" s="30">
        <v>28.34</v>
      </c>
      <c r="D365" s="28">
        <v>1.28</v>
      </c>
      <c r="E365" s="34">
        <f t="shared" si="34"/>
        <v>2.5600000000000001E-2</v>
      </c>
      <c r="F365" s="35">
        <f t="shared" si="35"/>
        <v>7.085</v>
      </c>
      <c r="G365" s="34">
        <f t="shared" si="36"/>
        <v>32</v>
      </c>
      <c r="H365" s="33">
        <f t="shared" si="37"/>
        <v>7.9622222222222216</v>
      </c>
      <c r="I365" s="29">
        <f t="shared" ca="1" si="38"/>
        <v>1</v>
      </c>
      <c r="J365">
        <f ca="1">IF(AND(SUMPRODUCT($J$2:J364,$B$2:B364)&lt;500,SUM(B364,SUMPRODUCT($J$2:J364,$B$2:B364))&lt;500),1,0)</f>
        <v>0</v>
      </c>
      <c r="K365">
        <v>1</v>
      </c>
      <c r="L365">
        <v>0</v>
      </c>
    </row>
    <row r="366" spans="1:12" x14ac:dyDescent="0.3">
      <c r="A366" s="31">
        <v>982</v>
      </c>
      <c r="B366" s="28">
        <v>1.39</v>
      </c>
      <c r="C366" s="30">
        <v>91.15</v>
      </c>
      <c r="D366" s="28">
        <v>0.57999999999999996</v>
      </c>
      <c r="E366" s="34">
        <f t="shared" si="34"/>
        <v>1.1599999999999999E-2</v>
      </c>
      <c r="F366" s="35">
        <f t="shared" si="35"/>
        <v>22.787500000000001</v>
      </c>
      <c r="G366" s="34">
        <f t="shared" si="36"/>
        <v>14.499999999999998</v>
      </c>
      <c r="H366" s="33">
        <f t="shared" si="37"/>
        <v>-16.393884892086334</v>
      </c>
      <c r="I366" s="29">
        <f t="shared" ca="1" si="38"/>
        <v>0</v>
      </c>
      <c r="J366">
        <f ca="1">IF(AND(SUMPRODUCT($J$2:J365,$B$2:B365)&lt;500,SUM(B365,SUMPRODUCT($J$2:J365,$B$2:B365))&lt;500),1,0)</f>
        <v>0</v>
      </c>
      <c r="K366">
        <v>0</v>
      </c>
      <c r="L366">
        <v>0</v>
      </c>
    </row>
    <row r="367" spans="1:12" x14ac:dyDescent="0.3">
      <c r="A367" s="31">
        <v>983</v>
      </c>
      <c r="B367" s="28">
        <v>2.87</v>
      </c>
      <c r="C367" s="30">
        <v>48.29</v>
      </c>
      <c r="D367" s="28">
        <v>2.9</v>
      </c>
      <c r="E367" s="34">
        <f t="shared" si="34"/>
        <v>5.7999999999999996E-2</v>
      </c>
      <c r="F367" s="35">
        <f t="shared" si="35"/>
        <v>12.0725</v>
      </c>
      <c r="G367" s="34">
        <f t="shared" si="36"/>
        <v>72.5</v>
      </c>
      <c r="H367" s="33">
        <f t="shared" si="37"/>
        <v>21.925958188153309</v>
      </c>
      <c r="I367" s="29">
        <f t="shared" ca="1" si="38"/>
        <v>3</v>
      </c>
      <c r="J367">
        <f ca="1">IF(AND(SUMPRODUCT($J$2:J366,$B$2:B366)&lt;500,SUM(B366,SUMPRODUCT($J$2:J366,$B$2:B366))&lt;500),1,0)</f>
        <v>1</v>
      </c>
      <c r="K367">
        <v>3</v>
      </c>
      <c r="L367">
        <v>1</v>
      </c>
    </row>
    <row r="368" spans="1:12" x14ac:dyDescent="0.3">
      <c r="A368" s="31">
        <v>984</v>
      </c>
      <c r="B368" s="28">
        <v>3.1</v>
      </c>
      <c r="C368" s="30">
        <v>19.7</v>
      </c>
      <c r="D368" s="28">
        <v>1.0900000000000001</v>
      </c>
      <c r="E368" s="34">
        <f t="shared" si="34"/>
        <v>2.18E-2</v>
      </c>
      <c r="F368" s="35">
        <f t="shared" si="35"/>
        <v>4.9249999999999998</v>
      </c>
      <c r="G368" s="34">
        <f t="shared" si="36"/>
        <v>27.250000000000004</v>
      </c>
      <c r="H368" s="33">
        <f t="shared" si="37"/>
        <v>6.475806451612903</v>
      </c>
      <c r="I368" s="29">
        <f t="shared" ca="1" si="38"/>
        <v>1</v>
      </c>
      <c r="J368">
        <f ca="1">IF(AND(SUMPRODUCT($J$2:J367,$B$2:B367)&lt;500,SUM(B367,SUMPRODUCT($J$2:J367,$B$2:B367))&lt;500),1,0)</f>
        <v>0</v>
      </c>
      <c r="K368">
        <v>1</v>
      </c>
      <c r="L368">
        <v>0</v>
      </c>
    </row>
    <row r="369" spans="1:12" x14ac:dyDescent="0.3">
      <c r="A369" s="31">
        <v>985</v>
      </c>
      <c r="B369" s="28">
        <v>3.59</v>
      </c>
      <c r="C369" s="30">
        <v>49.54</v>
      </c>
      <c r="D369" s="28">
        <v>3.01</v>
      </c>
      <c r="E369" s="34">
        <f t="shared" si="34"/>
        <v>6.0199999999999997E-2</v>
      </c>
      <c r="F369" s="35">
        <f t="shared" si="35"/>
        <v>12.385</v>
      </c>
      <c r="G369" s="34">
        <f t="shared" si="36"/>
        <v>75.25</v>
      </c>
      <c r="H369" s="33">
        <f t="shared" si="37"/>
        <v>10.477715877437326</v>
      </c>
      <c r="I369" s="29">
        <f t="shared" ca="1" si="38"/>
        <v>2</v>
      </c>
      <c r="J369">
        <f ca="1">IF(AND(SUMPRODUCT($J$2:J368,$B$2:B368)&lt;500,SUM(B368,SUMPRODUCT($J$2:J368,$B$2:B368))&lt;500),1,0)</f>
        <v>0</v>
      </c>
      <c r="K369">
        <v>2</v>
      </c>
      <c r="L369">
        <v>0</v>
      </c>
    </row>
    <row r="370" spans="1:12" x14ac:dyDescent="0.3">
      <c r="A370" s="31">
        <v>986</v>
      </c>
      <c r="B370" s="28">
        <v>1.8</v>
      </c>
      <c r="C370" s="30">
        <v>39.24</v>
      </c>
      <c r="D370" s="28">
        <v>0.92</v>
      </c>
      <c r="E370" s="34">
        <f t="shared" si="34"/>
        <v>1.84E-2</v>
      </c>
      <c r="F370" s="35">
        <f t="shared" si="35"/>
        <v>9.81</v>
      </c>
      <c r="G370" s="34">
        <f t="shared" si="36"/>
        <v>23</v>
      </c>
      <c r="H370" s="33">
        <f t="shared" si="37"/>
        <v>-5.45</v>
      </c>
      <c r="I370" s="29">
        <f t="shared" ca="1" si="38"/>
        <v>0</v>
      </c>
      <c r="J370">
        <f ca="1">IF(AND(SUMPRODUCT($J$2:J369,$B$2:B369)&lt;500,SUM(B369,SUMPRODUCT($J$2:J369,$B$2:B369))&lt;500),1,0)</f>
        <v>0</v>
      </c>
      <c r="K370">
        <v>0</v>
      </c>
      <c r="L370">
        <v>0</v>
      </c>
    </row>
    <row r="371" spans="1:12" x14ac:dyDescent="0.3">
      <c r="A371" s="31">
        <v>987</v>
      </c>
      <c r="B371" s="28">
        <v>2.71</v>
      </c>
      <c r="C371" s="30">
        <v>75.23</v>
      </c>
      <c r="D371" s="28">
        <v>0.86</v>
      </c>
      <c r="E371" s="34">
        <f t="shared" si="34"/>
        <v>1.72E-2</v>
      </c>
      <c r="F371" s="35">
        <f t="shared" si="35"/>
        <v>18.807500000000001</v>
      </c>
      <c r="G371" s="34">
        <f t="shared" si="36"/>
        <v>21.5</v>
      </c>
      <c r="H371" s="33">
        <f t="shared" si="37"/>
        <v>-6.9400369003690043</v>
      </c>
      <c r="I371" s="29">
        <f t="shared" ca="1" si="38"/>
        <v>0</v>
      </c>
      <c r="J371">
        <f ca="1">IF(AND(SUMPRODUCT($J$2:J370,$B$2:B370)&lt;500,SUM(B370,SUMPRODUCT($J$2:J370,$B$2:B370))&lt;500),1,0)</f>
        <v>0</v>
      </c>
      <c r="K371">
        <v>0</v>
      </c>
      <c r="L371">
        <v>0</v>
      </c>
    </row>
    <row r="372" spans="1:12" x14ac:dyDescent="0.3">
      <c r="A372" s="31">
        <v>991</v>
      </c>
      <c r="B372" s="28">
        <v>1.99</v>
      </c>
      <c r="C372" s="30">
        <v>63.63</v>
      </c>
      <c r="D372" s="28">
        <v>1.1399999999999999</v>
      </c>
      <c r="E372" s="34">
        <f t="shared" si="34"/>
        <v>2.2799999999999997E-2</v>
      </c>
      <c r="F372" s="35">
        <f t="shared" si="35"/>
        <v>15.907500000000001</v>
      </c>
      <c r="G372" s="34">
        <f t="shared" si="36"/>
        <v>28.499999999999996</v>
      </c>
      <c r="H372" s="33">
        <f t="shared" si="37"/>
        <v>29.694723618090453</v>
      </c>
      <c r="I372" s="29">
        <f t="shared" ca="1" si="38"/>
        <v>0</v>
      </c>
      <c r="J372">
        <f ca="1">IF(AND(SUMPRODUCT($J$2:J371,$B$2:B371)&lt;500,SUM(B371,SUMPRODUCT($J$2:J371,$B$2:B371))&lt;500),1,0)</f>
        <v>1</v>
      </c>
      <c r="K372">
        <v>3</v>
      </c>
      <c r="L372">
        <v>1</v>
      </c>
    </row>
    <row r="373" spans="1:12" x14ac:dyDescent="0.3">
      <c r="A373" s="31">
        <v>993</v>
      </c>
      <c r="B373" s="28">
        <v>5.47</v>
      </c>
      <c r="C373" s="30">
        <v>1.45</v>
      </c>
      <c r="D373" s="28">
        <v>0.56999999999999995</v>
      </c>
      <c r="E373" s="34">
        <f t="shared" si="34"/>
        <v>1.1399999999999999E-2</v>
      </c>
      <c r="F373" s="35">
        <f t="shared" si="35"/>
        <v>0.36249999999999999</v>
      </c>
      <c r="G373" s="34">
        <f t="shared" si="36"/>
        <v>14.249999999999998</v>
      </c>
      <c r="H373" s="33">
        <f t="shared" si="37"/>
        <v>4.5041133455210236</v>
      </c>
      <c r="I373" s="29">
        <f t="shared" ca="1" si="38"/>
        <v>0</v>
      </c>
      <c r="J373">
        <f ca="1">IF(AND(SUMPRODUCT($J$2:J372,$B$2:B372)&lt;500,SUM(B372,SUMPRODUCT($J$2:J372,$B$2:B372))&lt;500),1,0)</f>
        <v>0</v>
      </c>
      <c r="K373">
        <v>1</v>
      </c>
      <c r="L373">
        <v>0</v>
      </c>
    </row>
    <row r="374" spans="1:12" x14ac:dyDescent="0.3">
      <c r="A374" s="31">
        <v>998</v>
      </c>
      <c r="B374" s="28">
        <v>9.6999999999999993</v>
      </c>
      <c r="C374" s="30">
        <v>64.72</v>
      </c>
      <c r="D374" s="28">
        <v>3.22</v>
      </c>
      <c r="E374" s="34">
        <f t="shared" si="34"/>
        <v>6.4399999999999999E-2</v>
      </c>
      <c r="F374" s="35">
        <f t="shared" si="35"/>
        <v>16.18</v>
      </c>
      <c r="G374" s="34">
        <f t="shared" si="36"/>
        <v>80.5</v>
      </c>
      <c r="H374" s="33">
        <f t="shared" si="37"/>
        <v>3.4865979381443304</v>
      </c>
      <c r="I374" s="29">
        <f t="shared" ca="1" si="38"/>
        <v>5</v>
      </c>
      <c r="J374">
        <f ca="1">IF(AND(SUMPRODUCT($J$2:J373,$B$2:B373)&lt;500,SUM(B373,SUMPRODUCT($J$2:J373,$B$2:B373))&lt;500),1,0)</f>
        <v>0</v>
      </c>
      <c r="K374">
        <v>2</v>
      </c>
      <c r="L374">
        <v>0</v>
      </c>
    </row>
    <row r="375" spans="1:12" x14ac:dyDescent="0.3">
      <c r="A375" s="31">
        <v>1004</v>
      </c>
      <c r="B375" s="28">
        <v>2.72</v>
      </c>
      <c r="C375" s="30">
        <v>43.43</v>
      </c>
      <c r="D375" s="28">
        <v>0.64</v>
      </c>
      <c r="E375" s="34">
        <f t="shared" si="34"/>
        <v>1.2800000000000001E-2</v>
      </c>
      <c r="F375" s="35">
        <f t="shared" si="35"/>
        <v>10.8575</v>
      </c>
      <c r="G375" s="34">
        <f t="shared" si="36"/>
        <v>16</v>
      </c>
      <c r="H375" s="33">
        <f t="shared" si="37"/>
        <v>-3.9917279411764701</v>
      </c>
      <c r="I375" s="29">
        <f t="shared" ca="1" si="38"/>
        <v>1</v>
      </c>
      <c r="J375">
        <f ca="1">IF(AND(SUMPRODUCT($J$2:J374,$B$2:B374)&lt;500,SUM(B374,SUMPRODUCT($J$2:J374,$B$2:B374))&lt;500),1,0)</f>
        <v>0</v>
      </c>
      <c r="K375">
        <v>0</v>
      </c>
      <c r="L375">
        <v>0</v>
      </c>
    </row>
    <row r="376" spans="1:12" x14ac:dyDescent="0.3">
      <c r="A376" s="31">
        <v>1008</v>
      </c>
      <c r="B376" s="28">
        <v>2.96</v>
      </c>
      <c r="C376" s="30">
        <v>27.87</v>
      </c>
      <c r="D376" s="28">
        <v>2.0299999999999998</v>
      </c>
      <c r="E376" s="34">
        <f t="shared" si="34"/>
        <v>4.0599999999999997E-2</v>
      </c>
      <c r="F376" s="35">
        <f t="shared" si="35"/>
        <v>6.9675000000000002</v>
      </c>
      <c r="G376" s="34">
        <f t="shared" si="36"/>
        <v>50.749999999999993</v>
      </c>
      <c r="H376" s="33">
        <f t="shared" si="37"/>
        <v>-2.3538851351351351</v>
      </c>
      <c r="I376" s="29">
        <f t="shared" ca="1" si="38"/>
        <v>5</v>
      </c>
      <c r="J376">
        <f ca="1">IF(AND(SUMPRODUCT($J$2:J375,$B$2:B375)&lt;500,SUM(B375,SUMPRODUCT($J$2:J375,$B$2:B375))&lt;500),1,0)</f>
        <v>0</v>
      </c>
      <c r="K376">
        <v>0</v>
      </c>
      <c r="L376">
        <v>0</v>
      </c>
    </row>
    <row r="377" spans="1:12" x14ac:dyDescent="0.3">
      <c r="A377" s="31">
        <v>1010</v>
      </c>
      <c r="B377" s="28">
        <v>4.08</v>
      </c>
      <c r="C377" s="30">
        <v>59.35</v>
      </c>
      <c r="D377" s="28">
        <v>2.98</v>
      </c>
      <c r="E377" s="34">
        <f t="shared" si="34"/>
        <v>5.96E-2</v>
      </c>
      <c r="F377" s="35">
        <f t="shared" si="35"/>
        <v>14.8375</v>
      </c>
      <c r="G377" s="34">
        <f t="shared" si="36"/>
        <v>74.5</v>
      </c>
      <c r="H377" s="33">
        <f t="shared" si="37"/>
        <v>39.255514705882348</v>
      </c>
      <c r="I377" s="29">
        <f t="shared" ca="1" si="38"/>
        <v>3</v>
      </c>
      <c r="J377">
        <f ca="1">IF(AND(SUMPRODUCT($J$2:J376,$B$2:B376)&lt;500,SUM(B376,SUMPRODUCT($J$2:J376,$B$2:B376))&lt;500),1,0)</f>
        <v>1</v>
      </c>
      <c r="K377">
        <v>7</v>
      </c>
      <c r="L377">
        <v>1</v>
      </c>
    </row>
    <row r="378" spans="1:12" x14ac:dyDescent="0.3">
      <c r="A378" s="31">
        <v>1012</v>
      </c>
      <c r="B378" s="28">
        <v>3.65</v>
      </c>
      <c r="C378" s="30">
        <v>14.82</v>
      </c>
      <c r="D378" s="28">
        <v>2.67</v>
      </c>
      <c r="E378" s="34">
        <f t="shared" si="34"/>
        <v>5.3399999999999996E-2</v>
      </c>
      <c r="F378" s="35">
        <f t="shared" si="35"/>
        <v>3.7050000000000001</v>
      </c>
      <c r="G378" s="34">
        <f t="shared" si="36"/>
        <v>66.75</v>
      </c>
      <c r="H378" s="33">
        <f t="shared" si="37"/>
        <v>19.532876712328768</v>
      </c>
      <c r="I378" s="29">
        <f t="shared" ca="1" si="38"/>
        <v>1</v>
      </c>
      <c r="J378">
        <f ca="1">IF(AND(SUMPRODUCT($J$2:J377,$B$2:B377)&lt;500,SUM(B377,SUMPRODUCT($J$2:J377,$B$2:B377))&lt;500),1,0)</f>
        <v>1</v>
      </c>
      <c r="K378">
        <v>3</v>
      </c>
      <c r="L378">
        <v>1</v>
      </c>
    </row>
    <row r="379" spans="1:12" x14ac:dyDescent="0.3">
      <c r="A379" s="31">
        <v>1014</v>
      </c>
      <c r="B379" s="28">
        <v>0.87</v>
      </c>
      <c r="C379" s="30">
        <v>98.25</v>
      </c>
      <c r="D379" s="28">
        <v>3.2</v>
      </c>
      <c r="E379" s="34">
        <f t="shared" si="34"/>
        <v>6.4000000000000001E-2</v>
      </c>
      <c r="F379" s="35">
        <f t="shared" si="35"/>
        <v>24.5625</v>
      </c>
      <c r="G379" s="34">
        <f t="shared" si="36"/>
        <v>80</v>
      </c>
      <c r="H379" s="33">
        <f t="shared" si="37"/>
        <v>-28.232758620689655</v>
      </c>
      <c r="I379" s="29">
        <f t="shared" ca="1" si="38"/>
        <v>4</v>
      </c>
      <c r="J379">
        <f ca="1">IF(AND(SUMPRODUCT($J$2:J378,$B$2:B378)&lt;500,SUM(B378,SUMPRODUCT($J$2:J378,$B$2:B378))&lt;500),1,0)</f>
        <v>0</v>
      </c>
      <c r="K379">
        <v>0</v>
      </c>
      <c r="L379">
        <v>0</v>
      </c>
    </row>
    <row r="380" spans="1:12" x14ac:dyDescent="0.3">
      <c r="A380" s="31">
        <v>1015</v>
      </c>
      <c r="B380" s="28">
        <v>2.7</v>
      </c>
      <c r="C380" s="30">
        <v>11.07</v>
      </c>
      <c r="D380" s="28">
        <v>3.12</v>
      </c>
      <c r="E380" s="34">
        <f t="shared" si="34"/>
        <v>6.2400000000000004E-2</v>
      </c>
      <c r="F380" s="35">
        <f t="shared" si="35"/>
        <v>2.7675000000000001</v>
      </c>
      <c r="G380" s="34">
        <f t="shared" si="36"/>
        <v>78</v>
      </c>
      <c r="H380" s="33">
        <f t="shared" si="37"/>
        <v>8.2342592592592592</v>
      </c>
      <c r="I380" s="29">
        <f t="shared" ca="1" si="38"/>
        <v>6</v>
      </c>
      <c r="J380">
        <f ca="1">IF(AND(SUMPRODUCT($J$2:J379,$B$2:B379)&lt;500,SUM(B379,SUMPRODUCT($J$2:J379,$B$2:B379))&lt;500),1,0)</f>
        <v>0</v>
      </c>
      <c r="K380">
        <v>1</v>
      </c>
      <c r="L380">
        <v>0</v>
      </c>
    </row>
    <row r="381" spans="1:12" x14ac:dyDescent="0.3">
      <c r="A381" s="31">
        <v>1018</v>
      </c>
      <c r="B381" s="28">
        <v>2.2200000000000002</v>
      </c>
      <c r="C381" s="30">
        <v>79.040000000000006</v>
      </c>
      <c r="D381" s="28">
        <v>0.61</v>
      </c>
      <c r="E381" s="34">
        <f t="shared" si="34"/>
        <v>1.2199999999999999E-2</v>
      </c>
      <c r="F381" s="35">
        <f t="shared" si="35"/>
        <v>19.760000000000002</v>
      </c>
      <c r="G381" s="34">
        <f t="shared" si="36"/>
        <v>15.25</v>
      </c>
      <c r="H381" s="33">
        <f t="shared" si="37"/>
        <v>2.3603603603603593</v>
      </c>
      <c r="I381" s="29">
        <f t="shared" ca="1" si="38"/>
        <v>2</v>
      </c>
      <c r="J381">
        <f ca="1">IF(AND(SUMPRODUCT($J$2:J380,$B$2:B380)&lt;500,SUM(B380,SUMPRODUCT($J$2:J380,$B$2:B380))&lt;500),1,0)</f>
        <v>0</v>
      </c>
      <c r="K381">
        <v>1</v>
      </c>
      <c r="L381">
        <v>0</v>
      </c>
    </row>
    <row r="382" spans="1:12" x14ac:dyDescent="0.3">
      <c r="A382" s="31">
        <v>1019</v>
      </c>
      <c r="B382" s="28">
        <v>4.3899999999999997</v>
      </c>
      <c r="C382" s="30">
        <v>7.48</v>
      </c>
      <c r="D382" s="28">
        <v>2.33</v>
      </c>
      <c r="E382" s="34">
        <f t="shared" si="34"/>
        <v>4.6600000000000003E-2</v>
      </c>
      <c r="F382" s="35">
        <f t="shared" si="35"/>
        <v>1.87</v>
      </c>
      <c r="G382" s="34">
        <f t="shared" si="36"/>
        <v>58.25</v>
      </c>
      <c r="H382" s="33">
        <f t="shared" si="37"/>
        <v>5.2687927107061503</v>
      </c>
      <c r="I382" s="29">
        <f t="shared" ca="1" si="38"/>
        <v>6</v>
      </c>
      <c r="J382">
        <f ca="1">IF(AND(SUMPRODUCT($J$2:J381,$B$2:B381)&lt;500,SUM(B381,SUMPRODUCT($J$2:J381,$B$2:B381))&lt;500),1,0)</f>
        <v>0</v>
      </c>
      <c r="K382">
        <v>1</v>
      </c>
      <c r="L382">
        <v>0</v>
      </c>
    </row>
    <row r="383" spans="1:12" x14ac:dyDescent="0.3">
      <c r="A383" s="31">
        <v>1022</v>
      </c>
      <c r="B383" s="28">
        <v>3.28</v>
      </c>
      <c r="C383" s="30">
        <v>29.48</v>
      </c>
      <c r="D383" s="28">
        <v>0.43</v>
      </c>
      <c r="E383" s="34">
        <f t="shared" si="34"/>
        <v>8.6E-3</v>
      </c>
      <c r="F383" s="35">
        <f t="shared" si="35"/>
        <v>7.37</v>
      </c>
      <c r="G383" s="34">
        <f t="shared" si="36"/>
        <v>10.75</v>
      </c>
      <c r="H383" s="33">
        <f t="shared" si="37"/>
        <v>5.375</v>
      </c>
      <c r="I383" s="29">
        <f t="shared" ca="1" si="38"/>
        <v>0</v>
      </c>
      <c r="J383">
        <f ca="1">IF(AND(SUMPRODUCT($J$2:J382,$B$2:B382)&lt;500,SUM(B382,SUMPRODUCT($J$2:J382,$B$2:B382))&lt;500),1,0)</f>
        <v>0</v>
      </c>
      <c r="K383">
        <v>1</v>
      </c>
      <c r="L383">
        <v>0</v>
      </c>
    </row>
    <row r="384" spans="1:12" x14ac:dyDescent="0.3">
      <c r="A384" s="31">
        <v>1024</v>
      </c>
      <c r="B384" s="28">
        <v>2.7</v>
      </c>
      <c r="C384" s="30">
        <v>96.48</v>
      </c>
      <c r="D384" s="28">
        <v>2.76</v>
      </c>
      <c r="E384" s="34">
        <f t="shared" si="34"/>
        <v>5.5199999999999999E-2</v>
      </c>
      <c r="F384" s="35">
        <f t="shared" si="35"/>
        <v>24.12</v>
      </c>
      <c r="G384" s="34">
        <f t="shared" si="36"/>
        <v>69</v>
      </c>
      <c r="H384" s="33">
        <f t="shared" si="37"/>
        <v>9.5851851851851837</v>
      </c>
      <c r="I384" s="29">
        <f t="shared" ca="1" si="38"/>
        <v>4</v>
      </c>
      <c r="J384">
        <f ca="1">IF(AND(SUMPRODUCT($J$2:J383,$B$2:B383)&lt;500,SUM(B383,SUMPRODUCT($J$2:J383,$B$2:B383))&lt;500),1,0)</f>
        <v>0</v>
      </c>
      <c r="K384">
        <v>2</v>
      </c>
      <c r="L384">
        <v>0</v>
      </c>
    </row>
    <row r="385" spans="1:12" x14ac:dyDescent="0.3">
      <c r="A385" s="31">
        <v>1027</v>
      </c>
      <c r="B385" s="28">
        <v>6.67</v>
      </c>
      <c r="C385" s="30">
        <v>9.69</v>
      </c>
      <c r="D385" s="28">
        <v>3.23</v>
      </c>
      <c r="E385" s="34">
        <f t="shared" si="34"/>
        <v>6.4600000000000005E-2</v>
      </c>
      <c r="F385" s="35">
        <f t="shared" si="35"/>
        <v>2.4224999999999999</v>
      </c>
      <c r="G385" s="34">
        <f t="shared" si="36"/>
        <v>80.75</v>
      </c>
      <c r="H385" s="33">
        <f t="shared" si="37"/>
        <v>10.881184407796102</v>
      </c>
      <c r="I385" s="29">
        <f t="shared" ca="1" si="38"/>
        <v>5</v>
      </c>
      <c r="J385">
        <f ca="1">IF(AND(SUMPRODUCT($J$2:J384,$B$2:B384)&lt;500,SUM(B384,SUMPRODUCT($J$2:J384,$B$2:B384))&lt;500),1,0)</f>
        <v>0</v>
      </c>
      <c r="K385">
        <v>3</v>
      </c>
      <c r="L385">
        <v>0</v>
      </c>
    </row>
    <row r="386" spans="1:12" x14ac:dyDescent="0.3">
      <c r="A386" s="31">
        <v>1030</v>
      </c>
      <c r="B386" s="28">
        <v>6.07</v>
      </c>
      <c r="C386" s="30">
        <v>38.090000000000003</v>
      </c>
      <c r="D386" s="28">
        <v>2.84</v>
      </c>
      <c r="E386" s="34">
        <f t="shared" ref="E386:E417" si="39">D386/50</f>
        <v>5.6799999999999996E-2</v>
      </c>
      <c r="F386" s="35">
        <f t="shared" ref="F386:F417" si="40">0.25*C386</f>
        <v>9.5225000000000009</v>
      </c>
      <c r="G386" s="34">
        <f t="shared" ref="G386:G417" si="41">25*D386</f>
        <v>71</v>
      </c>
      <c r="H386" s="33">
        <f t="shared" ref="H386:H417" si="42">(25*K386-0.25*C386)/B386</f>
        <v>6.6684514003294888</v>
      </c>
      <c r="I386" s="29">
        <f t="shared" ref="I386:I417" ca="1" si="43">_xlfn.BINOM.INV(50,E386,RAND())</f>
        <v>2</v>
      </c>
      <c r="J386">
        <f ca="1">IF(AND(SUMPRODUCT($J$2:J385,$B$2:B385)&lt;500,SUM(B385,SUMPRODUCT($J$2:J385,$B$2:B385))&lt;500),1,0)</f>
        <v>0</v>
      </c>
      <c r="K386">
        <v>2</v>
      </c>
      <c r="L386">
        <v>0</v>
      </c>
    </row>
    <row r="387" spans="1:12" x14ac:dyDescent="0.3">
      <c r="A387" s="31">
        <v>1032</v>
      </c>
      <c r="B387" s="28">
        <v>6.77</v>
      </c>
      <c r="C387" s="30">
        <v>2.99</v>
      </c>
      <c r="D387" s="28">
        <v>2.54</v>
      </c>
      <c r="E387" s="34">
        <f t="shared" si="39"/>
        <v>5.0799999999999998E-2</v>
      </c>
      <c r="F387" s="35">
        <f t="shared" si="40"/>
        <v>0.74750000000000005</v>
      </c>
      <c r="G387" s="34">
        <f t="shared" si="41"/>
        <v>63.5</v>
      </c>
      <c r="H387" s="33">
        <f t="shared" si="42"/>
        <v>7.2751107828655837</v>
      </c>
      <c r="I387" s="29">
        <f t="shared" ca="1" si="43"/>
        <v>1</v>
      </c>
      <c r="J387">
        <f ca="1">IF(AND(SUMPRODUCT($J$2:J386,$B$2:B386)&lt;500,SUM(B386,SUMPRODUCT($J$2:J386,$B$2:B386))&lt;500),1,0)</f>
        <v>0</v>
      </c>
      <c r="K387">
        <v>2</v>
      </c>
      <c r="L387">
        <v>0</v>
      </c>
    </row>
    <row r="388" spans="1:12" x14ac:dyDescent="0.3">
      <c r="A388" s="31">
        <v>1035</v>
      </c>
      <c r="B388" s="28">
        <v>1.39</v>
      </c>
      <c r="C388" s="30">
        <v>1.23</v>
      </c>
      <c r="D388" s="28">
        <v>3.21</v>
      </c>
      <c r="E388" s="34">
        <f t="shared" si="39"/>
        <v>6.4199999999999993E-2</v>
      </c>
      <c r="F388" s="35">
        <f t="shared" si="40"/>
        <v>0.3075</v>
      </c>
      <c r="G388" s="34">
        <f t="shared" si="41"/>
        <v>80.25</v>
      </c>
      <c r="H388" s="33">
        <f t="shared" si="42"/>
        <v>17.764388489208635</v>
      </c>
      <c r="I388" s="29">
        <f t="shared" ca="1" si="43"/>
        <v>2</v>
      </c>
      <c r="J388">
        <f ca="1">IF(AND(SUMPRODUCT($J$2:J387,$B$2:B387)&lt;500,SUM(B387,SUMPRODUCT($J$2:J387,$B$2:B387))&lt;500),1,0)</f>
        <v>1</v>
      </c>
      <c r="K388">
        <v>1</v>
      </c>
      <c r="L388">
        <v>1</v>
      </c>
    </row>
    <row r="389" spans="1:12" x14ac:dyDescent="0.3">
      <c r="A389" s="31">
        <v>1039</v>
      </c>
      <c r="B389" s="28">
        <v>3.88</v>
      </c>
      <c r="C389" s="30">
        <v>0.95</v>
      </c>
      <c r="D389" s="28">
        <v>0.57999999999999996</v>
      </c>
      <c r="E389" s="34">
        <f t="shared" si="39"/>
        <v>1.1599999999999999E-2</v>
      </c>
      <c r="F389" s="35">
        <f t="shared" si="40"/>
        <v>0.23749999999999999</v>
      </c>
      <c r="G389" s="34">
        <f t="shared" si="41"/>
        <v>14.499999999999998</v>
      </c>
      <c r="H389" s="33">
        <f t="shared" si="42"/>
        <v>-6.1211340206185565E-2</v>
      </c>
      <c r="I389" s="29">
        <f t="shared" ca="1" si="43"/>
        <v>1</v>
      </c>
      <c r="J389">
        <f ca="1">IF(AND(SUMPRODUCT($J$2:J388,$B$2:B388)&lt;500,SUM(B388,SUMPRODUCT($J$2:J388,$B$2:B388))&lt;500),1,0)</f>
        <v>0</v>
      </c>
      <c r="K389">
        <v>0</v>
      </c>
      <c r="L389">
        <v>0</v>
      </c>
    </row>
    <row r="390" spans="1:12" x14ac:dyDescent="0.3">
      <c r="A390" s="31">
        <v>1044</v>
      </c>
      <c r="B390" s="28">
        <v>2.87</v>
      </c>
      <c r="C390" s="30">
        <v>93.16</v>
      </c>
      <c r="D390" s="28">
        <v>0.41</v>
      </c>
      <c r="E390" s="34">
        <f t="shared" si="39"/>
        <v>8.199999999999999E-3</v>
      </c>
      <c r="F390" s="35">
        <f t="shared" si="40"/>
        <v>23.29</v>
      </c>
      <c r="G390" s="34">
        <f t="shared" si="41"/>
        <v>10.25</v>
      </c>
      <c r="H390" s="33">
        <f t="shared" si="42"/>
        <v>9.3066202090592327</v>
      </c>
      <c r="I390" s="29">
        <f t="shared" ca="1" si="43"/>
        <v>0</v>
      </c>
      <c r="J390">
        <f ca="1">IF(AND(SUMPRODUCT($J$2:J389,$B$2:B389)&lt;500,SUM(B389,SUMPRODUCT($J$2:J389,$B$2:B389))&lt;500),1,0)</f>
        <v>0</v>
      </c>
      <c r="K390">
        <v>2</v>
      </c>
      <c r="L390">
        <v>0</v>
      </c>
    </row>
    <row r="391" spans="1:12" x14ac:dyDescent="0.3">
      <c r="A391" s="31">
        <v>1046</v>
      </c>
      <c r="B391" s="28">
        <v>1.94</v>
      </c>
      <c r="C391" s="30">
        <v>90.93</v>
      </c>
      <c r="D391" s="28">
        <v>3.07</v>
      </c>
      <c r="E391" s="34">
        <f t="shared" si="39"/>
        <v>6.1399999999999996E-2</v>
      </c>
      <c r="F391" s="35">
        <f t="shared" si="40"/>
        <v>22.732500000000002</v>
      </c>
      <c r="G391" s="34">
        <f t="shared" si="41"/>
        <v>76.75</v>
      </c>
      <c r="H391" s="33">
        <f t="shared" si="42"/>
        <v>14.05541237113402</v>
      </c>
      <c r="I391" s="29">
        <f t="shared" ca="1" si="43"/>
        <v>3</v>
      </c>
      <c r="J391">
        <f ca="1">IF(AND(SUMPRODUCT($J$2:J390,$B$2:B390)&lt;500,SUM(B390,SUMPRODUCT($J$2:J390,$B$2:B390))&lt;500),1,0)</f>
        <v>1</v>
      </c>
      <c r="K391">
        <v>2</v>
      </c>
      <c r="L391">
        <v>1</v>
      </c>
    </row>
    <row r="392" spans="1:12" x14ac:dyDescent="0.3">
      <c r="A392" s="31">
        <v>1047</v>
      </c>
      <c r="B392" s="28">
        <v>2.29</v>
      </c>
      <c r="C392" s="30">
        <v>57.06</v>
      </c>
      <c r="D392" s="28">
        <v>1.58</v>
      </c>
      <c r="E392" s="34">
        <f t="shared" si="39"/>
        <v>3.1600000000000003E-2</v>
      </c>
      <c r="F392" s="35">
        <f t="shared" si="40"/>
        <v>14.265000000000001</v>
      </c>
      <c r="G392" s="34">
        <f t="shared" si="41"/>
        <v>39.5</v>
      </c>
      <c r="H392" s="33">
        <f t="shared" si="42"/>
        <v>26.521834061135369</v>
      </c>
      <c r="I392" s="29">
        <f t="shared" ca="1" si="43"/>
        <v>1</v>
      </c>
      <c r="J392">
        <f ca="1">IF(AND(SUMPRODUCT($J$2:J391,$B$2:B391)&lt;500,SUM(B391,SUMPRODUCT($J$2:J391,$B$2:B391))&lt;500),1,0)</f>
        <v>1</v>
      </c>
      <c r="K392">
        <v>3</v>
      </c>
      <c r="L392">
        <v>1</v>
      </c>
    </row>
    <row r="393" spans="1:12" x14ac:dyDescent="0.3">
      <c r="A393" s="31">
        <v>1049</v>
      </c>
      <c r="B393" s="28">
        <v>7.1</v>
      </c>
      <c r="C393" s="30">
        <v>0.4</v>
      </c>
      <c r="D393" s="28">
        <v>1.35</v>
      </c>
      <c r="E393" s="34">
        <f t="shared" si="39"/>
        <v>2.7000000000000003E-2</v>
      </c>
      <c r="F393" s="35">
        <f t="shared" si="40"/>
        <v>0.1</v>
      </c>
      <c r="G393" s="34">
        <f t="shared" si="41"/>
        <v>33.75</v>
      </c>
      <c r="H393" s="33">
        <f t="shared" si="42"/>
        <v>3.5070422535211265</v>
      </c>
      <c r="I393" s="29">
        <f t="shared" ca="1" si="43"/>
        <v>0</v>
      </c>
      <c r="J393">
        <f ca="1">IF(AND(SUMPRODUCT($J$2:J392,$B$2:B392)&lt;500,SUM(B392,SUMPRODUCT($J$2:J392,$B$2:B392))&lt;500),1,0)</f>
        <v>0</v>
      </c>
      <c r="K393">
        <v>1</v>
      </c>
      <c r="L393">
        <v>0</v>
      </c>
    </row>
    <row r="394" spans="1:12" x14ac:dyDescent="0.3">
      <c r="A394" s="31">
        <v>1052</v>
      </c>
      <c r="B394" s="28">
        <v>5.22</v>
      </c>
      <c r="C394" s="30">
        <v>66.47</v>
      </c>
      <c r="D394" s="28">
        <v>3.19</v>
      </c>
      <c r="E394" s="34">
        <f t="shared" si="39"/>
        <v>6.3799999999999996E-2</v>
      </c>
      <c r="F394" s="35">
        <f t="shared" si="40"/>
        <v>16.6175</v>
      </c>
      <c r="G394" s="34">
        <f t="shared" si="41"/>
        <v>79.75</v>
      </c>
      <c r="H394" s="33">
        <f t="shared" si="42"/>
        <v>11.184386973180077</v>
      </c>
      <c r="I394" s="29">
        <f t="shared" ca="1" si="43"/>
        <v>2</v>
      </c>
      <c r="J394">
        <f ca="1">IF(AND(SUMPRODUCT($J$2:J393,$B$2:B393)&lt;500,SUM(B393,SUMPRODUCT($J$2:J393,$B$2:B393))&lt;500),1,0)</f>
        <v>0</v>
      </c>
      <c r="K394">
        <v>3</v>
      </c>
      <c r="L394">
        <v>0</v>
      </c>
    </row>
    <row r="395" spans="1:12" x14ac:dyDescent="0.3">
      <c r="A395" s="31">
        <v>1054</v>
      </c>
      <c r="B395" s="28">
        <v>8.39</v>
      </c>
      <c r="C395" s="30">
        <v>43.77</v>
      </c>
      <c r="D395" s="28">
        <v>2.98</v>
      </c>
      <c r="E395" s="34">
        <f t="shared" si="39"/>
        <v>5.96E-2</v>
      </c>
      <c r="F395" s="35">
        <f t="shared" si="40"/>
        <v>10.942500000000001</v>
      </c>
      <c r="G395" s="34">
        <f t="shared" si="41"/>
        <v>74.5</v>
      </c>
      <c r="H395" s="33">
        <f t="shared" si="42"/>
        <v>19.553933253873659</v>
      </c>
      <c r="I395" s="29">
        <f t="shared" ca="1" si="43"/>
        <v>2</v>
      </c>
      <c r="J395">
        <f ca="1">IF(AND(SUMPRODUCT($J$2:J394,$B$2:B394)&lt;500,SUM(B394,SUMPRODUCT($J$2:J394,$B$2:B394))&lt;500),1,0)</f>
        <v>1</v>
      </c>
      <c r="K395">
        <v>7</v>
      </c>
      <c r="L395">
        <v>1</v>
      </c>
    </row>
    <row r="396" spans="1:12" x14ac:dyDescent="0.3">
      <c r="A396" s="31">
        <v>1056</v>
      </c>
      <c r="B396" s="28">
        <v>1.95</v>
      </c>
      <c r="C396" s="30">
        <v>30.12</v>
      </c>
      <c r="D396" s="28">
        <v>0.83</v>
      </c>
      <c r="E396" s="34">
        <f t="shared" si="39"/>
        <v>1.66E-2</v>
      </c>
      <c r="F396" s="35">
        <f t="shared" si="40"/>
        <v>7.53</v>
      </c>
      <c r="G396" s="34">
        <f t="shared" si="41"/>
        <v>20.75</v>
      </c>
      <c r="H396" s="33">
        <f t="shared" si="42"/>
        <v>8.9589743589743591</v>
      </c>
      <c r="I396" s="29">
        <f t="shared" ca="1" si="43"/>
        <v>1</v>
      </c>
      <c r="J396">
        <f ca="1">IF(AND(SUMPRODUCT($J$2:J395,$B$2:B395)&lt;500,SUM(B395,SUMPRODUCT($J$2:J395,$B$2:B395))&lt;500),1,0)</f>
        <v>0</v>
      </c>
      <c r="K396">
        <v>1</v>
      </c>
      <c r="L396">
        <v>0</v>
      </c>
    </row>
    <row r="397" spans="1:12" x14ac:dyDescent="0.3">
      <c r="A397" s="31">
        <v>1063</v>
      </c>
      <c r="B397" s="28">
        <v>3.29</v>
      </c>
      <c r="C397" s="30">
        <v>70.209999999999994</v>
      </c>
      <c r="D397" s="28">
        <v>1.41</v>
      </c>
      <c r="E397" s="34">
        <f t="shared" si="39"/>
        <v>2.8199999999999999E-2</v>
      </c>
      <c r="F397" s="35">
        <f t="shared" si="40"/>
        <v>17.552499999999998</v>
      </c>
      <c r="G397" s="34">
        <f t="shared" si="41"/>
        <v>35.25</v>
      </c>
      <c r="H397" s="33">
        <f t="shared" si="42"/>
        <v>9.8624620060790296</v>
      </c>
      <c r="I397" s="29">
        <f t="shared" ca="1" si="43"/>
        <v>2</v>
      </c>
      <c r="J397">
        <f ca="1">IF(AND(SUMPRODUCT($J$2:J396,$B$2:B396)&lt;500,SUM(B396,SUMPRODUCT($J$2:J396,$B$2:B396))&lt;500),1,0)</f>
        <v>0</v>
      </c>
      <c r="K397">
        <v>2</v>
      </c>
      <c r="L397">
        <v>0</v>
      </c>
    </row>
    <row r="398" spans="1:12" x14ac:dyDescent="0.3">
      <c r="A398" s="31">
        <v>1064</v>
      </c>
      <c r="B398" s="28">
        <v>7.76</v>
      </c>
      <c r="C398" s="30">
        <v>74.09</v>
      </c>
      <c r="D398" s="28">
        <v>3.04</v>
      </c>
      <c r="E398" s="34">
        <f t="shared" si="39"/>
        <v>6.08E-2</v>
      </c>
      <c r="F398" s="35">
        <f t="shared" si="40"/>
        <v>18.522500000000001</v>
      </c>
      <c r="G398" s="34">
        <f t="shared" si="41"/>
        <v>76</v>
      </c>
      <c r="H398" s="33">
        <f t="shared" si="42"/>
        <v>7.2780283505154637</v>
      </c>
      <c r="I398" s="29">
        <f t="shared" ca="1" si="43"/>
        <v>1</v>
      </c>
      <c r="J398">
        <f ca="1">IF(AND(SUMPRODUCT($J$2:J397,$B$2:B397)&lt;500,SUM(B397,SUMPRODUCT($J$2:J397,$B$2:B397))&lt;500),1,0)</f>
        <v>0</v>
      </c>
      <c r="K398">
        <v>3</v>
      </c>
      <c r="L398">
        <v>0</v>
      </c>
    </row>
    <row r="399" spans="1:12" x14ac:dyDescent="0.3">
      <c r="A399" s="31">
        <v>1065</v>
      </c>
      <c r="B399" s="28">
        <v>2.13</v>
      </c>
      <c r="C399" s="30">
        <v>27.91</v>
      </c>
      <c r="D399" s="28">
        <v>1.71</v>
      </c>
      <c r="E399" s="34">
        <f t="shared" si="39"/>
        <v>3.4200000000000001E-2</v>
      </c>
      <c r="F399" s="35">
        <f t="shared" si="40"/>
        <v>6.9775</v>
      </c>
      <c r="G399" s="34">
        <f t="shared" si="41"/>
        <v>42.75</v>
      </c>
      <c r="H399" s="33">
        <f t="shared" si="42"/>
        <v>20.19835680751174</v>
      </c>
      <c r="I399" s="29">
        <f t="shared" ca="1" si="43"/>
        <v>0</v>
      </c>
      <c r="J399">
        <f ca="1">IF(AND(SUMPRODUCT($J$2:J398,$B$2:B398)&lt;500,SUM(B398,SUMPRODUCT($J$2:J398,$B$2:B398))&lt;500),1,0)</f>
        <v>1</v>
      </c>
      <c r="K399">
        <v>2</v>
      </c>
      <c r="L399">
        <v>1</v>
      </c>
    </row>
    <row r="400" spans="1:12" x14ac:dyDescent="0.3">
      <c r="A400" s="31">
        <v>1067</v>
      </c>
      <c r="B400" s="28">
        <v>3.11</v>
      </c>
      <c r="C400" s="30">
        <v>83.77</v>
      </c>
      <c r="D400" s="28">
        <v>1.34</v>
      </c>
      <c r="E400" s="34">
        <f t="shared" si="39"/>
        <v>2.6800000000000001E-2</v>
      </c>
      <c r="F400" s="35">
        <f t="shared" si="40"/>
        <v>20.942499999999999</v>
      </c>
      <c r="G400" s="34">
        <f t="shared" si="41"/>
        <v>33.5</v>
      </c>
      <c r="H400" s="33">
        <f t="shared" si="42"/>
        <v>1.3046623794212222</v>
      </c>
      <c r="I400" s="29">
        <f t="shared" ca="1" si="43"/>
        <v>0</v>
      </c>
      <c r="J400">
        <f ca="1">IF(AND(SUMPRODUCT($J$2:J399,$B$2:B399)&lt;500,SUM(B399,SUMPRODUCT($J$2:J399,$B$2:B399))&lt;500),1,0)</f>
        <v>0</v>
      </c>
      <c r="K400">
        <v>1</v>
      </c>
      <c r="L400">
        <v>0</v>
      </c>
    </row>
    <row r="401" spans="1:12" x14ac:dyDescent="0.3">
      <c r="A401" s="31">
        <v>1074</v>
      </c>
      <c r="B401" s="28">
        <v>5.72</v>
      </c>
      <c r="C401" s="30">
        <v>6.1</v>
      </c>
      <c r="D401" s="28">
        <v>1.2</v>
      </c>
      <c r="E401" s="34">
        <f t="shared" si="39"/>
        <v>2.4E-2</v>
      </c>
      <c r="F401" s="35">
        <f t="shared" si="40"/>
        <v>1.5249999999999999</v>
      </c>
      <c r="G401" s="34">
        <f t="shared" si="41"/>
        <v>30</v>
      </c>
      <c r="H401" s="33">
        <f t="shared" si="42"/>
        <v>4.1040209790209792</v>
      </c>
      <c r="I401" s="29">
        <f t="shared" ca="1" si="43"/>
        <v>3</v>
      </c>
      <c r="J401">
        <f ca="1">IF(AND(SUMPRODUCT($J$2:J400,$B$2:B400)&lt;500,SUM(B400,SUMPRODUCT($J$2:J400,$B$2:B400))&lt;500),1,0)</f>
        <v>0</v>
      </c>
      <c r="K401">
        <v>1</v>
      </c>
      <c r="L401">
        <v>0</v>
      </c>
    </row>
    <row r="402" spans="1:12" x14ac:dyDescent="0.3">
      <c r="A402" s="31">
        <v>1078</v>
      </c>
      <c r="B402" s="28">
        <v>3.08</v>
      </c>
      <c r="C402" s="30">
        <v>86.81</v>
      </c>
      <c r="D402" s="28">
        <v>2.25</v>
      </c>
      <c r="E402" s="34">
        <f t="shared" si="39"/>
        <v>4.4999999999999998E-2</v>
      </c>
      <c r="F402" s="35">
        <f t="shared" si="40"/>
        <v>21.702500000000001</v>
      </c>
      <c r="G402" s="34">
        <f t="shared" si="41"/>
        <v>56.25</v>
      </c>
      <c r="H402" s="33">
        <f t="shared" si="42"/>
        <v>17.304383116883116</v>
      </c>
      <c r="I402" s="29">
        <f t="shared" ca="1" si="43"/>
        <v>3</v>
      </c>
      <c r="J402">
        <f ca="1">IF(AND(SUMPRODUCT($J$2:J401,$B$2:B401)&lt;500,SUM(B401,SUMPRODUCT($J$2:J401,$B$2:B401))&lt;500),1,0)</f>
        <v>1</v>
      </c>
      <c r="K402">
        <v>3</v>
      </c>
      <c r="L402">
        <v>1</v>
      </c>
    </row>
    <row r="403" spans="1:12" x14ac:dyDescent="0.3">
      <c r="A403" s="31">
        <v>1082</v>
      </c>
      <c r="B403" s="28">
        <v>1.36</v>
      </c>
      <c r="C403" s="30">
        <v>84.02</v>
      </c>
      <c r="D403" s="28">
        <v>1.2</v>
      </c>
      <c r="E403" s="34">
        <f t="shared" si="39"/>
        <v>2.4E-2</v>
      </c>
      <c r="F403" s="35">
        <f t="shared" si="40"/>
        <v>21.004999999999999</v>
      </c>
      <c r="G403" s="34">
        <f t="shared" si="41"/>
        <v>30</v>
      </c>
      <c r="H403" s="33">
        <f t="shared" si="42"/>
        <v>21.319852941176471</v>
      </c>
      <c r="I403" s="29">
        <f t="shared" ca="1" si="43"/>
        <v>0</v>
      </c>
      <c r="J403">
        <f ca="1">IF(AND(SUMPRODUCT($J$2:J402,$B$2:B402)&lt;500,SUM(B402,SUMPRODUCT($J$2:J402,$B$2:B402))&lt;500),1,0)</f>
        <v>1</v>
      </c>
      <c r="K403">
        <v>2</v>
      </c>
      <c r="L403">
        <v>1</v>
      </c>
    </row>
    <row r="404" spans="1:12" x14ac:dyDescent="0.3">
      <c r="A404" s="31">
        <v>1085</v>
      </c>
      <c r="B404" s="28">
        <v>2.41</v>
      </c>
      <c r="C404" s="30">
        <v>87.69</v>
      </c>
      <c r="D404" s="28">
        <v>1.23</v>
      </c>
      <c r="E404" s="34">
        <f t="shared" si="39"/>
        <v>2.46E-2</v>
      </c>
      <c r="F404" s="35">
        <f t="shared" si="40"/>
        <v>21.922499999999999</v>
      </c>
      <c r="G404" s="34">
        <f t="shared" si="41"/>
        <v>30.75</v>
      </c>
      <c r="H404" s="33">
        <f t="shared" si="42"/>
        <v>11.650414937759336</v>
      </c>
      <c r="I404" s="29">
        <f t="shared" ca="1" si="43"/>
        <v>2</v>
      </c>
      <c r="J404">
        <f ca="1">IF(AND(SUMPRODUCT($J$2:J403,$B$2:B403)&lt;500,SUM(B403,SUMPRODUCT($J$2:J403,$B$2:B403))&lt;500),1,0)</f>
        <v>0</v>
      </c>
      <c r="K404">
        <v>2</v>
      </c>
      <c r="L404">
        <v>0</v>
      </c>
    </row>
    <row r="405" spans="1:12" x14ac:dyDescent="0.3">
      <c r="A405" s="31">
        <v>1086</v>
      </c>
      <c r="B405" s="28">
        <v>3.65</v>
      </c>
      <c r="C405" s="30">
        <v>34.619999999999997</v>
      </c>
      <c r="D405" s="28">
        <v>2.5299999999999998</v>
      </c>
      <c r="E405" s="34">
        <f t="shared" si="39"/>
        <v>5.0599999999999999E-2</v>
      </c>
      <c r="F405" s="35">
        <f t="shared" si="40"/>
        <v>8.6549999999999994</v>
      </c>
      <c r="G405" s="34">
        <f t="shared" si="41"/>
        <v>63.249999999999993</v>
      </c>
      <c r="H405" s="33">
        <f t="shared" si="42"/>
        <v>31.875342465753427</v>
      </c>
      <c r="I405" s="29">
        <f t="shared" ca="1" si="43"/>
        <v>3</v>
      </c>
      <c r="J405">
        <f ca="1">IF(AND(SUMPRODUCT($J$2:J404,$B$2:B404)&lt;500,SUM(B404,SUMPRODUCT($J$2:J404,$B$2:B404))&lt;500),1,0)</f>
        <v>1</v>
      </c>
      <c r="K405">
        <v>5</v>
      </c>
      <c r="L405">
        <v>1</v>
      </c>
    </row>
    <row r="406" spans="1:12" x14ac:dyDescent="0.3">
      <c r="A406" s="31">
        <v>1087</v>
      </c>
      <c r="B406" s="28">
        <v>1.68</v>
      </c>
      <c r="C406" s="30">
        <v>17.54</v>
      </c>
      <c r="D406" s="28">
        <v>0.91</v>
      </c>
      <c r="E406" s="34">
        <f t="shared" si="39"/>
        <v>1.8200000000000001E-2</v>
      </c>
      <c r="F406" s="35">
        <f t="shared" si="40"/>
        <v>4.3849999999999998</v>
      </c>
      <c r="G406" s="34">
        <f t="shared" si="41"/>
        <v>22.75</v>
      </c>
      <c r="H406" s="33">
        <f t="shared" si="42"/>
        <v>12.270833333333336</v>
      </c>
      <c r="I406" s="29">
        <f t="shared" ca="1" si="43"/>
        <v>0</v>
      </c>
      <c r="J406">
        <f ca="1">IF(AND(SUMPRODUCT($J$2:J405,$B$2:B405)&lt;500,SUM(B405,SUMPRODUCT($J$2:J405,$B$2:B405))&lt;500),1,0)</f>
        <v>1</v>
      </c>
      <c r="K406">
        <v>1</v>
      </c>
      <c r="L406">
        <v>1</v>
      </c>
    </row>
    <row r="407" spans="1:12" x14ac:dyDescent="0.3">
      <c r="A407" s="31">
        <v>1088</v>
      </c>
      <c r="B407" s="28">
        <v>8.34</v>
      </c>
      <c r="C407" s="30">
        <v>6.39</v>
      </c>
      <c r="D407" s="28">
        <v>2.29</v>
      </c>
      <c r="E407" s="34">
        <f t="shared" si="39"/>
        <v>4.58E-2</v>
      </c>
      <c r="F407" s="35">
        <f t="shared" si="40"/>
        <v>1.5974999999999999</v>
      </c>
      <c r="G407" s="34">
        <f t="shared" si="41"/>
        <v>57.25</v>
      </c>
      <c r="H407" s="33">
        <f t="shared" si="42"/>
        <v>2.8060551558753</v>
      </c>
      <c r="I407" s="29">
        <f t="shared" ca="1" si="43"/>
        <v>2</v>
      </c>
      <c r="J407">
        <f ca="1">IF(AND(SUMPRODUCT($J$2:J406,$B$2:B406)&lt;500,SUM(B406,SUMPRODUCT($J$2:J406,$B$2:B406))&lt;500),1,0)</f>
        <v>0</v>
      </c>
      <c r="K407">
        <v>1</v>
      </c>
      <c r="L407">
        <v>0</v>
      </c>
    </row>
    <row r="408" spans="1:12" x14ac:dyDescent="0.3">
      <c r="A408" s="31">
        <v>1091</v>
      </c>
      <c r="B408" s="28">
        <v>1.84</v>
      </c>
      <c r="C408" s="30">
        <v>88.95</v>
      </c>
      <c r="D408" s="28">
        <v>0.87</v>
      </c>
      <c r="E408" s="34">
        <f t="shared" si="39"/>
        <v>1.7399999999999999E-2</v>
      </c>
      <c r="F408" s="35">
        <f t="shared" si="40"/>
        <v>22.237500000000001</v>
      </c>
      <c r="G408" s="34">
        <f t="shared" si="41"/>
        <v>21.75</v>
      </c>
      <c r="H408" s="33">
        <f t="shared" si="42"/>
        <v>15.088315217391303</v>
      </c>
      <c r="I408" s="29">
        <f t="shared" ca="1" si="43"/>
        <v>2</v>
      </c>
      <c r="J408">
        <f ca="1">IF(AND(SUMPRODUCT($J$2:J407,$B$2:B407)&lt;500,SUM(B407,SUMPRODUCT($J$2:J407,$B$2:B407))&lt;500),1,0)</f>
        <v>1</v>
      </c>
      <c r="K408">
        <v>2</v>
      </c>
      <c r="L408">
        <v>1</v>
      </c>
    </row>
    <row r="409" spans="1:12" x14ac:dyDescent="0.3">
      <c r="A409" s="31">
        <v>1094</v>
      </c>
      <c r="B409" s="28">
        <v>1.76</v>
      </c>
      <c r="C409" s="30">
        <v>63.94</v>
      </c>
      <c r="D409" s="28">
        <v>1.18</v>
      </c>
      <c r="E409" s="34">
        <f t="shared" si="39"/>
        <v>2.3599999999999999E-2</v>
      </c>
      <c r="F409" s="35">
        <f t="shared" si="40"/>
        <v>15.984999999999999</v>
      </c>
      <c r="G409" s="34">
        <f t="shared" si="41"/>
        <v>29.5</v>
      </c>
      <c r="H409" s="33">
        <f t="shared" si="42"/>
        <v>-9.0823863636363633</v>
      </c>
      <c r="I409" s="29">
        <f t="shared" ca="1" si="43"/>
        <v>1</v>
      </c>
      <c r="J409">
        <f ca="1">IF(AND(SUMPRODUCT($J$2:J408,$B$2:B408)&lt;500,SUM(B408,SUMPRODUCT($J$2:J408,$B$2:B408))&lt;500),1,0)</f>
        <v>0</v>
      </c>
      <c r="K409">
        <v>0</v>
      </c>
      <c r="L409">
        <v>0</v>
      </c>
    </row>
    <row r="410" spans="1:12" x14ac:dyDescent="0.3">
      <c r="A410" s="31">
        <v>1097</v>
      </c>
      <c r="B410" s="28">
        <v>9.33</v>
      </c>
      <c r="C410" s="30">
        <v>20.76</v>
      </c>
      <c r="D410" s="28">
        <v>2.75</v>
      </c>
      <c r="E410" s="34">
        <f t="shared" si="39"/>
        <v>5.5E-2</v>
      </c>
      <c r="F410" s="35">
        <f t="shared" si="40"/>
        <v>5.19</v>
      </c>
      <c r="G410" s="34">
        <f t="shared" si="41"/>
        <v>68.75</v>
      </c>
      <c r="H410" s="33">
        <f t="shared" si="42"/>
        <v>15.520900321543408</v>
      </c>
      <c r="I410" s="29">
        <f t="shared" ca="1" si="43"/>
        <v>3</v>
      </c>
      <c r="J410">
        <f ca="1">IF(AND(SUMPRODUCT($J$2:J409,$B$2:B409)&lt;500,SUM(B409,SUMPRODUCT($J$2:J409,$B$2:B409))&lt;500),1,0)</f>
        <v>1</v>
      </c>
      <c r="K410">
        <v>6</v>
      </c>
      <c r="L410">
        <v>1</v>
      </c>
    </row>
    <row r="411" spans="1:12" x14ac:dyDescent="0.3">
      <c r="A411" s="31">
        <v>1098</v>
      </c>
      <c r="B411" s="28">
        <v>2.94</v>
      </c>
      <c r="C411" s="30">
        <v>74.040000000000006</v>
      </c>
      <c r="D411" s="28">
        <v>0.8</v>
      </c>
      <c r="E411" s="34">
        <f t="shared" si="39"/>
        <v>1.6E-2</v>
      </c>
      <c r="F411" s="35">
        <f t="shared" si="40"/>
        <v>18.510000000000002</v>
      </c>
      <c r="G411" s="34">
        <f t="shared" si="41"/>
        <v>20</v>
      </c>
      <c r="H411" s="33">
        <f t="shared" si="42"/>
        <v>-6.295918367346939</v>
      </c>
      <c r="I411" s="29">
        <f t="shared" ca="1" si="43"/>
        <v>0</v>
      </c>
      <c r="J411">
        <f ca="1">IF(AND(SUMPRODUCT($J$2:J410,$B$2:B410)&lt;500,SUM(B410,SUMPRODUCT($J$2:J410,$B$2:B410))&lt;500),1,0)</f>
        <v>0</v>
      </c>
      <c r="K411">
        <v>0</v>
      </c>
      <c r="L411">
        <v>0</v>
      </c>
    </row>
    <row r="412" spans="1:12" x14ac:dyDescent="0.3">
      <c r="A412" s="31">
        <v>1100</v>
      </c>
      <c r="B412" s="28">
        <v>2.75</v>
      </c>
      <c r="C412" s="30">
        <v>7.42</v>
      </c>
      <c r="D412" s="28">
        <v>2.11</v>
      </c>
      <c r="E412" s="34">
        <f t="shared" si="39"/>
        <v>4.2199999999999994E-2</v>
      </c>
      <c r="F412" s="35">
        <f t="shared" si="40"/>
        <v>1.855</v>
      </c>
      <c r="G412" s="34">
        <f t="shared" si="41"/>
        <v>52.75</v>
      </c>
      <c r="H412" s="33">
        <f t="shared" si="42"/>
        <v>26.598181818181818</v>
      </c>
      <c r="I412" s="29">
        <f t="shared" ca="1" si="43"/>
        <v>6</v>
      </c>
      <c r="J412">
        <f ca="1">IF(AND(SUMPRODUCT($J$2:J411,$B$2:B411)&lt;500,SUM(B411,SUMPRODUCT($J$2:J411,$B$2:B411))&lt;500),1,0)</f>
        <v>1</v>
      </c>
      <c r="K412">
        <v>3</v>
      </c>
      <c r="L412">
        <v>1</v>
      </c>
    </row>
    <row r="413" spans="1:12" x14ac:dyDescent="0.3">
      <c r="A413" s="31">
        <v>1101</v>
      </c>
      <c r="B413" s="28">
        <v>2.37</v>
      </c>
      <c r="C413" s="30">
        <v>67.95</v>
      </c>
      <c r="D413" s="28">
        <v>1.41</v>
      </c>
      <c r="E413" s="34">
        <f t="shared" si="39"/>
        <v>2.8199999999999999E-2</v>
      </c>
      <c r="F413" s="35">
        <f t="shared" si="40"/>
        <v>16.987500000000001</v>
      </c>
      <c r="G413" s="34">
        <f t="shared" si="41"/>
        <v>35.25</v>
      </c>
      <c r="H413" s="33">
        <f t="shared" si="42"/>
        <v>-7.1677215189873413</v>
      </c>
      <c r="I413" s="29">
        <f t="shared" ca="1" si="43"/>
        <v>3</v>
      </c>
      <c r="J413">
        <f ca="1">IF(AND(SUMPRODUCT($J$2:J412,$B$2:B412)&lt;500,SUM(B412,SUMPRODUCT($J$2:J412,$B$2:B412))&lt;500),1,0)</f>
        <v>0</v>
      </c>
      <c r="K413">
        <v>0</v>
      </c>
      <c r="L413">
        <v>0</v>
      </c>
    </row>
    <row r="414" spans="1:12" x14ac:dyDescent="0.3">
      <c r="A414" s="31">
        <v>1104</v>
      </c>
      <c r="B414" s="28">
        <v>0.7</v>
      </c>
      <c r="C414" s="30">
        <v>95.35</v>
      </c>
      <c r="D414" s="28">
        <v>1.06</v>
      </c>
      <c r="E414" s="34">
        <f t="shared" si="39"/>
        <v>2.12E-2</v>
      </c>
      <c r="F414" s="35">
        <f t="shared" si="40"/>
        <v>23.837499999999999</v>
      </c>
      <c r="G414" s="34">
        <f t="shared" si="41"/>
        <v>26.5</v>
      </c>
      <c r="H414" s="33">
        <f t="shared" si="42"/>
        <v>73.089285714285722</v>
      </c>
      <c r="I414" s="29">
        <f t="shared" ca="1" si="43"/>
        <v>2</v>
      </c>
      <c r="J414">
        <f ca="1">IF(AND(SUMPRODUCT($J$2:J413,$B$2:B413)&lt;500,SUM(B413,SUMPRODUCT($J$2:J413,$B$2:B413))&lt;500),1,0)</f>
        <v>1</v>
      </c>
      <c r="K414">
        <v>3</v>
      </c>
      <c r="L414">
        <v>1</v>
      </c>
    </row>
    <row r="415" spans="1:12" x14ac:dyDescent="0.3">
      <c r="A415" s="31">
        <v>1106</v>
      </c>
      <c r="B415" s="28">
        <v>3.07</v>
      </c>
      <c r="C415" s="30">
        <v>53.77</v>
      </c>
      <c r="D415" s="28">
        <v>1.31</v>
      </c>
      <c r="E415" s="34">
        <f t="shared" si="39"/>
        <v>2.6200000000000001E-2</v>
      </c>
      <c r="F415" s="35">
        <f t="shared" si="40"/>
        <v>13.442500000000001</v>
      </c>
      <c r="G415" s="34">
        <f t="shared" si="41"/>
        <v>32.75</v>
      </c>
      <c r="H415" s="33">
        <f t="shared" si="42"/>
        <v>11.907980456026058</v>
      </c>
      <c r="I415" s="29">
        <f t="shared" ca="1" si="43"/>
        <v>2</v>
      </c>
      <c r="J415">
        <f ca="1">IF(AND(SUMPRODUCT($J$2:J414,$B$2:B414)&lt;500,SUM(B414,SUMPRODUCT($J$2:J414,$B$2:B414))&lt;500),1,0)</f>
        <v>0</v>
      </c>
      <c r="K415">
        <v>2</v>
      </c>
      <c r="L415">
        <v>0</v>
      </c>
    </row>
    <row r="416" spans="1:12" x14ac:dyDescent="0.3">
      <c r="A416" s="31">
        <v>1109</v>
      </c>
      <c r="B416" s="28">
        <v>0.81</v>
      </c>
      <c r="C416" s="30">
        <v>44.21</v>
      </c>
      <c r="D416" s="28">
        <v>2.72</v>
      </c>
      <c r="E416" s="34">
        <f t="shared" si="39"/>
        <v>5.4400000000000004E-2</v>
      </c>
      <c r="F416" s="35">
        <f t="shared" si="40"/>
        <v>11.0525</v>
      </c>
      <c r="G416" s="34">
        <f t="shared" si="41"/>
        <v>68</v>
      </c>
      <c r="H416" s="33">
        <f t="shared" si="42"/>
        <v>-13.645061728395062</v>
      </c>
      <c r="I416" s="29">
        <f t="shared" ca="1" si="43"/>
        <v>2</v>
      </c>
      <c r="J416">
        <f ca="1">IF(AND(SUMPRODUCT($J$2:J415,$B$2:B415)&lt;500,SUM(B415,SUMPRODUCT($J$2:J415,$B$2:B415))&lt;500),1,0)</f>
        <v>0</v>
      </c>
      <c r="K416">
        <v>0</v>
      </c>
      <c r="L416">
        <v>0</v>
      </c>
    </row>
    <row r="417" spans="1:12" x14ac:dyDescent="0.3">
      <c r="A417" s="31">
        <v>1115</v>
      </c>
      <c r="B417" s="28">
        <v>1.62</v>
      </c>
      <c r="C417" s="30">
        <v>77.849999999999994</v>
      </c>
      <c r="D417" s="28">
        <v>1.58</v>
      </c>
      <c r="E417" s="34">
        <f t="shared" si="39"/>
        <v>3.1600000000000003E-2</v>
      </c>
      <c r="F417" s="35">
        <f t="shared" si="40"/>
        <v>19.462499999999999</v>
      </c>
      <c r="G417" s="34">
        <f t="shared" si="41"/>
        <v>39.5</v>
      </c>
      <c r="H417" s="33">
        <f t="shared" si="42"/>
        <v>18.850308641975307</v>
      </c>
      <c r="I417" s="29">
        <f t="shared" ca="1" si="43"/>
        <v>1</v>
      </c>
      <c r="J417">
        <f ca="1">IF(AND(SUMPRODUCT($J$2:J416,$B$2:B416)&lt;500,SUM(B416,SUMPRODUCT($J$2:J416,$B$2:B416))&lt;500),1,0)</f>
        <v>1</v>
      </c>
      <c r="K417">
        <v>2</v>
      </c>
      <c r="L417">
        <v>1</v>
      </c>
    </row>
    <row r="421" spans="1:12" x14ac:dyDescent="0.3">
      <c r="E421" t="s">
        <v>145</v>
      </c>
    </row>
  </sheetData>
  <sortState xmlns:xlrd2="http://schemas.microsoft.com/office/spreadsheetml/2017/richdata2" ref="A2:L417">
    <sortCondition ref="A2:A417"/>
  </sortState>
  <phoneticPr fontId="8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417"/>
  <sheetViews>
    <sheetView topLeftCell="G1" zoomScale="130" zoomScaleNormal="130" workbookViewId="0">
      <selection activeCell="M14" sqref="M14"/>
    </sheetView>
  </sheetViews>
  <sheetFormatPr defaultColWidth="8.77734375" defaultRowHeight="14.4" x14ac:dyDescent="0.3"/>
  <cols>
    <col min="2" max="2" width="14.44140625" style="8" customWidth="1"/>
    <col min="3" max="3" width="12" style="7" customWidth="1"/>
    <col min="4" max="4" width="16" customWidth="1"/>
    <col min="5" max="5" width="37.109375" bestFit="1" customWidth="1"/>
    <col min="6" max="6" width="20.109375" bestFit="1" customWidth="1"/>
    <col min="7" max="7" width="27.6640625" bestFit="1" customWidth="1"/>
    <col min="8" max="8" width="15.44140625" bestFit="1" customWidth="1"/>
    <col min="9" max="9" width="14.33203125" bestFit="1" customWidth="1"/>
    <col min="11" max="11" width="25.77734375" bestFit="1" customWidth="1"/>
  </cols>
  <sheetData>
    <row r="1" spans="1:21" x14ac:dyDescent="0.3">
      <c r="A1" s="16" t="s">
        <v>0</v>
      </c>
      <c r="B1" s="23" t="s">
        <v>1</v>
      </c>
      <c r="C1" s="24" t="s">
        <v>2</v>
      </c>
      <c r="D1" s="16" t="s">
        <v>4</v>
      </c>
      <c r="E1" s="20" t="s">
        <v>7</v>
      </c>
      <c r="F1" s="20" t="s">
        <v>5</v>
      </c>
      <c r="G1" s="20" t="s">
        <v>6</v>
      </c>
      <c r="H1" s="21" t="s">
        <v>19</v>
      </c>
      <c r="I1" s="20" t="s">
        <v>20</v>
      </c>
      <c r="J1" s="18" t="s">
        <v>8</v>
      </c>
      <c r="K1" s="19" t="s">
        <v>21</v>
      </c>
    </row>
    <row r="2" spans="1:21" ht="15" thickBot="1" x14ac:dyDescent="0.35">
      <c r="A2">
        <v>423</v>
      </c>
      <c r="B2" s="3">
        <v>1.393934377638294</v>
      </c>
      <c r="C2" s="2">
        <v>1.2335276551146634</v>
      </c>
      <c r="D2" s="1">
        <v>3.2110051583354786</v>
      </c>
      <c r="E2" s="1">
        <f t="shared" ref="E2:E65" si="0">D2/50</f>
        <v>6.4220103166709577E-2</v>
      </c>
      <c r="F2" s="10">
        <f t="shared" ref="F2:F65" si="1">0.25*C2</f>
        <v>0.30838191377866586</v>
      </c>
      <c r="G2" s="3">
        <f t="shared" ref="G2:G65" si="2">25*E2</f>
        <v>1.6055025791677395</v>
      </c>
      <c r="H2" s="22">
        <f>(G2-F2)/B2</f>
        <v>0.93054643475164933</v>
      </c>
      <c r="I2" s="3">
        <f>B2</f>
        <v>1.393934377638294</v>
      </c>
      <c r="J2" s="12">
        <f>IF(I2 &lt;= 500, 1, 0)</f>
        <v>1</v>
      </c>
      <c r="K2">
        <f>IF(J2 = 1, F2, G2)</f>
        <v>0.30838191377866586</v>
      </c>
    </row>
    <row r="3" spans="1:21" ht="14.55" customHeight="1" x14ac:dyDescent="0.3">
      <c r="A3">
        <v>86</v>
      </c>
      <c r="B3" s="3">
        <v>0.91356623421294469</v>
      </c>
      <c r="C3" s="2">
        <v>1.6885604048754499</v>
      </c>
      <c r="D3" s="1">
        <v>1.7464155704895665</v>
      </c>
      <c r="E3" s="1">
        <f t="shared" si="0"/>
        <v>3.4928311409791329E-2</v>
      </c>
      <c r="F3" s="10">
        <f t="shared" si="1"/>
        <v>0.42214010121886247</v>
      </c>
      <c r="G3" s="3">
        <f t="shared" si="2"/>
        <v>0.87320778524478326</v>
      </c>
      <c r="H3" s="22">
        <f t="shared" ref="H3:H65" si="3">(G3-F3)/B3</f>
        <v>0.49374382188558502</v>
      </c>
      <c r="I3" s="3">
        <f>B3+I2</f>
        <v>2.3075006118512387</v>
      </c>
      <c r="J3" s="12">
        <f t="shared" ref="J3:J66" si="4">IF(I3 &lt;= 500, 1, 0)</f>
        <v>1</v>
      </c>
      <c r="K3">
        <f t="shared" ref="K3:K65" si="5">IF(J3 = 1, F3, G3)</f>
        <v>0.42214010121886247</v>
      </c>
      <c r="M3" s="16" t="s">
        <v>14</v>
      </c>
      <c r="N3">
        <f>SUM(K2:K417)</f>
        <v>405.41070453715554</v>
      </c>
      <c r="Q3" s="69" t="s">
        <v>24</v>
      </c>
      <c r="R3" s="70"/>
      <c r="S3" s="70"/>
      <c r="T3" s="70"/>
      <c r="U3" s="71"/>
    </row>
    <row r="4" spans="1:21" x14ac:dyDescent="0.3">
      <c r="A4">
        <v>170</v>
      </c>
      <c r="B4" s="3">
        <v>1.3460155598940049</v>
      </c>
      <c r="C4" s="2">
        <v>1.3651895512938883</v>
      </c>
      <c r="D4" s="1">
        <v>1.2833586602896205</v>
      </c>
      <c r="E4" s="1">
        <f t="shared" si="0"/>
        <v>2.5667173205792412E-2</v>
      </c>
      <c r="F4" s="10">
        <f t="shared" si="1"/>
        <v>0.34129738782347208</v>
      </c>
      <c r="G4" s="3">
        <f t="shared" si="2"/>
        <v>0.64167933014481027</v>
      </c>
      <c r="H4" s="22">
        <f t="shared" si="3"/>
        <v>0.22316379637170944</v>
      </c>
      <c r="I4" s="3">
        <f>B4+I3</f>
        <v>3.6535161717452436</v>
      </c>
      <c r="J4" s="12">
        <f t="shared" si="4"/>
        <v>1</v>
      </c>
      <c r="K4">
        <f t="shared" si="5"/>
        <v>0.34129738782347208</v>
      </c>
      <c r="M4" s="16" t="s">
        <v>22</v>
      </c>
      <c r="N4">
        <f>SUMPRODUCT(J2:J401, B2:B401)</f>
        <v>491.58514353191623</v>
      </c>
      <c r="Q4" s="72"/>
      <c r="R4" s="73"/>
      <c r="S4" s="73"/>
      <c r="T4" s="73"/>
      <c r="U4" s="74"/>
    </row>
    <row r="5" spans="1:21" x14ac:dyDescent="0.3">
      <c r="A5">
        <v>570</v>
      </c>
      <c r="B5" s="3">
        <v>4.641911641886189</v>
      </c>
      <c r="C5" s="2">
        <v>0.7361126155005504</v>
      </c>
      <c r="D5" s="1">
        <v>1.9311091598096972</v>
      </c>
      <c r="E5" s="1">
        <f t="shared" si="0"/>
        <v>3.8622183196193947E-2</v>
      </c>
      <c r="F5" s="10">
        <f t="shared" si="1"/>
        <v>0.1840281538751376</v>
      </c>
      <c r="G5" s="3">
        <f t="shared" si="2"/>
        <v>0.96555457990484872</v>
      </c>
      <c r="H5" s="22">
        <f t="shared" si="3"/>
        <v>0.16836305520717465</v>
      </c>
      <c r="I5" s="3">
        <f>B5+I4</f>
        <v>8.2954278136314326</v>
      </c>
      <c r="J5" s="12">
        <f t="shared" si="4"/>
        <v>1</v>
      </c>
      <c r="K5">
        <f t="shared" si="5"/>
        <v>0.1840281538751376</v>
      </c>
      <c r="Q5" s="72"/>
      <c r="R5" s="73"/>
      <c r="S5" s="73"/>
      <c r="T5" s="73"/>
      <c r="U5" s="74"/>
    </row>
    <row r="6" spans="1:21" x14ac:dyDescent="0.3">
      <c r="A6">
        <v>189</v>
      </c>
      <c r="B6" s="3">
        <v>2.7549304722085735</v>
      </c>
      <c r="C6" s="2">
        <v>3.3564263002695105</v>
      </c>
      <c r="D6" s="1">
        <v>2.5770529539922049</v>
      </c>
      <c r="E6" s="1">
        <f t="shared" si="0"/>
        <v>5.1541059079844097E-2</v>
      </c>
      <c r="F6" s="10">
        <f t="shared" si="1"/>
        <v>0.83910657506737762</v>
      </c>
      <c r="G6" s="3">
        <f t="shared" si="2"/>
        <v>1.2885264769961025</v>
      </c>
      <c r="H6" s="22">
        <f t="shared" si="3"/>
        <v>0.1631329380042153</v>
      </c>
      <c r="I6" s="3">
        <f t="shared" ref="I6:I67" si="6">B6+I5</f>
        <v>11.050358285840005</v>
      </c>
      <c r="J6" s="12">
        <f t="shared" si="4"/>
        <v>1</v>
      </c>
      <c r="K6">
        <f t="shared" si="5"/>
        <v>0.83910657506737762</v>
      </c>
      <c r="Q6" s="72"/>
      <c r="R6" s="73"/>
      <c r="S6" s="73"/>
      <c r="T6" s="73"/>
      <c r="U6" s="74"/>
    </row>
    <row r="7" spans="1:21" x14ac:dyDescent="0.3">
      <c r="A7">
        <v>1109</v>
      </c>
      <c r="B7" s="3">
        <v>7.3420481814718386</v>
      </c>
      <c r="C7" s="2">
        <v>0.8047632978806174</v>
      </c>
      <c r="D7" s="1">
        <v>2.5271032160928897</v>
      </c>
      <c r="E7" s="1">
        <f t="shared" si="0"/>
        <v>5.0542064321857795E-2</v>
      </c>
      <c r="F7" s="10">
        <f t="shared" si="1"/>
        <v>0.20119082447015435</v>
      </c>
      <c r="G7" s="3">
        <f t="shared" si="2"/>
        <v>1.2635516080464448</v>
      </c>
      <c r="H7" s="22">
        <f t="shared" si="3"/>
        <v>0.14469542521625378</v>
      </c>
      <c r="I7" s="3">
        <f t="shared" si="6"/>
        <v>18.392406467311844</v>
      </c>
      <c r="J7" s="12">
        <f t="shared" si="4"/>
        <v>1</v>
      </c>
      <c r="K7">
        <f t="shared" si="5"/>
        <v>0.20119082447015435</v>
      </c>
      <c r="Q7" s="72"/>
      <c r="R7" s="73"/>
      <c r="S7" s="73"/>
      <c r="T7" s="73"/>
      <c r="U7" s="74"/>
    </row>
    <row r="8" spans="1:21" x14ac:dyDescent="0.3">
      <c r="A8">
        <v>697</v>
      </c>
      <c r="B8" s="3">
        <v>9.5989039155543345</v>
      </c>
      <c r="C8" s="2">
        <v>0.17494846771503036</v>
      </c>
      <c r="D8" s="1">
        <v>2.6995400017259548</v>
      </c>
      <c r="E8" s="1">
        <f t="shared" si="0"/>
        <v>5.3990800034519094E-2</v>
      </c>
      <c r="F8" s="10">
        <f t="shared" si="1"/>
        <v>4.3737116928757591E-2</v>
      </c>
      <c r="G8" s="3">
        <f t="shared" si="2"/>
        <v>1.3497700008629774</v>
      </c>
      <c r="H8" s="22">
        <f t="shared" si="3"/>
        <v>0.13606062686156148</v>
      </c>
      <c r="I8" s="3">
        <f t="shared" si="6"/>
        <v>27.991310382866178</v>
      </c>
      <c r="J8" s="12">
        <f t="shared" si="4"/>
        <v>1</v>
      </c>
      <c r="K8">
        <f t="shared" si="5"/>
        <v>4.3737116928757591E-2</v>
      </c>
      <c r="Q8" s="72"/>
      <c r="R8" s="73"/>
      <c r="S8" s="73"/>
      <c r="T8" s="73"/>
      <c r="U8" s="74"/>
    </row>
    <row r="9" spans="1:21" x14ac:dyDescent="0.3">
      <c r="A9">
        <v>790</v>
      </c>
      <c r="B9" s="3">
        <v>7.8201937950803906</v>
      </c>
      <c r="C9" s="2">
        <v>3.3189732381488923E-2</v>
      </c>
      <c r="D9" s="1">
        <v>1.8528444424142394</v>
      </c>
      <c r="E9" s="1">
        <f t="shared" si="0"/>
        <v>3.7056888848284786E-2</v>
      </c>
      <c r="F9" s="10">
        <f t="shared" si="1"/>
        <v>8.2974330953722308E-3</v>
      </c>
      <c r="G9" s="3">
        <f t="shared" si="2"/>
        <v>0.92642222120711959</v>
      </c>
      <c r="H9" s="22">
        <f t="shared" si="3"/>
        <v>0.11740435239460829</v>
      </c>
      <c r="I9" s="3">
        <f t="shared" si="6"/>
        <v>35.811504177946567</v>
      </c>
      <c r="J9" s="12">
        <f t="shared" si="4"/>
        <v>1</v>
      </c>
      <c r="K9">
        <f t="shared" si="5"/>
        <v>8.2974330953722308E-3</v>
      </c>
      <c r="Q9" s="72"/>
      <c r="R9" s="73"/>
      <c r="S9" s="73"/>
      <c r="T9" s="73"/>
      <c r="U9" s="74"/>
    </row>
    <row r="10" spans="1:21" x14ac:dyDescent="0.3">
      <c r="A10">
        <v>1014</v>
      </c>
      <c r="B10" s="3">
        <v>9.0506776562361004</v>
      </c>
      <c r="C10" s="2">
        <v>0.71198952660367354</v>
      </c>
      <c r="D10" s="1">
        <v>2.3017811631630205</v>
      </c>
      <c r="E10" s="1">
        <f t="shared" si="0"/>
        <v>4.6035623263260411E-2</v>
      </c>
      <c r="F10" s="10">
        <f t="shared" si="1"/>
        <v>0.17799738165091838</v>
      </c>
      <c r="G10" s="3">
        <f t="shared" si="2"/>
        <v>1.1508905815815103</v>
      </c>
      <c r="H10" s="22">
        <f t="shared" si="3"/>
        <v>0.10749396198639874</v>
      </c>
      <c r="I10" s="3">
        <f t="shared" si="6"/>
        <v>44.862181834182664</v>
      </c>
      <c r="J10" s="12">
        <f t="shared" si="4"/>
        <v>1</v>
      </c>
      <c r="K10">
        <f t="shared" si="5"/>
        <v>0.17799738165091838</v>
      </c>
      <c r="Q10" s="72"/>
      <c r="R10" s="73"/>
      <c r="S10" s="73"/>
      <c r="T10" s="73"/>
      <c r="U10" s="74"/>
    </row>
    <row r="11" spans="1:21" ht="15" thickBot="1" x14ac:dyDescent="0.35">
      <c r="A11">
        <v>1035</v>
      </c>
      <c r="B11" s="3">
        <v>6.5297033608495365</v>
      </c>
      <c r="C11" s="2">
        <v>2.054150321596504E-2</v>
      </c>
      <c r="D11" s="1">
        <v>1.3756516629534754</v>
      </c>
      <c r="E11" s="1">
        <f t="shared" si="0"/>
        <v>2.7513033259069508E-2</v>
      </c>
      <c r="F11" s="10">
        <f t="shared" si="1"/>
        <v>5.13537580399126E-3</v>
      </c>
      <c r="G11" s="3">
        <f t="shared" si="2"/>
        <v>0.6878258314767377</v>
      </c>
      <c r="H11" s="22">
        <f t="shared" si="3"/>
        <v>0.10455152676092258</v>
      </c>
      <c r="I11" s="3">
        <f t="shared" si="6"/>
        <v>51.391885195032202</v>
      </c>
      <c r="J11" s="12">
        <f t="shared" si="4"/>
        <v>1</v>
      </c>
      <c r="K11">
        <f t="shared" si="5"/>
        <v>5.13537580399126E-3</v>
      </c>
      <c r="Q11" s="75"/>
      <c r="R11" s="76"/>
      <c r="S11" s="76"/>
      <c r="T11" s="76"/>
      <c r="U11" s="77"/>
    </row>
    <row r="12" spans="1:21" x14ac:dyDescent="0.3">
      <c r="A12">
        <v>694</v>
      </c>
      <c r="B12" s="3">
        <v>4.4021299494481658</v>
      </c>
      <c r="C12" s="2">
        <v>0.77570718048357579</v>
      </c>
      <c r="D12" s="1">
        <v>1.2827961635220351</v>
      </c>
      <c r="E12" s="1">
        <f t="shared" si="0"/>
        <v>2.5655923270440702E-2</v>
      </c>
      <c r="F12" s="10">
        <f t="shared" si="1"/>
        <v>0.19392679512089395</v>
      </c>
      <c r="G12" s="3">
        <f t="shared" si="2"/>
        <v>0.64139808176101754</v>
      </c>
      <c r="H12" s="22">
        <f t="shared" si="3"/>
        <v>0.10164881359220594</v>
      </c>
      <c r="I12" s="3">
        <f t="shared" si="6"/>
        <v>55.794015144480369</v>
      </c>
      <c r="J12" s="12">
        <f t="shared" si="4"/>
        <v>1</v>
      </c>
      <c r="K12">
        <f t="shared" si="5"/>
        <v>0.19392679512089395</v>
      </c>
    </row>
    <row r="13" spans="1:21" x14ac:dyDescent="0.3">
      <c r="A13">
        <v>836</v>
      </c>
      <c r="B13" s="3">
        <v>8.2176486062281029</v>
      </c>
      <c r="C13" s="2">
        <v>0.17799302280316898</v>
      </c>
      <c r="D13" s="1">
        <v>1.7590900459121823</v>
      </c>
      <c r="E13" s="1">
        <f t="shared" si="0"/>
        <v>3.5181800918243647E-2</v>
      </c>
      <c r="F13" s="10">
        <f t="shared" si="1"/>
        <v>4.4498255700792244E-2</v>
      </c>
      <c r="G13" s="3">
        <f t="shared" si="2"/>
        <v>0.87954502295609116</v>
      </c>
      <c r="H13" s="22">
        <f t="shared" si="3"/>
        <v>0.10161626607183256</v>
      </c>
      <c r="I13" s="3">
        <f t="shared" si="6"/>
        <v>64.011663750708465</v>
      </c>
      <c r="J13" s="12">
        <f t="shared" si="4"/>
        <v>1</v>
      </c>
      <c r="K13">
        <f t="shared" si="5"/>
        <v>4.4498255700792244E-2</v>
      </c>
    </row>
    <row r="14" spans="1:21" x14ac:dyDescent="0.3">
      <c r="A14">
        <v>185</v>
      </c>
      <c r="B14" s="3">
        <v>6.2493587123033674</v>
      </c>
      <c r="C14" s="2">
        <v>0.83710041948734659</v>
      </c>
      <c r="D14" s="1">
        <v>1.6639185068781452</v>
      </c>
      <c r="E14" s="1">
        <f t="shared" si="0"/>
        <v>3.3278370137562907E-2</v>
      </c>
      <c r="F14" s="10">
        <f t="shared" si="1"/>
        <v>0.20927510487183665</v>
      </c>
      <c r="G14" s="3">
        <f t="shared" si="2"/>
        <v>0.83195925343907273</v>
      </c>
      <c r="H14" s="22">
        <f t="shared" si="3"/>
        <v>9.9639687403658306E-2</v>
      </c>
      <c r="I14" s="3">
        <f t="shared" si="6"/>
        <v>70.261022463011827</v>
      </c>
      <c r="J14" s="12">
        <f t="shared" si="4"/>
        <v>1</v>
      </c>
      <c r="K14">
        <f t="shared" si="5"/>
        <v>0.20927510487183665</v>
      </c>
    </row>
    <row r="15" spans="1:21" x14ac:dyDescent="0.3">
      <c r="A15">
        <v>631</v>
      </c>
      <c r="B15" s="3">
        <v>9.4227545758652536</v>
      </c>
      <c r="C15" s="2">
        <v>0.40188261642927214</v>
      </c>
      <c r="D15" s="1">
        <v>2.0276600868965624</v>
      </c>
      <c r="E15" s="1">
        <f t="shared" si="0"/>
        <v>4.0553201737931248E-2</v>
      </c>
      <c r="F15" s="10">
        <f t="shared" si="1"/>
        <v>0.10047065410731804</v>
      </c>
      <c r="G15" s="3">
        <f t="shared" si="2"/>
        <v>1.0138300434482812</v>
      </c>
      <c r="H15" s="22">
        <f t="shared" si="3"/>
        <v>9.6931251046310216E-2</v>
      </c>
      <c r="I15" s="3">
        <f t="shared" si="6"/>
        <v>79.683777038877082</v>
      </c>
      <c r="J15" s="12">
        <f t="shared" si="4"/>
        <v>1</v>
      </c>
      <c r="K15">
        <f t="shared" si="5"/>
        <v>0.10047065410731804</v>
      </c>
    </row>
    <row r="16" spans="1:21" x14ac:dyDescent="0.3">
      <c r="A16">
        <v>727</v>
      </c>
      <c r="B16" s="3">
        <v>7.578015698568354</v>
      </c>
      <c r="C16" s="2">
        <v>1.0280641948749114</v>
      </c>
      <c r="D16" s="1">
        <v>1.9015549906132416</v>
      </c>
      <c r="E16" s="1">
        <f t="shared" si="0"/>
        <v>3.8031099812264831E-2</v>
      </c>
      <c r="F16" s="10">
        <f t="shared" si="1"/>
        <v>0.25701604871872785</v>
      </c>
      <c r="G16" s="3">
        <f t="shared" si="2"/>
        <v>0.95077749530662081</v>
      </c>
      <c r="H16" s="22">
        <f t="shared" si="3"/>
        <v>9.1549222670383096E-2</v>
      </c>
      <c r="I16" s="3">
        <f t="shared" si="6"/>
        <v>87.261792737445433</v>
      </c>
      <c r="J16" s="12">
        <f t="shared" si="4"/>
        <v>1</v>
      </c>
      <c r="K16">
        <f t="shared" si="5"/>
        <v>0.25701604871872785</v>
      </c>
    </row>
    <row r="17" spans="1:11" x14ac:dyDescent="0.3">
      <c r="A17">
        <v>802</v>
      </c>
      <c r="B17" s="3">
        <v>7.1043214039770586</v>
      </c>
      <c r="C17" s="2">
        <v>0.39843641945495056</v>
      </c>
      <c r="D17" s="1">
        <v>1.3545336572317539</v>
      </c>
      <c r="E17" s="1">
        <f t="shared" si="0"/>
        <v>2.7090673144635077E-2</v>
      </c>
      <c r="F17" s="10">
        <f t="shared" si="1"/>
        <v>9.9609104863737641E-2</v>
      </c>
      <c r="G17" s="3">
        <f t="shared" si="2"/>
        <v>0.67726682861587695</v>
      </c>
      <c r="H17" s="22">
        <f t="shared" si="3"/>
        <v>8.1310753118343113E-2</v>
      </c>
      <c r="I17" s="3">
        <f t="shared" si="6"/>
        <v>94.366114141422486</v>
      </c>
      <c r="J17" s="12">
        <f t="shared" si="4"/>
        <v>1</v>
      </c>
      <c r="K17">
        <f t="shared" si="5"/>
        <v>9.9609104863737641E-2</v>
      </c>
    </row>
    <row r="18" spans="1:11" x14ac:dyDescent="0.3">
      <c r="A18">
        <v>464</v>
      </c>
      <c r="B18" s="3">
        <v>6.7669690467274481</v>
      </c>
      <c r="C18" s="2">
        <v>2.9920748749063808</v>
      </c>
      <c r="D18" s="1">
        <v>2.5447374597202428</v>
      </c>
      <c r="E18" s="1">
        <f t="shared" si="0"/>
        <v>5.0894749194404856E-2</v>
      </c>
      <c r="F18" s="10">
        <f t="shared" si="1"/>
        <v>0.7480187187265952</v>
      </c>
      <c r="G18" s="3">
        <f t="shared" si="2"/>
        <v>1.2723687298601214</v>
      </c>
      <c r="H18" s="22">
        <f t="shared" si="3"/>
        <v>7.7486686803614896E-2</v>
      </c>
      <c r="I18" s="3">
        <f t="shared" si="6"/>
        <v>101.13308318814994</v>
      </c>
      <c r="J18" s="12">
        <f t="shared" si="4"/>
        <v>1</v>
      </c>
      <c r="K18">
        <f t="shared" si="5"/>
        <v>0.7480187187265952</v>
      </c>
    </row>
    <row r="19" spans="1:11" x14ac:dyDescent="0.3">
      <c r="A19">
        <v>19</v>
      </c>
      <c r="B19" s="3">
        <v>6.8546947112993406</v>
      </c>
      <c r="C19" s="2">
        <v>3.9176987602417612</v>
      </c>
      <c r="D19" s="1">
        <v>2.8831571025905278</v>
      </c>
      <c r="E19" s="1">
        <f t="shared" si="0"/>
        <v>5.7663142051810556E-2</v>
      </c>
      <c r="F19" s="10">
        <f t="shared" si="1"/>
        <v>0.97942469006044031</v>
      </c>
      <c r="G19" s="3">
        <f t="shared" si="2"/>
        <v>1.4415785512952639</v>
      </c>
      <c r="H19" s="22">
        <f t="shared" si="3"/>
        <v>6.7421509009439176E-2</v>
      </c>
      <c r="I19" s="3">
        <f t="shared" si="6"/>
        <v>107.98777789944928</v>
      </c>
      <c r="J19" s="12">
        <f t="shared" si="4"/>
        <v>1</v>
      </c>
      <c r="K19">
        <f t="shared" si="5"/>
        <v>0.97942469006044031</v>
      </c>
    </row>
    <row r="20" spans="1:11" x14ac:dyDescent="0.3">
      <c r="A20">
        <v>711</v>
      </c>
      <c r="B20" s="3">
        <v>9.8150844063647096</v>
      </c>
      <c r="C20" s="2">
        <v>2.1164708274342026</v>
      </c>
      <c r="D20" s="1">
        <v>2.3448280124609453</v>
      </c>
      <c r="E20" s="1">
        <f t="shared" si="0"/>
        <v>4.6896560249218906E-2</v>
      </c>
      <c r="F20" s="10">
        <f t="shared" si="1"/>
        <v>0.52911770685855064</v>
      </c>
      <c r="G20" s="3">
        <f t="shared" si="2"/>
        <v>1.1724140062304726</v>
      </c>
      <c r="H20" s="22">
        <f t="shared" si="3"/>
        <v>6.554159625512429E-2</v>
      </c>
      <c r="I20" s="3">
        <f t="shared" si="6"/>
        <v>117.80286230581399</v>
      </c>
      <c r="J20" s="12">
        <f t="shared" si="4"/>
        <v>1</v>
      </c>
      <c r="K20">
        <f t="shared" si="5"/>
        <v>0.52911770685855064</v>
      </c>
    </row>
    <row r="21" spans="1:11" x14ac:dyDescent="0.3">
      <c r="A21">
        <v>872</v>
      </c>
      <c r="B21" s="3">
        <v>5.8911859065317298</v>
      </c>
      <c r="C21" s="2">
        <v>0.32542690615354752</v>
      </c>
      <c r="D21" s="1">
        <v>0.92378802779970148</v>
      </c>
      <c r="E21" s="1">
        <f t="shared" si="0"/>
        <v>1.8475760555994029E-2</v>
      </c>
      <c r="F21" s="10">
        <f t="shared" si="1"/>
        <v>8.1356726538386881E-2</v>
      </c>
      <c r="G21" s="3">
        <f t="shared" si="2"/>
        <v>0.46189401389985074</v>
      </c>
      <c r="H21" s="22">
        <f t="shared" si="3"/>
        <v>6.4594343719411584E-2</v>
      </c>
      <c r="I21" s="3">
        <f t="shared" si="6"/>
        <v>123.69404821234572</v>
      </c>
      <c r="J21" s="12">
        <f t="shared" si="4"/>
        <v>1</v>
      </c>
      <c r="K21">
        <f t="shared" si="5"/>
        <v>8.1356726538386881E-2</v>
      </c>
    </row>
    <row r="22" spans="1:11" x14ac:dyDescent="0.3">
      <c r="A22">
        <v>1015</v>
      </c>
      <c r="B22" s="3">
        <v>6.5411651133804725</v>
      </c>
      <c r="C22" s="2">
        <v>2.3460787476847988</v>
      </c>
      <c r="D22" s="1">
        <v>2.0027434938355491</v>
      </c>
      <c r="E22" s="1">
        <f t="shared" si="0"/>
        <v>4.0054869876710981E-2</v>
      </c>
      <c r="F22" s="10">
        <f t="shared" si="1"/>
        <v>0.58651968692119971</v>
      </c>
      <c r="G22" s="3">
        <f t="shared" si="2"/>
        <v>1.0013717469177745</v>
      </c>
      <c r="H22" s="22">
        <f t="shared" si="3"/>
        <v>6.3421737994040536E-2</v>
      </c>
      <c r="I22" s="3">
        <f t="shared" si="6"/>
        <v>130.23521332572619</v>
      </c>
      <c r="J22" s="12">
        <f t="shared" si="4"/>
        <v>1</v>
      </c>
      <c r="K22">
        <f t="shared" si="5"/>
        <v>0.58651968692119971</v>
      </c>
    </row>
    <row r="23" spans="1:11" x14ac:dyDescent="0.3">
      <c r="A23">
        <v>1046</v>
      </c>
      <c r="B23" s="3">
        <v>9.1551259569421255</v>
      </c>
      <c r="C23" s="2">
        <v>3.8455360611957645</v>
      </c>
      <c r="D23" s="1">
        <v>2.8452920736537575</v>
      </c>
      <c r="E23" s="1">
        <f t="shared" si="0"/>
        <v>5.6905841473075147E-2</v>
      </c>
      <c r="F23" s="10">
        <f t="shared" si="1"/>
        <v>0.96138401529894113</v>
      </c>
      <c r="G23" s="3">
        <f t="shared" si="2"/>
        <v>1.4226460368268787</v>
      </c>
      <c r="H23" s="22">
        <f t="shared" si="3"/>
        <v>5.0382924680372421E-2</v>
      </c>
      <c r="I23" s="3">
        <f t="shared" si="6"/>
        <v>139.39033928266832</v>
      </c>
      <c r="J23" s="12">
        <f t="shared" si="4"/>
        <v>1</v>
      </c>
      <c r="K23">
        <f t="shared" si="5"/>
        <v>0.96138401529894113</v>
      </c>
    </row>
    <row r="24" spans="1:11" x14ac:dyDescent="0.3">
      <c r="A24">
        <v>642</v>
      </c>
      <c r="B24" s="3">
        <v>6.4951266980526849</v>
      </c>
      <c r="C24" s="2">
        <v>0.85461864823491718</v>
      </c>
      <c r="D24" s="1">
        <v>1.0789884556055376</v>
      </c>
      <c r="E24" s="1">
        <f t="shared" si="0"/>
        <v>2.157976911211075E-2</v>
      </c>
      <c r="F24" s="10">
        <f t="shared" si="1"/>
        <v>0.21365466205872929</v>
      </c>
      <c r="G24" s="3">
        <f t="shared" si="2"/>
        <v>0.53949422780276879</v>
      </c>
      <c r="H24" s="22">
        <f t="shared" si="3"/>
        <v>5.0166775937062168E-2</v>
      </c>
      <c r="I24" s="3">
        <f t="shared" si="6"/>
        <v>145.88546598072099</v>
      </c>
      <c r="J24" s="12">
        <f t="shared" si="4"/>
        <v>1</v>
      </c>
      <c r="K24">
        <f t="shared" si="5"/>
        <v>0.21365466205872929</v>
      </c>
    </row>
    <row r="25" spans="1:11" x14ac:dyDescent="0.3">
      <c r="A25">
        <v>813</v>
      </c>
      <c r="B25" s="3">
        <v>8.4164408858275017</v>
      </c>
      <c r="C25" s="2">
        <v>3.2269572748211961</v>
      </c>
      <c r="D25" s="1">
        <v>2.4441506331969185</v>
      </c>
      <c r="E25" s="1">
        <f t="shared" si="0"/>
        <v>4.8883012663938373E-2</v>
      </c>
      <c r="F25" s="10">
        <f t="shared" si="1"/>
        <v>0.80673931870529902</v>
      </c>
      <c r="G25" s="3">
        <f t="shared" si="2"/>
        <v>1.2220753165984592</v>
      </c>
      <c r="H25" s="22">
        <f t="shared" si="3"/>
        <v>4.9348175021646873E-2</v>
      </c>
      <c r="I25" s="3">
        <f t="shared" si="6"/>
        <v>154.30190686654851</v>
      </c>
      <c r="J25" s="12">
        <f t="shared" si="4"/>
        <v>1</v>
      </c>
      <c r="K25">
        <f t="shared" si="5"/>
        <v>0.80673931870529902</v>
      </c>
    </row>
    <row r="26" spans="1:11" x14ac:dyDescent="0.3">
      <c r="A26">
        <v>26</v>
      </c>
      <c r="B26" s="3">
        <v>7.0069103981768466</v>
      </c>
      <c r="C26" s="2">
        <v>0.98561979343579909</v>
      </c>
      <c r="D26" s="1">
        <v>1.1421365354113049</v>
      </c>
      <c r="E26" s="1">
        <f t="shared" si="0"/>
        <v>2.2842730708226098E-2</v>
      </c>
      <c r="F26" s="10">
        <f t="shared" si="1"/>
        <v>0.24640494835894977</v>
      </c>
      <c r="G26" s="3">
        <f t="shared" si="2"/>
        <v>0.57106826770565244</v>
      </c>
      <c r="H26" s="22">
        <f t="shared" si="3"/>
        <v>4.6334732556474245E-2</v>
      </c>
      <c r="I26" s="3">
        <f t="shared" si="6"/>
        <v>161.30881726472535</v>
      </c>
      <c r="J26" s="12">
        <f t="shared" si="4"/>
        <v>1</v>
      </c>
      <c r="K26">
        <f t="shared" si="5"/>
        <v>0.24640494835894977</v>
      </c>
    </row>
    <row r="27" spans="1:11" x14ac:dyDescent="0.3">
      <c r="A27">
        <v>134</v>
      </c>
      <c r="B27" s="3">
        <v>6.9975812264727395</v>
      </c>
      <c r="C27" s="2">
        <v>3.799987325510723</v>
      </c>
      <c r="D27" s="1">
        <v>2.4756499971209083</v>
      </c>
      <c r="E27" s="1">
        <f t="shared" si="0"/>
        <v>4.9512999942418166E-2</v>
      </c>
      <c r="F27" s="10">
        <f t="shared" si="1"/>
        <v>0.94999683137768076</v>
      </c>
      <c r="G27" s="3">
        <f t="shared" si="2"/>
        <v>1.2378249985604541</v>
      </c>
      <c r="H27" s="22">
        <f t="shared" si="3"/>
        <v>4.1132522491326408E-2</v>
      </c>
      <c r="I27" s="3">
        <f t="shared" si="6"/>
        <v>168.30639849119808</v>
      </c>
      <c r="J27" s="12">
        <f t="shared" si="4"/>
        <v>1</v>
      </c>
      <c r="K27">
        <f t="shared" si="5"/>
        <v>0.94999683137768076</v>
      </c>
    </row>
    <row r="28" spans="1:11" x14ac:dyDescent="0.3">
      <c r="A28">
        <v>857</v>
      </c>
      <c r="B28" s="3">
        <v>7.5733691751827648</v>
      </c>
      <c r="C28" s="2">
        <v>4.8066627218295572</v>
      </c>
      <c r="D28" s="1">
        <v>2.9252380773878981</v>
      </c>
      <c r="E28" s="1">
        <f t="shared" si="0"/>
        <v>5.8504761547757959E-2</v>
      </c>
      <c r="F28" s="10">
        <f t="shared" si="1"/>
        <v>1.2016656804573893</v>
      </c>
      <c r="G28" s="3">
        <f t="shared" si="2"/>
        <v>1.462619038693949</v>
      </c>
      <c r="H28" s="22">
        <f t="shared" si="3"/>
        <v>3.4456706414323489E-2</v>
      </c>
      <c r="I28" s="3">
        <f t="shared" si="6"/>
        <v>175.87976766638084</v>
      </c>
      <c r="J28" s="12">
        <f t="shared" si="4"/>
        <v>1</v>
      </c>
      <c r="K28">
        <f t="shared" si="5"/>
        <v>1.2016656804573893</v>
      </c>
    </row>
    <row r="29" spans="1:11" x14ac:dyDescent="0.3">
      <c r="A29">
        <v>528</v>
      </c>
      <c r="B29" s="3">
        <v>9.099825342945012</v>
      </c>
      <c r="C29" s="2">
        <v>4.6999173287881941</v>
      </c>
      <c r="D29" s="1">
        <v>2.9623447401465319</v>
      </c>
      <c r="E29" s="1">
        <f t="shared" si="0"/>
        <v>5.924689480293064E-2</v>
      </c>
      <c r="F29" s="10">
        <f t="shared" si="1"/>
        <v>1.1749793321970485</v>
      </c>
      <c r="G29" s="3">
        <f t="shared" si="2"/>
        <v>1.481172370073266</v>
      </c>
      <c r="H29" s="22">
        <f t="shared" si="3"/>
        <v>3.3648232393120085E-2</v>
      </c>
      <c r="I29" s="3">
        <f t="shared" si="6"/>
        <v>184.97959300932587</v>
      </c>
      <c r="J29" s="12">
        <f t="shared" si="4"/>
        <v>1</v>
      </c>
      <c r="K29">
        <f t="shared" si="5"/>
        <v>1.1749793321970485</v>
      </c>
    </row>
    <row r="30" spans="1:11" x14ac:dyDescent="0.3">
      <c r="A30">
        <v>954</v>
      </c>
      <c r="B30" s="3">
        <v>3.5213995169796286</v>
      </c>
      <c r="C30" s="2">
        <v>4.1259991134545704E-2</v>
      </c>
      <c r="D30" s="1">
        <v>0.25512942873062083</v>
      </c>
      <c r="E30" s="1">
        <f t="shared" si="0"/>
        <v>5.1025885746124166E-3</v>
      </c>
      <c r="F30" s="10">
        <f t="shared" si="1"/>
        <v>1.0314997783636426E-2</v>
      </c>
      <c r="G30" s="3">
        <f t="shared" si="2"/>
        <v>0.12756471436531042</v>
      </c>
      <c r="H30" s="22">
        <f t="shared" si="3"/>
        <v>3.3296340280707853E-2</v>
      </c>
      <c r="I30" s="3">
        <f t="shared" si="6"/>
        <v>188.50099252630551</v>
      </c>
      <c r="J30" s="12">
        <f t="shared" si="4"/>
        <v>1</v>
      </c>
      <c r="K30">
        <f t="shared" si="5"/>
        <v>1.0314997783636426E-2</v>
      </c>
    </row>
    <row r="31" spans="1:11" x14ac:dyDescent="0.3">
      <c r="A31">
        <v>136</v>
      </c>
      <c r="B31" s="3">
        <v>3.3255229327175782</v>
      </c>
      <c r="C31" s="2">
        <v>2.524880477130953</v>
      </c>
      <c r="D31" s="1">
        <v>1.4373794322396951</v>
      </c>
      <c r="E31" s="1">
        <f t="shared" si="0"/>
        <v>2.8747588644793903E-2</v>
      </c>
      <c r="F31" s="10">
        <f t="shared" si="1"/>
        <v>0.63122011928273825</v>
      </c>
      <c r="G31" s="3">
        <f t="shared" si="2"/>
        <v>0.71868971611984755</v>
      </c>
      <c r="H31" s="22">
        <f t="shared" si="3"/>
        <v>2.6302508990858224E-2</v>
      </c>
      <c r="I31" s="3">
        <f t="shared" si="6"/>
        <v>191.82651545902308</v>
      </c>
      <c r="J31" s="12">
        <f t="shared" si="4"/>
        <v>1</v>
      </c>
      <c r="K31">
        <f t="shared" si="5"/>
        <v>0.63122011928273825</v>
      </c>
    </row>
    <row r="32" spans="1:11" x14ac:dyDescent="0.3">
      <c r="A32">
        <v>732</v>
      </c>
      <c r="B32" s="3">
        <v>7.9488399781019332</v>
      </c>
      <c r="C32" s="2">
        <v>5.0248851148491314</v>
      </c>
      <c r="D32" s="1">
        <v>2.8725405561718897</v>
      </c>
      <c r="E32" s="1">
        <f t="shared" si="0"/>
        <v>5.7450811123437792E-2</v>
      </c>
      <c r="F32" s="10">
        <f t="shared" si="1"/>
        <v>1.2562212787122828</v>
      </c>
      <c r="G32" s="3">
        <f t="shared" si="2"/>
        <v>1.4362702780859449</v>
      </c>
      <c r="H32" s="22">
        <f t="shared" si="3"/>
        <v>2.2650977987942224E-2</v>
      </c>
      <c r="I32" s="3">
        <f t="shared" si="6"/>
        <v>199.77535543712503</v>
      </c>
      <c r="J32" s="12">
        <f t="shared" si="4"/>
        <v>1</v>
      </c>
      <c r="K32">
        <f t="shared" si="5"/>
        <v>1.2562212787122828</v>
      </c>
    </row>
    <row r="33" spans="1:11" x14ac:dyDescent="0.3">
      <c r="A33">
        <v>416</v>
      </c>
      <c r="B33" s="3">
        <v>5.6878046898335022</v>
      </c>
      <c r="C33" s="2">
        <v>3.0848927959091998</v>
      </c>
      <c r="D33" s="1">
        <v>1.7300833981456418</v>
      </c>
      <c r="E33" s="1">
        <f t="shared" si="0"/>
        <v>3.4601667962912835E-2</v>
      </c>
      <c r="F33" s="10">
        <f t="shared" si="1"/>
        <v>0.77122319897729996</v>
      </c>
      <c r="G33" s="3">
        <f t="shared" si="2"/>
        <v>0.86504169907282091</v>
      </c>
      <c r="H33" s="22">
        <f t="shared" si="3"/>
        <v>1.6494676806187464E-2</v>
      </c>
      <c r="I33" s="3">
        <f t="shared" si="6"/>
        <v>205.46316012695854</v>
      </c>
      <c r="J33" s="12">
        <f t="shared" si="4"/>
        <v>1</v>
      </c>
      <c r="K33">
        <f t="shared" si="5"/>
        <v>0.77122319897729996</v>
      </c>
    </row>
    <row r="34" spans="1:11" x14ac:dyDescent="0.3">
      <c r="A34">
        <v>660</v>
      </c>
      <c r="B34" s="3">
        <v>3.8837953812258821</v>
      </c>
      <c r="C34" s="2">
        <v>0.94528438426614292</v>
      </c>
      <c r="D34" s="1">
        <v>0.58399869740730492</v>
      </c>
      <c r="E34" s="1">
        <f t="shared" si="0"/>
        <v>1.1679973948146098E-2</v>
      </c>
      <c r="F34" s="10">
        <f t="shared" si="1"/>
        <v>0.23632109606653573</v>
      </c>
      <c r="G34" s="3">
        <f t="shared" si="2"/>
        <v>0.29199934870365246</v>
      </c>
      <c r="H34" s="22">
        <f t="shared" si="3"/>
        <v>1.4336041725128793E-2</v>
      </c>
      <c r="I34" s="3">
        <f t="shared" si="6"/>
        <v>209.34695550818444</v>
      </c>
      <c r="J34" s="12">
        <f t="shared" si="4"/>
        <v>1</v>
      </c>
      <c r="K34">
        <f t="shared" si="5"/>
        <v>0.23632109606653573</v>
      </c>
    </row>
    <row r="35" spans="1:11" x14ac:dyDescent="0.3">
      <c r="A35">
        <v>187</v>
      </c>
      <c r="B35" s="3">
        <v>8.1962620505895138</v>
      </c>
      <c r="C35" s="2">
        <v>5.8336115764625163</v>
      </c>
      <c r="D35" s="1">
        <v>3.0270735070860235</v>
      </c>
      <c r="E35" s="1">
        <f t="shared" si="0"/>
        <v>6.0541470141720469E-2</v>
      </c>
      <c r="F35" s="10">
        <f t="shared" si="1"/>
        <v>1.4584028941156291</v>
      </c>
      <c r="G35" s="3">
        <f t="shared" si="2"/>
        <v>1.5135367535430118</v>
      </c>
      <c r="H35" s="22">
        <f t="shared" si="3"/>
        <v>6.7267077464192599E-3</v>
      </c>
      <c r="I35" s="3">
        <f t="shared" si="6"/>
        <v>217.54321755877396</v>
      </c>
      <c r="J35" s="12">
        <f t="shared" si="4"/>
        <v>1</v>
      </c>
      <c r="K35">
        <f t="shared" si="5"/>
        <v>1.4584028941156291</v>
      </c>
    </row>
    <row r="36" spans="1:11" x14ac:dyDescent="0.3">
      <c r="A36">
        <v>841</v>
      </c>
      <c r="B36" s="3">
        <v>9.5877300941731534</v>
      </c>
      <c r="C36" s="2">
        <v>5.5540555491838113</v>
      </c>
      <c r="D36" s="1">
        <v>2.8719824769025029</v>
      </c>
      <c r="E36" s="1">
        <f t="shared" si="0"/>
        <v>5.7439649538050058E-2</v>
      </c>
      <c r="F36" s="10">
        <f t="shared" si="1"/>
        <v>1.3885138872959528</v>
      </c>
      <c r="G36" s="3">
        <f t="shared" si="2"/>
        <v>1.4359912384512514</v>
      </c>
      <c r="H36" s="22">
        <f t="shared" si="3"/>
        <v>4.9518864933580566E-3</v>
      </c>
      <c r="I36" s="3">
        <f t="shared" si="6"/>
        <v>227.1309476529471</v>
      </c>
      <c r="J36" s="12">
        <f t="shared" si="4"/>
        <v>1</v>
      </c>
      <c r="K36">
        <f t="shared" si="5"/>
        <v>1.3885138872959528</v>
      </c>
    </row>
    <row r="37" spans="1:11" x14ac:dyDescent="0.3">
      <c r="A37">
        <v>860</v>
      </c>
      <c r="B37" s="3">
        <v>7.1784982531228199</v>
      </c>
      <c r="C37" s="2">
        <v>4.8610607958877727</v>
      </c>
      <c r="D37" s="1">
        <v>2.4822919460870021</v>
      </c>
      <c r="E37" s="1">
        <f t="shared" si="0"/>
        <v>4.9645838921740043E-2</v>
      </c>
      <c r="F37" s="10">
        <f t="shared" si="1"/>
        <v>1.2152651989719432</v>
      </c>
      <c r="G37" s="3">
        <f t="shared" si="2"/>
        <v>1.241145973043501</v>
      </c>
      <c r="H37" s="22">
        <f t="shared" si="3"/>
        <v>3.6053187113751967E-3</v>
      </c>
      <c r="I37" s="3">
        <f t="shared" si="6"/>
        <v>234.30944590606993</v>
      </c>
      <c r="J37" s="12">
        <f t="shared" si="4"/>
        <v>1</v>
      </c>
      <c r="K37">
        <f t="shared" si="5"/>
        <v>1.2152651989719432</v>
      </c>
    </row>
    <row r="38" spans="1:11" x14ac:dyDescent="0.3">
      <c r="A38">
        <v>406</v>
      </c>
      <c r="B38" s="3">
        <v>4.1751882056325158</v>
      </c>
      <c r="C38" s="2">
        <v>3.9039655754233515</v>
      </c>
      <c r="D38" s="1">
        <v>1.9765862426740932</v>
      </c>
      <c r="E38" s="1">
        <f t="shared" si="0"/>
        <v>3.9531724853481866E-2</v>
      </c>
      <c r="F38" s="10">
        <f t="shared" si="1"/>
        <v>0.97599139385583789</v>
      </c>
      <c r="G38" s="3">
        <f t="shared" si="2"/>
        <v>0.98829312133704661</v>
      </c>
      <c r="H38" s="22">
        <f t="shared" si="3"/>
        <v>2.9463887315578116E-3</v>
      </c>
      <c r="I38" s="3">
        <f t="shared" si="6"/>
        <v>238.48463411170243</v>
      </c>
      <c r="J38" s="12">
        <f t="shared" si="4"/>
        <v>1</v>
      </c>
      <c r="K38">
        <f t="shared" si="5"/>
        <v>0.97599139385583789</v>
      </c>
    </row>
    <row r="39" spans="1:11" x14ac:dyDescent="0.3">
      <c r="A39">
        <v>120</v>
      </c>
      <c r="B39" s="3">
        <v>7.1096906978640364</v>
      </c>
      <c r="C39" s="2">
        <v>0.76320367925554189</v>
      </c>
      <c r="D39" s="1">
        <v>0.39633753242700703</v>
      </c>
      <c r="E39" s="1">
        <f t="shared" si="0"/>
        <v>7.9267506485401415E-3</v>
      </c>
      <c r="F39" s="10">
        <f t="shared" si="1"/>
        <v>0.19080091981388547</v>
      </c>
      <c r="G39" s="3">
        <f t="shared" si="2"/>
        <v>0.19816876621350354</v>
      </c>
      <c r="H39" s="22">
        <f t="shared" si="3"/>
        <v>1.0363103984019435E-3</v>
      </c>
      <c r="I39" s="3">
        <f t="shared" si="6"/>
        <v>245.59432480956647</v>
      </c>
      <c r="J39" s="12">
        <f t="shared" si="4"/>
        <v>1</v>
      </c>
      <c r="K39">
        <f t="shared" si="5"/>
        <v>0.19080091981388547</v>
      </c>
    </row>
    <row r="40" spans="1:11" x14ac:dyDescent="0.3">
      <c r="A40">
        <v>321</v>
      </c>
      <c r="B40" s="3">
        <v>4.4899206563214591</v>
      </c>
      <c r="C40" s="2">
        <v>3.5935791005926143</v>
      </c>
      <c r="D40" s="1">
        <v>1.7482527587274992</v>
      </c>
      <c r="E40" s="1">
        <f t="shared" si="0"/>
        <v>3.496505517454998E-2</v>
      </c>
      <c r="F40" s="10">
        <f t="shared" si="1"/>
        <v>0.89839477514815358</v>
      </c>
      <c r="G40" s="3">
        <f t="shared" si="2"/>
        <v>0.87412637936374948</v>
      </c>
      <c r="H40" s="22">
        <f t="shared" si="3"/>
        <v>-5.4050834395561274E-3</v>
      </c>
      <c r="I40" s="3">
        <f t="shared" si="6"/>
        <v>250.08424546588793</v>
      </c>
      <c r="J40" s="12">
        <f t="shared" si="4"/>
        <v>1</v>
      </c>
      <c r="K40">
        <f t="shared" si="5"/>
        <v>0.89839477514815358</v>
      </c>
    </row>
    <row r="41" spans="1:11" x14ac:dyDescent="0.3">
      <c r="A41">
        <v>259</v>
      </c>
      <c r="B41" s="3">
        <v>5.4742963618038454</v>
      </c>
      <c r="C41" s="2">
        <v>1.4455122607918591</v>
      </c>
      <c r="D41" s="1">
        <v>0.5722002502080541</v>
      </c>
      <c r="E41" s="1">
        <f t="shared" si="0"/>
        <v>1.1444005004161081E-2</v>
      </c>
      <c r="F41" s="10">
        <f t="shared" si="1"/>
        <v>0.36137806519796478</v>
      </c>
      <c r="G41" s="3">
        <f t="shared" si="2"/>
        <v>0.28610012510402705</v>
      </c>
      <c r="H41" s="22">
        <f t="shared" si="3"/>
        <v>-1.3751162728269385E-2</v>
      </c>
      <c r="I41" s="3">
        <f t="shared" si="6"/>
        <v>255.55854182769178</v>
      </c>
      <c r="J41" s="12">
        <f t="shared" si="4"/>
        <v>1</v>
      </c>
      <c r="K41">
        <f t="shared" si="5"/>
        <v>0.36137806519796478</v>
      </c>
    </row>
    <row r="42" spans="1:11" x14ac:dyDescent="0.3">
      <c r="A42">
        <v>906</v>
      </c>
      <c r="B42" s="3">
        <v>5.999727549320907</v>
      </c>
      <c r="C42" s="2">
        <v>3.5383758093638473</v>
      </c>
      <c r="D42" s="1">
        <v>1.5703156083848988</v>
      </c>
      <c r="E42" s="1">
        <f t="shared" si="0"/>
        <v>3.1406312167697979E-2</v>
      </c>
      <c r="F42" s="10">
        <f t="shared" si="1"/>
        <v>0.88459395234096183</v>
      </c>
      <c r="G42" s="3">
        <f t="shared" si="2"/>
        <v>0.78515780419244952</v>
      </c>
      <c r="H42" s="22">
        <f t="shared" si="3"/>
        <v>-1.6573443932427771E-2</v>
      </c>
      <c r="I42" s="3">
        <f t="shared" si="6"/>
        <v>261.55826937701266</v>
      </c>
      <c r="J42" s="12">
        <f t="shared" si="4"/>
        <v>1</v>
      </c>
      <c r="K42">
        <f t="shared" si="5"/>
        <v>0.88459395234096183</v>
      </c>
    </row>
    <row r="43" spans="1:11" x14ac:dyDescent="0.3">
      <c r="A43">
        <v>870</v>
      </c>
      <c r="B43" s="3">
        <v>2.8777593324401196</v>
      </c>
      <c r="C43" s="2">
        <v>4.1728791551684186</v>
      </c>
      <c r="D43" s="1">
        <v>1.9891607634022033</v>
      </c>
      <c r="E43" s="1">
        <f t="shared" si="0"/>
        <v>3.9783215268044063E-2</v>
      </c>
      <c r="F43" s="10">
        <f t="shared" si="1"/>
        <v>1.0432197887921046</v>
      </c>
      <c r="G43" s="3">
        <f t="shared" si="2"/>
        <v>0.99458038170110152</v>
      </c>
      <c r="H43" s="22">
        <f t="shared" si="3"/>
        <v>-1.6901832805372444E-2</v>
      </c>
      <c r="I43" s="3">
        <f t="shared" si="6"/>
        <v>264.43602870945278</v>
      </c>
      <c r="J43" s="12">
        <f t="shared" si="4"/>
        <v>1</v>
      </c>
      <c r="K43">
        <f t="shared" si="5"/>
        <v>1.0432197887921046</v>
      </c>
    </row>
    <row r="44" spans="1:11" x14ac:dyDescent="0.3">
      <c r="A44">
        <v>386</v>
      </c>
      <c r="B44" s="3">
        <v>6.6649267657293212</v>
      </c>
      <c r="C44" s="2">
        <v>1.5840628620161334</v>
      </c>
      <c r="D44" s="1">
        <v>0.55816895182779591</v>
      </c>
      <c r="E44" s="1">
        <f t="shared" si="0"/>
        <v>1.1163379036555919E-2</v>
      </c>
      <c r="F44" s="10">
        <f t="shared" si="1"/>
        <v>0.39601571550403336</v>
      </c>
      <c r="G44" s="3">
        <f t="shared" si="2"/>
        <v>0.27908447591389796</v>
      </c>
      <c r="H44" s="22">
        <f t="shared" si="3"/>
        <v>-1.7544264730917865E-2</v>
      </c>
      <c r="I44" s="3">
        <f t="shared" si="6"/>
        <v>271.1009554751821</v>
      </c>
      <c r="J44" s="12">
        <f t="shared" si="4"/>
        <v>1</v>
      </c>
      <c r="K44">
        <f t="shared" si="5"/>
        <v>0.39601571550403336</v>
      </c>
    </row>
    <row r="45" spans="1:11" x14ac:dyDescent="0.3">
      <c r="A45">
        <v>480</v>
      </c>
      <c r="B45" s="3">
        <v>7.4880841886086351</v>
      </c>
      <c r="C45" s="2">
        <v>6.6127645590714597</v>
      </c>
      <c r="D45" s="1">
        <v>2.9927085828985591</v>
      </c>
      <c r="E45" s="1">
        <f t="shared" si="0"/>
        <v>5.9854171657971182E-2</v>
      </c>
      <c r="F45" s="10">
        <f t="shared" si="1"/>
        <v>1.6531911397678649</v>
      </c>
      <c r="G45" s="3">
        <f t="shared" si="2"/>
        <v>1.4963542914492796</v>
      </c>
      <c r="H45" s="22">
        <f t="shared" si="3"/>
        <v>-2.0944856437001051E-2</v>
      </c>
      <c r="I45" s="3">
        <f t="shared" si="6"/>
        <v>278.58903966379074</v>
      </c>
      <c r="J45" s="12">
        <f t="shared" si="4"/>
        <v>1</v>
      </c>
      <c r="K45">
        <f t="shared" si="5"/>
        <v>1.6531911397678649</v>
      </c>
    </row>
    <row r="46" spans="1:11" x14ac:dyDescent="0.3">
      <c r="A46">
        <v>983</v>
      </c>
      <c r="B46" s="3">
        <v>8.4421409456160852</v>
      </c>
      <c r="C46" s="2">
        <v>3.7976003360098765</v>
      </c>
      <c r="D46" s="1">
        <v>1.3674349530210526</v>
      </c>
      <c r="E46" s="1">
        <f t="shared" si="0"/>
        <v>2.7348699060421051E-2</v>
      </c>
      <c r="F46" s="10">
        <f t="shared" si="1"/>
        <v>0.94940008400246911</v>
      </c>
      <c r="G46" s="3">
        <f t="shared" si="2"/>
        <v>0.68371747651052628</v>
      </c>
      <c r="H46" s="22">
        <f t="shared" si="3"/>
        <v>-3.1470998790882429E-2</v>
      </c>
      <c r="I46" s="3">
        <f t="shared" si="6"/>
        <v>287.03118060940682</v>
      </c>
      <c r="J46" s="12">
        <f t="shared" si="4"/>
        <v>1</v>
      </c>
      <c r="K46">
        <f t="shared" si="5"/>
        <v>0.94940008400246911</v>
      </c>
    </row>
    <row r="47" spans="1:11" x14ac:dyDescent="0.3">
      <c r="A47">
        <v>266</v>
      </c>
      <c r="B47" s="3">
        <v>8.7261062006002135</v>
      </c>
      <c r="C47" s="2">
        <v>2.6849874073990421</v>
      </c>
      <c r="D47" s="1">
        <v>0.75084445986157222</v>
      </c>
      <c r="E47" s="1">
        <f t="shared" si="0"/>
        <v>1.5016889197231445E-2</v>
      </c>
      <c r="F47" s="10">
        <f t="shared" si="1"/>
        <v>0.67124685184976052</v>
      </c>
      <c r="G47" s="3">
        <f t="shared" si="2"/>
        <v>0.37542222993078611</v>
      </c>
      <c r="H47" s="22">
        <f t="shared" si="3"/>
        <v>-3.3901102635975996E-2</v>
      </c>
      <c r="I47" s="3">
        <f t="shared" si="6"/>
        <v>295.75728681000703</v>
      </c>
      <c r="J47" s="12">
        <f t="shared" si="4"/>
        <v>1</v>
      </c>
      <c r="K47">
        <f t="shared" si="5"/>
        <v>0.67124685184976052</v>
      </c>
    </row>
    <row r="48" spans="1:11" x14ac:dyDescent="0.3">
      <c r="A48">
        <v>887</v>
      </c>
      <c r="B48" s="3">
        <v>4.9686601118931186</v>
      </c>
      <c r="C48" s="2">
        <v>3.8320455416202104</v>
      </c>
      <c r="D48" s="1">
        <v>1.5646362110877148</v>
      </c>
      <c r="E48" s="1">
        <f t="shared" si="0"/>
        <v>3.1292724221754296E-2</v>
      </c>
      <c r="F48" s="10">
        <f t="shared" si="1"/>
        <v>0.9580113854050526</v>
      </c>
      <c r="G48" s="3">
        <f t="shared" si="2"/>
        <v>0.78231810554385739</v>
      </c>
      <c r="H48" s="22">
        <f t="shared" si="3"/>
        <v>-3.5360293500586011E-2</v>
      </c>
      <c r="I48" s="3">
        <f t="shared" si="6"/>
        <v>300.72594692190017</v>
      </c>
      <c r="J48" s="12">
        <f t="shared" si="4"/>
        <v>1</v>
      </c>
      <c r="K48">
        <f t="shared" si="5"/>
        <v>0.9580113854050526</v>
      </c>
    </row>
    <row r="49" spans="1:11" x14ac:dyDescent="0.3">
      <c r="A49">
        <v>117</v>
      </c>
      <c r="B49" s="3">
        <v>9.9147964946269234</v>
      </c>
      <c r="C49" s="2">
        <v>3.5120389782008266</v>
      </c>
      <c r="D49" s="1">
        <v>0.93018048137586473</v>
      </c>
      <c r="E49" s="1">
        <f t="shared" si="0"/>
        <v>1.8603609627517295E-2</v>
      </c>
      <c r="F49" s="10">
        <f t="shared" si="1"/>
        <v>0.87800974455020664</v>
      </c>
      <c r="G49" s="3">
        <f t="shared" si="2"/>
        <v>0.46509024068793237</v>
      </c>
      <c r="H49" s="22">
        <f t="shared" si="3"/>
        <v>-4.1646795684212548E-2</v>
      </c>
      <c r="I49" s="3">
        <f t="shared" si="6"/>
        <v>310.64074341652707</v>
      </c>
      <c r="J49" s="12">
        <f t="shared" si="4"/>
        <v>1</v>
      </c>
      <c r="K49">
        <f t="shared" si="5"/>
        <v>0.87800974455020664</v>
      </c>
    </row>
    <row r="50" spans="1:11" x14ac:dyDescent="0.3">
      <c r="A50">
        <v>461</v>
      </c>
      <c r="B50" s="3">
        <v>9.8706430081565681</v>
      </c>
      <c r="C50" s="2">
        <v>6.5135063795158761</v>
      </c>
      <c r="D50" s="1">
        <v>2.3568961093450351</v>
      </c>
      <c r="E50" s="1">
        <f t="shared" si="0"/>
        <v>4.7137922186900702E-2</v>
      </c>
      <c r="F50" s="10">
        <f t="shared" si="1"/>
        <v>1.628376594878969</v>
      </c>
      <c r="G50" s="3">
        <f t="shared" si="2"/>
        <v>1.1784480546725176</v>
      </c>
      <c r="H50" s="22">
        <f t="shared" si="3"/>
        <v>-4.5582495470118278E-2</v>
      </c>
      <c r="I50" s="3">
        <f t="shared" si="6"/>
        <v>320.51138642468362</v>
      </c>
      <c r="J50" s="12">
        <f t="shared" si="4"/>
        <v>1</v>
      </c>
      <c r="K50">
        <f t="shared" si="5"/>
        <v>1.628376594878969</v>
      </c>
    </row>
    <row r="51" spans="1:11" x14ac:dyDescent="0.3">
      <c r="A51">
        <v>853</v>
      </c>
      <c r="B51" s="3">
        <v>7.0539311336542854</v>
      </c>
      <c r="C51" s="2">
        <v>5.3315748519488508</v>
      </c>
      <c r="D51" s="1">
        <v>1.9167112653606846</v>
      </c>
      <c r="E51" s="1">
        <f t="shared" si="0"/>
        <v>3.8334225307213692E-2</v>
      </c>
      <c r="F51" s="10">
        <f t="shared" si="1"/>
        <v>1.3328937129872127</v>
      </c>
      <c r="G51" s="3">
        <f t="shared" si="2"/>
        <v>0.9583556326803423</v>
      </c>
      <c r="H51" s="22">
        <f t="shared" si="3"/>
        <v>-5.3096361902365379E-2</v>
      </c>
      <c r="I51" s="3">
        <f t="shared" si="6"/>
        <v>327.56531755833788</v>
      </c>
      <c r="J51" s="12">
        <f t="shared" si="4"/>
        <v>1</v>
      </c>
      <c r="K51">
        <f t="shared" si="5"/>
        <v>1.3328937129872127</v>
      </c>
    </row>
    <row r="52" spans="1:11" x14ac:dyDescent="0.3">
      <c r="A52">
        <v>676</v>
      </c>
      <c r="B52" s="3">
        <v>8.336932961903079</v>
      </c>
      <c r="C52" s="2">
        <v>6.3872650819654542</v>
      </c>
      <c r="D52" s="1">
        <v>2.2911526150144899</v>
      </c>
      <c r="E52" s="1">
        <f t="shared" si="0"/>
        <v>4.5823052300289796E-2</v>
      </c>
      <c r="F52" s="10">
        <f t="shared" si="1"/>
        <v>1.5968162704913635</v>
      </c>
      <c r="G52" s="3">
        <f t="shared" si="2"/>
        <v>1.1455763075072449</v>
      </c>
      <c r="H52" s="22">
        <f t="shared" si="3"/>
        <v>-5.4125415790930588E-2</v>
      </c>
      <c r="I52" s="3">
        <f t="shared" si="6"/>
        <v>335.90225052024095</v>
      </c>
      <c r="J52" s="12">
        <f t="shared" si="4"/>
        <v>1</v>
      </c>
      <c r="K52">
        <f t="shared" si="5"/>
        <v>1.5968162704913635</v>
      </c>
    </row>
    <row r="53" spans="1:11" x14ac:dyDescent="0.3">
      <c r="A53">
        <v>479</v>
      </c>
      <c r="B53" s="3">
        <v>2.3623766896901865</v>
      </c>
      <c r="C53" s="2">
        <v>2.4240394499852935</v>
      </c>
      <c r="D53" s="1">
        <v>0.9464445731485791</v>
      </c>
      <c r="E53" s="1">
        <f t="shared" si="0"/>
        <v>1.8928891462971581E-2</v>
      </c>
      <c r="F53" s="10">
        <f t="shared" si="1"/>
        <v>0.60600986249632338</v>
      </c>
      <c r="G53" s="3">
        <f t="shared" si="2"/>
        <v>0.47322228657428955</v>
      </c>
      <c r="H53" s="22">
        <f t="shared" si="3"/>
        <v>-5.6209315178879553E-2</v>
      </c>
      <c r="I53" s="3">
        <f t="shared" si="6"/>
        <v>338.26462720993112</v>
      </c>
      <c r="J53" s="12">
        <f t="shared" si="4"/>
        <v>1</v>
      </c>
      <c r="K53">
        <f t="shared" si="5"/>
        <v>0.60600986249632338</v>
      </c>
    </row>
    <row r="54" spans="1:11" x14ac:dyDescent="0.3">
      <c r="A54">
        <v>441</v>
      </c>
      <c r="B54" s="3">
        <v>9.6380365224874538</v>
      </c>
      <c r="C54" s="2">
        <v>4.7434515841039744</v>
      </c>
      <c r="D54" s="1">
        <v>1.1678727362738721</v>
      </c>
      <c r="E54" s="1">
        <f t="shared" si="0"/>
        <v>2.3357454725477442E-2</v>
      </c>
      <c r="F54" s="10">
        <f t="shared" si="1"/>
        <v>1.1858628960259936</v>
      </c>
      <c r="G54" s="3">
        <f t="shared" si="2"/>
        <v>0.58393636813693606</v>
      </c>
      <c r="H54" s="22">
        <f t="shared" si="3"/>
        <v>-6.2453231681021688E-2</v>
      </c>
      <c r="I54" s="3">
        <f t="shared" si="6"/>
        <v>347.90266373241855</v>
      </c>
      <c r="J54" s="12">
        <f t="shared" si="4"/>
        <v>1</v>
      </c>
      <c r="K54">
        <f t="shared" si="5"/>
        <v>1.1858628960259936</v>
      </c>
    </row>
    <row r="55" spans="1:11" x14ac:dyDescent="0.3">
      <c r="A55">
        <v>798</v>
      </c>
      <c r="B55" s="3">
        <v>7.5990387083278135</v>
      </c>
      <c r="C55" s="2">
        <v>6.1137161024262472</v>
      </c>
      <c r="D55" s="1">
        <v>2.0497100425392829</v>
      </c>
      <c r="E55" s="1">
        <f t="shared" si="0"/>
        <v>4.0994200850785659E-2</v>
      </c>
      <c r="F55" s="10">
        <f t="shared" si="1"/>
        <v>1.5284290256065618</v>
      </c>
      <c r="G55" s="3">
        <f t="shared" si="2"/>
        <v>1.0248550212696415</v>
      </c>
      <c r="H55" s="22">
        <f t="shared" si="3"/>
        <v>-6.6268119385291702E-2</v>
      </c>
      <c r="I55" s="3">
        <f t="shared" si="6"/>
        <v>355.50170244074639</v>
      </c>
      <c r="J55" s="12">
        <f t="shared" si="4"/>
        <v>1</v>
      </c>
      <c r="K55">
        <f t="shared" si="5"/>
        <v>1.5284290256065618</v>
      </c>
    </row>
    <row r="56" spans="1:11" x14ac:dyDescent="0.3">
      <c r="A56">
        <v>123</v>
      </c>
      <c r="B56" s="3">
        <v>9.1341854108012654</v>
      </c>
      <c r="C56" s="2">
        <v>8.9319799912231481</v>
      </c>
      <c r="D56" s="1">
        <v>3.180099477834184</v>
      </c>
      <c r="E56" s="1">
        <f t="shared" si="0"/>
        <v>6.3601989556683683E-2</v>
      </c>
      <c r="F56" s="10">
        <f t="shared" si="1"/>
        <v>2.232994997805787</v>
      </c>
      <c r="G56" s="3">
        <f t="shared" si="2"/>
        <v>1.590049738917092</v>
      </c>
      <c r="H56" s="22">
        <f t="shared" si="3"/>
        <v>-7.0388899499281662E-2</v>
      </c>
      <c r="I56" s="3">
        <f t="shared" si="6"/>
        <v>364.63588785154764</v>
      </c>
      <c r="J56" s="12">
        <f t="shared" si="4"/>
        <v>1</v>
      </c>
      <c r="K56">
        <f t="shared" si="5"/>
        <v>2.232994997805787</v>
      </c>
    </row>
    <row r="57" spans="1:11" x14ac:dyDescent="0.3">
      <c r="A57">
        <v>688</v>
      </c>
      <c r="B57" s="3">
        <v>8.1679263733362717</v>
      </c>
      <c r="C57" s="2">
        <v>6.1620639586377539</v>
      </c>
      <c r="D57" s="1">
        <v>1.9064284298780265</v>
      </c>
      <c r="E57" s="1">
        <f t="shared" si="0"/>
        <v>3.812856859756053E-2</v>
      </c>
      <c r="F57" s="10">
        <f t="shared" si="1"/>
        <v>1.5405159896594385</v>
      </c>
      <c r="G57" s="3">
        <f t="shared" si="2"/>
        <v>0.95321421493901326</v>
      </c>
      <c r="H57" s="22">
        <f t="shared" si="3"/>
        <v>-7.1903411940347342E-2</v>
      </c>
      <c r="I57" s="3">
        <f t="shared" si="6"/>
        <v>372.80381422488392</v>
      </c>
      <c r="J57" s="12">
        <f t="shared" si="4"/>
        <v>1</v>
      </c>
      <c r="K57">
        <f t="shared" si="5"/>
        <v>1.5405159896594385</v>
      </c>
    </row>
    <row r="58" spans="1:11" x14ac:dyDescent="0.3">
      <c r="A58">
        <v>336</v>
      </c>
      <c r="B58" s="3">
        <v>7.6596669062089831</v>
      </c>
      <c r="C58" s="2">
        <v>3.9160762139717531</v>
      </c>
      <c r="D58" s="1">
        <v>0.63979386474012179</v>
      </c>
      <c r="E58" s="1">
        <f t="shared" si="0"/>
        <v>1.2795877294802437E-2</v>
      </c>
      <c r="F58" s="10">
        <f t="shared" si="1"/>
        <v>0.97901905349293827</v>
      </c>
      <c r="G58" s="3">
        <f t="shared" si="2"/>
        <v>0.31989693237006089</v>
      </c>
      <c r="H58" s="22">
        <f t="shared" si="3"/>
        <v>-8.6051016211760867E-2</v>
      </c>
      <c r="I58" s="3">
        <f t="shared" si="6"/>
        <v>380.46348113109292</v>
      </c>
      <c r="J58" s="12">
        <f t="shared" si="4"/>
        <v>1</v>
      </c>
      <c r="K58">
        <f t="shared" si="5"/>
        <v>0.97901905349293827</v>
      </c>
    </row>
    <row r="59" spans="1:11" x14ac:dyDescent="0.3">
      <c r="A59">
        <v>524</v>
      </c>
      <c r="B59" s="3">
        <v>8.7645752668996515</v>
      </c>
      <c r="C59" s="2">
        <v>6.3930294339379135</v>
      </c>
      <c r="D59" s="1">
        <v>1.6447189242021771</v>
      </c>
      <c r="E59" s="1">
        <f t="shared" si="0"/>
        <v>3.2894378484043543E-2</v>
      </c>
      <c r="F59" s="10">
        <f t="shared" si="1"/>
        <v>1.5982573584844784</v>
      </c>
      <c r="G59" s="3">
        <f t="shared" si="2"/>
        <v>0.82235946210108857</v>
      </c>
      <c r="H59" s="22">
        <f t="shared" si="3"/>
        <v>-8.8526582607334162E-2</v>
      </c>
      <c r="I59" s="3">
        <f t="shared" si="6"/>
        <v>389.22805639799259</v>
      </c>
      <c r="J59" s="12">
        <f t="shared" si="4"/>
        <v>1</v>
      </c>
      <c r="K59">
        <f t="shared" si="5"/>
        <v>1.5982573584844784</v>
      </c>
    </row>
    <row r="60" spans="1:11" x14ac:dyDescent="0.3">
      <c r="A60">
        <v>470</v>
      </c>
      <c r="B60" s="3">
        <v>6.9519228468531882</v>
      </c>
      <c r="C60" s="2">
        <v>8.8744800057905628</v>
      </c>
      <c r="D60" s="1">
        <v>3.0340246196971177</v>
      </c>
      <c r="E60" s="1">
        <f t="shared" si="0"/>
        <v>6.0680492393942354E-2</v>
      </c>
      <c r="F60" s="10">
        <f t="shared" si="1"/>
        <v>2.2186200014476407</v>
      </c>
      <c r="G60" s="3">
        <f t="shared" si="2"/>
        <v>1.5170123098485588</v>
      </c>
      <c r="H60" s="22">
        <f t="shared" si="3"/>
        <v>-0.1009228248148161</v>
      </c>
      <c r="I60" s="3">
        <f t="shared" si="6"/>
        <v>396.17997924484575</v>
      </c>
      <c r="J60" s="12">
        <f t="shared" si="4"/>
        <v>1</v>
      </c>
      <c r="K60">
        <f t="shared" si="5"/>
        <v>2.2186200014476407</v>
      </c>
    </row>
    <row r="61" spans="1:11" x14ac:dyDescent="0.3">
      <c r="A61">
        <v>175</v>
      </c>
      <c r="B61" s="3">
        <v>6.0934208127887102</v>
      </c>
      <c r="C61" s="2">
        <v>5.1068824849209165</v>
      </c>
      <c r="D61" s="1">
        <v>1.2705269871456333</v>
      </c>
      <c r="E61" s="1">
        <f t="shared" si="0"/>
        <v>2.5410539742912665E-2</v>
      </c>
      <c r="F61" s="10">
        <f t="shared" si="1"/>
        <v>1.2767206212302291</v>
      </c>
      <c r="G61" s="3">
        <f t="shared" si="2"/>
        <v>0.63526349357281664</v>
      </c>
      <c r="H61" s="22">
        <f t="shared" si="3"/>
        <v>-0.10527044616894655</v>
      </c>
      <c r="I61" s="3">
        <f t="shared" si="6"/>
        <v>402.27340005763449</v>
      </c>
      <c r="J61" s="12">
        <f t="shared" si="4"/>
        <v>1</v>
      </c>
      <c r="K61">
        <f t="shared" si="5"/>
        <v>1.2767206212302291</v>
      </c>
    </row>
    <row r="62" spans="1:11" x14ac:dyDescent="0.3">
      <c r="A62">
        <v>244</v>
      </c>
      <c r="B62" s="3">
        <v>7.5436734072691518</v>
      </c>
      <c r="C62" s="2">
        <v>8.1608320174484721</v>
      </c>
      <c r="D62" s="1">
        <v>2.479744844114252</v>
      </c>
      <c r="E62" s="1">
        <f t="shared" si="0"/>
        <v>4.9594896882285043E-2</v>
      </c>
      <c r="F62" s="10">
        <f t="shared" si="1"/>
        <v>2.040208004362118</v>
      </c>
      <c r="G62" s="3">
        <f t="shared" si="2"/>
        <v>1.239872422057126</v>
      </c>
      <c r="H62" s="22">
        <f t="shared" si="3"/>
        <v>-0.10609361501967747</v>
      </c>
      <c r="I62" s="3">
        <f t="shared" si="6"/>
        <v>409.81707346490361</v>
      </c>
      <c r="J62" s="12">
        <f t="shared" si="4"/>
        <v>1</v>
      </c>
      <c r="K62">
        <f t="shared" si="5"/>
        <v>2.040208004362118</v>
      </c>
    </row>
    <row r="63" spans="1:11" x14ac:dyDescent="0.3">
      <c r="A63">
        <v>567</v>
      </c>
      <c r="B63" s="3">
        <v>5.938837137752337</v>
      </c>
      <c r="C63" s="2">
        <v>7.9265671784590097</v>
      </c>
      <c r="D63" s="1">
        <v>2.6989977181773459</v>
      </c>
      <c r="E63" s="1">
        <f t="shared" si="0"/>
        <v>5.3979954363546918E-2</v>
      </c>
      <c r="F63" s="10">
        <f t="shared" si="1"/>
        <v>1.9816417946147524</v>
      </c>
      <c r="G63" s="3">
        <f t="shared" si="2"/>
        <v>1.349498859088673</v>
      </c>
      <c r="H63" s="22">
        <f t="shared" si="3"/>
        <v>-0.10644220760115433</v>
      </c>
      <c r="I63" s="3">
        <f t="shared" si="6"/>
        <v>415.75591060265594</v>
      </c>
      <c r="J63" s="12">
        <f t="shared" si="4"/>
        <v>1</v>
      </c>
      <c r="K63">
        <f t="shared" si="5"/>
        <v>1.9816417946147524</v>
      </c>
    </row>
    <row r="64" spans="1:11" x14ac:dyDescent="0.3">
      <c r="A64">
        <v>1100</v>
      </c>
      <c r="B64" s="3">
        <v>6.6708003843085297</v>
      </c>
      <c r="C64" s="2">
        <v>9.6869700740117146</v>
      </c>
      <c r="D64" s="1">
        <v>3.2266163247432469</v>
      </c>
      <c r="E64" s="1">
        <f t="shared" si="0"/>
        <v>6.4532326494864942E-2</v>
      </c>
      <c r="F64" s="10">
        <f t="shared" si="1"/>
        <v>2.4217425185029287</v>
      </c>
      <c r="G64" s="3">
        <f t="shared" si="2"/>
        <v>1.6133081623716234</v>
      </c>
      <c r="H64" s="22">
        <f t="shared" si="3"/>
        <v>-0.12119000862819319</v>
      </c>
      <c r="I64" s="3">
        <f t="shared" si="6"/>
        <v>422.42671098696445</v>
      </c>
      <c r="J64" s="12">
        <f t="shared" si="4"/>
        <v>1</v>
      </c>
      <c r="K64">
        <f t="shared" si="5"/>
        <v>2.4217425185029287</v>
      </c>
    </row>
    <row r="65" spans="1:11" x14ac:dyDescent="0.3">
      <c r="A65">
        <v>154</v>
      </c>
      <c r="B65" s="3">
        <v>5.5162632285285778</v>
      </c>
      <c r="C65" s="2">
        <v>3.9009762321333241</v>
      </c>
      <c r="D65" s="1">
        <v>0.49669752154335417</v>
      </c>
      <c r="E65" s="1">
        <f t="shared" si="0"/>
        <v>9.9339504308670838E-3</v>
      </c>
      <c r="F65" s="10">
        <f t="shared" si="1"/>
        <v>0.97524405803333103</v>
      </c>
      <c r="G65" s="3">
        <f t="shared" si="2"/>
        <v>0.24834876077167709</v>
      </c>
      <c r="H65" s="22">
        <f t="shared" si="3"/>
        <v>-0.13177313466521209</v>
      </c>
      <c r="I65" s="3">
        <f t="shared" si="6"/>
        <v>427.94297421549305</v>
      </c>
      <c r="J65" s="12">
        <f t="shared" si="4"/>
        <v>1</v>
      </c>
      <c r="K65">
        <f t="shared" si="5"/>
        <v>0.97524405803333103</v>
      </c>
    </row>
    <row r="66" spans="1:11" x14ac:dyDescent="0.3">
      <c r="A66">
        <v>384</v>
      </c>
      <c r="B66" s="3">
        <v>8.035151438118433</v>
      </c>
      <c r="C66" s="2">
        <v>7.6335889288701058</v>
      </c>
      <c r="D66" s="1">
        <v>1.6787814738012135</v>
      </c>
      <c r="E66" s="1">
        <f t="shared" ref="E66:E129" si="7">D66/50</f>
        <v>3.3575629476024271E-2</v>
      </c>
      <c r="F66" s="10">
        <f t="shared" ref="F66:F129" si="8">0.25*C66</f>
        <v>1.9083972322175264</v>
      </c>
      <c r="G66" s="3">
        <f t="shared" ref="G66:G129" si="9">25*E66</f>
        <v>0.83939073690060684</v>
      </c>
      <c r="H66" s="22">
        <f t="shared" ref="H66:H129" si="10">(G66-F66)/B66</f>
        <v>-0.13304123805876217</v>
      </c>
      <c r="I66" s="3">
        <f t="shared" si="6"/>
        <v>435.97812565361147</v>
      </c>
      <c r="J66" s="12">
        <f t="shared" si="4"/>
        <v>1</v>
      </c>
      <c r="K66">
        <f t="shared" ref="K66:K129" si="11">IF(J66 = 1, F66, G66)</f>
        <v>1.9083972322175264</v>
      </c>
    </row>
    <row r="67" spans="1:11" x14ac:dyDescent="0.3">
      <c r="A67">
        <v>959</v>
      </c>
      <c r="B67" s="3">
        <v>7.985880696492023</v>
      </c>
      <c r="C67" s="2">
        <v>11.20943255343253</v>
      </c>
      <c r="D67" s="1">
        <v>3.2277762467118438</v>
      </c>
      <c r="E67" s="1">
        <f t="shared" si="7"/>
        <v>6.4555524934236871E-2</v>
      </c>
      <c r="F67" s="10">
        <f t="shared" si="8"/>
        <v>2.8023581383581324</v>
      </c>
      <c r="G67" s="3">
        <f t="shared" si="9"/>
        <v>1.6138881233559217</v>
      </c>
      <c r="H67" s="22">
        <f t="shared" si="10"/>
        <v>-0.14882140870502522</v>
      </c>
      <c r="I67" s="3">
        <f t="shared" si="6"/>
        <v>443.96400635010349</v>
      </c>
      <c r="J67" s="12">
        <f t="shared" ref="J67:J130" si="12">IF(I67 &lt;= 500, 1, 0)</f>
        <v>1</v>
      </c>
      <c r="K67">
        <f t="shared" si="11"/>
        <v>2.8023581383581324</v>
      </c>
    </row>
    <row r="68" spans="1:11" x14ac:dyDescent="0.3">
      <c r="A68">
        <v>768</v>
      </c>
      <c r="B68" s="3">
        <v>5.2032934259225296</v>
      </c>
      <c r="C68" s="2">
        <v>6.10745718760014</v>
      </c>
      <c r="D68" s="1">
        <v>1.415449584996018</v>
      </c>
      <c r="E68" s="1">
        <f t="shared" si="7"/>
        <v>2.830899169992036E-2</v>
      </c>
      <c r="F68" s="10">
        <f t="shared" si="8"/>
        <v>1.526864296900035</v>
      </c>
      <c r="G68" s="3">
        <f t="shared" si="9"/>
        <v>0.70772479249800901</v>
      </c>
      <c r="H68" s="22">
        <f t="shared" si="10"/>
        <v>-0.15742712112315574</v>
      </c>
      <c r="I68" s="3">
        <f t="shared" ref="I68:I131" si="13">B68+I67</f>
        <v>449.16729977602603</v>
      </c>
      <c r="J68" s="12">
        <f t="shared" si="12"/>
        <v>1</v>
      </c>
      <c r="K68">
        <f t="shared" si="11"/>
        <v>1.526864296900035</v>
      </c>
    </row>
    <row r="69" spans="1:11" x14ac:dyDescent="0.3">
      <c r="A69">
        <v>956</v>
      </c>
      <c r="B69" s="3">
        <v>4.3910514863551899</v>
      </c>
      <c r="C69" s="2">
        <v>7.4776300999606864</v>
      </c>
      <c r="D69" s="1">
        <v>2.3296747184912898</v>
      </c>
      <c r="E69" s="1">
        <f t="shared" si="7"/>
        <v>4.6593494369825794E-2</v>
      </c>
      <c r="F69" s="10">
        <f t="shared" si="8"/>
        <v>1.8694075249901716</v>
      </c>
      <c r="G69" s="3">
        <f t="shared" si="9"/>
        <v>1.1648373592456449</v>
      </c>
      <c r="H69" s="22">
        <f t="shared" si="10"/>
        <v>-0.1604559108299953</v>
      </c>
      <c r="I69" s="3">
        <f t="shared" si="13"/>
        <v>453.55835126238122</v>
      </c>
      <c r="J69" s="12">
        <f t="shared" si="12"/>
        <v>1</v>
      </c>
      <c r="K69">
        <f t="shared" si="11"/>
        <v>1.8694075249901716</v>
      </c>
    </row>
    <row r="70" spans="1:11" x14ac:dyDescent="0.3">
      <c r="A70">
        <v>431</v>
      </c>
      <c r="B70" s="3">
        <v>8.9647730460119526</v>
      </c>
      <c r="C70" s="2">
        <v>8.0102939251496146</v>
      </c>
      <c r="D70" s="1">
        <v>1.1192198458945315</v>
      </c>
      <c r="E70" s="1">
        <f t="shared" si="7"/>
        <v>2.2384396917890629E-2</v>
      </c>
      <c r="F70" s="10">
        <f t="shared" si="8"/>
        <v>2.0025734812874036</v>
      </c>
      <c r="G70" s="3">
        <f t="shared" si="9"/>
        <v>0.55960992294726575</v>
      </c>
      <c r="H70" s="22">
        <f t="shared" si="10"/>
        <v>-0.16095929600605463</v>
      </c>
      <c r="I70" s="3">
        <f t="shared" si="13"/>
        <v>462.52312430839316</v>
      </c>
      <c r="J70" s="12">
        <f t="shared" si="12"/>
        <v>1</v>
      </c>
      <c r="K70">
        <f t="shared" si="11"/>
        <v>2.0025734812874036</v>
      </c>
    </row>
    <row r="71" spans="1:11" x14ac:dyDescent="0.3">
      <c r="A71">
        <v>363</v>
      </c>
      <c r="B71" s="3">
        <v>5.7235684506015163</v>
      </c>
      <c r="C71" s="2">
        <v>6.0982912697297165</v>
      </c>
      <c r="D71" s="1">
        <v>1.1986349997228909</v>
      </c>
      <c r="E71" s="1">
        <f t="shared" si="7"/>
        <v>2.3972699994457818E-2</v>
      </c>
      <c r="F71" s="10">
        <f t="shared" si="8"/>
        <v>1.5245728174324291</v>
      </c>
      <c r="G71" s="3">
        <f t="shared" si="9"/>
        <v>0.59931749986144545</v>
      </c>
      <c r="H71" s="22">
        <f t="shared" si="10"/>
        <v>-0.16165707207952484</v>
      </c>
      <c r="I71" s="3">
        <f t="shared" si="13"/>
        <v>468.2466927589947</v>
      </c>
      <c r="J71" s="12">
        <f t="shared" si="12"/>
        <v>1</v>
      </c>
      <c r="K71">
        <f t="shared" si="11"/>
        <v>1.5245728174324291</v>
      </c>
    </row>
    <row r="72" spans="1:11" x14ac:dyDescent="0.3">
      <c r="A72">
        <v>985</v>
      </c>
      <c r="B72" s="3">
        <v>5.5346435523973438</v>
      </c>
      <c r="C72" s="2">
        <v>8.0779941770047543</v>
      </c>
      <c r="D72" s="1">
        <v>2.0257947754439365</v>
      </c>
      <c r="E72" s="1">
        <f t="shared" si="7"/>
        <v>4.0515895508878727E-2</v>
      </c>
      <c r="F72" s="10">
        <f t="shared" si="8"/>
        <v>2.0194985442511886</v>
      </c>
      <c r="G72" s="3">
        <f t="shared" si="9"/>
        <v>1.0128973877219682</v>
      </c>
      <c r="H72" s="22">
        <f t="shared" si="10"/>
        <v>-0.18187280662242625</v>
      </c>
      <c r="I72" s="3">
        <f t="shared" si="13"/>
        <v>473.78133631139207</v>
      </c>
      <c r="J72" s="12">
        <f t="shared" si="12"/>
        <v>1</v>
      </c>
      <c r="K72">
        <f t="shared" si="11"/>
        <v>2.0194985442511886</v>
      </c>
    </row>
    <row r="73" spans="1:11" x14ac:dyDescent="0.3">
      <c r="A73">
        <v>685</v>
      </c>
      <c r="B73" s="3">
        <v>6.3549319708390017</v>
      </c>
      <c r="C73" s="2">
        <v>5.5178734245572514</v>
      </c>
      <c r="D73" s="1">
        <v>0.39773463445090063</v>
      </c>
      <c r="E73" s="1">
        <f t="shared" si="7"/>
        <v>7.9546926890180121E-3</v>
      </c>
      <c r="F73" s="10">
        <f t="shared" si="8"/>
        <v>1.3794683561393128</v>
      </c>
      <c r="G73" s="3">
        <f t="shared" si="9"/>
        <v>0.19886731722545031</v>
      </c>
      <c r="H73" s="22">
        <f t="shared" si="10"/>
        <v>-0.18577713252184433</v>
      </c>
      <c r="I73" s="3">
        <f t="shared" si="13"/>
        <v>480.13626828223107</v>
      </c>
      <c r="J73" s="12">
        <f t="shared" si="12"/>
        <v>1</v>
      </c>
      <c r="K73">
        <f t="shared" si="11"/>
        <v>1.3794683561393128</v>
      </c>
    </row>
    <row r="74" spans="1:11" x14ac:dyDescent="0.3">
      <c r="A74">
        <v>897</v>
      </c>
      <c r="B74" s="3">
        <v>6.6286404555023388</v>
      </c>
      <c r="C74" s="2">
        <v>7.3073806247415778</v>
      </c>
      <c r="D74" s="1">
        <v>1.1713132765910024</v>
      </c>
      <c r="E74" s="1">
        <f t="shared" si="7"/>
        <v>2.3426265531820048E-2</v>
      </c>
      <c r="F74" s="10">
        <f t="shared" si="8"/>
        <v>1.8268451561853944</v>
      </c>
      <c r="G74" s="3">
        <f t="shared" si="9"/>
        <v>0.58565663829550119</v>
      </c>
      <c r="H74" s="22">
        <f t="shared" si="10"/>
        <v>-0.18724631788704132</v>
      </c>
      <c r="I74" s="3">
        <f t="shared" si="13"/>
        <v>486.76490873773344</v>
      </c>
      <c r="J74" s="12">
        <f t="shared" si="12"/>
        <v>1</v>
      </c>
      <c r="K74">
        <f t="shared" si="11"/>
        <v>1.8268451561853944</v>
      </c>
    </row>
    <row r="75" spans="1:11" x14ac:dyDescent="0.3">
      <c r="A75">
        <v>666</v>
      </c>
      <c r="B75" s="3">
        <v>4.820234794182813</v>
      </c>
      <c r="C75" s="2">
        <v>4.6288503330777058</v>
      </c>
      <c r="D75" s="1">
        <v>0.4424648313981121</v>
      </c>
      <c r="E75" s="1">
        <f t="shared" si="7"/>
        <v>8.8492966279622425E-3</v>
      </c>
      <c r="F75" s="10">
        <f t="shared" si="8"/>
        <v>1.1572125832694264</v>
      </c>
      <c r="G75" s="3">
        <f t="shared" si="9"/>
        <v>0.22123241569905605</v>
      </c>
      <c r="H75" s="22">
        <f t="shared" si="10"/>
        <v>-0.19417729789842106</v>
      </c>
      <c r="I75" s="3">
        <f t="shared" si="13"/>
        <v>491.58514353191623</v>
      </c>
      <c r="J75" s="12">
        <f>IF(I75 &lt;= 500, 1, 0)</f>
        <v>1</v>
      </c>
      <c r="K75">
        <f t="shared" si="11"/>
        <v>1.1572125832694264</v>
      </c>
    </row>
    <row r="76" spans="1:11" x14ac:dyDescent="0.3">
      <c r="A76">
        <v>749</v>
      </c>
      <c r="B76" s="3">
        <v>9.2350666078819597</v>
      </c>
      <c r="C76" s="2">
        <v>13.692907235795282</v>
      </c>
      <c r="D76" s="1">
        <v>3.1088447550817278</v>
      </c>
      <c r="E76" s="1">
        <f t="shared" si="7"/>
        <v>6.2176895101634558E-2</v>
      </c>
      <c r="F76" s="10">
        <f t="shared" si="8"/>
        <v>3.4232268089488205</v>
      </c>
      <c r="G76" s="3">
        <f t="shared" si="9"/>
        <v>1.5544223775408639</v>
      </c>
      <c r="H76" s="22">
        <f t="shared" si="10"/>
        <v>-0.20235960505287168</v>
      </c>
      <c r="I76" s="3">
        <f t="shared" si="13"/>
        <v>500.82021013979818</v>
      </c>
      <c r="J76" s="12">
        <f t="shared" si="12"/>
        <v>0</v>
      </c>
      <c r="K76">
        <f t="shared" si="11"/>
        <v>1.5544223775408639</v>
      </c>
    </row>
    <row r="77" spans="1:11" x14ac:dyDescent="0.3">
      <c r="A77">
        <v>1012</v>
      </c>
      <c r="B77" s="3">
        <v>1.4930828690322018</v>
      </c>
      <c r="C77" s="2">
        <v>5.7791552874007284</v>
      </c>
      <c r="D77" s="1">
        <v>2.2217941189331287</v>
      </c>
      <c r="E77" s="1">
        <f t="shared" si="7"/>
        <v>4.4435882378662576E-2</v>
      </c>
      <c r="F77" s="10">
        <f t="shared" si="8"/>
        <v>1.4447888218501821</v>
      </c>
      <c r="G77" s="3">
        <f t="shared" si="9"/>
        <v>1.1108970594665644</v>
      </c>
      <c r="H77" s="22">
        <f t="shared" si="10"/>
        <v>-0.22362574061280491</v>
      </c>
      <c r="I77" s="3">
        <f t="shared" si="13"/>
        <v>502.31329300883039</v>
      </c>
      <c r="J77" s="12">
        <f t="shared" si="12"/>
        <v>0</v>
      </c>
      <c r="K77">
        <f t="shared" si="11"/>
        <v>1.1108970594665644</v>
      </c>
    </row>
    <row r="78" spans="1:11" x14ac:dyDescent="0.3">
      <c r="A78">
        <v>41</v>
      </c>
      <c r="B78" s="3">
        <v>4.3288470126141601</v>
      </c>
      <c r="C78" s="2">
        <v>6.5469544163868303</v>
      </c>
      <c r="D78" s="1">
        <v>1.2478731961730476</v>
      </c>
      <c r="E78" s="1">
        <f t="shared" si="7"/>
        <v>2.4957463923460953E-2</v>
      </c>
      <c r="F78" s="10">
        <f t="shared" si="8"/>
        <v>1.6367386040967076</v>
      </c>
      <c r="G78" s="3">
        <f t="shared" si="9"/>
        <v>0.6239365980865238</v>
      </c>
      <c r="H78" s="22">
        <f t="shared" si="10"/>
        <v>-0.23396576572443009</v>
      </c>
      <c r="I78" s="3">
        <f t="shared" si="13"/>
        <v>506.64214002144456</v>
      </c>
      <c r="J78" s="12">
        <f t="shared" si="12"/>
        <v>0</v>
      </c>
      <c r="K78">
        <f t="shared" si="11"/>
        <v>0.6239365980865238</v>
      </c>
    </row>
    <row r="79" spans="1:11" x14ac:dyDescent="0.3">
      <c r="A79">
        <v>466</v>
      </c>
      <c r="B79" s="3">
        <v>5.2486953648089152</v>
      </c>
      <c r="C79" s="2">
        <v>6.8191733528805027</v>
      </c>
      <c r="D79" s="1">
        <v>0.69438688024081152</v>
      </c>
      <c r="E79" s="1">
        <f t="shared" si="7"/>
        <v>1.3887737604816231E-2</v>
      </c>
      <c r="F79" s="10">
        <f t="shared" si="8"/>
        <v>1.7047933382201257</v>
      </c>
      <c r="G79" s="3">
        <f t="shared" si="9"/>
        <v>0.34719344012040576</v>
      </c>
      <c r="H79" s="22">
        <f t="shared" si="10"/>
        <v>-0.25865473298413555</v>
      </c>
      <c r="I79" s="3">
        <f t="shared" si="13"/>
        <v>511.89083538625346</v>
      </c>
      <c r="J79" s="12">
        <f t="shared" si="12"/>
        <v>0</v>
      </c>
      <c r="K79">
        <f t="shared" si="11"/>
        <v>0.34719344012040576</v>
      </c>
    </row>
    <row r="80" spans="1:11" x14ac:dyDescent="0.3">
      <c r="A80">
        <v>930</v>
      </c>
      <c r="B80" s="3">
        <v>2.7549304722085735</v>
      </c>
      <c r="C80" s="2">
        <v>7.4158770781698085</v>
      </c>
      <c r="D80" s="1">
        <v>2.1105652586560986</v>
      </c>
      <c r="E80" s="1">
        <f t="shared" si="7"/>
        <v>4.2211305173121973E-2</v>
      </c>
      <c r="F80" s="10">
        <f t="shared" si="8"/>
        <v>1.8539692695424521</v>
      </c>
      <c r="G80" s="3">
        <f t="shared" si="9"/>
        <v>1.0552826293280493</v>
      </c>
      <c r="H80" s="22">
        <f t="shared" si="10"/>
        <v>-0.28991172309844593</v>
      </c>
      <c r="I80" s="3">
        <f t="shared" si="13"/>
        <v>514.64576585846203</v>
      </c>
      <c r="J80" s="12">
        <f t="shared" si="12"/>
        <v>0</v>
      </c>
      <c r="K80">
        <f t="shared" si="11"/>
        <v>1.0552826293280493</v>
      </c>
    </row>
    <row r="81" spans="1:11" x14ac:dyDescent="0.3">
      <c r="A81">
        <v>931</v>
      </c>
      <c r="B81" s="3">
        <v>2.7904960506969556</v>
      </c>
      <c r="C81" s="2">
        <v>5.2130440978829906</v>
      </c>
      <c r="D81" s="1">
        <v>0.93002087125522115</v>
      </c>
      <c r="E81" s="1">
        <f t="shared" si="7"/>
        <v>1.8600417425104421E-2</v>
      </c>
      <c r="F81" s="10">
        <f t="shared" si="8"/>
        <v>1.3032610244707477</v>
      </c>
      <c r="G81" s="3">
        <f t="shared" si="9"/>
        <v>0.46501043562761052</v>
      </c>
      <c r="H81" s="22">
        <f t="shared" si="10"/>
        <v>-0.30039483074479723</v>
      </c>
      <c r="I81" s="3">
        <f t="shared" si="13"/>
        <v>517.43626190915893</v>
      </c>
      <c r="J81" s="12">
        <f t="shared" si="12"/>
        <v>0</v>
      </c>
      <c r="K81">
        <f t="shared" si="11"/>
        <v>0.46501043562761052</v>
      </c>
    </row>
    <row r="82" spans="1:11" x14ac:dyDescent="0.3">
      <c r="A82">
        <v>821</v>
      </c>
      <c r="B82" s="3">
        <v>2.0467901820589676</v>
      </c>
      <c r="C82" s="2">
        <v>6.9242576765975787</v>
      </c>
      <c r="D82" s="1">
        <v>2.2294676822866899</v>
      </c>
      <c r="E82" s="1">
        <f t="shared" si="7"/>
        <v>4.4589353645733798E-2</v>
      </c>
      <c r="F82" s="10">
        <f t="shared" si="8"/>
        <v>1.7310644191493947</v>
      </c>
      <c r="G82" s="3">
        <f t="shared" si="9"/>
        <v>1.114733841143345</v>
      </c>
      <c r="H82" s="22">
        <f t="shared" si="10"/>
        <v>-0.30112054640893982</v>
      </c>
      <c r="I82" s="3">
        <f t="shared" si="13"/>
        <v>519.48305209121793</v>
      </c>
      <c r="J82" s="12">
        <f t="shared" si="12"/>
        <v>0</v>
      </c>
      <c r="K82">
        <f t="shared" si="11"/>
        <v>1.114733841143345</v>
      </c>
    </row>
    <row r="83" spans="1:11" x14ac:dyDescent="0.3">
      <c r="A83">
        <v>1065</v>
      </c>
      <c r="B83" s="3">
        <v>4.5046233603596777</v>
      </c>
      <c r="C83" s="2">
        <v>6.6069166427950581</v>
      </c>
      <c r="D83" s="1">
        <v>0.45500751961231134</v>
      </c>
      <c r="E83" s="1">
        <f t="shared" si="7"/>
        <v>9.1001503922462264E-3</v>
      </c>
      <c r="F83" s="10">
        <f t="shared" si="8"/>
        <v>1.6517291606987645</v>
      </c>
      <c r="G83" s="3">
        <f t="shared" si="9"/>
        <v>0.22750375980615567</v>
      </c>
      <c r="H83" s="22">
        <f t="shared" si="10"/>
        <v>-0.31616969654459404</v>
      </c>
      <c r="I83" s="3">
        <f t="shared" si="13"/>
        <v>523.98767545157762</v>
      </c>
      <c r="J83" s="12">
        <f t="shared" si="12"/>
        <v>0</v>
      </c>
      <c r="K83">
        <f t="shared" si="11"/>
        <v>0.22750375980615567</v>
      </c>
    </row>
    <row r="84" spans="1:11" x14ac:dyDescent="0.3">
      <c r="A84">
        <v>210</v>
      </c>
      <c r="B84" s="3">
        <v>7.9621559060366964</v>
      </c>
      <c r="C84" s="2">
        <v>15.762504913395659</v>
      </c>
      <c r="D84" s="1">
        <v>2.787926388417501</v>
      </c>
      <c r="E84" s="1">
        <f t="shared" si="7"/>
        <v>5.5758527768350018E-2</v>
      </c>
      <c r="F84" s="10">
        <f t="shared" si="8"/>
        <v>3.9406262283489149</v>
      </c>
      <c r="G84" s="3">
        <f t="shared" si="9"/>
        <v>1.3939631942087505</v>
      </c>
      <c r="H84" s="22">
        <f t="shared" si="10"/>
        <v>-0.31984591412099223</v>
      </c>
      <c r="I84" s="3">
        <f t="shared" si="13"/>
        <v>531.94983135761436</v>
      </c>
      <c r="J84" s="12">
        <f t="shared" si="12"/>
        <v>0</v>
      </c>
      <c r="K84">
        <f t="shared" si="11"/>
        <v>1.3939631942087505</v>
      </c>
    </row>
    <row r="85" spans="1:11" x14ac:dyDescent="0.3">
      <c r="A85">
        <v>834</v>
      </c>
      <c r="B85" s="3">
        <v>4.6737245424359468</v>
      </c>
      <c r="C85" s="2">
        <v>8.1269681121061144</v>
      </c>
      <c r="D85" s="1">
        <v>0.76860816520052244</v>
      </c>
      <c r="E85" s="1">
        <f t="shared" si="7"/>
        <v>1.5372163304010448E-2</v>
      </c>
      <c r="F85" s="10">
        <f t="shared" si="8"/>
        <v>2.0317420280265286</v>
      </c>
      <c r="G85" s="3">
        <f t="shared" si="9"/>
        <v>0.38430408260026122</v>
      </c>
      <c r="H85" s="22">
        <f t="shared" si="10"/>
        <v>-0.35248931135501238</v>
      </c>
      <c r="I85" s="3">
        <f t="shared" si="13"/>
        <v>536.62355590005029</v>
      </c>
      <c r="J85" s="12">
        <f t="shared" si="12"/>
        <v>0</v>
      </c>
      <c r="K85">
        <f t="shared" si="11"/>
        <v>0.38430408260026122</v>
      </c>
    </row>
    <row r="86" spans="1:11" x14ac:dyDescent="0.3">
      <c r="A86">
        <v>1024</v>
      </c>
      <c r="B86" s="3">
        <v>2.2098162938863988</v>
      </c>
      <c r="C86" s="2">
        <v>4.4807275882456583</v>
      </c>
      <c r="D86" s="1">
        <v>0.62211634802503069</v>
      </c>
      <c r="E86" s="1">
        <f t="shared" si="7"/>
        <v>1.2442326960500613E-2</v>
      </c>
      <c r="F86" s="10">
        <f t="shared" si="8"/>
        <v>1.1201818970614146</v>
      </c>
      <c r="G86" s="3">
        <f t="shared" si="9"/>
        <v>0.31105817401251534</v>
      </c>
      <c r="H86" s="22">
        <f t="shared" si="10"/>
        <v>-0.36614976787319059</v>
      </c>
      <c r="I86" s="3">
        <f t="shared" si="13"/>
        <v>538.83337219393673</v>
      </c>
      <c r="J86" s="12">
        <f t="shared" si="12"/>
        <v>0</v>
      </c>
      <c r="K86">
        <f t="shared" si="11"/>
        <v>0.31105817401251534</v>
      </c>
    </row>
    <row r="87" spans="1:11" x14ac:dyDescent="0.3">
      <c r="A87">
        <v>262</v>
      </c>
      <c r="B87" s="3">
        <v>9.6269990660610851</v>
      </c>
      <c r="C87" s="2">
        <v>21.585203079098626</v>
      </c>
      <c r="D87" s="1">
        <v>3.2157035876028734</v>
      </c>
      <c r="E87" s="1">
        <f t="shared" si="7"/>
        <v>6.4314071752057472E-2</v>
      </c>
      <c r="F87" s="10">
        <f t="shared" si="8"/>
        <v>5.3963007697746566</v>
      </c>
      <c r="G87" s="3">
        <f t="shared" si="9"/>
        <v>1.6078517938014367</v>
      </c>
      <c r="H87" s="22">
        <f t="shared" si="10"/>
        <v>-0.39352335551054279</v>
      </c>
      <c r="I87" s="3">
        <f t="shared" si="13"/>
        <v>548.46037125999783</v>
      </c>
      <c r="J87" s="12">
        <f t="shared" si="12"/>
        <v>0</v>
      </c>
      <c r="K87">
        <f t="shared" si="11"/>
        <v>1.6078517938014367</v>
      </c>
    </row>
    <row r="88" spans="1:11" x14ac:dyDescent="0.3">
      <c r="A88">
        <v>955</v>
      </c>
      <c r="B88" s="3">
        <v>6.3337369649412389</v>
      </c>
      <c r="C88" s="2">
        <v>15.998953432707797</v>
      </c>
      <c r="D88" s="1">
        <v>2.9575779491830172</v>
      </c>
      <c r="E88" s="1">
        <f t="shared" si="7"/>
        <v>5.9151558983660341E-2</v>
      </c>
      <c r="F88" s="10">
        <f t="shared" si="8"/>
        <v>3.9997383581769492</v>
      </c>
      <c r="G88" s="3">
        <f t="shared" si="9"/>
        <v>1.4787889745915086</v>
      </c>
      <c r="H88" s="22">
        <f t="shared" si="10"/>
        <v>-0.39801927322519126</v>
      </c>
      <c r="I88" s="3">
        <f t="shared" si="13"/>
        <v>554.79410822493912</v>
      </c>
      <c r="J88" s="12">
        <f t="shared" si="12"/>
        <v>0</v>
      </c>
      <c r="K88">
        <f t="shared" si="11"/>
        <v>1.4787889745915086</v>
      </c>
    </row>
    <row r="89" spans="1:11" x14ac:dyDescent="0.3">
      <c r="A89">
        <v>800</v>
      </c>
      <c r="B89" s="3">
        <v>9.3310756405959623</v>
      </c>
      <c r="C89" s="2">
        <v>20.764741698943944</v>
      </c>
      <c r="D89" s="1">
        <v>2.7507504863901571</v>
      </c>
      <c r="E89" s="1">
        <f t="shared" si="7"/>
        <v>5.5015009727803141E-2</v>
      </c>
      <c r="F89" s="10">
        <f t="shared" si="8"/>
        <v>5.1911854247359859</v>
      </c>
      <c r="G89" s="3">
        <f t="shared" si="9"/>
        <v>1.3753752431950785</v>
      </c>
      <c r="H89" s="22">
        <f t="shared" si="10"/>
        <v>-0.4089357249382663</v>
      </c>
      <c r="I89" s="3">
        <f t="shared" si="13"/>
        <v>564.12518386553506</v>
      </c>
      <c r="J89" s="12">
        <f t="shared" si="12"/>
        <v>0</v>
      </c>
      <c r="K89">
        <f t="shared" si="11"/>
        <v>1.3753752431950785</v>
      </c>
    </row>
    <row r="90" spans="1:11" x14ac:dyDescent="0.3">
      <c r="A90">
        <v>356</v>
      </c>
      <c r="B90" s="3">
        <v>8.5187015079434971</v>
      </c>
      <c r="C90" s="2">
        <v>20.900864679576038</v>
      </c>
      <c r="D90" s="1">
        <v>3.1827037614280886</v>
      </c>
      <c r="E90" s="1">
        <f t="shared" si="7"/>
        <v>6.3654075228561771E-2</v>
      </c>
      <c r="F90" s="10">
        <f t="shared" si="8"/>
        <v>5.2252161698940096</v>
      </c>
      <c r="G90" s="3">
        <f t="shared" si="9"/>
        <v>1.5913518807140443</v>
      </c>
      <c r="H90" s="22">
        <f t="shared" si="10"/>
        <v>-0.42657490531760839</v>
      </c>
      <c r="I90" s="3">
        <f t="shared" si="13"/>
        <v>572.64388537347861</v>
      </c>
      <c r="J90" s="12">
        <f t="shared" si="12"/>
        <v>0</v>
      </c>
      <c r="K90">
        <f t="shared" si="11"/>
        <v>1.5913518807140443</v>
      </c>
    </row>
    <row r="91" spans="1:11" x14ac:dyDescent="0.3">
      <c r="A91">
        <v>552</v>
      </c>
      <c r="B91" s="3">
        <v>7.9125297320670285</v>
      </c>
      <c r="C91" s="2">
        <v>19.310801982175718</v>
      </c>
      <c r="D91" s="1">
        <v>2.8415245242834861</v>
      </c>
      <c r="E91" s="1">
        <f t="shared" si="7"/>
        <v>5.6830490485669724E-2</v>
      </c>
      <c r="F91" s="10">
        <f t="shared" si="8"/>
        <v>4.8277004955439295</v>
      </c>
      <c r="G91" s="3">
        <f t="shared" si="9"/>
        <v>1.4207622621417431</v>
      </c>
      <c r="H91" s="22">
        <f t="shared" si="10"/>
        <v>-0.43057509403028504</v>
      </c>
      <c r="I91" s="3">
        <f t="shared" si="13"/>
        <v>580.55641510554563</v>
      </c>
      <c r="J91" s="12">
        <f t="shared" si="12"/>
        <v>0</v>
      </c>
      <c r="K91">
        <f t="shared" si="11"/>
        <v>1.4207622621417431</v>
      </c>
    </row>
    <row r="92" spans="1:11" x14ac:dyDescent="0.3">
      <c r="A92">
        <v>171</v>
      </c>
      <c r="B92" s="3">
        <v>9.703695819620302</v>
      </c>
      <c r="C92" s="2">
        <v>22.860333833081558</v>
      </c>
      <c r="D92" s="1">
        <v>2.8510286984942832</v>
      </c>
      <c r="E92" s="1">
        <f t="shared" si="7"/>
        <v>5.7020573969885663E-2</v>
      </c>
      <c r="F92" s="10">
        <f t="shared" si="8"/>
        <v>5.7150834582703895</v>
      </c>
      <c r="G92" s="3">
        <f t="shared" si="9"/>
        <v>1.4255143492471416</v>
      </c>
      <c r="H92" s="22">
        <f t="shared" si="10"/>
        <v>-0.44205519100773866</v>
      </c>
      <c r="I92" s="3">
        <f t="shared" si="13"/>
        <v>590.26011092516592</v>
      </c>
      <c r="J92" s="12">
        <f t="shared" si="12"/>
        <v>0</v>
      </c>
      <c r="K92">
        <f t="shared" si="11"/>
        <v>1.4255143492471416</v>
      </c>
    </row>
    <row r="93" spans="1:11" x14ac:dyDescent="0.3">
      <c r="A93">
        <v>907</v>
      </c>
      <c r="B93" s="3">
        <v>2.703574087155304</v>
      </c>
      <c r="C93" s="2">
        <v>11.069155848639911</v>
      </c>
      <c r="D93" s="1">
        <v>3.1155854490368755</v>
      </c>
      <c r="E93" s="1">
        <f t="shared" si="7"/>
        <v>6.2311708980737512E-2</v>
      </c>
      <c r="F93" s="10">
        <f t="shared" si="8"/>
        <v>2.7672889621599777</v>
      </c>
      <c r="G93" s="3">
        <f t="shared" si="9"/>
        <v>1.5577927245184378</v>
      </c>
      <c r="H93" s="22">
        <f t="shared" si="10"/>
        <v>-0.44736937056316062</v>
      </c>
      <c r="I93" s="3">
        <f t="shared" si="13"/>
        <v>592.96368501232121</v>
      </c>
      <c r="J93" s="12">
        <f t="shared" si="12"/>
        <v>0</v>
      </c>
      <c r="K93">
        <f t="shared" si="11"/>
        <v>1.5577927245184378</v>
      </c>
    </row>
    <row r="94" spans="1:11" x14ac:dyDescent="0.3">
      <c r="A94">
        <v>699</v>
      </c>
      <c r="B94" s="3">
        <v>1.6246667550754856</v>
      </c>
      <c r="C94" s="2">
        <v>5.280976264994508</v>
      </c>
      <c r="D94" s="1">
        <v>1.1087132762950658</v>
      </c>
      <c r="E94" s="1">
        <f t="shared" si="7"/>
        <v>2.2174265525901314E-2</v>
      </c>
      <c r="F94" s="10">
        <f t="shared" si="8"/>
        <v>1.320244066248627</v>
      </c>
      <c r="G94" s="3">
        <f t="shared" si="9"/>
        <v>0.55435663814753289</v>
      </c>
      <c r="H94" s="22">
        <f t="shared" si="10"/>
        <v>-0.47141201462296756</v>
      </c>
      <c r="I94" s="3">
        <f t="shared" si="13"/>
        <v>594.58835176739672</v>
      </c>
      <c r="J94" s="12">
        <f t="shared" si="12"/>
        <v>0</v>
      </c>
      <c r="K94">
        <f t="shared" si="11"/>
        <v>0.55435663814753289</v>
      </c>
    </row>
    <row r="95" spans="1:11" x14ac:dyDescent="0.3">
      <c r="A95">
        <v>383</v>
      </c>
      <c r="B95" s="3">
        <v>2.8777593324401196</v>
      </c>
      <c r="C95" s="2">
        <v>10.359098298260417</v>
      </c>
      <c r="D95" s="1">
        <v>2.406073449038022</v>
      </c>
      <c r="E95" s="1">
        <f t="shared" si="7"/>
        <v>4.8121468980760439E-2</v>
      </c>
      <c r="F95" s="10">
        <f t="shared" si="8"/>
        <v>2.5897745745651042</v>
      </c>
      <c r="G95" s="3">
        <f t="shared" si="9"/>
        <v>1.203036724519011</v>
      </c>
      <c r="H95" s="22">
        <f t="shared" si="10"/>
        <v>-0.48188110604448831</v>
      </c>
      <c r="I95" s="3">
        <f t="shared" si="13"/>
        <v>597.46611109983678</v>
      </c>
      <c r="J95" s="12">
        <f t="shared" si="12"/>
        <v>0</v>
      </c>
      <c r="K95">
        <f t="shared" si="11"/>
        <v>1.203036724519011</v>
      </c>
    </row>
    <row r="96" spans="1:11" x14ac:dyDescent="0.3">
      <c r="A96">
        <v>390</v>
      </c>
      <c r="B96" s="3">
        <v>4.7303052822952889</v>
      </c>
      <c r="C96" s="2">
        <v>14.425084627125706</v>
      </c>
      <c r="D96" s="1">
        <v>2.5764676632300247</v>
      </c>
      <c r="E96" s="1">
        <f t="shared" si="7"/>
        <v>5.1529353264600494E-2</v>
      </c>
      <c r="F96" s="10">
        <f t="shared" si="8"/>
        <v>3.6062711567814265</v>
      </c>
      <c r="G96" s="3">
        <f t="shared" si="9"/>
        <v>1.2882338316150124</v>
      </c>
      <c r="H96" s="22">
        <f t="shared" si="10"/>
        <v>-0.4900396881026739</v>
      </c>
      <c r="I96" s="3">
        <f t="shared" si="13"/>
        <v>602.19641638213204</v>
      </c>
      <c r="J96" s="12">
        <f t="shared" si="12"/>
        <v>0</v>
      </c>
      <c r="K96">
        <f t="shared" si="11"/>
        <v>1.2882338316150124</v>
      </c>
    </row>
    <row r="97" spans="1:11" x14ac:dyDescent="0.3">
      <c r="A97">
        <v>87</v>
      </c>
      <c r="B97" s="3">
        <v>7.578015698568354</v>
      </c>
      <c r="C97" s="2">
        <v>21.101649311136384</v>
      </c>
      <c r="D97" s="1">
        <v>3.0772921554933967</v>
      </c>
      <c r="E97" s="1">
        <f t="shared" si="7"/>
        <v>6.1545843109867937E-2</v>
      </c>
      <c r="F97" s="10">
        <f t="shared" si="8"/>
        <v>5.2754123277840961</v>
      </c>
      <c r="G97" s="3">
        <f t="shared" si="9"/>
        <v>1.5386460777466984</v>
      </c>
      <c r="H97" s="22">
        <f t="shared" si="10"/>
        <v>-0.49310616376043548</v>
      </c>
      <c r="I97" s="3">
        <f t="shared" si="13"/>
        <v>609.77443208070042</v>
      </c>
      <c r="J97" s="12">
        <f t="shared" si="12"/>
        <v>0</v>
      </c>
      <c r="K97">
        <f t="shared" si="11"/>
        <v>1.5386460777466984</v>
      </c>
    </row>
    <row r="98" spans="1:11" x14ac:dyDescent="0.3">
      <c r="A98">
        <v>162</v>
      </c>
      <c r="B98" s="3">
        <v>2.7340007245007492</v>
      </c>
      <c r="C98" s="2">
        <v>6.5138259157154987</v>
      </c>
      <c r="D98" s="1">
        <v>0.55763237642495711</v>
      </c>
      <c r="E98" s="1">
        <f t="shared" si="7"/>
        <v>1.1152647528499142E-2</v>
      </c>
      <c r="F98" s="10">
        <f t="shared" si="8"/>
        <v>1.6284564789288747</v>
      </c>
      <c r="G98" s="3">
        <f t="shared" si="9"/>
        <v>0.27881618821247856</v>
      </c>
      <c r="H98" s="22">
        <f t="shared" si="10"/>
        <v>-0.49365030470606464</v>
      </c>
      <c r="I98" s="3">
        <f t="shared" si="13"/>
        <v>612.50843280520121</v>
      </c>
      <c r="J98" s="12">
        <f t="shared" si="12"/>
        <v>0</v>
      </c>
      <c r="K98">
        <f t="shared" si="11"/>
        <v>0.27881618821247856</v>
      </c>
    </row>
    <row r="99" spans="1:11" x14ac:dyDescent="0.3">
      <c r="A99">
        <v>476</v>
      </c>
      <c r="B99" s="3">
        <v>3.4385573789594392</v>
      </c>
      <c r="C99" s="2">
        <v>11.72597529678735</v>
      </c>
      <c r="D99" s="1">
        <v>2.1631363747642265</v>
      </c>
      <c r="E99" s="1">
        <f t="shared" si="7"/>
        <v>4.3262727495284529E-2</v>
      </c>
      <c r="F99" s="10">
        <f t="shared" si="8"/>
        <v>2.9314938241968376</v>
      </c>
      <c r="G99" s="3">
        <f t="shared" si="9"/>
        <v>1.0815681873821132</v>
      </c>
      <c r="H99" s="22">
        <f t="shared" si="10"/>
        <v>-0.53799469746656969</v>
      </c>
      <c r="I99" s="3">
        <f t="shared" si="13"/>
        <v>615.94699018416065</v>
      </c>
      <c r="J99" s="12">
        <f t="shared" si="12"/>
        <v>0</v>
      </c>
      <c r="K99">
        <f t="shared" si="11"/>
        <v>1.0815681873821132</v>
      </c>
    </row>
    <row r="100" spans="1:11" x14ac:dyDescent="0.3">
      <c r="A100">
        <v>217</v>
      </c>
      <c r="B100" s="3">
        <v>3.4400274060550249</v>
      </c>
      <c r="C100" s="2">
        <v>13.071885606202628</v>
      </c>
      <c r="D100" s="1">
        <v>2.6731938158554676</v>
      </c>
      <c r="E100" s="1">
        <f t="shared" si="7"/>
        <v>5.3463876317109353E-2</v>
      </c>
      <c r="F100" s="10">
        <f t="shared" si="8"/>
        <v>3.2679714015506569</v>
      </c>
      <c r="G100" s="3">
        <f t="shared" si="9"/>
        <v>1.3365969079277338</v>
      </c>
      <c r="H100" s="22">
        <f t="shared" si="10"/>
        <v>-0.56144160079172056</v>
      </c>
      <c r="I100" s="3">
        <f t="shared" si="13"/>
        <v>619.38701759021569</v>
      </c>
      <c r="J100" s="12">
        <f t="shared" si="12"/>
        <v>0</v>
      </c>
      <c r="K100">
        <f t="shared" si="11"/>
        <v>1.3365969079277338</v>
      </c>
    </row>
    <row r="101" spans="1:11" x14ac:dyDescent="0.3">
      <c r="A101">
        <v>242</v>
      </c>
      <c r="B101" s="3">
        <v>5.4238176620396752</v>
      </c>
      <c r="C101" s="2">
        <v>18.315613271358334</v>
      </c>
      <c r="D101" s="1">
        <v>2.9440702566979753</v>
      </c>
      <c r="E101" s="1">
        <f t="shared" si="7"/>
        <v>5.8881405133959508E-2</v>
      </c>
      <c r="F101" s="10">
        <f t="shared" si="8"/>
        <v>4.5789033178395835</v>
      </c>
      <c r="G101" s="3">
        <f t="shared" si="9"/>
        <v>1.4720351283489876</v>
      </c>
      <c r="H101" s="22">
        <f t="shared" si="10"/>
        <v>-0.57281943883088249</v>
      </c>
      <c r="I101" s="3">
        <f t="shared" si="13"/>
        <v>624.8108352522554</v>
      </c>
      <c r="J101" s="12">
        <f t="shared" si="12"/>
        <v>0</v>
      </c>
      <c r="K101">
        <f t="shared" si="11"/>
        <v>1.4720351283489876</v>
      </c>
    </row>
    <row r="102" spans="1:11" x14ac:dyDescent="0.3">
      <c r="A102">
        <v>672</v>
      </c>
      <c r="B102" s="3">
        <v>2.8647528313665784</v>
      </c>
      <c r="C102" s="2">
        <v>7.8910227000544069</v>
      </c>
      <c r="D102" s="1">
        <v>0.51807171740766522</v>
      </c>
      <c r="E102" s="1">
        <f t="shared" si="7"/>
        <v>1.0361434348153304E-2</v>
      </c>
      <c r="F102" s="10">
        <f t="shared" si="8"/>
        <v>1.9727556750136017</v>
      </c>
      <c r="G102" s="3">
        <f t="shared" si="9"/>
        <v>0.25903585870383261</v>
      </c>
      <c r="H102" s="22">
        <f t="shared" si="10"/>
        <v>-0.59820861246597323</v>
      </c>
      <c r="I102" s="3">
        <f t="shared" si="13"/>
        <v>627.67558808362196</v>
      </c>
      <c r="J102" s="12">
        <f t="shared" si="12"/>
        <v>0</v>
      </c>
      <c r="K102">
        <f t="shared" si="11"/>
        <v>0.25903585870383261</v>
      </c>
    </row>
    <row r="103" spans="1:11" x14ac:dyDescent="0.3">
      <c r="A103">
        <v>1086</v>
      </c>
      <c r="B103" s="3">
        <v>3.6511156005401268</v>
      </c>
      <c r="C103" s="2">
        <v>14.824034646941387</v>
      </c>
      <c r="D103" s="1">
        <v>2.6724609240228827</v>
      </c>
      <c r="E103" s="1">
        <f t="shared" si="7"/>
        <v>5.3449218480457653E-2</v>
      </c>
      <c r="F103" s="10">
        <f t="shared" si="8"/>
        <v>3.7060086617353467</v>
      </c>
      <c r="G103" s="3">
        <f t="shared" si="9"/>
        <v>1.3362304620114414</v>
      </c>
      <c r="H103" s="22">
        <f t="shared" si="10"/>
        <v>-0.64905592125687084</v>
      </c>
      <c r="I103" s="3">
        <f t="shared" si="13"/>
        <v>631.32670368416211</v>
      </c>
      <c r="J103" s="12">
        <f t="shared" si="12"/>
        <v>0</v>
      </c>
      <c r="K103">
        <f t="shared" si="11"/>
        <v>1.3362304620114414</v>
      </c>
    </row>
    <row r="104" spans="1:11" x14ac:dyDescent="0.3">
      <c r="A104">
        <v>230</v>
      </c>
      <c r="B104" s="3">
        <v>2.6857950774990522</v>
      </c>
      <c r="C104" s="2">
        <v>8.7692103692377561</v>
      </c>
      <c r="D104" s="1">
        <v>0.79687076778770605</v>
      </c>
      <c r="E104" s="1">
        <f t="shared" si="7"/>
        <v>1.5937415355754121E-2</v>
      </c>
      <c r="F104" s="10">
        <f t="shared" si="8"/>
        <v>2.192302592309439</v>
      </c>
      <c r="G104" s="3">
        <f t="shared" si="9"/>
        <v>0.39843538389385302</v>
      </c>
      <c r="H104" s="22">
        <f t="shared" si="10"/>
        <v>-0.66790918765328589</v>
      </c>
      <c r="I104" s="3">
        <f t="shared" si="13"/>
        <v>634.01249876166116</v>
      </c>
      <c r="J104" s="12">
        <f t="shared" si="12"/>
        <v>0</v>
      </c>
      <c r="K104">
        <f t="shared" si="11"/>
        <v>0.39843538389385302</v>
      </c>
    </row>
    <row r="105" spans="1:11" x14ac:dyDescent="0.3">
      <c r="A105">
        <v>442</v>
      </c>
      <c r="B105" s="3">
        <v>6.8237014421710338</v>
      </c>
      <c r="C105" s="2">
        <v>26.987874219060771</v>
      </c>
      <c r="D105" s="1">
        <v>2.9262458882152407</v>
      </c>
      <c r="E105" s="1">
        <f t="shared" si="7"/>
        <v>5.8524917764304817E-2</v>
      </c>
      <c r="F105" s="10">
        <f t="shared" si="8"/>
        <v>6.7469685547651927</v>
      </c>
      <c r="G105" s="3">
        <f t="shared" si="9"/>
        <v>1.4631229441076203</v>
      </c>
      <c r="H105" s="22">
        <f t="shared" si="10"/>
        <v>-0.77433716223323801</v>
      </c>
      <c r="I105" s="3">
        <f t="shared" si="13"/>
        <v>640.83620020383216</v>
      </c>
      <c r="J105" s="12">
        <f t="shared" si="12"/>
        <v>0</v>
      </c>
      <c r="K105">
        <f t="shared" si="11"/>
        <v>1.4631229441076203</v>
      </c>
    </row>
    <row r="106" spans="1:11" x14ac:dyDescent="0.3">
      <c r="A106">
        <v>1008</v>
      </c>
      <c r="B106" s="3">
        <v>7.0951245721733178</v>
      </c>
      <c r="C106" s="2">
        <v>28.809419209094543</v>
      </c>
      <c r="D106" s="1">
        <v>2.8451114674449127</v>
      </c>
      <c r="E106" s="1">
        <f t="shared" si="7"/>
        <v>5.6902229348898256E-2</v>
      </c>
      <c r="F106" s="10">
        <f t="shared" si="8"/>
        <v>7.2023548022736357</v>
      </c>
      <c r="G106" s="3">
        <f t="shared" si="9"/>
        <v>1.4225557337224564</v>
      </c>
      <c r="H106" s="22">
        <f t="shared" si="10"/>
        <v>-0.814615587049624</v>
      </c>
      <c r="I106" s="3">
        <f t="shared" si="13"/>
        <v>647.93132477600545</v>
      </c>
      <c r="J106" s="12">
        <f t="shared" si="12"/>
        <v>0</v>
      </c>
      <c r="K106">
        <f t="shared" si="11"/>
        <v>1.4225557337224564</v>
      </c>
    </row>
    <row r="107" spans="1:11" x14ac:dyDescent="0.3">
      <c r="A107">
        <v>908</v>
      </c>
      <c r="B107" s="3">
        <v>9.7899024251970967</v>
      </c>
      <c r="C107" s="2">
        <v>39.329506007282497</v>
      </c>
      <c r="D107" s="1">
        <v>3.2126973351879622</v>
      </c>
      <c r="E107" s="1">
        <f t="shared" si="7"/>
        <v>6.4253946703759238E-2</v>
      </c>
      <c r="F107" s="10">
        <f t="shared" si="8"/>
        <v>9.8323765018206242</v>
      </c>
      <c r="G107" s="3">
        <f t="shared" si="9"/>
        <v>1.6063486675939809</v>
      </c>
      <c r="H107" s="22">
        <f t="shared" si="10"/>
        <v>-0.84025636589131092</v>
      </c>
      <c r="I107" s="3">
        <f t="shared" si="13"/>
        <v>657.72122720120251</v>
      </c>
      <c r="J107" s="12">
        <f t="shared" si="12"/>
        <v>0</v>
      </c>
      <c r="K107">
        <f t="shared" si="11"/>
        <v>1.6063486675939809</v>
      </c>
    </row>
    <row r="108" spans="1:11" x14ac:dyDescent="0.3">
      <c r="A108">
        <v>786</v>
      </c>
      <c r="B108" s="3">
        <v>3.5056946362520494</v>
      </c>
      <c r="C108" s="2">
        <v>18.906349871770967</v>
      </c>
      <c r="D108" s="1">
        <v>2.4877881986111685</v>
      </c>
      <c r="E108" s="1">
        <f t="shared" si="7"/>
        <v>4.9755763972223373E-2</v>
      </c>
      <c r="F108" s="10">
        <f t="shared" si="8"/>
        <v>4.7265874679427418</v>
      </c>
      <c r="G108" s="3">
        <f t="shared" si="9"/>
        <v>1.2438940993055843</v>
      </c>
      <c r="H108" s="22">
        <f t="shared" si="10"/>
        <v>-0.99343888444331752</v>
      </c>
      <c r="I108" s="3">
        <f t="shared" si="13"/>
        <v>661.2269218374546</v>
      </c>
      <c r="J108" s="12">
        <f t="shared" si="12"/>
        <v>0</v>
      </c>
      <c r="K108">
        <f t="shared" si="11"/>
        <v>1.2438940993055843</v>
      </c>
    </row>
    <row r="109" spans="1:11" x14ac:dyDescent="0.3">
      <c r="A109">
        <v>225</v>
      </c>
      <c r="B109" s="3">
        <v>2.5037188976248204</v>
      </c>
      <c r="C109" s="2">
        <v>14.121779923858002</v>
      </c>
      <c r="D109" s="1">
        <v>2.0271704318826287</v>
      </c>
      <c r="E109" s="1">
        <f t="shared" si="7"/>
        <v>4.0543408637652573E-2</v>
      </c>
      <c r="F109" s="10">
        <f t="shared" si="8"/>
        <v>3.5304449809645004</v>
      </c>
      <c r="G109" s="3">
        <f t="shared" si="9"/>
        <v>1.0135852159413143</v>
      </c>
      <c r="H109" s="22">
        <f t="shared" si="10"/>
        <v>-1.005248539446993</v>
      </c>
      <c r="I109" s="3">
        <f t="shared" si="13"/>
        <v>663.73064073507942</v>
      </c>
      <c r="J109" s="12">
        <f t="shared" si="12"/>
        <v>0</v>
      </c>
      <c r="K109">
        <f t="shared" si="11"/>
        <v>1.0135852159413143</v>
      </c>
    </row>
    <row r="110" spans="1:11" x14ac:dyDescent="0.3">
      <c r="A110">
        <v>580</v>
      </c>
      <c r="B110" s="3">
        <v>8.860693682664639</v>
      </c>
      <c r="C110" s="2">
        <v>41.472093133350455</v>
      </c>
      <c r="D110" s="1">
        <v>2.7936637729072373</v>
      </c>
      <c r="E110" s="1">
        <f t="shared" si="7"/>
        <v>5.5873275458144744E-2</v>
      </c>
      <c r="F110" s="10">
        <f t="shared" si="8"/>
        <v>10.368023283337614</v>
      </c>
      <c r="G110" s="3">
        <f t="shared" si="9"/>
        <v>1.3968318864536187</v>
      </c>
      <c r="H110" s="22">
        <f t="shared" si="10"/>
        <v>-1.0124705489408281</v>
      </c>
      <c r="I110" s="3">
        <f t="shared" si="13"/>
        <v>672.59133441774406</v>
      </c>
      <c r="J110" s="12">
        <f t="shared" si="12"/>
        <v>0</v>
      </c>
      <c r="K110">
        <f t="shared" si="11"/>
        <v>1.3968318864536187</v>
      </c>
    </row>
    <row r="111" spans="1:11" x14ac:dyDescent="0.3">
      <c r="A111">
        <v>1010</v>
      </c>
      <c r="B111" s="3">
        <v>2.9190005587012378</v>
      </c>
      <c r="C111" s="2">
        <v>12.621180904158525</v>
      </c>
      <c r="D111" s="1">
        <v>0.39844708922441924</v>
      </c>
      <c r="E111" s="1">
        <f t="shared" si="7"/>
        <v>7.9689417844883842E-3</v>
      </c>
      <c r="F111" s="10">
        <f t="shared" si="8"/>
        <v>3.1552952260396312</v>
      </c>
      <c r="G111" s="3">
        <f t="shared" si="9"/>
        <v>0.19922354461220959</v>
      </c>
      <c r="H111" s="22">
        <f t="shared" si="10"/>
        <v>-1.0126999368382026</v>
      </c>
      <c r="I111" s="3">
        <f t="shared" si="13"/>
        <v>675.51033497644528</v>
      </c>
      <c r="J111" s="12">
        <f t="shared" si="12"/>
        <v>0</v>
      </c>
      <c r="K111">
        <f t="shared" si="11"/>
        <v>0.19922354461220959</v>
      </c>
    </row>
    <row r="112" spans="1:11" x14ac:dyDescent="0.3">
      <c r="A112">
        <v>811</v>
      </c>
      <c r="B112" s="3">
        <v>5.8606499311598288</v>
      </c>
      <c r="C112" s="2">
        <v>31.839208794716011</v>
      </c>
      <c r="D112" s="1">
        <v>3.0826926916543917</v>
      </c>
      <c r="E112" s="1">
        <f t="shared" si="7"/>
        <v>6.1653853833087836E-2</v>
      </c>
      <c r="F112" s="10">
        <f t="shared" si="8"/>
        <v>7.9598021986790028</v>
      </c>
      <c r="G112" s="3">
        <f t="shared" si="9"/>
        <v>1.5413463458271959</v>
      </c>
      <c r="H112" s="22">
        <f t="shared" si="10"/>
        <v>-1.0951781676510386</v>
      </c>
      <c r="I112" s="3">
        <f t="shared" si="13"/>
        <v>681.37098490760513</v>
      </c>
      <c r="J112" s="12">
        <f t="shared" si="12"/>
        <v>0</v>
      </c>
      <c r="K112">
        <f t="shared" si="11"/>
        <v>1.5413463458271959</v>
      </c>
    </row>
    <row r="113" spans="1:11" x14ac:dyDescent="0.3">
      <c r="A113">
        <v>173</v>
      </c>
      <c r="B113" s="3">
        <v>4.7034226772276986</v>
      </c>
      <c r="C113" s="2">
        <v>25.74964019746432</v>
      </c>
      <c r="D113" s="1">
        <v>2.3417785265083708</v>
      </c>
      <c r="E113" s="1">
        <f t="shared" si="7"/>
        <v>4.6835570530167417E-2</v>
      </c>
      <c r="F113" s="10">
        <f t="shared" si="8"/>
        <v>6.43741004936608</v>
      </c>
      <c r="G113" s="3">
        <f t="shared" si="9"/>
        <v>1.1708892632541854</v>
      </c>
      <c r="H113" s="22">
        <f t="shared" si="10"/>
        <v>-1.1197209240008381</v>
      </c>
      <c r="I113" s="3">
        <f t="shared" si="13"/>
        <v>686.07440758483278</v>
      </c>
      <c r="J113" s="12">
        <f t="shared" si="12"/>
        <v>0</v>
      </c>
      <c r="K113">
        <f t="shared" si="11"/>
        <v>1.1708892632541854</v>
      </c>
    </row>
    <row r="114" spans="1:11" x14ac:dyDescent="0.3">
      <c r="A114">
        <v>89</v>
      </c>
      <c r="B114" s="3">
        <v>6.561145918502306</v>
      </c>
      <c r="C114" s="2">
        <v>35.119819662847085</v>
      </c>
      <c r="D114" s="1">
        <v>2.793917232003754</v>
      </c>
      <c r="E114" s="1">
        <f t="shared" si="7"/>
        <v>5.587834464007508E-2</v>
      </c>
      <c r="F114" s="10">
        <f t="shared" si="8"/>
        <v>8.7799549157117713</v>
      </c>
      <c r="G114" s="3">
        <f t="shared" si="9"/>
        <v>1.396958616001877</v>
      </c>
      <c r="H114" s="22">
        <f t="shared" si="10"/>
        <v>-1.1252601895181125</v>
      </c>
      <c r="I114" s="3">
        <f t="shared" si="13"/>
        <v>692.63555350333513</v>
      </c>
      <c r="J114" s="12">
        <f t="shared" si="12"/>
        <v>0</v>
      </c>
      <c r="K114">
        <f t="shared" si="11"/>
        <v>1.396958616001877</v>
      </c>
    </row>
    <row r="115" spans="1:11" x14ac:dyDescent="0.3">
      <c r="A115">
        <v>770</v>
      </c>
      <c r="B115" s="3">
        <v>8.3897178910121344</v>
      </c>
      <c r="C115" s="2">
        <v>43.774260615812047</v>
      </c>
      <c r="D115" s="1">
        <v>2.9818064884083837</v>
      </c>
      <c r="E115" s="1">
        <f t="shared" si="7"/>
        <v>5.9636129768167671E-2</v>
      </c>
      <c r="F115" s="10">
        <f t="shared" si="8"/>
        <v>10.943565153953012</v>
      </c>
      <c r="G115" s="3">
        <f t="shared" si="9"/>
        <v>1.4909032442041918</v>
      </c>
      <c r="H115" s="22">
        <f t="shared" si="10"/>
        <v>-1.1266960382393085</v>
      </c>
      <c r="I115" s="3">
        <f t="shared" si="13"/>
        <v>701.02527139434721</v>
      </c>
      <c r="J115" s="12">
        <f t="shared" si="12"/>
        <v>0</v>
      </c>
      <c r="K115">
        <f t="shared" si="11"/>
        <v>1.4909032442041918</v>
      </c>
    </row>
    <row r="116" spans="1:11" x14ac:dyDescent="0.3">
      <c r="A116">
        <v>847</v>
      </c>
      <c r="B116" s="3">
        <v>4.3970957259501677</v>
      </c>
      <c r="C116" s="2">
        <v>24.6588101810292</v>
      </c>
      <c r="D116" s="1">
        <v>2.2621856969762439</v>
      </c>
      <c r="E116" s="1">
        <f t="shared" si="7"/>
        <v>4.5243713939524879E-2</v>
      </c>
      <c r="F116" s="10">
        <f t="shared" si="8"/>
        <v>6.1647025452572999</v>
      </c>
      <c r="G116" s="3">
        <f t="shared" si="9"/>
        <v>1.131092848488122</v>
      </c>
      <c r="H116" s="22">
        <f t="shared" si="10"/>
        <v>-1.1447578152694107</v>
      </c>
      <c r="I116" s="3">
        <f t="shared" si="13"/>
        <v>705.42236712029739</v>
      </c>
      <c r="J116" s="12">
        <f t="shared" si="12"/>
        <v>0</v>
      </c>
      <c r="K116">
        <f t="shared" si="11"/>
        <v>1.131092848488122</v>
      </c>
    </row>
    <row r="117" spans="1:11" x14ac:dyDescent="0.3">
      <c r="A117">
        <v>341</v>
      </c>
      <c r="B117" s="3">
        <v>9.2937775533492317</v>
      </c>
      <c r="C117" s="2">
        <v>55.243463507221854</v>
      </c>
      <c r="D117" s="1">
        <v>3.2323925522587835</v>
      </c>
      <c r="E117" s="1">
        <f t="shared" si="7"/>
        <v>6.4647851045175675E-2</v>
      </c>
      <c r="F117" s="10">
        <f t="shared" si="8"/>
        <v>13.810865876805464</v>
      </c>
      <c r="G117" s="3">
        <f t="shared" si="9"/>
        <v>1.6161962761293918</v>
      </c>
      <c r="H117" s="22">
        <f t="shared" si="10"/>
        <v>-1.3121327179045119</v>
      </c>
      <c r="I117" s="3">
        <f t="shared" si="13"/>
        <v>714.71614467364668</v>
      </c>
      <c r="J117" s="12">
        <f t="shared" si="12"/>
        <v>0</v>
      </c>
      <c r="K117">
        <f t="shared" si="11"/>
        <v>1.6161962761293918</v>
      </c>
    </row>
    <row r="118" spans="1:11" x14ac:dyDescent="0.3">
      <c r="A118">
        <v>882</v>
      </c>
      <c r="B118" s="3">
        <v>6.0707386033012263</v>
      </c>
      <c r="C118" s="2">
        <v>38.093707532288313</v>
      </c>
      <c r="D118" s="1">
        <v>2.8351833885780655</v>
      </c>
      <c r="E118" s="1">
        <f t="shared" si="7"/>
        <v>5.6703667771561307E-2</v>
      </c>
      <c r="F118" s="10">
        <f t="shared" si="8"/>
        <v>9.5234268830720783</v>
      </c>
      <c r="G118" s="3">
        <f t="shared" si="9"/>
        <v>1.4175916942890328</v>
      </c>
      <c r="H118" s="22">
        <f t="shared" si="10"/>
        <v>-1.33523047498292</v>
      </c>
      <c r="I118" s="3">
        <f t="shared" si="13"/>
        <v>720.78688327694795</v>
      </c>
      <c r="J118" s="12">
        <f t="shared" si="12"/>
        <v>0</v>
      </c>
      <c r="K118">
        <f t="shared" si="11"/>
        <v>1.4175916942890328</v>
      </c>
    </row>
    <row r="119" spans="1:11" x14ac:dyDescent="0.3">
      <c r="A119">
        <v>952</v>
      </c>
      <c r="B119" s="3">
        <v>3.7788579468200965</v>
      </c>
      <c r="C119" s="2">
        <v>26.46333335858516</v>
      </c>
      <c r="D119" s="1">
        <v>2.8951123276092172</v>
      </c>
      <c r="E119" s="1">
        <f t="shared" si="7"/>
        <v>5.7902246552184344E-2</v>
      </c>
      <c r="F119" s="10">
        <f t="shared" si="8"/>
        <v>6.6158333396462901</v>
      </c>
      <c r="G119" s="3">
        <f t="shared" si="9"/>
        <v>1.4475561638046086</v>
      </c>
      <c r="H119" s="22">
        <f t="shared" si="10"/>
        <v>-1.3676823126391346</v>
      </c>
      <c r="I119" s="3">
        <f t="shared" si="13"/>
        <v>724.5657412237681</v>
      </c>
      <c r="J119" s="12">
        <f t="shared" si="12"/>
        <v>0</v>
      </c>
      <c r="K119">
        <f t="shared" si="11"/>
        <v>1.4475561638046086</v>
      </c>
    </row>
    <row r="120" spans="1:11" x14ac:dyDescent="0.3">
      <c r="A120">
        <v>194</v>
      </c>
      <c r="B120" s="3">
        <v>9.7206056137448158</v>
      </c>
      <c r="C120" s="2">
        <v>59.260247475827363</v>
      </c>
      <c r="D120" s="1">
        <v>2.9136552685560955</v>
      </c>
      <c r="E120" s="1">
        <f t="shared" si="7"/>
        <v>5.827310537112191E-2</v>
      </c>
      <c r="F120" s="10">
        <f t="shared" si="8"/>
        <v>14.815061868956841</v>
      </c>
      <c r="G120" s="3">
        <f t="shared" si="9"/>
        <v>1.4568276342780477</v>
      </c>
      <c r="H120" s="22">
        <f t="shared" si="10"/>
        <v>-1.3742183116441238</v>
      </c>
      <c r="I120" s="3">
        <f t="shared" si="13"/>
        <v>734.28634683751295</v>
      </c>
      <c r="J120" s="12">
        <f t="shared" si="12"/>
        <v>0</v>
      </c>
      <c r="K120">
        <f t="shared" si="11"/>
        <v>1.4568276342780477</v>
      </c>
    </row>
    <row r="121" spans="1:11" x14ac:dyDescent="0.3">
      <c r="A121">
        <v>728</v>
      </c>
      <c r="B121" s="3">
        <v>2.307131021340326</v>
      </c>
      <c r="C121" s="2">
        <v>18.141896910723109</v>
      </c>
      <c r="D121" s="1">
        <v>2.7165007260328471</v>
      </c>
      <c r="E121" s="1">
        <f t="shared" si="7"/>
        <v>5.4330014520656944E-2</v>
      </c>
      <c r="F121" s="10">
        <f t="shared" si="8"/>
        <v>4.5354742276807771</v>
      </c>
      <c r="G121" s="3">
        <f t="shared" si="9"/>
        <v>1.3582503630164235</v>
      </c>
      <c r="H121" s="22">
        <f t="shared" si="10"/>
        <v>-1.3771319596832208</v>
      </c>
      <c r="I121" s="3">
        <f t="shared" si="13"/>
        <v>736.59347785885325</v>
      </c>
      <c r="J121" s="12">
        <f t="shared" si="12"/>
        <v>0</v>
      </c>
      <c r="K121">
        <f t="shared" si="11"/>
        <v>1.3582503630164235</v>
      </c>
    </row>
    <row r="122" spans="1:11" x14ac:dyDescent="0.3">
      <c r="A122">
        <v>343</v>
      </c>
      <c r="B122" s="3">
        <v>9.9498099592155818</v>
      </c>
      <c r="C122" s="2">
        <v>62.51765045226999</v>
      </c>
      <c r="D122" s="1">
        <v>3.1480015347014954</v>
      </c>
      <c r="E122" s="1">
        <f t="shared" si="7"/>
        <v>6.2960030694029903E-2</v>
      </c>
      <c r="F122" s="10">
        <f t="shared" si="8"/>
        <v>15.629412613067498</v>
      </c>
      <c r="G122" s="3">
        <f t="shared" si="9"/>
        <v>1.5740007673507477</v>
      </c>
      <c r="H122" s="22">
        <f t="shared" si="10"/>
        <v>-1.4126311862568321</v>
      </c>
      <c r="I122" s="3">
        <f t="shared" si="13"/>
        <v>746.54328781806885</v>
      </c>
      <c r="J122" s="12">
        <f t="shared" si="12"/>
        <v>0</v>
      </c>
      <c r="K122">
        <f t="shared" si="11"/>
        <v>1.5740007673507477</v>
      </c>
    </row>
    <row r="123" spans="1:11" x14ac:dyDescent="0.3">
      <c r="A123">
        <v>623</v>
      </c>
      <c r="B123" s="3">
        <v>3.1004017666829631</v>
      </c>
      <c r="C123" s="2">
        <v>19.699325486391615</v>
      </c>
      <c r="D123" s="1">
        <v>1.0853579594993954</v>
      </c>
      <c r="E123" s="1">
        <f t="shared" si="7"/>
        <v>2.1707159189987908E-2</v>
      </c>
      <c r="F123" s="10">
        <f t="shared" si="8"/>
        <v>4.9248313715979037</v>
      </c>
      <c r="G123" s="3">
        <f t="shared" si="9"/>
        <v>0.5426789797496977</v>
      </c>
      <c r="H123" s="22">
        <f t="shared" si="10"/>
        <v>-1.4134143642088532</v>
      </c>
      <c r="I123" s="3">
        <f t="shared" si="13"/>
        <v>749.64368958475177</v>
      </c>
      <c r="J123" s="12">
        <f t="shared" si="12"/>
        <v>0</v>
      </c>
      <c r="K123">
        <f t="shared" si="11"/>
        <v>0.5426789797496977</v>
      </c>
    </row>
    <row r="124" spans="1:11" x14ac:dyDescent="0.3">
      <c r="A124">
        <v>457</v>
      </c>
      <c r="B124" s="3">
        <v>9.7411291855280542</v>
      </c>
      <c r="C124" s="2">
        <v>61.295537631767019</v>
      </c>
      <c r="D124" s="1">
        <v>3.0412583737298071</v>
      </c>
      <c r="E124" s="1">
        <f t="shared" si="7"/>
        <v>6.082516747459614E-2</v>
      </c>
      <c r="F124" s="10">
        <f t="shared" si="8"/>
        <v>15.323884407941755</v>
      </c>
      <c r="G124" s="3">
        <f t="shared" si="9"/>
        <v>1.5206291868649036</v>
      </c>
      <c r="H124" s="22">
        <f t="shared" si="10"/>
        <v>-1.4170077162700716</v>
      </c>
      <c r="I124" s="3">
        <f t="shared" si="13"/>
        <v>759.38481877027982</v>
      </c>
      <c r="J124" s="12">
        <f t="shared" si="12"/>
        <v>0</v>
      </c>
      <c r="K124">
        <f t="shared" si="11"/>
        <v>1.5206291868649036</v>
      </c>
    </row>
    <row r="125" spans="1:11" x14ac:dyDescent="0.3">
      <c r="A125">
        <v>221</v>
      </c>
      <c r="B125" s="3">
        <v>2.491868862856804</v>
      </c>
      <c r="C125" s="2">
        <v>16.146752125945817</v>
      </c>
      <c r="D125" s="1">
        <v>0.9871001480698447</v>
      </c>
      <c r="E125" s="1">
        <f t="shared" si="7"/>
        <v>1.9742002961396894E-2</v>
      </c>
      <c r="F125" s="10">
        <f t="shared" si="8"/>
        <v>4.0366880314864542</v>
      </c>
      <c r="G125" s="3">
        <f t="shared" si="9"/>
        <v>0.49355007403492235</v>
      </c>
      <c r="H125" s="22">
        <f t="shared" si="10"/>
        <v>-1.421879782786603</v>
      </c>
      <c r="I125" s="3">
        <f t="shared" si="13"/>
        <v>761.87668763313661</v>
      </c>
      <c r="J125" s="12">
        <f t="shared" si="12"/>
        <v>0</v>
      </c>
      <c r="K125">
        <f t="shared" si="11"/>
        <v>0.49355007403492235</v>
      </c>
    </row>
    <row r="126" spans="1:11" x14ac:dyDescent="0.3">
      <c r="A126">
        <v>58</v>
      </c>
      <c r="B126" s="3">
        <v>4.8808439805120312</v>
      </c>
      <c r="C126" s="2">
        <v>33.17980835960617</v>
      </c>
      <c r="D126" s="1">
        <v>2.6441564439720251</v>
      </c>
      <c r="E126" s="1">
        <f t="shared" si="7"/>
        <v>5.2883128879440501E-2</v>
      </c>
      <c r="F126" s="10">
        <f t="shared" si="8"/>
        <v>8.2949520899015425</v>
      </c>
      <c r="G126" s="3">
        <f t="shared" si="9"/>
        <v>1.3220782219860125</v>
      </c>
      <c r="H126" s="22">
        <f t="shared" si="10"/>
        <v>-1.428620520499414</v>
      </c>
      <c r="I126" s="3">
        <f t="shared" si="13"/>
        <v>766.75753161364867</v>
      </c>
      <c r="J126" s="12">
        <f t="shared" si="12"/>
        <v>0</v>
      </c>
      <c r="K126">
        <f t="shared" si="11"/>
        <v>1.3220782219860125</v>
      </c>
    </row>
    <row r="127" spans="1:11" x14ac:dyDescent="0.3">
      <c r="A127">
        <v>14</v>
      </c>
      <c r="B127" s="3">
        <v>2.9214487533555857</v>
      </c>
      <c r="C127" s="2">
        <v>17.501380475592576</v>
      </c>
      <c r="D127" s="1">
        <v>0.38211002864978488</v>
      </c>
      <c r="E127" s="1">
        <f t="shared" si="7"/>
        <v>7.6422005729956978E-3</v>
      </c>
      <c r="F127" s="10">
        <f t="shared" si="8"/>
        <v>4.375345118898144</v>
      </c>
      <c r="G127" s="3">
        <f t="shared" si="9"/>
        <v>0.19105501432489244</v>
      </c>
      <c r="H127" s="22">
        <f t="shared" si="10"/>
        <v>-1.432265446986589</v>
      </c>
      <c r="I127" s="3">
        <f t="shared" si="13"/>
        <v>769.67898036700421</v>
      </c>
      <c r="J127" s="12">
        <f t="shared" si="12"/>
        <v>0</v>
      </c>
      <c r="K127">
        <f t="shared" si="11"/>
        <v>0.19105501432489244</v>
      </c>
    </row>
    <row r="128" spans="1:11" x14ac:dyDescent="0.3">
      <c r="A128">
        <v>164</v>
      </c>
      <c r="B128" s="3">
        <v>5.406941738209686</v>
      </c>
      <c r="C128" s="2">
        <v>37.327147734103704</v>
      </c>
      <c r="D128" s="1">
        <v>3.0724319856938305</v>
      </c>
      <c r="E128" s="1">
        <f t="shared" si="7"/>
        <v>6.144863971387661E-2</v>
      </c>
      <c r="F128" s="10">
        <f t="shared" si="8"/>
        <v>9.331786933525926</v>
      </c>
      <c r="G128" s="3">
        <f t="shared" si="9"/>
        <v>1.5362159928469152</v>
      </c>
      <c r="H128" s="22">
        <f t="shared" si="10"/>
        <v>-1.4417708416551633</v>
      </c>
      <c r="I128" s="3">
        <f t="shared" si="13"/>
        <v>775.08592210521385</v>
      </c>
      <c r="J128" s="12">
        <f t="shared" si="12"/>
        <v>0</v>
      </c>
      <c r="K128">
        <f t="shared" si="11"/>
        <v>1.5362159928469152</v>
      </c>
    </row>
    <row r="129" spans="1:11" x14ac:dyDescent="0.3">
      <c r="A129">
        <v>919</v>
      </c>
      <c r="B129" s="3">
        <v>7.3605457497480176</v>
      </c>
      <c r="C129" s="2">
        <v>48.588764596551712</v>
      </c>
      <c r="D129" s="1">
        <v>2.9955005190553985</v>
      </c>
      <c r="E129" s="1">
        <f t="shared" si="7"/>
        <v>5.9910010381107971E-2</v>
      </c>
      <c r="F129" s="10">
        <f t="shared" si="8"/>
        <v>12.147191149137928</v>
      </c>
      <c r="G129" s="3">
        <f t="shared" si="9"/>
        <v>1.4977502595276992</v>
      </c>
      <c r="H129" s="22">
        <f t="shared" si="10"/>
        <v>-1.4468276200816772</v>
      </c>
      <c r="I129" s="3">
        <f t="shared" si="13"/>
        <v>782.44646785496184</v>
      </c>
      <c r="J129" s="12">
        <f t="shared" si="12"/>
        <v>0</v>
      </c>
      <c r="K129">
        <f t="shared" si="11"/>
        <v>1.4977502595276992</v>
      </c>
    </row>
    <row r="130" spans="1:11" x14ac:dyDescent="0.3">
      <c r="A130">
        <v>376</v>
      </c>
      <c r="B130" s="3">
        <v>4.1996041412701492</v>
      </c>
      <c r="C130" s="2">
        <v>29.554887407468321</v>
      </c>
      <c r="D130" s="1">
        <v>2.3762487805115771</v>
      </c>
      <c r="E130" s="1">
        <f t="shared" ref="E130:E193" si="14">D130/50</f>
        <v>4.7524975610231543E-2</v>
      </c>
      <c r="F130" s="10">
        <f t="shared" ref="F130:F193" si="15">0.25*C130</f>
        <v>7.3887218518670803</v>
      </c>
      <c r="G130" s="3">
        <f t="shared" ref="G130:G193" si="16">25*E130</f>
        <v>1.1881243902557885</v>
      </c>
      <c r="H130" s="22">
        <f t="shared" ref="H130:H193" si="17">(G130-F130)/B130</f>
        <v>-1.4764718894995545</v>
      </c>
      <c r="I130" s="3">
        <f t="shared" si="13"/>
        <v>786.64607199623197</v>
      </c>
      <c r="J130" s="12">
        <f t="shared" si="12"/>
        <v>0</v>
      </c>
      <c r="K130">
        <f t="shared" ref="K130:K193" si="18">IF(J130 = 1, F130, G130)</f>
        <v>1.1881243902557885</v>
      </c>
    </row>
    <row r="131" spans="1:11" x14ac:dyDescent="0.3">
      <c r="A131">
        <v>328</v>
      </c>
      <c r="B131" s="3">
        <v>9.6967657857914666</v>
      </c>
      <c r="C131" s="2">
        <v>64.717641157399143</v>
      </c>
      <c r="D131" s="1">
        <v>3.2170001967519184</v>
      </c>
      <c r="E131" s="1">
        <f t="shared" si="14"/>
        <v>6.4340003935038373E-2</v>
      </c>
      <c r="F131" s="10">
        <f t="shared" si="15"/>
        <v>16.179410289349786</v>
      </c>
      <c r="G131" s="3">
        <f t="shared" si="16"/>
        <v>1.6085000983759594</v>
      </c>
      <c r="H131" s="22">
        <f t="shared" si="17"/>
        <v>-1.5026567118207985</v>
      </c>
      <c r="I131" s="3">
        <f t="shared" si="13"/>
        <v>796.34283778202348</v>
      </c>
      <c r="J131" s="12">
        <f t="shared" ref="J131:J194" si="19">IF(I131 &lt;= 500, 1, 0)</f>
        <v>0</v>
      </c>
      <c r="K131">
        <f t="shared" si="18"/>
        <v>1.6085000983759594</v>
      </c>
    </row>
    <row r="132" spans="1:11" x14ac:dyDescent="0.3">
      <c r="A132">
        <v>211</v>
      </c>
      <c r="B132" s="3">
        <v>0.81867101102743978</v>
      </c>
      <c r="C132" s="2">
        <v>5.887416434062831</v>
      </c>
      <c r="D132" s="1">
        <v>0.46608038839524435</v>
      </c>
      <c r="E132" s="1">
        <f t="shared" si="14"/>
        <v>9.3216077679048864E-3</v>
      </c>
      <c r="F132" s="10">
        <f t="shared" si="15"/>
        <v>1.4718541085157077</v>
      </c>
      <c r="G132" s="3">
        <f t="shared" si="16"/>
        <v>0.23304019419762215</v>
      </c>
      <c r="H132" s="22">
        <f t="shared" si="17"/>
        <v>-1.5132011487292834</v>
      </c>
      <c r="I132" s="3">
        <f t="shared" ref="I132:I195" si="20">B132+I131</f>
        <v>797.16150879305087</v>
      </c>
      <c r="J132" s="12">
        <f t="shared" si="19"/>
        <v>0</v>
      </c>
      <c r="K132">
        <f t="shared" si="18"/>
        <v>0.23304019419762215</v>
      </c>
    </row>
    <row r="133" spans="1:11" x14ac:dyDescent="0.3">
      <c r="A133">
        <v>1019</v>
      </c>
      <c r="B133" s="3">
        <v>5.5401622001281705</v>
      </c>
      <c r="C133" s="2">
        <v>40.666692342092162</v>
      </c>
      <c r="D133" s="1">
        <v>3.222612949421094</v>
      </c>
      <c r="E133" s="1">
        <f t="shared" si="14"/>
        <v>6.4452258988421884E-2</v>
      </c>
      <c r="F133" s="10">
        <f t="shared" si="15"/>
        <v>10.16667308552304</v>
      </c>
      <c r="G133" s="3">
        <f t="shared" si="16"/>
        <v>1.6113064747105472</v>
      </c>
      <c r="H133" s="22">
        <f t="shared" si="17"/>
        <v>-1.5442447895504876</v>
      </c>
      <c r="I133" s="3">
        <f t="shared" si="20"/>
        <v>802.70167099317905</v>
      </c>
      <c r="J133" s="12">
        <f t="shared" si="19"/>
        <v>0</v>
      </c>
      <c r="K133">
        <f t="shared" si="18"/>
        <v>1.6113064747105472</v>
      </c>
    </row>
    <row r="134" spans="1:11" x14ac:dyDescent="0.3">
      <c r="A134">
        <v>586</v>
      </c>
      <c r="B134" s="3">
        <v>1.794780770638037</v>
      </c>
      <c r="C134" s="2">
        <v>13.157144050897463</v>
      </c>
      <c r="D134" s="1">
        <v>1.0187402261997685</v>
      </c>
      <c r="E134" s="1">
        <f t="shared" si="14"/>
        <v>2.0374804523995368E-2</v>
      </c>
      <c r="F134" s="10">
        <f t="shared" si="15"/>
        <v>3.2892860127243657</v>
      </c>
      <c r="G134" s="3">
        <f t="shared" si="16"/>
        <v>0.50937011309988423</v>
      </c>
      <c r="H134" s="22">
        <f t="shared" si="17"/>
        <v>-1.5488888365102291</v>
      </c>
      <c r="I134" s="3">
        <f t="shared" si="20"/>
        <v>804.49645176381705</v>
      </c>
      <c r="J134" s="12">
        <f t="shared" si="19"/>
        <v>0</v>
      </c>
      <c r="K134">
        <f t="shared" si="18"/>
        <v>0.50937011309988423</v>
      </c>
    </row>
    <row r="135" spans="1:11" x14ac:dyDescent="0.3">
      <c r="A135">
        <v>902</v>
      </c>
      <c r="B135" s="3">
        <v>3.2951711710406908</v>
      </c>
      <c r="C135" s="2">
        <v>25.369400074618088</v>
      </c>
      <c r="D135" s="1">
        <v>2.4600252857721698</v>
      </c>
      <c r="E135" s="1">
        <f t="shared" si="14"/>
        <v>4.9200505715443398E-2</v>
      </c>
      <c r="F135" s="10">
        <f t="shared" si="15"/>
        <v>6.3423500186545221</v>
      </c>
      <c r="G135" s="3">
        <f t="shared" si="16"/>
        <v>1.2300126428860849</v>
      </c>
      <c r="H135" s="22">
        <f t="shared" si="17"/>
        <v>-1.5514633718265516</v>
      </c>
      <c r="I135" s="3">
        <f t="shared" si="20"/>
        <v>807.79162293485774</v>
      </c>
      <c r="J135" s="12">
        <f t="shared" si="19"/>
        <v>0</v>
      </c>
      <c r="K135">
        <f t="shared" si="18"/>
        <v>1.2300126428860849</v>
      </c>
    </row>
    <row r="136" spans="1:11" x14ac:dyDescent="0.3">
      <c r="A136">
        <v>290</v>
      </c>
      <c r="B136" s="3">
        <v>8.8008720509214928</v>
      </c>
      <c r="C136" s="2">
        <v>61.083392301559527</v>
      </c>
      <c r="D136" s="1">
        <v>3.0835691649408377</v>
      </c>
      <c r="E136" s="1">
        <f t="shared" si="14"/>
        <v>6.1671383298816752E-2</v>
      </c>
      <c r="F136" s="10">
        <f t="shared" si="15"/>
        <v>15.270848075389882</v>
      </c>
      <c r="G136" s="3">
        <f t="shared" si="16"/>
        <v>1.5417845824704188</v>
      </c>
      <c r="H136" s="22">
        <f t="shared" si="17"/>
        <v>-1.5599662639660765</v>
      </c>
      <c r="I136" s="3">
        <f t="shared" si="20"/>
        <v>816.59249498577924</v>
      </c>
      <c r="J136" s="12">
        <f t="shared" si="19"/>
        <v>0</v>
      </c>
      <c r="K136">
        <f t="shared" si="18"/>
        <v>1.5417845824704188</v>
      </c>
    </row>
    <row r="137" spans="1:11" x14ac:dyDescent="0.3">
      <c r="A137">
        <v>673</v>
      </c>
      <c r="B137" s="3">
        <v>3.1670365844159507</v>
      </c>
      <c r="C137" s="2">
        <v>21.377246885523416</v>
      </c>
      <c r="D137" s="1">
        <v>0.70046466229124305</v>
      </c>
      <c r="E137" s="1">
        <f t="shared" si="14"/>
        <v>1.4009293245824861E-2</v>
      </c>
      <c r="F137" s="10">
        <f t="shared" si="15"/>
        <v>5.344311721380854</v>
      </c>
      <c r="G137" s="3">
        <f t="shared" si="16"/>
        <v>0.35023233114562152</v>
      </c>
      <c r="H137" s="22">
        <f t="shared" si="17"/>
        <v>-1.5768934955818379</v>
      </c>
      <c r="I137" s="3">
        <f t="shared" si="20"/>
        <v>819.75953157019524</v>
      </c>
      <c r="J137" s="12">
        <f t="shared" si="19"/>
        <v>0</v>
      </c>
      <c r="K137">
        <f t="shared" si="18"/>
        <v>0.35023233114562152</v>
      </c>
    </row>
    <row r="138" spans="1:11" x14ac:dyDescent="0.3">
      <c r="A138">
        <v>512</v>
      </c>
      <c r="B138" s="3">
        <v>9.520233719062384</v>
      </c>
      <c r="C138" s="2">
        <v>66.494999852687727</v>
      </c>
      <c r="D138" s="1">
        <v>2.9838461418983462</v>
      </c>
      <c r="E138" s="1">
        <f t="shared" si="14"/>
        <v>5.9676922837966925E-2</v>
      </c>
      <c r="F138" s="10">
        <f t="shared" si="15"/>
        <v>16.623749963171932</v>
      </c>
      <c r="G138" s="3">
        <f t="shared" si="16"/>
        <v>1.4919230709491731</v>
      </c>
      <c r="H138" s="22">
        <f t="shared" si="17"/>
        <v>-1.589438593500522</v>
      </c>
      <c r="I138" s="3">
        <f t="shared" si="20"/>
        <v>829.27976528925763</v>
      </c>
      <c r="J138" s="12">
        <f t="shared" si="19"/>
        <v>0</v>
      </c>
      <c r="K138">
        <f t="shared" si="18"/>
        <v>1.4919230709491731</v>
      </c>
    </row>
    <row r="139" spans="1:11" x14ac:dyDescent="0.3">
      <c r="A139">
        <v>401</v>
      </c>
      <c r="B139" s="3">
        <v>1.393934377638294</v>
      </c>
      <c r="C139" s="2">
        <v>14.510763792571202</v>
      </c>
      <c r="D139" s="1">
        <v>2.8000267832792849</v>
      </c>
      <c r="E139" s="1">
        <f t="shared" si="14"/>
        <v>5.6000535665585695E-2</v>
      </c>
      <c r="F139" s="10">
        <f t="shared" si="15"/>
        <v>3.6276909481428006</v>
      </c>
      <c r="G139" s="3">
        <f t="shared" si="16"/>
        <v>1.4000133916396424</v>
      </c>
      <c r="H139" s="22">
        <f t="shared" si="17"/>
        <v>-1.5981222590101072</v>
      </c>
      <c r="I139" s="3">
        <f t="shared" si="20"/>
        <v>830.67369966689591</v>
      </c>
      <c r="J139" s="12">
        <f t="shared" si="19"/>
        <v>0</v>
      </c>
      <c r="K139">
        <f t="shared" si="18"/>
        <v>1.4000133916396424</v>
      </c>
    </row>
    <row r="140" spans="1:11" x14ac:dyDescent="0.3">
      <c r="A140">
        <v>109</v>
      </c>
      <c r="B140" s="3">
        <v>2.7549304722085735</v>
      </c>
      <c r="C140" s="2">
        <v>22.014575282015713</v>
      </c>
      <c r="D140" s="1">
        <v>2.1939577068244605</v>
      </c>
      <c r="E140" s="1">
        <f t="shared" si="14"/>
        <v>4.3879154136489212E-2</v>
      </c>
      <c r="F140" s="10">
        <f t="shared" si="15"/>
        <v>5.5036438205039282</v>
      </c>
      <c r="G140" s="3">
        <f t="shared" si="16"/>
        <v>1.0969788534122302</v>
      </c>
      <c r="H140" s="22">
        <f t="shared" si="17"/>
        <v>-1.5995557824582636</v>
      </c>
      <c r="I140" s="3">
        <f t="shared" si="20"/>
        <v>833.42863013910448</v>
      </c>
      <c r="J140" s="12">
        <f t="shared" si="19"/>
        <v>0</v>
      </c>
      <c r="K140">
        <f t="shared" si="18"/>
        <v>1.0969788534122302</v>
      </c>
    </row>
    <row r="141" spans="1:11" x14ac:dyDescent="0.3">
      <c r="A141">
        <v>634</v>
      </c>
      <c r="B141" s="3">
        <v>3.2000780254935224</v>
      </c>
      <c r="C141" s="2">
        <v>22.920349102953708</v>
      </c>
      <c r="D141" s="1">
        <v>0.97187447180634146</v>
      </c>
      <c r="E141" s="1">
        <f t="shared" si="14"/>
        <v>1.9437489436126828E-2</v>
      </c>
      <c r="F141" s="10">
        <f t="shared" si="15"/>
        <v>5.7300872757384269</v>
      </c>
      <c r="G141" s="3">
        <f t="shared" si="16"/>
        <v>0.48593723590317067</v>
      </c>
      <c r="H141" s="22">
        <f t="shared" si="17"/>
        <v>-1.6387569296928293</v>
      </c>
      <c r="I141" s="3">
        <f t="shared" si="20"/>
        <v>836.62870816459804</v>
      </c>
      <c r="J141" s="12">
        <f t="shared" si="19"/>
        <v>0</v>
      </c>
      <c r="K141">
        <f t="shared" si="18"/>
        <v>0.48593723590317067</v>
      </c>
    </row>
    <row r="142" spans="1:11" x14ac:dyDescent="0.3">
      <c r="A142">
        <v>921</v>
      </c>
      <c r="B142" s="3">
        <v>2.5440431296332422</v>
      </c>
      <c r="C142" s="2">
        <v>19.436563618590508</v>
      </c>
      <c r="D142" s="1">
        <v>1.3441814364283244</v>
      </c>
      <c r="E142" s="1">
        <f t="shared" si="14"/>
        <v>2.6883628728566488E-2</v>
      </c>
      <c r="F142" s="10">
        <f t="shared" si="15"/>
        <v>4.859140904647627</v>
      </c>
      <c r="G142" s="3">
        <f t="shared" si="16"/>
        <v>0.67209071821416222</v>
      </c>
      <c r="H142" s="22">
        <f t="shared" si="17"/>
        <v>-1.6458251582539343</v>
      </c>
      <c r="I142" s="3">
        <f t="shared" si="20"/>
        <v>839.17275129423126</v>
      </c>
      <c r="J142" s="12">
        <f t="shared" si="19"/>
        <v>0</v>
      </c>
      <c r="K142">
        <f t="shared" si="18"/>
        <v>0.67209071821416222</v>
      </c>
    </row>
    <row r="143" spans="1:11" x14ac:dyDescent="0.3">
      <c r="A143">
        <v>569</v>
      </c>
      <c r="B143" s="3">
        <v>3.6644565432183054</v>
      </c>
      <c r="C143" s="2">
        <v>28.536053126350748</v>
      </c>
      <c r="D143" s="1">
        <v>2.2018557237066427</v>
      </c>
      <c r="E143" s="1">
        <f t="shared" si="14"/>
        <v>4.4037114474132853E-2</v>
      </c>
      <c r="F143" s="10">
        <f t="shared" si="15"/>
        <v>7.1340132815876869</v>
      </c>
      <c r="G143" s="3">
        <f t="shared" si="16"/>
        <v>1.1009278618533214</v>
      </c>
      <c r="H143" s="22">
        <f t="shared" si="17"/>
        <v>-1.6463793057935445</v>
      </c>
      <c r="I143" s="3">
        <f t="shared" si="20"/>
        <v>842.83720783744957</v>
      </c>
      <c r="J143" s="12">
        <f t="shared" si="19"/>
        <v>0</v>
      </c>
      <c r="K143">
        <f t="shared" si="18"/>
        <v>1.1009278618533214</v>
      </c>
    </row>
    <row r="144" spans="1:11" x14ac:dyDescent="0.3">
      <c r="A144">
        <v>253</v>
      </c>
      <c r="B144" s="3">
        <v>4.7482068305568248</v>
      </c>
      <c r="C144" s="2">
        <v>38.27867830252584</v>
      </c>
      <c r="D144" s="1">
        <v>3.1426435446117109</v>
      </c>
      <c r="E144" s="1">
        <f t="shared" si="14"/>
        <v>6.2852870892234222E-2</v>
      </c>
      <c r="F144" s="10">
        <f t="shared" si="15"/>
        <v>9.56966957563146</v>
      </c>
      <c r="G144" s="3">
        <f t="shared" si="16"/>
        <v>1.5713217723058555</v>
      </c>
      <c r="H144" s="22">
        <f t="shared" si="17"/>
        <v>-1.6844986094229668</v>
      </c>
      <c r="I144" s="3">
        <f t="shared" si="20"/>
        <v>847.58541466800636</v>
      </c>
      <c r="J144" s="12">
        <f t="shared" si="19"/>
        <v>0</v>
      </c>
      <c r="K144">
        <f t="shared" si="18"/>
        <v>1.5713217723058555</v>
      </c>
    </row>
    <row r="145" spans="1:11" x14ac:dyDescent="0.3">
      <c r="A145">
        <v>843</v>
      </c>
      <c r="B145" s="3">
        <v>9.9480693686482233</v>
      </c>
      <c r="C145" s="2">
        <v>73.320392656264048</v>
      </c>
      <c r="D145" s="1">
        <v>3.0444966850209774</v>
      </c>
      <c r="E145" s="1">
        <f t="shared" si="14"/>
        <v>6.0889933700419549E-2</v>
      </c>
      <c r="F145" s="10">
        <f t="shared" si="15"/>
        <v>18.330098164066012</v>
      </c>
      <c r="G145" s="3">
        <f t="shared" si="16"/>
        <v>1.5222483425104887</v>
      </c>
      <c r="H145" s="22">
        <f t="shared" si="17"/>
        <v>-1.6895589685498371</v>
      </c>
      <c r="I145" s="3">
        <f t="shared" si="20"/>
        <v>857.53348403665461</v>
      </c>
      <c r="J145" s="12">
        <f t="shared" si="19"/>
        <v>0</v>
      </c>
      <c r="K145">
        <f t="shared" si="18"/>
        <v>1.5222483425104887</v>
      </c>
    </row>
    <row r="146" spans="1:11" x14ac:dyDescent="0.3">
      <c r="A146">
        <v>1115</v>
      </c>
      <c r="B146" s="3">
        <v>3.531454338686749</v>
      </c>
      <c r="C146" s="2">
        <v>28.833813284378884</v>
      </c>
      <c r="D146" s="1">
        <v>2.4577556619557446</v>
      </c>
      <c r="E146" s="1">
        <f t="shared" si="14"/>
        <v>4.9155113239114895E-2</v>
      </c>
      <c r="F146" s="10">
        <f t="shared" si="15"/>
        <v>7.208453321094721</v>
      </c>
      <c r="G146" s="3">
        <f t="shared" si="16"/>
        <v>1.2288778309778723</v>
      </c>
      <c r="H146" s="22">
        <f t="shared" si="17"/>
        <v>-1.6932331319171152</v>
      </c>
      <c r="I146" s="3">
        <f t="shared" si="20"/>
        <v>861.0649383753414</v>
      </c>
      <c r="J146" s="12">
        <f t="shared" si="19"/>
        <v>0</v>
      </c>
      <c r="K146">
        <f t="shared" si="18"/>
        <v>1.2288778309778723</v>
      </c>
    </row>
    <row r="147" spans="1:11" x14ac:dyDescent="0.3">
      <c r="A147">
        <v>844</v>
      </c>
      <c r="B147" s="3">
        <v>9.6367160636279543</v>
      </c>
      <c r="C147" s="2">
        <v>72.496155008194023</v>
      </c>
      <c r="D147" s="1">
        <v>3.0380340398579562</v>
      </c>
      <c r="E147" s="1">
        <f t="shared" si="14"/>
        <v>6.0760680797159121E-2</v>
      </c>
      <c r="F147" s="10">
        <f t="shared" si="15"/>
        <v>18.124038752048506</v>
      </c>
      <c r="G147" s="3">
        <f t="shared" si="16"/>
        <v>1.5190170199289781</v>
      </c>
      <c r="H147" s="22">
        <f t="shared" si="17"/>
        <v>-1.7230996142754673</v>
      </c>
      <c r="I147" s="3">
        <f t="shared" si="20"/>
        <v>870.7016544389694</v>
      </c>
      <c r="J147" s="12">
        <f t="shared" si="19"/>
        <v>0</v>
      </c>
      <c r="K147">
        <f t="shared" si="18"/>
        <v>1.5190170199289781</v>
      </c>
    </row>
    <row r="148" spans="1:11" x14ac:dyDescent="0.3">
      <c r="A148">
        <v>25</v>
      </c>
      <c r="B148" s="3">
        <v>5.8675915694035261</v>
      </c>
      <c r="C148" s="2">
        <v>44.703870048327666</v>
      </c>
      <c r="D148" s="1">
        <v>2.0787762988409098</v>
      </c>
      <c r="E148" s="1">
        <f t="shared" si="14"/>
        <v>4.1575525976818198E-2</v>
      </c>
      <c r="F148" s="10">
        <f t="shared" si="15"/>
        <v>11.175967512081916</v>
      </c>
      <c r="G148" s="3">
        <f t="shared" si="16"/>
        <v>1.0393881494204549</v>
      </c>
      <c r="H148" s="22">
        <f t="shared" si="17"/>
        <v>-1.7275536721946552</v>
      </c>
      <c r="I148" s="3">
        <f t="shared" si="20"/>
        <v>876.56924600837294</v>
      </c>
      <c r="J148" s="12">
        <f t="shared" si="19"/>
        <v>0</v>
      </c>
      <c r="K148">
        <f t="shared" si="18"/>
        <v>1.0393881494204549</v>
      </c>
    </row>
    <row r="149" spans="1:11" x14ac:dyDescent="0.3">
      <c r="A149">
        <v>561</v>
      </c>
      <c r="B149" s="3">
        <v>1.4930828690322018</v>
      </c>
      <c r="C149" s="2">
        <v>15.717982192987733</v>
      </c>
      <c r="D149" s="1">
        <v>2.6576969020460908</v>
      </c>
      <c r="E149" s="1">
        <f t="shared" si="14"/>
        <v>5.3153938040921812E-2</v>
      </c>
      <c r="F149" s="10">
        <f t="shared" si="15"/>
        <v>3.9294955482469334</v>
      </c>
      <c r="G149" s="3">
        <f t="shared" si="16"/>
        <v>1.3288484510230454</v>
      </c>
      <c r="H149" s="22">
        <f t="shared" si="17"/>
        <v>-1.7417968896191247</v>
      </c>
      <c r="I149" s="3">
        <f t="shared" si="20"/>
        <v>878.06232887740509</v>
      </c>
      <c r="J149" s="12">
        <f t="shared" si="19"/>
        <v>0</v>
      </c>
      <c r="K149">
        <f t="shared" si="18"/>
        <v>1.3288484510230454</v>
      </c>
    </row>
    <row r="150" spans="1:11" x14ac:dyDescent="0.3">
      <c r="A150">
        <v>61</v>
      </c>
      <c r="B150" s="3">
        <v>7.7609436941717203</v>
      </c>
      <c r="C150" s="2">
        <v>60.715820600474316</v>
      </c>
      <c r="D150" s="1">
        <v>2.8205863196360492</v>
      </c>
      <c r="E150" s="1">
        <f t="shared" si="14"/>
        <v>5.6411726392720983E-2</v>
      </c>
      <c r="F150" s="10">
        <f t="shared" si="15"/>
        <v>15.178955150118579</v>
      </c>
      <c r="G150" s="3">
        <f t="shared" si="16"/>
        <v>1.4102931598180246</v>
      </c>
      <c r="H150" s="22">
        <f t="shared" si="17"/>
        <v>-1.7740963641625804</v>
      </c>
      <c r="I150" s="3">
        <f t="shared" si="20"/>
        <v>885.82327257157681</v>
      </c>
      <c r="J150" s="12">
        <f t="shared" si="19"/>
        <v>0</v>
      </c>
      <c r="K150">
        <f t="shared" si="18"/>
        <v>1.4102931598180246</v>
      </c>
    </row>
    <row r="151" spans="1:11" x14ac:dyDescent="0.3">
      <c r="A151">
        <v>254</v>
      </c>
      <c r="B151" s="3">
        <v>4.7870116473770574</v>
      </c>
      <c r="C151" s="2">
        <v>40.881581255590341</v>
      </c>
      <c r="D151" s="1">
        <v>2.8350774468270128</v>
      </c>
      <c r="E151" s="1">
        <f t="shared" si="14"/>
        <v>5.6701548936540253E-2</v>
      </c>
      <c r="F151" s="10">
        <f t="shared" si="15"/>
        <v>10.220395313897585</v>
      </c>
      <c r="G151" s="3">
        <f t="shared" si="16"/>
        <v>1.4175387234135064</v>
      </c>
      <c r="H151" s="22">
        <f t="shared" si="17"/>
        <v>-1.8389043601570136</v>
      </c>
      <c r="I151" s="3">
        <f t="shared" si="20"/>
        <v>890.61028421895389</v>
      </c>
      <c r="J151" s="12">
        <f t="shared" si="19"/>
        <v>0</v>
      </c>
      <c r="K151">
        <f t="shared" si="18"/>
        <v>1.4175387234135064</v>
      </c>
    </row>
    <row r="152" spans="1:11" x14ac:dyDescent="0.3">
      <c r="A152">
        <v>1052</v>
      </c>
      <c r="B152" s="3">
        <v>2.307131021340326</v>
      </c>
      <c r="C152" s="2">
        <v>20.272411159752799</v>
      </c>
      <c r="D152" s="1">
        <v>1.5018708748733998</v>
      </c>
      <c r="E152" s="1">
        <f t="shared" si="14"/>
        <v>3.0037417497467994E-2</v>
      </c>
      <c r="F152" s="10">
        <f t="shared" si="15"/>
        <v>5.0681027899381998</v>
      </c>
      <c r="G152" s="3">
        <f t="shared" si="16"/>
        <v>0.75093543743669988</v>
      </c>
      <c r="H152" s="22">
        <f t="shared" si="17"/>
        <v>-1.8712276470512041</v>
      </c>
      <c r="I152" s="3">
        <f t="shared" si="20"/>
        <v>892.91741524029419</v>
      </c>
      <c r="J152" s="12">
        <f t="shared" si="19"/>
        <v>0</v>
      </c>
      <c r="K152">
        <f t="shared" si="18"/>
        <v>0.75093543743669988</v>
      </c>
    </row>
    <row r="153" spans="1:11" x14ac:dyDescent="0.3">
      <c r="A153">
        <v>536</v>
      </c>
      <c r="B153" s="3">
        <v>3.2945405279487461</v>
      </c>
      <c r="C153" s="2">
        <v>29.646627677663162</v>
      </c>
      <c r="D153" s="1">
        <v>2.4709256706022753</v>
      </c>
      <c r="E153" s="1">
        <f t="shared" si="14"/>
        <v>4.9418513412045506E-2</v>
      </c>
      <c r="F153" s="10">
        <f t="shared" si="15"/>
        <v>7.4116569194157904</v>
      </c>
      <c r="G153" s="3">
        <f t="shared" si="16"/>
        <v>1.2354628353011377</v>
      </c>
      <c r="H153" s="22">
        <f t="shared" si="17"/>
        <v>-1.8746754006271362</v>
      </c>
      <c r="I153" s="3">
        <f t="shared" si="20"/>
        <v>896.21195576824289</v>
      </c>
      <c r="J153" s="12">
        <f t="shared" si="19"/>
        <v>0</v>
      </c>
      <c r="K153">
        <f t="shared" si="18"/>
        <v>1.2354628353011377</v>
      </c>
    </row>
    <row r="154" spans="1:11" x14ac:dyDescent="0.3">
      <c r="A154">
        <v>612</v>
      </c>
      <c r="B154" s="3">
        <v>2.9621946476247829</v>
      </c>
      <c r="C154" s="2">
        <v>24.241899694726765</v>
      </c>
      <c r="D154" s="1">
        <v>0.94691978123761955</v>
      </c>
      <c r="E154" s="1">
        <f t="shared" si="14"/>
        <v>1.8938395624752392E-2</v>
      </c>
      <c r="F154" s="10">
        <f t="shared" si="15"/>
        <v>6.0604749236816913</v>
      </c>
      <c r="G154" s="3">
        <f t="shared" si="16"/>
        <v>0.47345989061880983</v>
      </c>
      <c r="H154" s="22">
        <f t="shared" si="17"/>
        <v>-1.8861066532352269</v>
      </c>
      <c r="I154" s="3">
        <f t="shared" si="20"/>
        <v>899.17415041586764</v>
      </c>
      <c r="J154" s="12">
        <f t="shared" si="19"/>
        <v>0</v>
      </c>
      <c r="K154">
        <f t="shared" si="18"/>
        <v>0.47345989061880983</v>
      </c>
    </row>
    <row r="155" spans="1:11" x14ac:dyDescent="0.3">
      <c r="A155">
        <v>788</v>
      </c>
      <c r="B155" s="3">
        <v>4.893131422273143</v>
      </c>
      <c r="C155" s="2">
        <v>43.657814025147538</v>
      </c>
      <c r="D155" s="1">
        <v>2.8002580147692711</v>
      </c>
      <c r="E155" s="1">
        <f t="shared" si="14"/>
        <v>5.6005160295385423E-2</v>
      </c>
      <c r="F155" s="10">
        <f t="shared" si="15"/>
        <v>10.914453506286884</v>
      </c>
      <c r="G155" s="3">
        <f t="shared" si="16"/>
        <v>1.4001290073846355</v>
      </c>
      <c r="H155" s="22">
        <f t="shared" si="17"/>
        <v>-1.9444244754174811</v>
      </c>
      <c r="I155" s="3">
        <f t="shared" si="20"/>
        <v>904.06728183814084</v>
      </c>
      <c r="J155" s="12">
        <f t="shared" si="19"/>
        <v>0</v>
      </c>
      <c r="K155">
        <f t="shared" si="18"/>
        <v>1.4001290073846355</v>
      </c>
    </row>
    <row r="156" spans="1:11" x14ac:dyDescent="0.3">
      <c r="A156">
        <v>764</v>
      </c>
      <c r="B156" s="3">
        <v>1.5783199717317542</v>
      </c>
      <c r="C156" s="2">
        <v>17.506582498632739</v>
      </c>
      <c r="D156" s="1">
        <v>2.5632411608715255</v>
      </c>
      <c r="E156" s="1">
        <f t="shared" si="14"/>
        <v>5.1264823217430512E-2</v>
      </c>
      <c r="F156" s="10">
        <f t="shared" si="15"/>
        <v>4.3766456246581846</v>
      </c>
      <c r="G156" s="3">
        <f t="shared" si="16"/>
        <v>1.2816205804357628</v>
      </c>
      <c r="H156" s="22">
        <f t="shared" si="17"/>
        <v>-1.9609617185712465</v>
      </c>
      <c r="I156" s="3">
        <f t="shared" si="20"/>
        <v>905.64560180987257</v>
      </c>
      <c r="J156" s="12">
        <f t="shared" si="19"/>
        <v>0</v>
      </c>
      <c r="K156">
        <f t="shared" si="18"/>
        <v>1.2816205804357628</v>
      </c>
    </row>
    <row r="157" spans="1:11" x14ac:dyDescent="0.3">
      <c r="A157">
        <v>840</v>
      </c>
      <c r="B157" s="3">
        <v>7.3690581900459593</v>
      </c>
      <c r="C157" s="2">
        <v>63.626479588360816</v>
      </c>
      <c r="D157" s="1">
        <v>2.7627054276567025</v>
      </c>
      <c r="E157" s="1">
        <f t="shared" si="14"/>
        <v>5.5254108553134049E-2</v>
      </c>
      <c r="F157" s="10">
        <f t="shared" si="15"/>
        <v>15.906619897090204</v>
      </c>
      <c r="G157" s="3">
        <f t="shared" si="16"/>
        <v>1.3813527138283512</v>
      </c>
      <c r="H157" s="22">
        <f t="shared" si="17"/>
        <v>-1.9711158208632984</v>
      </c>
      <c r="I157" s="3">
        <f t="shared" si="20"/>
        <v>913.01465999991854</v>
      </c>
      <c r="J157" s="12">
        <f t="shared" si="19"/>
        <v>0</v>
      </c>
      <c r="K157">
        <f t="shared" si="18"/>
        <v>1.3813527138283512</v>
      </c>
    </row>
    <row r="158" spans="1:11" x14ac:dyDescent="0.3">
      <c r="A158">
        <v>354</v>
      </c>
      <c r="B158" s="3">
        <v>3.7350968175536381</v>
      </c>
      <c r="C158" s="2">
        <v>33.933607047455794</v>
      </c>
      <c r="D158" s="1">
        <v>2.1386787954777438</v>
      </c>
      <c r="E158" s="1">
        <f t="shared" si="14"/>
        <v>4.2773575909554877E-2</v>
      </c>
      <c r="F158" s="10">
        <f t="shared" si="15"/>
        <v>8.4834017618639486</v>
      </c>
      <c r="G158" s="3">
        <f t="shared" si="16"/>
        <v>1.0693393977388719</v>
      </c>
      <c r="H158" s="22">
        <f t="shared" si="17"/>
        <v>-1.9849719368134173</v>
      </c>
      <c r="I158" s="3">
        <f t="shared" si="20"/>
        <v>916.74975681747219</v>
      </c>
      <c r="J158" s="12">
        <f t="shared" si="19"/>
        <v>0</v>
      </c>
      <c r="K158">
        <f t="shared" si="18"/>
        <v>1.0693393977388719</v>
      </c>
    </row>
    <row r="159" spans="1:11" x14ac:dyDescent="0.3">
      <c r="A159">
        <v>241</v>
      </c>
      <c r="B159" s="3">
        <v>3.1448978560422081</v>
      </c>
      <c r="C159" s="2">
        <v>31.506527351296821</v>
      </c>
      <c r="D159" s="1">
        <v>3.2495302594645055</v>
      </c>
      <c r="E159" s="1">
        <f t="shared" si="14"/>
        <v>6.4990605189290104E-2</v>
      </c>
      <c r="F159" s="10">
        <f t="shared" si="15"/>
        <v>7.8766318378242053</v>
      </c>
      <c r="G159" s="3">
        <f t="shared" si="16"/>
        <v>1.6247651297322525</v>
      </c>
      <c r="H159" s="22">
        <f t="shared" si="17"/>
        <v>-1.9879395116380039</v>
      </c>
      <c r="I159" s="3">
        <f t="shared" si="20"/>
        <v>919.89465467351442</v>
      </c>
      <c r="J159" s="12">
        <f t="shared" si="19"/>
        <v>0</v>
      </c>
      <c r="K159">
        <f t="shared" si="18"/>
        <v>1.6247651297322525</v>
      </c>
    </row>
    <row r="160" spans="1:11" x14ac:dyDescent="0.3">
      <c r="A160">
        <v>137</v>
      </c>
      <c r="B160" s="3">
        <v>2.491868862856804</v>
      </c>
      <c r="C160" s="2">
        <v>25.62194565020318</v>
      </c>
      <c r="D160" s="1">
        <v>2.8262214267651853</v>
      </c>
      <c r="E160" s="1">
        <f t="shared" si="14"/>
        <v>5.6524428535303706E-2</v>
      </c>
      <c r="F160" s="10">
        <f t="shared" si="15"/>
        <v>6.4054864125507951</v>
      </c>
      <c r="G160" s="3">
        <f t="shared" si="16"/>
        <v>1.4131107133825926</v>
      </c>
      <c r="H160" s="22">
        <f t="shared" si="17"/>
        <v>-2.0034664638991844</v>
      </c>
      <c r="I160" s="3">
        <f t="shared" si="20"/>
        <v>922.38652353637121</v>
      </c>
      <c r="J160" s="12">
        <f t="shared" si="19"/>
        <v>0</v>
      </c>
      <c r="K160">
        <f t="shared" si="18"/>
        <v>1.4131107133825926</v>
      </c>
    </row>
    <row r="161" spans="1:11" x14ac:dyDescent="0.3">
      <c r="A161">
        <v>75</v>
      </c>
      <c r="B161" s="3">
        <v>2.9621946476247829</v>
      </c>
      <c r="C161" s="2">
        <v>27.869016038483817</v>
      </c>
      <c r="D161" s="1">
        <v>2.0328118140297322</v>
      </c>
      <c r="E161" s="1">
        <f t="shared" si="14"/>
        <v>4.0656236280594643E-2</v>
      </c>
      <c r="F161" s="10">
        <f t="shared" si="15"/>
        <v>6.9672540096209543</v>
      </c>
      <c r="G161" s="3">
        <f t="shared" si="16"/>
        <v>1.0164059070148661</v>
      </c>
      <c r="H161" s="22">
        <f t="shared" si="17"/>
        <v>-2.0089321636502646</v>
      </c>
      <c r="I161" s="3">
        <f t="shared" si="20"/>
        <v>925.34871818399597</v>
      </c>
      <c r="J161" s="12">
        <f t="shared" si="19"/>
        <v>0</v>
      </c>
      <c r="K161">
        <f t="shared" si="18"/>
        <v>1.0164059070148661</v>
      </c>
    </row>
    <row r="162" spans="1:11" x14ac:dyDescent="0.3">
      <c r="A162">
        <v>1027</v>
      </c>
      <c r="B162" s="3">
        <v>8.9329644561621961</v>
      </c>
      <c r="C162" s="2">
        <v>78.27337184140039</v>
      </c>
      <c r="D162" s="1">
        <v>3.1000093499060086</v>
      </c>
      <c r="E162" s="1">
        <f t="shared" si="14"/>
        <v>6.2000186998120176E-2</v>
      </c>
      <c r="F162" s="10">
        <f t="shared" si="15"/>
        <v>19.568342960350098</v>
      </c>
      <c r="G162" s="3">
        <f t="shared" si="16"/>
        <v>1.5500046749530043</v>
      </c>
      <c r="H162" s="22">
        <f t="shared" si="17"/>
        <v>-2.0170614552224668</v>
      </c>
      <c r="I162" s="3">
        <f t="shared" si="20"/>
        <v>934.28168264015812</v>
      </c>
      <c r="J162" s="12">
        <f t="shared" si="19"/>
        <v>0</v>
      </c>
      <c r="K162">
        <f t="shared" si="18"/>
        <v>1.5500046749530043</v>
      </c>
    </row>
    <row r="163" spans="1:11" x14ac:dyDescent="0.3">
      <c r="A163">
        <v>287</v>
      </c>
      <c r="B163" s="3">
        <v>3.6535349616576598</v>
      </c>
      <c r="C163" s="2">
        <v>34.621778427304996</v>
      </c>
      <c r="D163" s="1">
        <v>2.5292631646589934</v>
      </c>
      <c r="E163" s="1">
        <f t="shared" si="14"/>
        <v>5.0585263293179868E-2</v>
      </c>
      <c r="F163" s="10">
        <f t="shared" si="15"/>
        <v>8.6554446068262489</v>
      </c>
      <c r="G163" s="3">
        <f t="shared" si="16"/>
        <v>1.2646315823294967</v>
      </c>
      <c r="H163" s="22">
        <f t="shared" si="17"/>
        <v>-2.0229211166884351</v>
      </c>
      <c r="I163" s="3">
        <f t="shared" si="20"/>
        <v>937.93521760181579</v>
      </c>
      <c r="J163" s="12">
        <f t="shared" si="19"/>
        <v>0</v>
      </c>
      <c r="K163">
        <f t="shared" si="18"/>
        <v>1.2646315823294967</v>
      </c>
    </row>
    <row r="164" spans="1:11" x14ac:dyDescent="0.3">
      <c r="A164">
        <v>160</v>
      </c>
      <c r="B164" s="3">
        <v>2.8988993905741078</v>
      </c>
      <c r="C164" s="2">
        <v>28.178925172206469</v>
      </c>
      <c r="D164" s="1">
        <v>2.3472454222929566</v>
      </c>
      <c r="E164" s="1">
        <f t="shared" si="14"/>
        <v>4.6944908445859135E-2</v>
      </c>
      <c r="F164" s="10">
        <f t="shared" si="15"/>
        <v>7.0447312930516173</v>
      </c>
      <c r="G164" s="3">
        <f t="shared" si="16"/>
        <v>1.1736227111464783</v>
      </c>
      <c r="H164" s="22">
        <f t="shared" si="17"/>
        <v>-2.0252888392730335</v>
      </c>
      <c r="I164" s="3">
        <f t="shared" si="20"/>
        <v>940.83411699238991</v>
      </c>
      <c r="J164" s="12">
        <f t="shared" si="19"/>
        <v>0</v>
      </c>
      <c r="K164">
        <f t="shared" si="18"/>
        <v>1.1736227111464783</v>
      </c>
    </row>
    <row r="165" spans="1:11" x14ac:dyDescent="0.3">
      <c r="A165">
        <v>869</v>
      </c>
      <c r="B165" s="3">
        <v>5.7529976006271921</v>
      </c>
      <c r="C165" s="2">
        <v>52.730306374635362</v>
      </c>
      <c r="D165" s="1">
        <v>2.93359037579265</v>
      </c>
      <c r="E165" s="1">
        <f t="shared" si="14"/>
        <v>5.8671807515852999E-2</v>
      </c>
      <c r="F165" s="10">
        <f t="shared" si="15"/>
        <v>13.18257659365884</v>
      </c>
      <c r="G165" s="3">
        <f t="shared" si="16"/>
        <v>1.466795187896325</v>
      </c>
      <c r="H165" s="22">
        <f t="shared" si="17"/>
        <v>-2.036465547019394</v>
      </c>
      <c r="I165" s="3">
        <f t="shared" si="20"/>
        <v>946.58711459301708</v>
      </c>
      <c r="J165" s="12">
        <f t="shared" si="19"/>
        <v>0</v>
      </c>
      <c r="K165">
        <f t="shared" si="18"/>
        <v>1.466795187896325</v>
      </c>
    </row>
    <row r="166" spans="1:11" x14ac:dyDescent="0.3">
      <c r="A166">
        <v>940</v>
      </c>
      <c r="B166" s="3">
        <v>4.4904599143116606</v>
      </c>
      <c r="C166" s="2">
        <v>42.203770021775512</v>
      </c>
      <c r="D166" s="1">
        <v>2.7399006674772557</v>
      </c>
      <c r="E166" s="1">
        <f t="shared" si="14"/>
        <v>5.4798013349545115E-2</v>
      </c>
      <c r="F166" s="10">
        <f t="shared" si="15"/>
        <v>10.550942505443878</v>
      </c>
      <c r="G166" s="3">
        <f t="shared" si="16"/>
        <v>1.3699503337386278</v>
      </c>
      <c r="H166" s="22">
        <f t="shared" si="17"/>
        <v>-2.0445549780868268</v>
      </c>
      <c r="I166" s="3">
        <f t="shared" si="20"/>
        <v>951.07757450732879</v>
      </c>
      <c r="J166" s="12">
        <f t="shared" si="19"/>
        <v>0</v>
      </c>
      <c r="K166">
        <f t="shared" si="18"/>
        <v>1.3699503337386278</v>
      </c>
    </row>
    <row r="167" spans="1:11" x14ac:dyDescent="0.3">
      <c r="A167">
        <v>39</v>
      </c>
      <c r="B167" s="3">
        <v>9.3614014153288299</v>
      </c>
      <c r="C167" s="2">
        <v>84.224169758668083</v>
      </c>
      <c r="D167" s="1">
        <v>3.2482024009140531</v>
      </c>
      <c r="E167" s="1">
        <f t="shared" si="14"/>
        <v>6.4964048018281068E-2</v>
      </c>
      <c r="F167" s="10">
        <f t="shared" si="15"/>
        <v>21.056042439667021</v>
      </c>
      <c r="G167" s="3">
        <f t="shared" si="16"/>
        <v>1.6241012004570268</v>
      </c>
      <c r="H167" s="22">
        <f t="shared" si="17"/>
        <v>-2.075751308708027</v>
      </c>
      <c r="I167" s="3">
        <f t="shared" si="20"/>
        <v>960.43897592265762</v>
      </c>
      <c r="J167" s="12">
        <f t="shared" si="19"/>
        <v>0</v>
      </c>
      <c r="K167">
        <f t="shared" si="18"/>
        <v>1.6241012004570268</v>
      </c>
    </row>
    <row r="168" spans="1:11" x14ac:dyDescent="0.3">
      <c r="A168">
        <v>229</v>
      </c>
      <c r="B168" s="3">
        <v>1.9197897374801554</v>
      </c>
      <c r="C168" s="2">
        <v>18.110023918022566</v>
      </c>
      <c r="D168" s="1">
        <v>0.93783842852660837</v>
      </c>
      <c r="E168" s="1">
        <f t="shared" si="14"/>
        <v>1.8756768570532167E-2</v>
      </c>
      <c r="F168" s="10">
        <f t="shared" si="15"/>
        <v>4.5275059795056416</v>
      </c>
      <c r="G168" s="3">
        <f t="shared" si="16"/>
        <v>0.46891921426330418</v>
      </c>
      <c r="H168" s="22">
        <f t="shared" si="17"/>
        <v>-2.1140787899874325</v>
      </c>
      <c r="I168" s="3">
        <f t="shared" si="20"/>
        <v>962.35876566013781</v>
      </c>
      <c r="J168" s="12">
        <f t="shared" si="19"/>
        <v>0</v>
      </c>
      <c r="K168">
        <f t="shared" si="18"/>
        <v>0.46891921426330418</v>
      </c>
    </row>
    <row r="169" spans="1:11" x14ac:dyDescent="0.3">
      <c r="A169">
        <v>502</v>
      </c>
      <c r="B169" s="3">
        <v>9.7173833291681291</v>
      </c>
      <c r="C169" s="2">
        <v>89.470362092680816</v>
      </c>
      <c r="D169" s="1">
        <v>3.1327745557221771</v>
      </c>
      <c r="E169" s="1">
        <f t="shared" si="14"/>
        <v>6.2655491114443546E-2</v>
      </c>
      <c r="F169" s="10">
        <f t="shared" si="15"/>
        <v>22.367590523170204</v>
      </c>
      <c r="G169" s="3">
        <f t="shared" si="16"/>
        <v>1.5663872778610886</v>
      </c>
      <c r="H169" s="22">
        <f t="shared" si="17"/>
        <v>-2.1406177507551134</v>
      </c>
      <c r="I169" s="3">
        <f t="shared" si="20"/>
        <v>972.07614898930592</v>
      </c>
      <c r="J169" s="12">
        <f t="shared" si="19"/>
        <v>0</v>
      </c>
      <c r="K169">
        <f t="shared" si="18"/>
        <v>1.5663872778610886</v>
      </c>
    </row>
    <row r="170" spans="1:11" x14ac:dyDescent="0.3">
      <c r="A170">
        <v>893</v>
      </c>
      <c r="B170" s="3">
        <v>1.8739554197004249</v>
      </c>
      <c r="C170" s="2">
        <v>18.219840589159787</v>
      </c>
      <c r="D170" s="1">
        <v>1.0252021496093406</v>
      </c>
      <c r="E170" s="1">
        <f t="shared" si="14"/>
        <v>2.0504042992186812E-2</v>
      </c>
      <c r="F170" s="10">
        <f t="shared" si="15"/>
        <v>4.5549601472899468</v>
      </c>
      <c r="G170" s="3">
        <f t="shared" si="16"/>
        <v>0.51260107480467032</v>
      </c>
      <c r="H170" s="22">
        <f t="shared" si="17"/>
        <v>-2.1571265943623663</v>
      </c>
      <c r="I170" s="3">
        <f t="shared" si="20"/>
        <v>973.95010440900637</v>
      </c>
      <c r="J170" s="12">
        <f t="shared" si="19"/>
        <v>0</v>
      </c>
      <c r="K170">
        <f t="shared" si="18"/>
        <v>0.51260107480467032</v>
      </c>
    </row>
    <row r="171" spans="1:11" x14ac:dyDescent="0.3">
      <c r="A171">
        <v>1078</v>
      </c>
      <c r="B171" s="3">
        <v>3.2795894213496792</v>
      </c>
      <c r="C171" s="2">
        <v>29.479531781631064</v>
      </c>
      <c r="D171" s="1">
        <v>0.43123465675188305</v>
      </c>
      <c r="E171" s="1">
        <f t="shared" si="14"/>
        <v>8.6246931350376609E-3</v>
      </c>
      <c r="F171" s="10">
        <f t="shared" si="15"/>
        <v>7.3698829454077659</v>
      </c>
      <c r="G171" s="3">
        <f t="shared" si="16"/>
        <v>0.21561732837594152</v>
      </c>
      <c r="H171" s="22">
        <f t="shared" si="17"/>
        <v>-2.1814516080758564</v>
      </c>
      <c r="I171" s="3">
        <f t="shared" si="20"/>
        <v>977.22969383035604</v>
      </c>
      <c r="J171" s="12">
        <f t="shared" si="19"/>
        <v>0</v>
      </c>
      <c r="K171">
        <f t="shared" si="18"/>
        <v>0.21561732837594152</v>
      </c>
    </row>
    <row r="172" spans="1:11" x14ac:dyDescent="0.3">
      <c r="A172">
        <v>910</v>
      </c>
      <c r="B172" s="3">
        <v>8.1000725738569574</v>
      </c>
      <c r="C172" s="2">
        <v>77.131087605238662</v>
      </c>
      <c r="D172" s="1">
        <v>3.0934027716713364</v>
      </c>
      <c r="E172" s="1">
        <f t="shared" si="14"/>
        <v>6.186805543342673E-2</v>
      </c>
      <c r="F172" s="10">
        <f t="shared" si="15"/>
        <v>19.282771901309665</v>
      </c>
      <c r="G172" s="3">
        <f t="shared" si="16"/>
        <v>1.5467013858356682</v>
      </c>
      <c r="H172" s="22">
        <f t="shared" si="17"/>
        <v>-2.1896187168393149</v>
      </c>
      <c r="I172" s="3">
        <f t="shared" si="20"/>
        <v>985.32976640421305</v>
      </c>
      <c r="J172" s="12">
        <f t="shared" si="19"/>
        <v>0</v>
      </c>
      <c r="K172">
        <f t="shared" si="18"/>
        <v>1.5467013858356682</v>
      </c>
    </row>
    <row r="173" spans="1:11" x14ac:dyDescent="0.3">
      <c r="A173">
        <v>546</v>
      </c>
      <c r="B173" s="3">
        <v>7.7609436941717203</v>
      </c>
      <c r="C173" s="2">
        <v>74.093371923050739</v>
      </c>
      <c r="D173" s="1">
        <v>3.0392764260310083</v>
      </c>
      <c r="E173" s="1">
        <f t="shared" si="14"/>
        <v>6.0785528520620163E-2</v>
      </c>
      <c r="F173" s="10">
        <f t="shared" si="15"/>
        <v>18.523342980762685</v>
      </c>
      <c r="G173" s="3">
        <f t="shared" si="16"/>
        <v>1.5196382130155042</v>
      </c>
      <c r="H173" s="22">
        <f t="shared" si="17"/>
        <v>-2.1909326285302839</v>
      </c>
      <c r="I173" s="3">
        <f t="shared" si="20"/>
        <v>993.09071009838476</v>
      </c>
      <c r="J173" s="12">
        <f t="shared" si="19"/>
        <v>0</v>
      </c>
      <c r="K173">
        <f t="shared" si="18"/>
        <v>1.5196382130155042</v>
      </c>
    </row>
    <row r="174" spans="1:11" x14ac:dyDescent="0.3">
      <c r="A174">
        <v>684</v>
      </c>
      <c r="B174" s="3">
        <v>7.1141737071219975</v>
      </c>
      <c r="C174" s="2">
        <v>68.710833701690262</v>
      </c>
      <c r="D174" s="1">
        <v>3.0868650913824767</v>
      </c>
      <c r="E174" s="1">
        <f t="shared" si="14"/>
        <v>6.1737301827649534E-2</v>
      </c>
      <c r="F174" s="10">
        <f t="shared" si="15"/>
        <v>17.177708425422566</v>
      </c>
      <c r="G174" s="3">
        <f t="shared" si="16"/>
        <v>1.5434325456912383</v>
      </c>
      <c r="H174" s="22">
        <f t="shared" si="17"/>
        <v>-2.197623578417808</v>
      </c>
      <c r="I174" s="3">
        <f t="shared" si="20"/>
        <v>1000.2048838055067</v>
      </c>
      <c r="J174" s="12">
        <f t="shared" si="19"/>
        <v>0</v>
      </c>
      <c r="K174">
        <f t="shared" si="18"/>
        <v>1.5434325456912383</v>
      </c>
    </row>
    <row r="175" spans="1:11" x14ac:dyDescent="0.3">
      <c r="A175">
        <v>977</v>
      </c>
      <c r="B175" s="3">
        <v>1.3460155598940049</v>
      </c>
      <c r="C175" s="2">
        <v>14.426959271837092</v>
      </c>
      <c r="D175" s="1">
        <v>1.2479184762209665</v>
      </c>
      <c r="E175" s="1">
        <f t="shared" si="14"/>
        <v>2.4958369524419332E-2</v>
      </c>
      <c r="F175" s="10">
        <f t="shared" si="15"/>
        <v>3.6067398179592729</v>
      </c>
      <c r="G175" s="3">
        <f t="shared" si="16"/>
        <v>0.62395923811048326</v>
      </c>
      <c r="H175" s="22">
        <f t="shared" si="17"/>
        <v>-2.216007502976916</v>
      </c>
      <c r="I175" s="3">
        <f t="shared" si="20"/>
        <v>1001.5508993654007</v>
      </c>
      <c r="J175" s="12">
        <f t="shared" si="19"/>
        <v>0</v>
      </c>
      <c r="K175">
        <f t="shared" si="18"/>
        <v>0.62395923811048326</v>
      </c>
    </row>
    <row r="176" spans="1:11" x14ac:dyDescent="0.3">
      <c r="A176">
        <v>98</v>
      </c>
      <c r="B176" s="3">
        <v>5.6878046898335022</v>
      </c>
      <c r="C176" s="2">
        <v>56.415873882006686</v>
      </c>
      <c r="D176" s="1">
        <v>2.9911102390913347</v>
      </c>
      <c r="E176" s="1">
        <f t="shared" si="14"/>
        <v>5.9822204781826691E-2</v>
      </c>
      <c r="F176" s="10">
        <f t="shared" si="15"/>
        <v>14.103968470501671</v>
      </c>
      <c r="G176" s="3">
        <f t="shared" si="16"/>
        <v>1.4955551195456673</v>
      </c>
      <c r="H176" s="22">
        <f t="shared" si="17"/>
        <v>-2.2167451307694406</v>
      </c>
      <c r="I176" s="3">
        <f t="shared" si="20"/>
        <v>1007.2387040552342</v>
      </c>
      <c r="J176" s="12">
        <f t="shared" si="19"/>
        <v>0</v>
      </c>
      <c r="K176">
        <f t="shared" si="18"/>
        <v>1.4955551195456673</v>
      </c>
    </row>
    <row r="177" spans="1:11" x14ac:dyDescent="0.3">
      <c r="A177">
        <v>148</v>
      </c>
      <c r="B177" s="3">
        <v>3.8395221550412728</v>
      </c>
      <c r="C177" s="2">
        <v>40.518740678181651</v>
      </c>
      <c r="D177" s="1">
        <v>3.0738627037790183</v>
      </c>
      <c r="E177" s="1">
        <f t="shared" si="14"/>
        <v>6.1477254075580363E-2</v>
      </c>
      <c r="F177" s="10">
        <f t="shared" si="15"/>
        <v>10.129685169545413</v>
      </c>
      <c r="G177" s="3">
        <f t="shared" si="16"/>
        <v>1.5369313518895091</v>
      </c>
      <c r="H177" s="22">
        <f t="shared" si="17"/>
        <v>-2.2379747975600721</v>
      </c>
      <c r="I177" s="3">
        <f t="shared" si="20"/>
        <v>1011.0782262102755</v>
      </c>
      <c r="J177" s="12">
        <f t="shared" si="19"/>
        <v>0</v>
      </c>
      <c r="K177">
        <f t="shared" si="18"/>
        <v>1.5369313518895091</v>
      </c>
    </row>
    <row r="178" spans="1:11" x14ac:dyDescent="0.3">
      <c r="A178">
        <v>1047</v>
      </c>
      <c r="B178" s="3">
        <v>9.4827929947116747</v>
      </c>
      <c r="C178" s="2">
        <v>92.764033188611648</v>
      </c>
      <c r="D178" s="1">
        <v>3.165594360793353</v>
      </c>
      <c r="E178" s="1">
        <f t="shared" si="14"/>
        <v>6.3311887215867058E-2</v>
      </c>
      <c r="F178" s="10">
        <f t="shared" si="15"/>
        <v>23.191008297152912</v>
      </c>
      <c r="G178" s="3">
        <f t="shared" si="16"/>
        <v>1.5827971803966765</v>
      </c>
      <c r="H178" s="22">
        <f t="shared" si="17"/>
        <v>-2.2786758214385379</v>
      </c>
      <c r="I178" s="3">
        <f t="shared" si="20"/>
        <v>1020.5610192049871</v>
      </c>
      <c r="J178" s="12">
        <f t="shared" si="19"/>
        <v>0</v>
      </c>
      <c r="K178">
        <f t="shared" si="18"/>
        <v>1.5827971803966765</v>
      </c>
    </row>
    <row r="179" spans="1:11" x14ac:dyDescent="0.3">
      <c r="A179">
        <v>651</v>
      </c>
      <c r="B179" s="3">
        <v>4.4233048154916244</v>
      </c>
      <c r="C179" s="2">
        <v>45.662641339681144</v>
      </c>
      <c r="D179" s="1">
        <v>2.5845324024900549</v>
      </c>
      <c r="E179" s="1">
        <f t="shared" si="14"/>
        <v>5.16906480498011E-2</v>
      </c>
      <c r="F179" s="10">
        <f t="shared" si="15"/>
        <v>11.415660334920286</v>
      </c>
      <c r="G179" s="3">
        <f t="shared" si="16"/>
        <v>1.2922662012450274</v>
      </c>
      <c r="H179" s="22">
        <f t="shared" si="17"/>
        <v>-2.2886494501171071</v>
      </c>
      <c r="I179" s="3">
        <f t="shared" si="20"/>
        <v>1024.9843240204787</v>
      </c>
      <c r="J179" s="12">
        <f t="shared" si="19"/>
        <v>0</v>
      </c>
      <c r="K179">
        <f t="shared" si="18"/>
        <v>1.2922662012450274</v>
      </c>
    </row>
    <row r="180" spans="1:11" x14ac:dyDescent="0.3">
      <c r="A180">
        <v>1087</v>
      </c>
      <c r="B180" s="3">
        <v>1.5783199717317542</v>
      </c>
      <c r="C180" s="2">
        <v>16.035180164399755</v>
      </c>
      <c r="D180" s="1">
        <v>0.77773907008629262</v>
      </c>
      <c r="E180" s="1">
        <f t="shared" si="14"/>
        <v>1.5554781401725852E-2</v>
      </c>
      <c r="F180" s="10">
        <f t="shared" si="15"/>
        <v>4.0087950410999387</v>
      </c>
      <c r="G180" s="3">
        <f t="shared" si="16"/>
        <v>0.38886953504314631</v>
      </c>
      <c r="H180" s="22">
        <f t="shared" si="17"/>
        <v>-2.2935308244784869</v>
      </c>
      <c r="I180" s="3">
        <f t="shared" si="20"/>
        <v>1026.5626439922105</v>
      </c>
      <c r="J180" s="12">
        <f t="shared" si="19"/>
        <v>0</v>
      </c>
      <c r="K180">
        <f t="shared" si="18"/>
        <v>0.38886953504314631</v>
      </c>
    </row>
    <row r="181" spans="1:11" x14ac:dyDescent="0.3">
      <c r="A181">
        <v>542</v>
      </c>
      <c r="B181" s="3">
        <v>1.6840524927386569</v>
      </c>
      <c r="C181" s="2">
        <v>17.542143370001906</v>
      </c>
      <c r="D181" s="1">
        <v>0.90554164351009092</v>
      </c>
      <c r="E181" s="1">
        <f t="shared" si="14"/>
        <v>1.8110832870201817E-2</v>
      </c>
      <c r="F181" s="10">
        <f t="shared" si="15"/>
        <v>4.3855358425004765</v>
      </c>
      <c r="G181" s="3">
        <f t="shared" si="16"/>
        <v>0.45277082175504541</v>
      </c>
      <c r="H181" s="22">
        <f t="shared" si="17"/>
        <v>-2.3352983578022855</v>
      </c>
      <c r="I181" s="3">
        <f t="shared" si="20"/>
        <v>1028.2466964849491</v>
      </c>
      <c r="J181" s="12">
        <f t="shared" si="19"/>
        <v>0</v>
      </c>
      <c r="K181">
        <f t="shared" si="18"/>
        <v>0.45277082175504541</v>
      </c>
    </row>
    <row r="182" spans="1:11" x14ac:dyDescent="0.3">
      <c r="A182">
        <v>525</v>
      </c>
      <c r="B182" s="3">
        <v>9.5236409817562873</v>
      </c>
      <c r="C182" s="2">
        <v>97.275718833503845</v>
      </c>
      <c r="D182" s="1">
        <v>2.9864677906012709</v>
      </c>
      <c r="E182" s="1">
        <f t="shared" si="14"/>
        <v>5.9729355812025417E-2</v>
      </c>
      <c r="F182" s="10">
        <f t="shared" si="15"/>
        <v>24.318929708375961</v>
      </c>
      <c r="G182" s="3">
        <f t="shared" si="16"/>
        <v>1.4932338953006354</v>
      </c>
      <c r="H182" s="22">
        <f t="shared" si="17"/>
        <v>-2.3967404752867911</v>
      </c>
      <c r="I182" s="3">
        <f t="shared" si="20"/>
        <v>1037.7703374667053</v>
      </c>
      <c r="J182" s="12">
        <f t="shared" si="19"/>
        <v>0</v>
      </c>
      <c r="K182">
        <f t="shared" si="18"/>
        <v>1.4932338953006354</v>
      </c>
    </row>
    <row r="183" spans="1:11" x14ac:dyDescent="0.3">
      <c r="A183">
        <v>318</v>
      </c>
      <c r="B183" s="3">
        <v>3.3418678268241009</v>
      </c>
      <c r="C183" s="2">
        <v>38.06870759926759</v>
      </c>
      <c r="D183" s="1">
        <v>2.4494361745649509</v>
      </c>
      <c r="E183" s="1">
        <f t="shared" si="14"/>
        <v>4.898872349129902E-2</v>
      </c>
      <c r="F183" s="10">
        <f t="shared" si="15"/>
        <v>9.5171768998168975</v>
      </c>
      <c r="G183" s="3">
        <f t="shared" si="16"/>
        <v>1.2247180872824754</v>
      </c>
      <c r="H183" s="22">
        <f t="shared" si="17"/>
        <v>-2.4813844359652752</v>
      </c>
      <c r="I183" s="3">
        <f t="shared" si="20"/>
        <v>1041.1122052935293</v>
      </c>
      <c r="J183" s="12">
        <f t="shared" si="19"/>
        <v>0</v>
      </c>
      <c r="K183">
        <f t="shared" si="18"/>
        <v>1.2247180872824754</v>
      </c>
    </row>
    <row r="184" spans="1:11" x14ac:dyDescent="0.3">
      <c r="A184">
        <v>961</v>
      </c>
      <c r="B184" s="3">
        <v>5.2424359195975869</v>
      </c>
      <c r="C184" s="2">
        <v>57.867540466228284</v>
      </c>
      <c r="D184" s="1">
        <v>2.7860540142845083</v>
      </c>
      <c r="E184" s="1">
        <f t="shared" si="14"/>
        <v>5.5721080285690165E-2</v>
      </c>
      <c r="F184" s="10">
        <f t="shared" si="15"/>
        <v>14.466885116557071</v>
      </c>
      <c r="G184" s="3">
        <f t="shared" si="16"/>
        <v>1.3930270071422541</v>
      </c>
      <c r="H184" s="22">
        <f t="shared" si="17"/>
        <v>-2.4938517723299847</v>
      </c>
      <c r="I184" s="3">
        <f t="shared" si="20"/>
        <v>1046.3546412131268</v>
      </c>
      <c r="J184" s="12">
        <f t="shared" si="19"/>
        <v>0</v>
      </c>
      <c r="K184">
        <f t="shared" si="18"/>
        <v>1.3930270071422541</v>
      </c>
    </row>
    <row r="185" spans="1:11" x14ac:dyDescent="0.3">
      <c r="A185">
        <v>582</v>
      </c>
      <c r="B185" s="3">
        <v>5.6107386917113438</v>
      </c>
      <c r="C185" s="2">
        <v>62.244386652207581</v>
      </c>
      <c r="D185" s="1">
        <v>2.9546760293938039</v>
      </c>
      <c r="E185" s="1">
        <f t="shared" si="14"/>
        <v>5.9093520587876078E-2</v>
      </c>
      <c r="F185" s="10">
        <f t="shared" si="15"/>
        <v>15.561096663051895</v>
      </c>
      <c r="G185" s="3">
        <f t="shared" si="16"/>
        <v>1.477338014696902</v>
      </c>
      <c r="H185" s="22">
        <f t="shared" si="17"/>
        <v>-2.5101433914861708</v>
      </c>
      <c r="I185" s="3">
        <f t="shared" si="20"/>
        <v>1051.9653799048381</v>
      </c>
      <c r="J185" s="12">
        <f t="shared" si="19"/>
        <v>0</v>
      </c>
      <c r="K185">
        <f t="shared" si="18"/>
        <v>1.477338014696902</v>
      </c>
    </row>
    <row r="186" spans="1:11" x14ac:dyDescent="0.3">
      <c r="A186">
        <v>147</v>
      </c>
      <c r="B186" s="3">
        <v>5.1786536735136863</v>
      </c>
      <c r="C186" s="2">
        <v>58.817699123914977</v>
      </c>
      <c r="D186" s="1">
        <v>3.1148294594265806</v>
      </c>
      <c r="E186" s="1">
        <f t="shared" si="14"/>
        <v>6.2296589188531613E-2</v>
      </c>
      <c r="F186" s="10">
        <f t="shared" si="15"/>
        <v>14.704424780978744</v>
      </c>
      <c r="G186" s="3">
        <f t="shared" si="16"/>
        <v>1.5574147297132903</v>
      </c>
      <c r="H186" s="22">
        <f t="shared" si="17"/>
        <v>-2.5386926564535615</v>
      </c>
      <c r="I186" s="3">
        <f t="shared" si="20"/>
        <v>1057.1440335783518</v>
      </c>
      <c r="J186" s="12">
        <f t="shared" si="19"/>
        <v>0</v>
      </c>
      <c r="K186">
        <f t="shared" si="18"/>
        <v>1.5574147297132903</v>
      </c>
    </row>
    <row r="187" spans="1:11" x14ac:dyDescent="0.3">
      <c r="A187">
        <v>88</v>
      </c>
      <c r="B187" s="3">
        <v>1.4930828690322018</v>
      </c>
      <c r="C187" s="2">
        <v>17.674599995288499</v>
      </c>
      <c r="D187" s="1">
        <v>1.1766178104424458</v>
      </c>
      <c r="E187" s="1">
        <f t="shared" si="14"/>
        <v>2.3532356208848918E-2</v>
      </c>
      <c r="F187" s="10">
        <f t="shared" si="15"/>
        <v>4.4186499988221248</v>
      </c>
      <c r="G187" s="3">
        <f t="shared" si="16"/>
        <v>0.58830890522122292</v>
      </c>
      <c r="H187" s="22">
        <f t="shared" si="17"/>
        <v>-2.5653908252819768</v>
      </c>
      <c r="I187" s="3">
        <f t="shared" si="20"/>
        <v>1058.637116447384</v>
      </c>
      <c r="J187" s="12">
        <f t="shared" si="19"/>
        <v>0</v>
      </c>
      <c r="K187">
        <f t="shared" si="18"/>
        <v>0.58830890522122292</v>
      </c>
    </row>
    <row r="188" spans="1:11" x14ac:dyDescent="0.3">
      <c r="A188">
        <v>299</v>
      </c>
      <c r="B188" s="3">
        <v>4.99539812661091</v>
      </c>
      <c r="C188" s="2">
        <v>57.372636435802491</v>
      </c>
      <c r="D188" s="1">
        <v>3.0186446048768207</v>
      </c>
      <c r="E188" s="1">
        <f t="shared" si="14"/>
        <v>6.0372892097536414E-2</v>
      </c>
      <c r="F188" s="10">
        <f t="shared" si="15"/>
        <v>14.343159108950623</v>
      </c>
      <c r="G188" s="3">
        <f t="shared" si="16"/>
        <v>1.5093223024384104</v>
      </c>
      <c r="H188" s="22">
        <f t="shared" si="17"/>
        <v>-2.5691319252704354</v>
      </c>
      <c r="I188" s="3">
        <f t="shared" si="20"/>
        <v>1063.632514573995</v>
      </c>
      <c r="J188" s="12">
        <f t="shared" si="19"/>
        <v>0</v>
      </c>
      <c r="K188">
        <f t="shared" si="18"/>
        <v>1.5093223024384104</v>
      </c>
    </row>
    <row r="189" spans="1:11" x14ac:dyDescent="0.3">
      <c r="A189">
        <v>807</v>
      </c>
      <c r="B189" s="3">
        <v>1.9039518524618415</v>
      </c>
      <c r="C189" s="2">
        <v>21.780731885231898</v>
      </c>
      <c r="D189" s="1">
        <v>1.0437236681307391</v>
      </c>
      <c r="E189" s="1">
        <f t="shared" si="14"/>
        <v>2.0874473362614783E-2</v>
      </c>
      <c r="F189" s="10">
        <f t="shared" si="15"/>
        <v>5.4451829713079745</v>
      </c>
      <c r="G189" s="3">
        <f t="shared" si="16"/>
        <v>0.52186183406536957</v>
      </c>
      <c r="H189" s="22">
        <f t="shared" si="17"/>
        <v>-2.5858432979156842</v>
      </c>
      <c r="I189" s="3">
        <f t="shared" si="20"/>
        <v>1065.5364664264569</v>
      </c>
      <c r="J189" s="12">
        <f t="shared" si="19"/>
        <v>0</v>
      </c>
      <c r="K189">
        <f t="shared" si="18"/>
        <v>0.52186183406536957</v>
      </c>
    </row>
    <row r="190" spans="1:11" x14ac:dyDescent="0.3">
      <c r="A190">
        <v>555</v>
      </c>
      <c r="B190" s="3">
        <v>6.4576425653480527</v>
      </c>
      <c r="C190" s="2">
        <v>73.530343404511726</v>
      </c>
      <c r="D190" s="1">
        <v>2.9206955976643583</v>
      </c>
      <c r="E190" s="1">
        <f t="shared" si="14"/>
        <v>5.8413911953287163E-2</v>
      </c>
      <c r="F190" s="10">
        <f t="shared" si="15"/>
        <v>18.382585851127931</v>
      </c>
      <c r="G190" s="3">
        <f t="shared" si="16"/>
        <v>1.4603477988321791</v>
      </c>
      <c r="H190" s="22">
        <f t="shared" si="17"/>
        <v>-2.6204977870873662</v>
      </c>
      <c r="I190" s="3">
        <f t="shared" si="20"/>
        <v>1071.994108991805</v>
      </c>
      <c r="J190" s="12">
        <f t="shared" si="19"/>
        <v>0</v>
      </c>
      <c r="K190">
        <f t="shared" si="18"/>
        <v>1.4603477988321791</v>
      </c>
    </row>
    <row r="191" spans="1:11" x14ac:dyDescent="0.3">
      <c r="A191">
        <v>671</v>
      </c>
      <c r="B191" s="3">
        <v>3.7566641688152158</v>
      </c>
      <c r="C191" s="2">
        <v>44.515361427733424</v>
      </c>
      <c r="D191" s="1">
        <v>2.2960215203133711</v>
      </c>
      <c r="E191" s="1">
        <f t="shared" si="14"/>
        <v>4.5920430406267421E-2</v>
      </c>
      <c r="F191" s="10">
        <f t="shared" si="15"/>
        <v>11.128840356933356</v>
      </c>
      <c r="G191" s="3">
        <f t="shared" si="16"/>
        <v>1.1480107601566856</v>
      </c>
      <c r="H191" s="22">
        <f t="shared" si="17"/>
        <v>-2.6568330700490708</v>
      </c>
      <c r="I191" s="3">
        <f t="shared" si="20"/>
        <v>1075.7507731606202</v>
      </c>
      <c r="J191" s="12">
        <f t="shared" si="19"/>
        <v>0</v>
      </c>
      <c r="K191">
        <f t="shared" si="18"/>
        <v>1.1480107601566856</v>
      </c>
    </row>
    <row r="192" spans="1:11" x14ac:dyDescent="0.3">
      <c r="A192">
        <v>898</v>
      </c>
      <c r="B192" s="3">
        <v>2.442217949644212</v>
      </c>
      <c r="C192" s="2">
        <v>29.731882313102865</v>
      </c>
      <c r="D192" s="1">
        <v>1.8582243358425123</v>
      </c>
      <c r="E192" s="1">
        <f t="shared" si="14"/>
        <v>3.7164486716850249E-2</v>
      </c>
      <c r="F192" s="10">
        <f t="shared" si="15"/>
        <v>7.4329705782757163</v>
      </c>
      <c r="G192" s="3">
        <f t="shared" si="16"/>
        <v>0.92911216792125628</v>
      </c>
      <c r="H192" s="22">
        <f t="shared" si="17"/>
        <v>-2.6630949998962858</v>
      </c>
      <c r="I192" s="3">
        <f t="shared" si="20"/>
        <v>1078.1929911102643</v>
      </c>
      <c r="J192" s="12">
        <f t="shared" si="19"/>
        <v>0</v>
      </c>
      <c r="K192">
        <f t="shared" si="18"/>
        <v>0.92911216792125628</v>
      </c>
    </row>
    <row r="193" spans="1:11" x14ac:dyDescent="0.3">
      <c r="A193">
        <v>330</v>
      </c>
      <c r="B193" s="3">
        <v>3.0274886309987448</v>
      </c>
      <c r="C193" s="2">
        <v>36.810837627439419</v>
      </c>
      <c r="D193" s="1">
        <v>2.1375066398789611</v>
      </c>
      <c r="E193" s="1">
        <f t="shared" si="14"/>
        <v>4.2750132797579221E-2</v>
      </c>
      <c r="F193" s="10">
        <f t="shared" si="15"/>
        <v>9.2027094068598547</v>
      </c>
      <c r="G193" s="3">
        <f t="shared" si="16"/>
        <v>1.0687533199394805</v>
      </c>
      <c r="H193" s="22">
        <f t="shared" si="17"/>
        <v>-2.6867007867960337</v>
      </c>
      <c r="I193" s="3">
        <f t="shared" si="20"/>
        <v>1081.220479741263</v>
      </c>
      <c r="J193" s="12">
        <f t="shared" si="19"/>
        <v>0</v>
      </c>
      <c r="K193">
        <f t="shared" si="18"/>
        <v>1.0687533199394805</v>
      </c>
    </row>
    <row r="194" spans="1:11" x14ac:dyDescent="0.3">
      <c r="A194">
        <v>757</v>
      </c>
      <c r="B194" s="3">
        <v>2.5456532643571594</v>
      </c>
      <c r="C194" s="2">
        <v>29.709814670131951</v>
      </c>
      <c r="D194" s="1">
        <v>1.1009089778132859</v>
      </c>
      <c r="E194" s="1">
        <f t="shared" ref="E194:E257" si="21">D194/50</f>
        <v>2.2018179556265716E-2</v>
      </c>
      <c r="F194" s="10">
        <f t="shared" ref="F194:F257" si="22">0.25*C194</f>
        <v>7.4274536675329879</v>
      </c>
      <c r="G194" s="3">
        <f t="shared" ref="G194:G257" si="23">25*E194</f>
        <v>0.55045448890664295</v>
      </c>
      <c r="H194" s="22">
        <f t="shared" ref="H194:H257" si="24">(G194-F194)/B194</f>
        <v>-2.7014673502139179</v>
      </c>
      <c r="I194" s="3">
        <f t="shared" si="20"/>
        <v>1083.7661330056203</v>
      </c>
      <c r="J194" s="12">
        <f t="shared" si="19"/>
        <v>0</v>
      </c>
      <c r="K194">
        <f t="shared" ref="K194:K257" si="25">IF(J194 = 1, F194, G194)</f>
        <v>0.55045448890664295</v>
      </c>
    </row>
    <row r="195" spans="1:11" x14ac:dyDescent="0.3">
      <c r="A195">
        <v>957</v>
      </c>
      <c r="B195" s="3">
        <v>3.1890439134701043</v>
      </c>
      <c r="C195" s="2">
        <v>37.842107101503764</v>
      </c>
      <c r="D195" s="1">
        <v>1.6538148494871492</v>
      </c>
      <c r="E195" s="1">
        <f t="shared" si="21"/>
        <v>3.3076296989742987E-2</v>
      </c>
      <c r="F195" s="10">
        <f t="shared" si="22"/>
        <v>9.460526775375941</v>
      </c>
      <c r="G195" s="3">
        <f t="shared" si="23"/>
        <v>0.8269074247435747</v>
      </c>
      <c r="H195" s="22">
        <f t="shared" si="24"/>
        <v>-2.7072751535860289</v>
      </c>
      <c r="I195" s="3">
        <f t="shared" si="20"/>
        <v>1086.9551769190905</v>
      </c>
      <c r="J195" s="12">
        <f t="shared" ref="J195:J258" si="26">IF(I195 &lt;= 500, 1, 0)</f>
        <v>0</v>
      </c>
      <c r="K195">
        <f t="shared" si="25"/>
        <v>0.8269074247435747</v>
      </c>
    </row>
    <row r="196" spans="1:11" x14ac:dyDescent="0.3">
      <c r="A196">
        <v>387</v>
      </c>
      <c r="B196" s="3">
        <v>3.2750028386886876</v>
      </c>
      <c r="C196" s="2">
        <v>36.826065290398482</v>
      </c>
      <c r="D196" s="1">
        <v>0.54414757171076356</v>
      </c>
      <c r="E196" s="1">
        <f t="shared" si="21"/>
        <v>1.0882951434215271E-2</v>
      </c>
      <c r="F196" s="10">
        <f t="shared" si="22"/>
        <v>9.2065163225996205</v>
      </c>
      <c r="G196" s="3">
        <f t="shared" si="23"/>
        <v>0.27207378585538178</v>
      </c>
      <c r="H196" s="22">
        <f t="shared" si="24"/>
        <v>-2.7280716923963317</v>
      </c>
      <c r="I196" s="3">
        <f t="shared" ref="I196:I259" si="27">B196+I195</f>
        <v>1090.2301797577791</v>
      </c>
      <c r="J196" s="12">
        <f t="shared" si="26"/>
        <v>0</v>
      </c>
      <c r="K196">
        <f t="shared" si="25"/>
        <v>0.27207378585538178</v>
      </c>
    </row>
    <row r="197" spans="1:11" x14ac:dyDescent="0.3">
      <c r="A197">
        <v>8</v>
      </c>
      <c r="B197" s="3">
        <v>7.0719385776231567</v>
      </c>
      <c r="C197" s="2">
        <v>83.945042282436248</v>
      </c>
      <c r="D197" s="1">
        <v>3.1756792969318344</v>
      </c>
      <c r="E197" s="1">
        <f t="shared" si="21"/>
        <v>6.3513585938636694E-2</v>
      </c>
      <c r="F197" s="10">
        <f t="shared" si="22"/>
        <v>20.986260570609062</v>
      </c>
      <c r="G197" s="3">
        <f t="shared" si="23"/>
        <v>1.5878396484659174</v>
      </c>
      <c r="H197" s="22">
        <f t="shared" si="24"/>
        <v>-2.7430132076547049</v>
      </c>
      <c r="I197" s="3">
        <f t="shared" si="27"/>
        <v>1097.3021183354022</v>
      </c>
      <c r="J197" s="12">
        <f t="shared" si="26"/>
        <v>0</v>
      </c>
      <c r="K197">
        <f t="shared" si="25"/>
        <v>1.5878396484659174</v>
      </c>
    </row>
    <row r="198" spans="1:11" x14ac:dyDescent="0.3">
      <c r="A198">
        <v>789</v>
      </c>
      <c r="B198" s="3">
        <v>6.8997489776993319</v>
      </c>
      <c r="C198" s="2">
        <v>83.706402986583441</v>
      </c>
      <c r="D198" s="1">
        <v>2.9889930302416086</v>
      </c>
      <c r="E198" s="1">
        <f t="shared" si="21"/>
        <v>5.9779860604832175E-2</v>
      </c>
      <c r="F198" s="10">
        <f t="shared" si="22"/>
        <v>20.92660074664586</v>
      </c>
      <c r="G198" s="3">
        <f t="shared" si="23"/>
        <v>1.4944965151208043</v>
      </c>
      <c r="H198" s="22">
        <f t="shared" si="24"/>
        <v>-2.816349448991772</v>
      </c>
      <c r="I198" s="3">
        <f t="shared" si="27"/>
        <v>1104.2018673131015</v>
      </c>
      <c r="J198" s="12">
        <f t="shared" si="26"/>
        <v>0</v>
      </c>
      <c r="K198">
        <f t="shared" si="25"/>
        <v>1.4944965151208043</v>
      </c>
    </row>
    <row r="199" spans="1:11" x14ac:dyDescent="0.3">
      <c r="A199">
        <v>1030</v>
      </c>
      <c r="B199" s="3">
        <v>2.4744148419726821</v>
      </c>
      <c r="C199" s="2">
        <v>29.472610184926829</v>
      </c>
      <c r="D199" s="1">
        <v>0.66453752551288514</v>
      </c>
      <c r="E199" s="1">
        <f t="shared" si="21"/>
        <v>1.3290750510257703E-2</v>
      </c>
      <c r="F199" s="10">
        <f t="shared" si="22"/>
        <v>7.3681525462317072</v>
      </c>
      <c r="G199" s="3">
        <f t="shared" si="23"/>
        <v>0.33226876275644257</v>
      </c>
      <c r="H199" s="22">
        <f t="shared" si="24"/>
        <v>-2.8434535972416146</v>
      </c>
      <c r="I199" s="3">
        <f t="shared" si="27"/>
        <v>1106.6762821550742</v>
      </c>
      <c r="J199" s="12">
        <f t="shared" si="26"/>
        <v>0</v>
      </c>
      <c r="K199">
        <f t="shared" si="25"/>
        <v>0.33226876275644257</v>
      </c>
    </row>
    <row r="200" spans="1:11" x14ac:dyDescent="0.3">
      <c r="A200">
        <v>616</v>
      </c>
      <c r="B200" s="3">
        <v>3.7358702912983857</v>
      </c>
      <c r="C200" s="2">
        <v>46.47471706167736</v>
      </c>
      <c r="D200" s="1">
        <v>1.9513982144958901</v>
      </c>
      <c r="E200" s="1">
        <f t="shared" si="21"/>
        <v>3.9027964289917803E-2</v>
      </c>
      <c r="F200" s="10">
        <f t="shared" si="22"/>
        <v>11.61867926541934</v>
      </c>
      <c r="G200" s="3">
        <f t="shared" si="23"/>
        <v>0.97569910724794506</v>
      </c>
      <c r="H200" s="22">
        <f t="shared" si="24"/>
        <v>-2.8488623341557378</v>
      </c>
      <c r="I200" s="3">
        <f t="shared" si="27"/>
        <v>1110.4121524463726</v>
      </c>
      <c r="J200" s="12">
        <f t="shared" si="26"/>
        <v>0</v>
      </c>
      <c r="K200">
        <f t="shared" si="25"/>
        <v>0.97569910724794506</v>
      </c>
    </row>
    <row r="201" spans="1:11" x14ac:dyDescent="0.3">
      <c r="A201">
        <v>946</v>
      </c>
      <c r="B201" s="3">
        <v>2.2513313292517956</v>
      </c>
      <c r="C201" s="2">
        <v>28.3383698145228</v>
      </c>
      <c r="D201" s="1">
        <v>1.2815812709127499</v>
      </c>
      <c r="E201" s="1">
        <f t="shared" si="21"/>
        <v>2.5631625418254998E-2</v>
      </c>
      <c r="F201" s="10">
        <f t="shared" si="22"/>
        <v>7.0845924536306999</v>
      </c>
      <c r="G201" s="3">
        <f t="shared" si="23"/>
        <v>0.64079063545637494</v>
      </c>
      <c r="H201" s="22">
        <f t="shared" si="24"/>
        <v>-2.8622183391885945</v>
      </c>
      <c r="I201" s="3">
        <f t="shared" si="27"/>
        <v>1112.6634837756244</v>
      </c>
      <c r="J201" s="12">
        <f t="shared" si="26"/>
        <v>0</v>
      </c>
      <c r="K201">
        <f t="shared" si="25"/>
        <v>0.64079063545637494</v>
      </c>
    </row>
    <row r="202" spans="1:11" x14ac:dyDescent="0.3">
      <c r="A202">
        <v>753</v>
      </c>
      <c r="B202" s="3">
        <v>2.1333462381685466</v>
      </c>
      <c r="C202" s="2">
        <v>27.910409772967682</v>
      </c>
      <c r="D202" s="1">
        <v>1.707829097730285</v>
      </c>
      <c r="E202" s="1">
        <f t="shared" si="21"/>
        <v>3.4156581954605698E-2</v>
      </c>
      <c r="F202" s="10">
        <f t="shared" si="22"/>
        <v>6.9776024432419206</v>
      </c>
      <c r="G202" s="3">
        <f t="shared" si="23"/>
        <v>0.85391454886514251</v>
      </c>
      <c r="H202" s="22">
        <f t="shared" si="24"/>
        <v>-2.8704613366623013</v>
      </c>
      <c r="I202" s="3">
        <f t="shared" si="27"/>
        <v>1114.7968300137929</v>
      </c>
      <c r="J202" s="12">
        <f t="shared" si="26"/>
        <v>0</v>
      </c>
      <c r="K202">
        <f t="shared" si="25"/>
        <v>0.85391454886514251</v>
      </c>
    </row>
    <row r="203" spans="1:11" x14ac:dyDescent="0.3">
      <c r="A203">
        <v>942</v>
      </c>
      <c r="B203" s="3">
        <v>5.2245469511436777</v>
      </c>
      <c r="C203" s="2">
        <v>66.474177386765433</v>
      </c>
      <c r="D203" s="1">
        <v>3.1902110097848069</v>
      </c>
      <c r="E203" s="1">
        <f t="shared" si="21"/>
        <v>6.3804220195696135E-2</v>
      </c>
      <c r="F203" s="10">
        <f t="shared" si="22"/>
        <v>16.618544346691358</v>
      </c>
      <c r="G203" s="3">
        <f t="shared" si="23"/>
        <v>1.5951055048924034</v>
      </c>
      <c r="H203" s="22">
        <f t="shared" si="24"/>
        <v>-2.8755486326924968</v>
      </c>
      <c r="I203" s="3">
        <f t="shared" si="27"/>
        <v>1120.0213769649365</v>
      </c>
      <c r="J203" s="12">
        <f t="shared" si="26"/>
        <v>0</v>
      </c>
      <c r="K203">
        <f t="shared" si="25"/>
        <v>1.5951055048924034</v>
      </c>
    </row>
    <row r="204" spans="1:11" x14ac:dyDescent="0.3">
      <c r="A204">
        <v>615</v>
      </c>
      <c r="B204" s="3">
        <v>2.874076141842826</v>
      </c>
      <c r="C204" s="2">
        <v>36.801063606443776</v>
      </c>
      <c r="D204" s="1">
        <v>1.7435294005756401</v>
      </c>
      <c r="E204" s="1">
        <f t="shared" si="21"/>
        <v>3.4870588011512799E-2</v>
      </c>
      <c r="F204" s="10">
        <f t="shared" si="22"/>
        <v>9.200265901610944</v>
      </c>
      <c r="G204" s="3">
        <f t="shared" si="23"/>
        <v>0.87176470028781994</v>
      </c>
      <c r="H204" s="22">
        <f t="shared" si="24"/>
        <v>-2.8978011681983418</v>
      </c>
      <c r="I204" s="3">
        <f t="shared" si="27"/>
        <v>1122.8954531067793</v>
      </c>
      <c r="J204" s="12">
        <f t="shared" si="26"/>
        <v>0</v>
      </c>
      <c r="K204">
        <f t="shared" si="25"/>
        <v>0.87176470028781994</v>
      </c>
    </row>
    <row r="205" spans="1:11" x14ac:dyDescent="0.3">
      <c r="A205">
        <v>16</v>
      </c>
      <c r="B205" s="3">
        <v>6.5402017461972184</v>
      </c>
      <c r="C205" s="2">
        <v>83.817511484980415</v>
      </c>
      <c r="D205" s="1">
        <v>2.9351670972363189</v>
      </c>
      <c r="E205" s="1">
        <f t="shared" si="21"/>
        <v>5.870334194472638E-2</v>
      </c>
      <c r="F205" s="10">
        <f t="shared" si="22"/>
        <v>20.954377871245104</v>
      </c>
      <c r="G205" s="3">
        <f t="shared" si="23"/>
        <v>1.4675835486181594</v>
      </c>
      <c r="H205" s="22">
        <f t="shared" si="24"/>
        <v>-2.9795402464392611</v>
      </c>
      <c r="I205" s="3">
        <f t="shared" si="27"/>
        <v>1129.4356548529765</v>
      </c>
      <c r="J205" s="12">
        <f t="shared" si="26"/>
        <v>0</v>
      </c>
      <c r="K205">
        <f t="shared" si="25"/>
        <v>1.4675835486181594</v>
      </c>
    </row>
    <row r="206" spans="1:11" x14ac:dyDescent="0.3">
      <c r="A206">
        <v>914</v>
      </c>
      <c r="B206" s="3">
        <v>4.3693233940604834</v>
      </c>
      <c r="C206" s="2">
        <v>57.544736176699118</v>
      </c>
      <c r="D206" s="1">
        <v>2.496607569643376</v>
      </c>
      <c r="E206" s="1">
        <f t="shared" si="21"/>
        <v>4.9932151392867524E-2</v>
      </c>
      <c r="F206" s="10">
        <f t="shared" si="22"/>
        <v>14.386184044174779</v>
      </c>
      <c r="G206" s="3">
        <f t="shared" si="23"/>
        <v>1.248303784821688</v>
      </c>
      <c r="H206" s="22">
        <f t="shared" si="24"/>
        <v>-3.0068454711345698</v>
      </c>
      <c r="I206" s="3">
        <f t="shared" si="27"/>
        <v>1133.8049782470371</v>
      </c>
      <c r="J206" s="12">
        <f t="shared" si="26"/>
        <v>0</v>
      </c>
      <c r="K206">
        <f t="shared" si="25"/>
        <v>1.248303784821688</v>
      </c>
    </row>
    <row r="207" spans="1:11" x14ac:dyDescent="0.3">
      <c r="A207">
        <v>909</v>
      </c>
      <c r="B207" s="3">
        <v>3.5885136494259342</v>
      </c>
      <c r="C207" s="2">
        <v>49.544259556649862</v>
      </c>
      <c r="D207" s="1">
        <v>3.0070392667554442</v>
      </c>
      <c r="E207" s="1">
        <f t="shared" si="21"/>
        <v>6.0140785335108887E-2</v>
      </c>
      <c r="F207" s="10">
        <f t="shared" si="22"/>
        <v>12.386064889162466</v>
      </c>
      <c r="G207" s="3">
        <f t="shared" si="23"/>
        <v>1.5035196333777221</v>
      </c>
      <c r="H207" s="22">
        <f t="shared" si="24"/>
        <v>-3.0326052284977814</v>
      </c>
      <c r="I207" s="3">
        <f t="shared" si="27"/>
        <v>1137.393491896463</v>
      </c>
      <c r="J207" s="12">
        <f t="shared" si="26"/>
        <v>0</v>
      </c>
      <c r="K207">
        <f t="shared" si="25"/>
        <v>1.5035196333777221</v>
      </c>
    </row>
    <row r="208" spans="1:11" x14ac:dyDescent="0.3">
      <c r="A208">
        <v>17</v>
      </c>
      <c r="B208" s="3">
        <v>5.4591373452836178</v>
      </c>
      <c r="C208" s="2">
        <v>72.344381620845084</v>
      </c>
      <c r="D208" s="1">
        <v>2.3769663359668649</v>
      </c>
      <c r="E208" s="1">
        <f t="shared" si="21"/>
        <v>4.7539326719337298E-2</v>
      </c>
      <c r="F208" s="10">
        <f t="shared" si="22"/>
        <v>18.086095405211271</v>
      </c>
      <c r="G208" s="3">
        <f t="shared" si="23"/>
        <v>1.1884831679834325</v>
      </c>
      <c r="H208" s="22">
        <f t="shared" si="24"/>
        <v>-3.0952898175068646</v>
      </c>
      <c r="I208" s="3">
        <f t="shared" si="27"/>
        <v>1142.8526292417466</v>
      </c>
      <c r="J208" s="12">
        <f t="shared" si="26"/>
        <v>0</v>
      </c>
      <c r="K208">
        <f t="shared" si="25"/>
        <v>1.1884831679834325</v>
      </c>
    </row>
    <row r="209" spans="1:11" x14ac:dyDescent="0.3">
      <c r="A209">
        <v>48</v>
      </c>
      <c r="B209" s="3">
        <v>6.6302417029515031</v>
      </c>
      <c r="C209" s="2">
        <v>88.077018536128762</v>
      </c>
      <c r="D209" s="1">
        <v>2.9657601138693863</v>
      </c>
      <c r="E209" s="1">
        <f t="shared" si="21"/>
        <v>5.9315202277387728E-2</v>
      </c>
      <c r="F209" s="10">
        <f t="shared" si="22"/>
        <v>22.01925463403219</v>
      </c>
      <c r="G209" s="3">
        <f t="shared" si="23"/>
        <v>1.4828800569346932</v>
      </c>
      <c r="H209" s="22">
        <f t="shared" si="24"/>
        <v>-3.0973794768229297</v>
      </c>
      <c r="I209" s="3">
        <f t="shared" si="27"/>
        <v>1149.4828709446981</v>
      </c>
      <c r="J209" s="12">
        <f t="shared" si="26"/>
        <v>0</v>
      </c>
      <c r="K209">
        <f t="shared" si="25"/>
        <v>1.4828800569346932</v>
      </c>
    </row>
    <row r="210" spans="1:11" x14ac:dyDescent="0.3">
      <c r="A210">
        <v>100</v>
      </c>
      <c r="B210" s="3">
        <v>7.424306049298778</v>
      </c>
      <c r="C210" s="2">
        <v>98.139133851431353</v>
      </c>
      <c r="D210" s="1">
        <v>2.9735302238219714</v>
      </c>
      <c r="E210" s="1">
        <f t="shared" si="21"/>
        <v>5.9470604476439426E-2</v>
      </c>
      <c r="F210" s="10">
        <f t="shared" si="22"/>
        <v>24.534783462857838</v>
      </c>
      <c r="G210" s="3">
        <f t="shared" si="23"/>
        <v>1.4867651119109857</v>
      </c>
      <c r="H210" s="22">
        <f t="shared" si="24"/>
        <v>-3.1044003571382572</v>
      </c>
      <c r="I210" s="3">
        <f t="shared" si="27"/>
        <v>1156.9071769939969</v>
      </c>
      <c r="J210" s="12">
        <f t="shared" si="26"/>
        <v>0</v>
      </c>
      <c r="K210">
        <f t="shared" si="25"/>
        <v>1.4867651119109857</v>
      </c>
    </row>
    <row r="211" spans="1:11" x14ac:dyDescent="0.3">
      <c r="A211">
        <v>787</v>
      </c>
      <c r="B211" s="3">
        <v>2.1268036754128983</v>
      </c>
      <c r="C211" s="2">
        <v>28.766179046809803</v>
      </c>
      <c r="D211" s="1">
        <v>0.95897253261019488</v>
      </c>
      <c r="E211" s="1">
        <f t="shared" si="21"/>
        <v>1.9179450652203899E-2</v>
      </c>
      <c r="F211" s="10">
        <f t="shared" si="22"/>
        <v>7.1915447617024508</v>
      </c>
      <c r="G211" s="3">
        <f t="shared" si="23"/>
        <v>0.4794862663050975</v>
      </c>
      <c r="H211" s="22">
        <f t="shared" si="24"/>
        <v>-3.1559370396960933</v>
      </c>
      <c r="I211" s="3">
        <f t="shared" si="27"/>
        <v>1159.0339806694099</v>
      </c>
      <c r="J211" s="12">
        <f t="shared" si="26"/>
        <v>0</v>
      </c>
      <c r="K211">
        <f t="shared" si="25"/>
        <v>0.4794862663050975</v>
      </c>
    </row>
    <row r="212" spans="1:11" x14ac:dyDescent="0.3">
      <c r="A212">
        <v>283</v>
      </c>
      <c r="B212" s="3">
        <v>3.8448475510169153</v>
      </c>
      <c r="C212" s="2">
        <v>54.919506925554998</v>
      </c>
      <c r="D212" s="1">
        <v>2.9561943070105556</v>
      </c>
      <c r="E212" s="1">
        <f t="shared" si="21"/>
        <v>5.9123886140211114E-2</v>
      </c>
      <c r="F212" s="10">
        <f t="shared" si="22"/>
        <v>13.72987673138875</v>
      </c>
      <c r="G212" s="3">
        <f t="shared" si="23"/>
        <v>1.4780971535052778</v>
      </c>
      <c r="H212" s="22">
        <f t="shared" si="24"/>
        <v>-3.186544957977079</v>
      </c>
      <c r="I212" s="3">
        <f t="shared" si="27"/>
        <v>1162.8788282204268</v>
      </c>
      <c r="J212" s="12">
        <f t="shared" si="26"/>
        <v>0</v>
      </c>
      <c r="K212">
        <f t="shared" si="25"/>
        <v>1.4780971535052778</v>
      </c>
    </row>
    <row r="213" spans="1:11" x14ac:dyDescent="0.3">
      <c r="A213">
        <v>179</v>
      </c>
      <c r="B213" s="3">
        <v>2.7593413874763382</v>
      </c>
      <c r="C213" s="2">
        <v>37.717847015864102</v>
      </c>
      <c r="D213" s="1">
        <v>1.165261337888724</v>
      </c>
      <c r="E213" s="1">
        <f t="shared" si="21"/>
        <v>2.330522675777448E-2</v>
      </c>
      <c r="F213" s="10">
        <f t="shared" si="22"/>
        <v>9.4294617539660255</v>
      </c>
      <c r="G213" s="3">
        <f t="shared" si="23"/>
        <v>0.582630668944362</v>
      </c>
      <c r="H213" s="22">
        <f t="shared" si="24"/>
        <v>-3.2061386551059829</v>
      </c>
      <c r="I213" s="3">
        <f t="shared" si="27"/>
        <v>1165.6381696079031</v>
      </c>
      <c r="J213" s="12">
        <f t="shared" si="26"/>
        <v>0</v>
      </c>
      <c r="K213">
        <f t="shared" si="25"/>
        <v>0.582630668944362</v>
      </c>
    </row>
    <row r="214" spans="1:11" x14ac:dyDescent="0.3">
      <c r="A214">
        <v>245</v>
      </c>
      <c r="B214" s="3">
        <v>2.7442337372913581</v>
      </c>
      <c r="C214" s="2">
        <v>38.775855511551626</v>
      </c>
      <c r="D214" s="1">
        <v>1.7461423990574174</v>
      </c>
      <c r="E214" s="1">
        <f t="shared" si="21"/>
        <v>3.492284798114835E-2</v>
      </c>
      <c r="F214" s="10">
        <f t="shared" si="22"/>
        <v>9.6939638778879065</v>
      </c>
      <c r="G214" s="3">
        <f t="shared" si="23"/>
        <v>0.87307119952870871</v>
      </c>
      <c r="H214" s="22">
        <f t="shared" si="24"/>
        <v>-3.2143372331927109</v>
      </c>
      <c r="I214" s="3">
        <f t="shared" si="27"/>
        <v>1168.3824033451945</v>
      </c>
      <c r="J214" s="12">
        <f t="shared" si="26"/>
        <v>0</v>
      </c>
      <c r="K214">
        <f t="shared" si="25"/>
        <v>0.87307119952870871</v>
      </c>
    </row>
    <row r="215" spans="1:11" x14ac:dyDescent="0.3">
      <c r="A215">
        <v>850</v>
      </c>
      <c r="B215" s="3">
        <v>4.0757995580193445</v>
      </c>
      <c r="C215" s="2">
        <v>59.347643989919504</v>
      </c>
      <c r="D215" s="1">
        <v>2.9846122570688705</v>
      </c>
      <c r="E215" s="1">
        <f t="shared" si="21"/>
        <v>5.9692245141377408E-2</v>
      </c>
      <c r="F215" s="10">
        <f t="shared" si="22"/>
        <v>14.836910997479876</v>
      </c>
      <c r="G215" s="3">
        <f t="shared" si="23"/>
        <v>1.4923061285344352</v>
      </c>
      <c r="H215" s="22">
        <f t="shared" si="24"/>
        <v>-3.2741072466847019</v>
      </c>
      <c r="I215" s="3">
        <f t="shared" si="27"/>
        <v>1172.4582029032138</v>
      </c>
      <c r="J215" s="12">
        <f t="shared" si="26"/>
        <v>0</v>
      </c>
      <c r="K215">
        <f t="shared" si="25"/>
        <v>1.4923061285344352</v>
      </c>
    </row>
    <row r="216" spans="1:11" x14ac:dyDescent="0.3">
      <c r="A216">
        <v>349</v>
      </c>
      <c r="B216" s="3">
        <v>3.7569017588142719</v>
      </c>
      <c r="C216" s="2">
        <v>53.684848364089433</v>
      </c>
      <c r="D216" s="1">
        <v>2.0595506798755885</v>
      </c>
      <c r="E216" s="1">
        <f t="shared" si="21"/>
        <v>4.1191013597511768E-2</v>
      </c>
      <c r="F216" s="10">
        <f t="shared" si="22"/>
        <v>13.421212091022358</v>
      </c>
      <c r="G216" s="3">
        <f t="shared" si="23"/>
        <v>1.0297753399377942</v>
      </c>
      <c r="H216" s="22">
        <f t="shared" si="24"/>
        <v>-3.298312691305366</v>
      </c>
      <c r="I216" s="3">
        <f t="shared" si="27"/>
        <v>1176.2151046620281</v>
      </c>
      <c r="J216" s="12">
        <f t="shared" si="26"/>
        <v>0</v>
      </c>
      <c r="K216">
        <f t="shared" si="25"/>
        <v>1.0297753399377942</v>
      </c>
    </row>
    <row r="217" spans="1:11" x14ac:dyDescent="0.3">
      <c r="A217">
        <v>38</v>
      </c>
      <c r="B217" s="3">
        <v>4.99539812661091</v>
      </c>
      <c r="C217" s="2">
        <v>72.285613217040463</v>
      </c>
      <c r="D217" s="1">
        <v>3.1201980237539941</v>
      </c>
      <c r="E217" s="1">
        <f t="shared" si="21"/>
        <v>6.240396047507988E-2</v>
      </c>
      <c r="F217" s="10">
        <f t="shared" si="22"/>
        <v>18.071403304260116</v>
      </c>
      <c r="G217" s="3">
        <f t="shared" si="23"/>
        <v>1.5600990118769971</v>
      </c>
      <c r="H217" s="22">
        <f t="shared" si="24"/>
        <v>-3.3053029756379178</v>
      </c>
      <c r="I217" s="3">
        <f t="shared" si="27"/>
        <v>1181.2105027886391</v>
      </c>
      <c r="J217" s="12">
        <f t="shared" si="26"/>
        <v>0</v>
      </c>
      <c r="K217">
        <f t="shared" si="25"/>
        <v>1.5600990118769971</v>
      </c>
    </row>
    <row r="218" spans="1:11" x14ac:dyDescent="0.3">
      <c r="A218">
        <v>633</v>
      </c>
      <c r="B218" s="3">
        <v>3.3668647998093402</v>
      </c>
      <c r="C218" s="2">
        <v>48.392565898159553</v>
      </c>
      <c r="D218" s="1">
        <v>1.8762014902635056</v>
      </c>
      <c r="E218" s="1">
        <f t="shared" si="21"/>
        <v>3.7524029805270115E-2</v>
      </c>
      <c r="F218" s="10">
        <f t="shared" si="22"/>
        <v>12.098141474539888</v>
      </c>
      <c r="G218" s="3">
        <f t="shared" si="23"/>
        <v>0.9381007451317529</v>
      </c>
      <c r="H218" s="22">
        <f t="shared" si="24"/>
        <v>-3.3146685100156414</v>
      </c>
      <c r="I218" s="3">
        <f t="shared" si="27"/>
        <v>1184.5773675884484</v>
      </c>
      <c r="J218" s="12">
        <f t="shared" si="26"/>
        <v>0</v>
      </c>
      <c r="K218">
        <f t="shared" si="25"/>
        <v>0.9381007451317529</v>
      </c>
    </row>
    <row r="219" spans="1:11" x14ac:dyDescent="0.3">
      <c r="A219">
        <v>452</v>
      </c>
      <c r="B219" s="3">
        <v>2.9664193506709768</v>
      </c>
      <c r="C219" s="2">
        <v>45.146999143990016</v>
      </c>
      <c r="D219" s="1">
        <v>2.7475387723030509</v>
      </c>
      <c r="E219" s="1">
        <f t="shared" si="21"/>
        <v>5.4950775446061015E-2</v>
      </c>
      <c r="F219" s="10">
        <f t="shared" si="22"/>
        <v>11.286749785997504</v>
      </c>
      <c r="G219" s="3">
        <f t="shared" si="23"/>
        <v>1.3737693861515254</v>
      </c>
      <c r="H219" s="22">
        <f t="shared" si="24"/>
        <v>-3.3417326507136464</v>
      </c>
      <c r="I219" s="3">
        <f t="shared" si="27"/>
        <v>1187.5437869391194</v>
      </c>
      <c r="J219" s="12">
        <f t="shared" si="26"/>
        <v>0</v>
      </c>
      <c r="K219">
        <f t="shared" si="25"/>
        <v>1.3737693861515254</v>
      </c>
    </row>
    <row r="220" spans="1:11" x14ac:dyDescent="0.3">
      <c r="A220">
        <v>1032</v>
      </c>
      <c r="B220" s="3">
        <v>2.5798664992256324</v>
      </c>
      <c r="C220" s="2">
        <v>40.041023926166311</v>
      </c>
      <c r="D220" s="1">
        <v>2.6549798139529712</v>
      </c>
      <c r="E220" s="1">
        <f t="shared" si="21"/>
        <v>5.3099596279059427E-2</v>
      </c>
      <c r="F220" s="10">
        <f t="shared" si="22"/>
        <v>10.010255981541578</v>
      </c>
      <c r="G220" s="3">
        <f t="shared" si="23"/>
        <v>1.3274899069764856</v>
      </c>
      <c r="H220" s="22">
        <f t="shared" si="24"/>
        <v>-3.3655873577843249</v>
      </c>
      <c r="I220" s="3">
        <f t="shared" si="27"/>
        <v>1190.1236534383449</v>
      </c>
      <c r="J220" s="12">
        <f t="shared" si="26"/>
        <v>0</v>
      </c>
      <c r="K220">
        <f t="shared" si="25"/>
        <v>1.3274899069764856</v>
      </c>
    </row>
    <row r="221" spans="1:11" x14ac:dyDescent="0.3">
      <c r="A221">
        <v>839</v>
      </c>
      <c r="B221" s="3">
        <v>6.4512495725591688</v>
      </c>
      <c r="C221" s="2">
        <v>93.645423896480381</v>
      </c>
      <c r="D221" s="1">
        <v>3.1780736798421731</v>
      </c>
      <c r="E221" s="1">
        <f t="shared" si="21"/>
        <v>6.3561473596843457E-2</v>
      </c>
      <c r="F221" s="10">
        <f t="shared" si="22"/>
        <v>23.411355974120095</v>
      </c>
      <c r="G221" s="3">
        <f t="shared" si="23"/>
        <v>1.5890368399210864</v>
      </c>
      <c r="H221" s="22">
        <f t="shared" si="24"/>
        <v>-3.3826499639731402</v>
      </c>
      <c r="I221" s="3">
        <f t="shared" si="27"/>
        <v>1196.5749030109041</v>
      </c>
      <c r="J221" s="12">
        <f t="shared" si="26"/>
        <v>0</v>
      </c>
      <c r="K221">
        <f t="shared" si="25"/>
        <v>1.5890368399210864</v>
      </c>
    </row>
    <row r="222" spans="1:11" x14ac:dyDescent="0.3">
      <c r="A222">
        <v>742</v>
      </c>
      <c r="B222" s="3">
        <v>2.1823003598291999</v>
      </c>
      <c r="C222" s="2">
        <v>30.954761397170969</v>
      </c>
      <c r="D222" s="1">
        <v>0.60665800017133842</v>
      </c>
      <c r="E222" s="1">
        <f t="shared" si="21"/>
        <v>1.2133160003426768E-2</v>
      </c>
      <c r="F222" s="10">
        <f t="shared" si="22"/>
        <v>7.7386903492927424</v>
      </c>
      <c r="G222" s="3">
        <f t="shared" si="23"/>
        <v>0.30332900008566921</v>
      </c>
      <c r="H222" s="22">
        <f t="shared" si="24"/>
        <v>-3.4071209839277166</v>
      </c>
      <c r="I222" s="3">
        <f t="shared" si="27"/>
        <v>1198.7572033707334</v>
      </c>
      <c r="J222" s="12">
        <f t="shared" si="26"/>
        <v>0</v>
      </c>
      <c r="K222">
        <f t="shared" si="25"/>
        <v>0.30332900008566921</v>
      </c>
    </row>
    <row r="223" spans="1:11" x14ac:dyDescent="0.3">
      <c r="A223">
        <v>712</v>
      </c>
      <c r="B223" s="3">
        <v>2.8413064697717907</v>
      </c>
      <c r="C223" s="2">
        <v>41.017372640113578</v>
      </c>
      <c r="D223" s="1">
        <v>0.98403739444487459</v>
      </c>
      <c r="E223" s="1">
        <f t="shared" si="21"/>
        <v>1.9680747888897492E-2</v>
      </c>
      <c r="F223" s="10">
        <f t="shared" si="22"/>
        <v>10.254343160028395</v>
      </c>
      <c r="G223" s="3">
        <f t="shared" si="23"/>
        <v>0.4920186972224373</v>
      </c>
      <c r="H223" s="22">
        <f t="shared" si="24"/>
        <v>-3.4358576122166968</v>
      </c>
      <c r="I223" s="3">
        <f t="shared" si="27"/>
        <v>1201.5985098405051</v>
      </c>
      <c r="J223" s="12">
        <f t="shared" si="26"/>
        <v>0</v>
      </c>
      <c r="K223">
        <f t="shared" si="25"/>
        <v>0.4920186972224373</v>
      </c>
    </row>
    <row r="224" spans="1:11" x14ac:dyDescent="0.3">
      <c r="A224">
        <v>18</v>
      </c>
      <c r="B224" s="3">
        <v>4.0791284832946362</v>
      </c>
      <c r="C224" s="2">
        <v>62.080306641899455</v>
      </c>
      <c r="D224" s="1">
        <v>2.6252338807744091</v>
      </c>
      <c r="E224" s="1">
        <f t="shared" si="21"/>
        <v>5.2504677615488181E-2</v>
      </c>
      <c r="F224" s="10">
        <f t="shared" si="22"/>
        <v>15.520076660474864</v>
      </c>
      <c r="G224" s="3">
        <f t="shared" si="23"/>
        <v>1.3126169403872046</v>
      </c>
      <c r="H224" s="22">
        <f t="shared" si="24"/>
        <v>-3.4829645053525153</v>
      </c>
      <c r="I224" s="3">
        <f t="shared" si="27"/>
        <v>1205.6776383237998</v>
      </c>
      <c r="J224" s="12">
        <f t="shared" si="26"/>
        <v>0</v>
      </c>
      <c r="K224">
        <f t="shared" si="25"/>
        <v>1.3126169403872046</v>
      </c>
    </row>
    <row r="225" spans="1:11" x14ac:dyDescent="0.3">
      <c r="A225">
        <v>596</v>
      </c>
      <c r="B225" s="3">
        <v>5.4851922697947408</v>
      </c>
      <c r="C225" s="2">
        <v>82.744164611208475</v>
      </c>
      <c r="D225" s="1">
        <v>2.9737752109346953</v>
      </c>
      <c r="E225" s="1">
        <f t="shared" si="21"/>
        <v>5.9475504218693909E-2</v>
      </c>
      <c r="F225" s="10">
        <f t="shared" si="22"/>
        <v>20.686041152802119</v>
      </c>
      <c r="G225" s="3">
        <f t="shared" si="23"/>
        <v>1.4868876054673477</v>
      </c>
      <c r="H225" s="22">
        <f t="shared" si="24"/>
        <v>-3.5001787727767679</v>
      </c>
      <c r="I225" s="3">
        <f t="shared" si="27"/>
        <v>1211.1628305935944</v>
      </c>
      <c r="J225" s="12">
        <f t="shared" si="26"/>
        <v>0</v>
      </c>
      <c r="K225">
        <f t="shared" si="25"/>
        <v>1.4868876054673477</v>
      </c>
    </row>
    <row r="226" spans="1:11" x14ac:dyDescent="0.3">
      <c r="A226">
        <v>926</v>
      </c>
      <c r="B226" s="3">
        <v>2.7713869129557747</v>
      </c>
      <c r="C226" s="2">
        <v>43.966042252461236</v>
      </c>
      <c r="D226" s="1">
        <v>2.0049965407962822</v>
      </c>
      <c r="E226" s="1">
        <f t="shared" si="21"/>
        <v>4.0099930815925645E-2</v>
      </c>
      <c r="F226" s="10">
        <f t="shared" si="22"/>
        <v>10.991510563115309</v>
      </c>
      <c r="G226" s="3">
        <f t="shared" si="23"/>
        <v>1.0024982703981411</v>
      </c>
      <c r="H226" s="22">
        <f t="shared" si="24"/>
        <v>-3.6043369642904031</v>
      </c>
      <c r="I226" s="3">
        <f t="shared" si="27"/>
        <v>1213.9342175065501</v>
      </c>
      <c r="J226" s="12">
        <f t="shared" si="26"/>
        <v>0</v>
      </c>
      <c r="K226">
        <f t="shared" si="25"/>
        <v>1.0024982703981411</v>
      </c>
    </row>
    <row r="227" spans="1:11" x14ac:dyDescent="0.3">
      <c r="A227">
        <v>792</v>
      </c>
      <c r="B227" s="3">
        <v>1.9455501288699617</v>
      </c>
      <c r="C227" s="2">
        <v>30.118933426433959</v>
      </c>
      <c r="D227" s="1">
        <v>0.82733077020566925</v>
      </c>
      <c r="E227" s="1">
        <f t="shared" si="21"/>
        <v>1.6546615404113386E-2</v>
      </c>
      <c r="F227" s="10">
        <f t="shared" si="22"/>
        <v>7.5297333566084896</v>
      </c>
      <c r="G227" s="3">
        <f t="shared" si="23"/>
        <v>0.41366538510283463</v>
      </c>
      <c r="H227" s="22">
        <f t="shared" si="24"/>
        <v>-3.6576122434012515</v>
      </c>
      <c r="I227" s="3">
        <f t="shared" si="27"/>
        <v>1215.87976763542</v>
      </c>
      <c r="J227" s="12">
        <f t="shared" si="26"/>
        <v>0</v>
      </c>
      <c r="K227">
        <f t="shared" si="25"/>
        <v>0.41366538510283463</v>
      </c>
    </row>
    <row r="228" spans="1:11" x14ac:dyDescent="0.3">
      <c r="A228">
        <v>377</v>
      </c>
      <c r="B228" s="3">
        <v>2.8519157528359718</v>
      </c>
      <c r="C228" s="2">
        <v>48.290938191724244</v>
      </c>
      <c r="D228" s="1">
        <v>3.2365742267164799</v>
      </c>
      <c r="E228" s="1">
        <f t="shared" si="21"/>
        <v>6.47314845343296E-2</v>
      </c>
      <c r="F228" s="10">
        <f t="shared" si="22"/>
        <v>12.072734547931061</v>
      </c>
      <c r="G228" s="3">
        <f t="shared" si="23"/>
        <v>1.6182871133582399</v>
      </c>
      <c r="H228" s="22">
        <f t="shared" si="24"/>
        <v>-3.6657630661694056</v>
      </c>
      <c r="I228" s="3">
        <f t="shared" si="27"/>
        <v>1218.731683388256</v>
      </c>
      <c r="J228" s="12">
        <f t="shared" si="26"/>
        <v>0</v>
      </c>
      <c r="K228">
        <f t="shared" si="25"/>
        <v>1.6182871133582399</v>
      </c>
    </row>
    <row r="229" spans="1:11" x14ac:dyDescent="0.3">
      <c r="A229">
        <v>106</v>
      </c>
      <c r="B229" s="3">
        <v>1.7749600690362932</v>
      </c>
      <c r="C229" s="2">
        <v>28.688825017315832</v>
      </c>
      <c r="D229" s="1">
        <v>1.2547521838619498</v>
      </c>
      <c r="E229" s="1">
        <f t="shared" si="21"/>
        <v>2.5095043677238995E-2</v>
      </c>
      <c r="F229" s="10">
        <f t="shared" si="22"/>
        <v>7.172206254328958</v>
      </c>
      <c r="G229" s="3">
        <f t="shared" si="23"/>
        <v>0.62737609193097488</v>
      </c>
      <c r="H229" s="22">
        <f t="shared" si="24"/>
        <v>-3.6873112114299396</v>
      </c>
      <c r="I229" s="3">
        <f t="shared" si="27"/>
        <v>1220.5066434572923</v>
      </c>
      <c r="J229" s="12">
        <f t="shared" si="26"/>
        <v>0</v>
      </c>
      <c r="K229">
        <f t="shared" si="25"/>
        <v>0.62737609193097488</v>
      </c>
    </row>
    <row r="230" spans="1:11" x14ac:dyDescent="0.3">
      <c r="A230">
        <v>238</v>
      </c>
      <c r="B230" s="3">
        <v>2.8667342608148338</v>
      </c>
      <c r="C230" s="2">
        <v>48.28985237351192</v>
      </c>
      <c r="D230" s="1">
        <v>2.8999449069990835</v>
      </c>
      <c r="E230" s="1">
        <f t="shared" si="21"/>
        <v>5.7998898139981672E-2</v>
      </c>
      <c r="F230" s="10">
        <f t="shared" si="22"/>
        <v>12.07246309337798</v>
      </c>
      <c r="G230" s="3">
        <f t="shared" si="23"/>
        <v>1.4499724534995417</v>
      </c>
      <c r="H230" s="22">
        <f t="shared" si="24"/>
        <v>-3.7054326189477802</v>
      </c>
      <c r="I230" s="3">
        <f t="shared" si="27"/>
        <v>1223.3733777181071</v>
      </c>
      <c r="J230" s="12">
        <f t="shared" si="26"/>
        <v>0</v>
      </c>
      <c r="K230">
        <f t="shared" si="25"/>
        <v>1.4499724534995417</v>
      </c>
    </row>
    <row r="231" spans="1:11" x14ac:dyDescent="0.3">
      <c r="A231">
        <v>822</v>
      </c>
      <c r="B231" s="3">
        <v>2.8091609471460375</v>
      </c>
      <c r="C231" s="2">
        <v>48.035789616350257</v>
      </c>
      <c r="D231" s="1">
        <v>2.6768555448029465</v>
      </c>
      <c r="E231" s="1">
        <f t="shared" si="21"/>
        <v>5.3537110896058927E-2</v>
      </c>
      <c r="F231" s="10">
        <f t="shared" si="22"/>
        <v>12.008947404087564</v>
      </c>
      <c r="G231" s="3">
        <f t="shared" si="23"/>
        <v>1.3384277724014733</v>
      </c>
      <c r="H231" s="22">
        <f t="shared" si="24"/>
        <v>-3.7984721532337931</v>
      </c>
      <c r="I231" s="3">
        <f t="shared" si="27"/>
        <v>1226.1825386652531</v>
      </c>
      <c r="J231" s="12">
        <f t="shared" si="26"/>
        <v>0</v>
      </c>
      <c r="K231">
        <f t="shared" si="25"/>
        <v>1.3384277724014733</v>
      </c>
    </row>
    <row r="232" spans="1:11" x14ac:dyDescent="0.3">
      <c r="A232">
        <v>408</v>
      </c>
      <c r="B232" s="3">
        <v>3.1328311926868349</v>
      </c>
      <c r="C232" s="2">
        <v>50.531042893314527</v>
      </c>
      <c r="D232" s="1">
        <v>1.445820181648275</v>
      </c>
      <c r="E232" s="1">
        <f t="shared" si="21"/>
        <v>2.89164036329655E-2</v>
      </c>
      <c r="F232" s="10">
        <f t="shared" si="22"/>
        <v>12.632760723328632</v>
      </c>
      <c r="G232" s="3">
        <f t="shared" si="23"/>
        <v>0.72291009082413749</v>
      </c>
      <c r="H232" s="22">
        <f t="shared" si="24"/>
        <v>-3.8016253988744775</v>
      </c>
      <c r="I232" s="3">
        <f t="shared" si="27"/>
        <v>1229.3153698579399</v>
      </c>
      <c r="J232" s="12">
        <f t="shared" si="26"/>
        <v>0</v>
      </c>
      <c r="K232">
        <f t="shared" si="25"/>
        <v>0.72291009082413749</v>
      </c>
    </row>
    <row r="233" spans="1:11" x14ac:dyDescent="0.3">
      <c r="A233">
        <v>927</v>
      </c>
      <c r="B233" s="3">
        <v>4.2200021846494717</v>
      </c>
      <c r="C233" s="2">
        <v>69.703767010350845</v>
      </c>
      <c r="D233" s="1">
        <v>2.3944543900133528</v>
      </c>
      <c r="E233" s="1">
        <f t="shared" si="21"/>
        <v>4.7889087800267058E-2</v>
      </c>
      <c r="F233" s="10">
        <f t="shared" si="22"/>
        <v>17.425941752587711</v>
      </c>
      <c r="G233" s="3">
        <f t="shared" si="23"/>
        <v>1.1972271950066764</v>
      </c>
      <c r="H233" s="22">
        <f t="shared" si="24"/>
        <v>-3.845664965912583</v>
      </c>
      <c r="I233" s="3">
        <f t="shared" si="27"/>
        <v>1233.5353720425894</v>
      </c>
      <c r="J233" s="12">
        <f t="shared" si="26"/>
        <v>0</v>
      </c>
      <c r="K233">
        <f t="shared" si="25"/>
        <v>1.1972271950066764</v>
      </c>
    </row>
    <row r="234" spans="1:11" x14ac:dyDescent="0.3">
      <c r="A234">
        <v>256</v>
      </c>
      <c r="B234" s="3">
        <v>2.7177912891118061</v>
      </c>
      <c r="C234" s="2">
        <v>43.42854429691252</v>
      </c>
      <c r="D234" s="1">
        <v>0.64014706509639674</v>
      </c>
      <c r="E234" s="1">
        <f t="shared" si="21"/>
        <v>1.2802941301927934E-2</v>
      </c>
      <c r="F234" s="10">
        <f t="shared" si="22"/>
        <v>10.85713607422813</v>
      </c>
      <c r="G234" s="3">
        <f t="shared" si="23"/>
        <v>0.32007353254819837</v>
      </c>
      <c r="H234" s="22">
        <f t="shared" si="24"/>
        <v>-3.877068332617815</v>
      </c>
      <c r="I234" s="3">
        <f t="shared" si="27"/>
        <v>1236.2531633317012</v>
      </c>
      <c r="J234" s="12">
        <f t="shared" si="26"/>
        <v>0</v>
      </c>
      <c r="K234">
        <f t="shared" si="25"/>
        <v>0.32007353254819837</v>
      </c>
    </row>
    <row r="235" spans="1:11" x14ac:dyDescent="0.3">
      <c r="A235">
        <v>142</v>
      </c>
      <c r="B235" s="3">
        <v>2.4528443145587877</v>
      </c>
      <c r="C235" s="2">
        <v>42.912030107568569</v>
      </c>
      <c r="D235" s="1">
        <v>2.3444717612414445</v>
      </c>
      <c r="E235" s="1">
        <f t="shared" si="21"/>
        <v>4.6889435224828892E-2</v>
      </c>
      <c r="F235" s="10">
        <f t="shared" si="22"/>
        <v>10.728007526892142</v>
      </c>
      <c r="G235" s="3">
        <f t="shared" si="23"/>
        <v>1.1722358806207223</v>
      </c>
      <c r="H235" s="22">
        <f t="shared" si="24"/>
        <v>-3.8957921583336574</v>
      </c>
      <c r="I235" s="3">
        <f t="shared" si="27"/>
        <v>1238.7060076462601</v>
      </c>
      <c r="J235" s="12">
        <f t="shared" si="26"/>
        <v>0</v>
      </c>
      <c r="K235">
        <f t="shared" si="25"/>
        <v>1.1722358806207223</v>
      </c>
    </row>
    <row r="236" spans="1:11" x14ac:dyDescent="0.3">
      <c r="A236">
        <v>581</v>
      </c>
      <c r="B236" s="3">
        <v>1.4930828690322018</v>
      </c>
      <c r="C236" s="2">
        <v>26.990231455715875</v>
      </c>
      <c r="D236" s="1">
        <v>1.8120691029191798</v>
      </c>
      <c r="E236" s="1">
        <f t="shared" si="21"/>
        <v>3.6241382058383592E-2</v>
      </c>
      <c r="F236" s="10">
        <f t="shared" si="22"/>
        <v>6.7475578639289688</v>
      </c>
      <c r="G236" s="3">
        <f t="shared" si="23"/>
        <v>0.90603455145958978</v>
      </c>
      <c r="H236" s="22">
        <f t="shared" si="24"/>
        <v>-3.9123905535503085</v>
      </c>
      <c r="I236" s="3">
        <f t="shared" si="27"/>
        <v>1240.1990905152923</v>
      </c>
      <c r="J236" s="12">
        <f t="shared" si="26"/>
        <v>0</v>
      </c>
      <c r="K236">
        <f t="shared" si="25"/>
        <v>0.90603455145958978</v>
      </c>
    </row>
    <row r="237" spans="1:11" x14ac:dyDescent="0.3">
      <c r="A237">
        <v>337</v>
      </c>
      <c r="B237" s="3">
        <v>3.0287516653143696</v>
      </c>
      <c r="C237" s="2">
        <v>50.921399039823434</v>
      </c>
      <c r="D237" s="1">
        <v>1.7223610485181227</v>
      </c>
      <c r="E237" s="1">
        <f t="shared" si="21"/>
        <v>3.4447220970362451E-2</v>
      </c>
      <c r="F237" s="10">
        <f t="shared" si="22"/>
        <v>12.730349759955859</v>
      </c>
      <c r="G237" s="3">
        <f t="shared" si="23"/>
        <v>0.86118052425906122</v>
      </c>
      <c r="H237" s="22">
        <f t="shared" si="24"/>
        <v>-3.9188320956201061</v>
      </c>
      <c r="I237" s="3">
        <f t="shared" si="27"/>
        <v>1243.2278421806066</v>
      </c>
      <c r="J237" s="12">
        <f t="shared" si="26"/>
        <v>0</v>
      </c>
      <c r="K237">
        <f t="shared" si="25"/>
        <v>0.86118052425906122</v>
      </c>
    </row>
    <row r="238" spans="1:11" x14ac:dyDescent="0.3">
      <c r="A238">
        <v>658</v>
      </c>
      <c r="B238" s="3">
        <v>2.334506453224753</v>
      </c>
      <c r="C238" s="2">
        <v>39.237940108571877</v>
      </c>
      <c r="D238" s="1">
        <v>1.3135538257736477</v>
      </c>
      <c r="E238" s="1">
        <f t="shared" si="21"/>
        <v>2.6271076515472953E-2</v>
      </c>
      <c r="F238" s="10">
        <f t="shared" si="22"/>
        <v>9.8094850271429692</v>
      </c>
      <c r="G238" s="3">
        <f t="shared" si="23"/>
        <v>0.65677691288682383</v>
      </c>
      <c r="H238" s="22">
        <f t="shared" si="24"/>
        <v>-3.920618039677346</v>
      </c>
      <c r="I238" s="3">
        <f t="shared" si="27"/>
        <v>1245.5623486338313</v>
      </c>
      <c r="J238" s="12">
        <f t="shared" si="26"/>
        <v>0</v>
      </c>
      <c r="K238">
        <f t="shared" si="25"/>
        <v>0.65677691288682383</v>
      </c>
    </row>
    <row r="239" spans="1:11" x14ac:dyDescent="0.3">
      <c r="A239">
        <v>516</v>
      </c>
      <c r="B239" s="3">
        <v>2.9214487533555857</v>
      </c>
      <c r="C239" s="2">
        <v>50.293624079647927</v>
      </c>
      <c r="D239" s="1">
        <v>2.0706819089538282</v>
      </c>
      <c r="E239" s="1">
        <f t="shared" si="21"/>
        <v>4.1413638179076562E-2</v>
      </c>
      <c r="F239" s="10">
        <f t="shared" si="22"/>
        <v>12.573406019911982</v>
      </c>
      <c r="G239" s="3">
        <f t="shared" si="23"/>
        <v>1.0353409544769141</v>
      </c>
      <c r="H239" s="22">
        <f t="shared" si="24"/>
        <v>-3.9494326409739027</v>
      </c>
      <c r="I239" s="3">
        <f t="shared" si="27"/>
        <v>1248.483797387187</v>
      </c>
      <c r="J239" s="12">
        <f t="shared" si="26"/>
        <v>0</v>
      </c>
      <c r="K239">
        <f t="shared" si="25"/>
        <v>1.0353409544769141</v>
      </c>
    </row>
    <row r="240" spans="1:11" x14ac:dyDescent="0.3">
      <c r="A240">
        <v>351</v>
      </c>
      <c r="B240" s="3">
        <v>4.1220954974993038</v>
      </c>
      <c r="C240" s="2">
        <v>69.265305667851678</v>
      </c>
      <c r="D240" s="1">
        <v>2.0491454522982719</v>
      </c>
      <c r="E240" s="1">
        <f t="shared" si="21"/>
        <v>4.0982909045965438E-2</v>
      </c>
      <c r="F240" s="10">
        <f t="shared" si="22"/>
        <v>17.316326416962919</v>
      </c>
      <c r="G240" s="3">
        <f t="shared" si="23"/>
        <v>1.024572726149136</v>
      </c>
      <c r="H240" s="22">
        <f t="shared" si="24"/>
        <v>-3.9522989461785354</v>
      </c>
      <c r="I240" s="3">
        <f t="shared" si="27"/>
        <v>1252.6058928846862</v>
      </c>
      <c r="J240" s="12">
        <f t="shared" si="26"/>
        <v>0</v>
      </c>
      <c r="K240">
        <f t="shared" si="25"/>
        <v>1.024572726149136</v>
      </c>
    </row>
    <row r="241" spans="1:11" x14ac:dyDescent="0.3">
      <c r="A241">
        <v>532</v>
      </c>
      <c r="B241" s="3">
        <v>5.7312977182662452</v>
      </c>
      <c r="C241" s="2">
        <v>96.913462579320978</v>
      </c>
      <c r="D241" s="1">
        <v>3.0287408735314862</v>
      </c>
      <c r="E241" s="1">
        <f t="shared" si="21"/>
        <v>6.0574817470629726E-2</v>
      </c>
      <c r="F241" s="10">
        <f t="shared" si="22"/>
        <v>24.228365644830244</v>
      </c>
      <c r="G241" s="3">
        <f t="shared" si="23"/>
        <v>1.5143704367657431</v>
      </c>
      <c r="H241" s="22">
        <f t="shared" si="24"/>
        <v>-3.9631504634059795</v>
      </c>
      <c r="I241" s="3">
        <f t="shared" si="27"/>
        <v>1258.3371906029524</v>
      </c>
      <c r="J241" s="12">
        <f t="shared" si="26"/>
        <v>0</v>
      </c>
      <c r="K241">
        <f t="shared" si="25"/>
        <v>1.5143704367657431</v>
      </c>
    </row>
    <row r="242" spans="1:11" x14ac:dyDescent="0.3">
      <c r="A242">
        <v>693</v>
      </c>
      <c r="B242" s="3">
        <v>2.9255186929531085</v>
      </c>
      <c r="C242" s="2">
        <v>53.087297456661162</v>
      </c>
      <c r="D242" s="1">
        <v>2.5814909006531979</v>
      </c>
      <c r="E242" s="1">
        <f t="shared" si="21"/>
        <v>5.1629818013063961E-2</v>
      </c>
      <c r="F242" s="10">
        <f t="shared" si="22"/>
        <v>13.27182436416529</v>
      </c>
      <c r="G242" s="3">
        <f t="shared" si="23"/>
        <v>1.2907454503265989</v>
      </c>
      <c r="H242" s="22">
        <f t="shared" si="24"/>
        <v>-4.0953691195678612</v>
      </c>
      <c r="I242" s="3">
        <f t="shared" si="27"/>
        <v>1261.2627092959056</v>
      </c>
      <c r="J242" s="12">
        <f t="shared" si="26"/>
        <v>0</v>
      </c>
      <c r="K242">
        <f t="shared" si="25"/>
        <v>1.2907454503265989</v>
      </c>
    </row>
    <row r="243" spans="1:11" x14ac:dyDescent="0.3">
      <c r="A243">
        <v>719</v>
      </c>
      <c r="B243" s="3">
        <v>3.127348736843365</v>
      </c>
      <c r="C243" s="2">
        <v>56.383015412837544</v>
      </c>
      <c r="D243" s="1">
        <v>2.5667504424405436</v>
      </c>
      <c r="E243" s="1">
        <f t="shared" si="21"/>
        <v>5.133500884881087E-2</v>
      </c>
      <c r="F243" s="10">
        <f t="shared" si="22"/>
        <v>14.095753853209386</v>
      </c>
      <c r="G243" s="3">
        <f t="shared" si="23"/>
        <v>1.2833752212202718</v>
      </c>
      <c r="H243" s="22">
        <f t="shared" si="24"/>
        <v>-4.0968819630015023</v>
      </c>
      <c r="I243" s="3">
        <f t="shared" si="27"/>
        <v>1264.3900580327488</v>
      </c>
      <c r="J243" s="12">
        <f t="shared" si="26"/>
        <v>0</v>
      </c>
      <c r="K243">
        <f t="shared" si="25"/>
        <v>1.2833752212202718</v>
      </c>
    </row>
    <row r="244" spans="1:11" x14ac:dyDescent="0.3">
      <c r="A244">
        <v>558</v>
      </c>
      <c r="B244" s="3">
        <v>4.2138978092078769</v>
      </c>
      <c r="C244" s="2">
        <v>75.38453761039554</v>
      </c>
      <c r="D244" s="1">
        <v>3.0708065986658539</v>
      </c>
      <c r="E244" s="1">
        <f t="shared" si="21"/>
        <v>6.1416131973317079E-2</v>
      </c>
      <c r="F244" s="10">
        <f t="shared" si="22"/>
        <v>18.846134402598885</v>
      </c>
      <c r="G244" s="3">
        <f t="shared" si="23"/>
        <v>1.535403299332927</v>
      </c>
      <c r="H244" s="22">
        <f t="shared" si="24"/>
        <v>-4.1080092320796</v>
      </c>
      <c r="I244" s="3">
        <f t="shared" si="27"/>
        <v>1268.6039558419566</v>
      </c>
      <c r="J244" s="12">
        <f t="shared" si="26"/>
        <v>0</v>
      </c>
      <c r="K244">
        <f t="shared" si="25"/>
        <v>1.535403299332927</v>
      </c>
    </row>
    <row r="245" spans="1:11" x14ac:dyDescent="0.3">
      <c r="A245">
        <v>505</v>
      </c>
      <c r="B245" s="3">
        <v>4.6162238654125858</v>
      </c>
      <c r="C245" s="2">
        <v>82.06347396339882</v>
      </c>
      <c r="D245" s="1">
        <v>3.0154314720782232</v>
      </c>
      <c r="E245" s="1">
        <f t="shared" si="21"/>
        <v>6.0308629441564461E-2</v>
      </c>
      <c r="F245" s="10">
        <f t="shared" si="22"/>
        <v>20.515868490849705</v>
      </c>
      <c r="G245" s="3">
        <f t="shared" si="23"/>
        <v>1.5077157360391116</v>
      </c>
      <c r="H245" s="22">
        <f t="shared" si="24"/>
        <v>-4.1176843474231504</v>
      </c>
      <c r="I245" s="3">
        <f t="shared" si="27"/>
        <v>1273.2201797073692</v>
      </c>
      <c r="J245" s="12">
        <f t="shared" si="26"/>
        <v>0</v>
      </c>
      <c r="K245">
        <f t="shared" si="25"/>
        <v>1.5077157360391116</v>
      </c>
    </row>
    <row r="246" spans="1:11" x14ac:dyDescent="0.3">
      <c r="A246">
        <v>437</v>
      </c>
      <c r="B246" s="3">
        <v>2.7344924567040052</v>
      </c>
      <c r="C246" s="2">
        <v>51.064056911758861</v>
      </c>
      <c r="D246" s="1">
        <v>2.9999414682567993</v>
      </c>
      <c r="E246" s="1">
        <f t="shared" si="21"/>
        <v>5.9998829365135987E-2</v>
      </c>
      <c r="F246" s="10">
        <f t="shared" si="22"/>
        <v>12.766014227939715</v>
      </c>
      <c r="G246" s="3">
        <f t="shared" si="23"/>
        <v>1.4999707341283997</v>
      </c>
      <c r="H246" s="22">
        <f t="shared" si="24"/>
        <v>-4.11997607314329</v>
      </c>
      <c r="I246" s="3">
        <f t="shared" si="27"/>
        <v>1275.9546721640731</v>
      </c>
      <c r="J246" s="12">
        <f t="shared" si="26"/>
        <v>0</v>
      </c>
      <c r="K246">
        <f t="shared" si="25"/>
        <v>1.4999707341283997</v>
      </c>
    </row>
    <row r="247" spans="1:11" x14ac:dyDescent="0.3">
      <c r="A247">
        <v>541</v>
      </c>
      <c r="B247" s="3">
        <v>3.6651210525922293</v>
      </c>
      <c r="C247" s="2">
        <v>64.855652215284636</v>
      </c>
      <c r="D247" s="1">
        <v>2.1701470340175435</v>
      </c>
      <c r="E247" s="1">
        <f t="shared" si="21"/>
        <v>4.3402940680350867E-2</v>
      </c>
      <c r="F247" s="10">
        <f t="shared" si="22"/>
        <v>16.213913053821159</v>
      </c>
      <c r="G247" s="3">
        <f t="shared" si="23"/>
        <v>1.0850735170087717</v>
      </c>
      <c r="H247" s="22">
        <f t="shared" si="24"/>
        <v>-4.1277871371021204</v>
      </c>
      <c r="I247" s="3">
        <f t="shared" si="27"/>
        <v>1279.6197932166654</v>
      </c>
      <c r="J247" s="12">
        <f t="shared" si="26"/>
        <v>0</v>
      </c>
      <c r="K247">
        <f t="shared" si="25"/>
        <v>1.0850735170087717</v>
      </c>
    </row>
    <row r="248" spans="1:11" x14ac:dyDescent="0.3">
      <c r="A248">
        <v>279</v>
      </c>
      <c r="B248" s="3">
        <v>3.0704284029135276</v>
      </c>
      <c r="C248" s="2">
        <v>53.771960856377831</v>
      </c>
      <c r="D248" s="1">
        <v>1.3058211502928894</v>
      </c>
      <c r="E248" s="1">
        <f t="shared" si="21"/>
        <v>2.6116423005857786E-2</v>
      </c>
      <c r="F248" s="10">
        <f t="shared" si="22"/>
        <v>13.442990214094458</v>
      </c>
      <c r="G248" s="3">
        <f t="shared" si="23"/>
        <v>0.65291057514644468</v>
      </c>
      <c r="H248" s="22">
        <f t="shared" si="24"/>
        <v>-4.1655684356005551</v>
      </c>
      <c r="I248" s="3">
        <f t="shared" si="27"/>
        <v>1282.6902216195788</v>
      </c>
      <c r="J248" s="12">
        <f t="shared" si="26"/>
        <v>0</v>
      </c>
      <c r="K248">
        <f t="shared" si="25"/>
        <v>0.65291057514644468</v>
      </c>
    </row>
    <row r="249" spans="1:11" x14ac:dyDescent="0.3">
      <c r="A249">
        <v>523</v>
      </c>
      <c r="B249" s="3">
        <v>1.1308325558149801</v>
      </c>
      <c r="C249" s="2">
        <v>19.756648686936952</v>
      </c>
      <c r="D249" s="1">
        <v>0.45532453933257716</v>
      </c>
      <c r="E249" s="1">
        <f t="shared" si="21"/>
        <v>9.1064907866515426E-3</v>
      </c>
      <c r="F249" s="10">
        <f t="shared" si="22"/>
        <v>4.939162171734238</v>
      </c>
      <c r="G249" s="3">
        <f t="shared" si="23"/>
        <v>0.22766226966628855</v>
      </c>
      <c r="H249" s="22">
        <f t="shared" si="24"/>
        <v>-4.1663992408428818</v>
      </c>
      <c r="I249" s="3">
        <f t="shared" si="27"/>
        <v>1283.8210541753938</v>
      </c>
      <c r="J249" s="12">
        <f t="shared" si="26"/>
        <v>0</v>
      </c>
      <c r="K249">
        <f t="shared" si="25"/>
        <v>0.22766226966628855</v>
      </c>
    </row>
    <row r="250" spans="1:11" x14ac:dyDescent="0.3">
      <c r="A250">
        <v>656</v>
      </c>
      <c r="B250" s="3">
        <v>2.7117146779412584</v>
      </c>
      <c r="C250" s="2">
        <v>49.90426920645212</v>
      </c>
      <c r="D250" s="1">
        <v>2.3179198680168245</v>
      </c>
      <c r="E250" s="1">
        <f t="shared" si="21"/>
        <v>4.6358397360336492E-2</v>
      </c>
      <c r="F250" s="10">
        <f t="shared" si="22"/>
        <v>12.47606730161303</v>
      </c>
      <c r="G250" s="3">
        <f t="shared" si="23"/>
        <v>1.1589599340084122</v>
      </c>
      <c r="H250" s="22">
        <f t="shared" si="24"/>
        <v>-4.1734137664500155</v>
      </c>
      <c r="I250" s="3">
        <f t="shared" si="27"/>
        <v>1286.532768853335</v>
      </c>
      <c r="J250" s="12">
        <f t="shared" si="26"/>
        <v>0</v>
      </c>
      <c r="K250">
        <f t="shared" si="25"/>
        <v>1.1589599340084122</v>
      </c>
    </row>
    <row r="251" spans="1:11" x14ac:dyDescent="0.3">
      <c r="A251">
        <v>932</v>
      </c>
      <c r="B251" s="3">
        <v>3.0412679026231624</v>
      </c>
      <c r="C251" s="2">
        <v>54.386403670793612</v>
      </c>
      <c r="D251" s="1">
        <v>1.4432946042609451</v>
      </c>
      <c r="E251" s="1">
        <f t="shared" si="21"/>
        <v>2.8865892085218902E-2</v>
      </c>
      <c r="F251" s="10">
        <f t="shared" si="22"/>
        <v>13.596600917698403</v>
      </c>
      <c r="G251" s="3">
        <f t="shared" si="23"/>
        <v>0.72164730213047257</v>
      </c>
      <c r="H251" s="22">
        <f t="shared" si="24"/>
        <v>-4.2334164656993849</v>
      </c>
      <c r="I251" s="3">
        <f t="shared" si="27"/>
        <v>1289.5740367559581</v>
      </c>
      <c r="J251" s="12">
        <f t="shared" si="26"/>
        <v>0</v>
      </c>
      <c r="K251">
        <f t="shared" si="25"/>
        <v>0.72164730213047257</v>
      </c>
    </row>
    <row r="252" spans="1:11" x14ac:dyDescent="0.3">
      <c r="A252">
        <v>227</v>
      </c>
      <c r="B252" s="3">
        <v>2.3515062762857806</v>
      </c>
      <c r="C252" s="2">
        <v>44.381497892951174</v>
      </c>
      <c r="D252" s="1">
        <v>2.2611487206866423</v>
      </c>
      <c r="E252" s="1">
        <f t="shared" si="21"/>
        <v>4.5222974413732846E-2</v>
      </c>
      <c r="F252" s="10">
        <f t="shared" si="22"/>
        <v>11.095374473237793</v>
      </c>
      <c r="G252" s="3">
        <f t="shared" si="23"/>
        <v>1.1305743603433211</v>
      </c>
      <c r="H252" s="22">
        <f t="shared" si="24"/>
        <v>-4.2376242893274094</v>
      </c>
      <c r="I252" s="3">
        <f t="shared" si="27"/>
        <v>1291.9255430322439</v>
      </c>
      <c r="J252" s="12">
        <f t="shared" si="26"/>
        <v>0</v>
      </c>
      <c r="K252">
        <f t="shared" si="25"/>
        <v>1.1305743603433211</v>
      </c>
    </row>
    <row r="253" spans="1:11" x14ac:dyDescent="0.3">
      <c r="A253">
        <v>424</v>
      </c>
      <c r="B253" s="3">
        <v>3.3462930271354443</v>
      </c>
      <c r="C253" s="2">
        <v>59.526186635962851</v>
      </c>
      <c r="D253" s="1">
        <v>0.85829262055055877</v>
      </c>
      <c r="E253" s="1">
        <f t="shared" si="21"/>
        <v>1.7165852411011175E-2</v>
      </c>
      <c r="F253" s="10">
        <f t="shared" si="22"/>
        <v>14.881546658990713</v>
      </c>
      <c r="G253" s="3">
        <f t="shared" si="23"/>
        <v>0.42914631027527939</v>
      </c>
      <c r="H253" s="22">
        <f t="shared" si="24"/>
        <v>-4.3189285073122381</v>
      </c>
      <c r="I253" s="3">
        <f t="shared" si="27"/>
        <v>1295.2718360593794</v>
      </c>
      <c r="J253" s="12">
        <f t="shared" si="26"/>
        <v>0</v>
      </c>
      <c r="K253">
        <f t="shared" si="25"/>
        <v>0.42914631027527939</v>
      </c>
    </row>
    <row r="254" spans="1:11" x14ac:dyDescent="0.3">
      <c r="A254">
        <v>257</v>
      </c>
      <c r="B254" s="3">
        <v>3.6199716072181056</v>
      </c>
      <c r="C254" s="2">
        <v>67.560878456891089</v>
      </c>
      <c r="D254" s="1">
        <v>2.3726925345005347</v>
      </c>
      <c r="E254" s="1">
        <f t="shared" si="21"/>
        <v>4.7453850690010693E-2</v>
      </c>
      <c r="F254" s="10">
        <f t="shared" si="22"/>
        <v>16.890219614222772</v>
      </c>
      <c r="G254" s="3">
        <f t="shared" si="23"/>
        <v>1.1863462672502674</v>
      </c>
      <c r="H254" s="22">
        <f t="shared" si="24"/>
        <v>-4.3381205851613567</v>
      </c>
      <c r="I254" s="3">
        <f t="shared" si="27"/>
        <v>1298.8918076665975</v>
      </c>
      <c r="J254" s="12">
        <f t="shared" si="26"/>
        <v>0</v>
      </c>
      <c r="K254">
        <f t="shared" si="25"/>
        <v>1.1863462672502674</v>
      </c>
    </row>
    <row r="255" spans="1:11" x14ac:dyDescent="0.3">
      <c r="A255">
        <v>842</v>
      </c>
      <c r="B255" s="3">
        <v>2.538891127769892</v>
      </c>
      <c r="C255" s="2">
        <v>48.645523075824016</v>
      </c>
      <c r="D255" s="1">
        <v>2.0429833194461549</v>
      </c>
      <c r="E255" s="1">
        <f t="shared" si="21"/>
        <v>4.0859666388923098E-2</v>
      </c>
      <c r="F255" s="10">
        <f t="shared" si="22"/>
        <v>12.161380768956004</v>
      </c>
      <c r="G255" s="3">
        <f t="shared" si="23"/>
        <v>1.0214916597230774</v>
      </c>
      <c r="H255" s="22">
        <f t="shared" si="24"/>
        <v>-4.3876986245636962</v>
      </c>
      <c r="I255" s="3">
        <f t="shared" si="27"/>
        <v>1301.4306987943673</v>
      </c>
      <c r="J255" s="12">
        <f t="shared" si="26"/>
        <v>0</v>
      </c>
      <c r="K255">
        <f t="shared" si="25"/>
        <v>1.0214916597230774</v>
      </c>
    </row>
    <row r="256" spans="1:11" x14ac:dyDescent="0.3">
      <c r="A256">
        <v>1101</v>
      </c>
      <c r="B256" s="3">
        <v>3.7797107747075431</v>
      </c>
      <c r="C256" s="2">
        <v>72.776842359512912</v>
      </c>
      <c r="D256" s="1">
        <v>2.7091732189573881</v>
      </c>
      <c r="E256" s="1">
        <f t="shared" si="21"/>
        <v>5.4183464379147762E-2</v>
      </c>
      <c r="F256" s="10">
        <f t="shared" si="22"/>
        <v>18.194210589878228</v>
      </c>
      <c r="G256" s="3">
        <f t="shared" si="23"/>
        <v>1.354586609478694</v>
      </c>
      <c r="H256" s="22">
        <f t="shared" si="24"/>
        <v>-4.4552678721039198</v>
      </c>
      <c r="I256" s="3">
        <f t="shared" si="27"/>
        <v>1305.210409569075</v>
      </c>
      <c r="J256" s="12">
        <f t="shared" si="26"/>
        <v>0</v>
      </c>
      <c r="K256">
        <f t="shared" si="25"/>
        <v>1.354586609478694</v>
      </c>
    </row>
    <row r="257" spans="1:11" x14ac:dyDescent="0.3">
      <c r="A257">
        <v>1094</v>
      </c>
      <c r="B257" s="3">
        <v>3.441588237306096</v>
      </c>
      <c r="C257" s="2">
        <v>66.340574915676257</v>
      </c>
      <c r="D257" s="1">
        <v>2.4948461086784777</v>
      </c>
      <c r="E257" s="1">
        <f t="shared" si="21"/>
        <v>4.9896922173569551E-2</v>
      </c>
      <c r="F257" s="10">
        <f t="shared" si="22"/>
        <v>16.585143728919064</v>
      </c>
      <c r="G257" s="3">
        <f t="shared" si="23"/>
        <v>1.2474230543392388</v>
      </c>
      <c r="H257" s="22">
        <f t="shared" si="24"/>
        <v>-4.456582140862217</v>
      </c>
      <c r="I257" s="3">
        <f t="shared" si="27"/>
        <v>1308.6519978063811</v>
      </c>
      <c r="J257" s="12">
        <f t="shared" si="26"/>
        <v>0</v>
      </c>
      <c r="K257">
        <f t="shared" si="25"/>
        <v>1.2474230543392388</v>
      </c>
    </row>
    <row r="258" spans="1:11" x14ac:dyDescent="0.3">
      <c r="A258">
        <v>388</v>
      </c>
      <c r="B258" s="3">
        <v>2.2519792294119734</v>
      </c>
      <c r="C258" s="2">
        <v>45.332883004994272</v>
      </c>
      <c r="D258" s="1">
        <v>2.4021873487472218</v>
      </c>
      <c r="E258" s="1">
        <f t="shared" ref="E258:E321" si="28">D258/50</f>
        <v>4.8043746974944436E-2</v>
      </c>
      <c r="F258" s="10">
        <f t="shared" ref="F258:F321" si="29">0.25*C258</f>
        <v>11.333220751248568</v>
      </c>
      <c r="G258" s="3">
        <f t="shared" ref="G258:G321" si="30">25*E258</f>
        <v>1.2010936743736109</v>
      </c>
      <c r="H258" s="22">
        <f t="shared" ref="H258:H321" si="31">(G258-F258)/B258</f>
        <v>-4.4992098259807713</v>
      </c>
      <c r="I258" s="3">
        <f t="shared" si="27"/>
        <v>1310.9039770357931</v>
      </c>
      <c r="J258" s="12">
        <f t="shared" si="26"/>
        <v>0</v>
      </c>
      <c r="K258">
        <f t="shared" ref="K258:K321" si="32">IF(J258 = 1, F258, G258)</f>
        <v>1.2010936743736109</v>
      </c>
    </row>
    <row r="259" spans="1:11" x14ac:dyDescent="0.3">
      <c r="A259">
        <v>219</v>
      </c>
      <c r="B259" s="3">
        <v>3.2301307779373345</v>
      </c>
      <c r="C259" s="2">
        <v>64.124598766676854</v>
      </c>
      <c r="D259" s="1">
        <v>2.9072393647281762</v>
      </c>
      <c r="E259" s="1">
        <f t="shared" si="28"/>
        <v>5.8144787294563523E-2</v>
      </c>
      <c r="F259" s="10">
        <f t="shared" si="29"/>
        <v>16.031149691669214</v>
      </c>
      <c r="G259" s="3">
        <f t="shared" si="30"/>
        <v>1.4536196823640881</v>
      </c>
      <c r="H259" s="22">
        <f t="shared" si="31"/>
        <v>-4.5129844614569761</v>
      </c>
      <c r="I259" s="3">
        <f t="shared" si="27"/>
        <v>1314.1341078137305</v>
      </c>
      <c r="J259" s="12">
        <f t="shared" ref="J259:J322" si="33">IF(I259 &lt;= 500, 1, 0)</f>
        <v>0</v>
      </c>
      <c r="K259">
        <f t="shared" si="32"/>
        <v>1.4536196823640881</v>
      </c>
    </row>
    <row r="260" spans="1:11" x14ac:dyDescent="0.3">
      <c r="A260">
        <v>948</v>
      </c>
      <c r="B260" s="3">
        <v>2.5989597031659271</v>
      </c>
      <c r="C260" s="2">
        <v>52.648277343692165</v>
      </c>
      <c r="D260" s="1">
        <v>2.6020930635261972</v>
      </c>
      <c r="E260" s="1">
        <f t="shared" si="28"/>
        <v>5.2041861270523945E-2</v>
      </c>
      <c r="F260" s="10">
        <f t="shared" si="29"/>
        <v>13.162069335923041</v>
      </c>
      <c r="G260" s="3">
        <f t="shared" si="30"/>
        <v>1.3010465317630986</v>
      </c>
      <c r="H260" s="22">
        <f t="shared" si="31"/>
        <v>-4.5637578719329195</v>
      </c>
      <c r="I260" s="3">
        <f t="shared" ref="I260:I323" si="34">B260+I259</f>
        <v>1316.7330675168964</v>
      </c>
      <c r="J260" s="12">
        <f t="shared" si="33"/>
        <v>0</v>
      </c>
      <c r="K260">
        <f t="shared" si="32"/>
        <v>1.3010465317630986</v>
      </c>
    </row>
    <row r="261" spans="1:11" x14ac:dyDescent="0.3">
      <c r="A261">
        <v>1054</v>
      </c>
      <c r="B261" s="3">
        <v>2.7129259438412436</v>
      </c>
      <c r="C261" s="2">
        <v>56.509569875175025</v>
      </c>
      <c r="D261" s="1">
        <v>3.2262867429078299</v>
      </c>
      <c r="E261" s="1">
        <f t="shared" si="28"/>
        <v>6.4525734858156603E-2</v>
      </c>
      <c r="F261" s="10">
        <f t="shared" si="29"/>
        <v>14.127392468793756</v>
      </c>
      <c r="G261" s="3">
        <f t="shared" si="30"/>
        <v>1.6131433714539152</v>
      </c>
      <c r="H261" s="22">
        <f t="shared" si="31"/>
        <v>-4.6128237026702106</v>
      </c>
      <c r="I261" s="3">
        <f t="shared" si="34"/>
        <v>1319.4459934607378</v>
      </c>
      <c r="J261" s="12">
        <f t="shared" si="33"/>
        <v>0</v>
      </c>
      <c r="K261">
        <f t="shared" si="32"/>
        <v>1.6131433714539152</v>
      </c>
    </row>
    <row r="262" spans="1:11" x14ac:dyDescent="0.3">
      <c r="A262">
        <v>519</v>
      </c>
      <c r="B262" s="3">
        <v>1.7129214016216177</v>
      </c>
      <c r="C262" s="2">
        <v>34.069887001805455</v>
      </c>
      <c r="D262" s="1">
        <v>1.2210861738871173</v>
      </c>
      <c r="E262" s="1">
        <f t="shared" si="28"/>
        <v>2.4421723477742345E-2</v>
      </c>
      <c r="F262" s="10">
        <f t="shared" si="29"/>
        <v>8.5174717504513637</v>
      </c>
      <c r="G262" s="3">
        <f t="shared" si="30"/>
        <v>0.61054308694355863</v>
      </c>
      <c r="H262" s="22">
        <f t="shared" si="31"/>
        <v>-4.6160487317295109</v>
      </c>
      <c r="I262" s="3">
        <f t="shared" si="34"/>
        <v>1321.1589148623593</v>
      </c>
      <c r="J262" s="12">
        <f t="shared" si="33"/>
        <v>0</v>
      </c>
      <c r="K262">
        <f t="shared" si="32"/>
        <v>0.61054308694355863</v>
      </c>
    </row>
    <row r="263" spans="1:11" x14ac:dyDescent="0.3">
      <c r="A263">
        <v>263</v>
      </c>
      <c r="B263" s="3">
        <v>2.752843212110303</v>
      </c>
      <c r="C263" s="2">
        <v>53.87698911205505</v>
      </c>
      <c r="D263" s="1">
        <v>1.314036532834796</v>
      </c>
      <c r="E263" s="1">
        <f t="shared" si="28"/>
        <v>2.6280730656695922E-2</v>
      </c>
      <c r="F263" s="10">
        <f t="shared" si="29"/>
        <v>13.469247278013762</v>
      </c>
      <c r="G263" s="3">
        <f t="shared" si="30"/>
        <v>0.65701826641739802</v>
      </c>
      <c r="H263" s="22">
        <f t="shared" si="31"/>
        <v>-4.6541804325189426</v>
      </c>
      <c r="I263" s="3">
        <f t="shared" si="34"/>
        <v>1323.9117580744696</v>
      </c>
      <c r="J263" s="12">
        <f t="shared" si="33"/>
        <v>0</v>
      </c>
      <c r="K263">
        <f t="shared" si="32"/>
        <v>0.65701826641739802</v>
      </c>
    </row>
    <row r="264" spans="1:11" x14ac:dyDescent="0.3">
      <c r="A264">
        <v>64</v>
      </c>
      <c r="B264" s="3">
        <v>3.0412679026231624</v>
      </c>
      <c r="C264" s="2">
        <v>61.328839361780872</v>
      </c>
      <c r="D264" s="1">
        <v>1.9703106371475858</v>
      </c>
      <c r="E264" s="1">
        <f t="shared" si="28"/>
        <v>3.9406212742951717E-2</v>
      </c>
      <c r="F264" s="10">
        <f t="shared" si="29"/>
        <v>15.332209840445218</v>
      </c>
      <c r="G264" s="3">
        <f t="shared" si="30"/>
        <v>0.9851553185737929</v>
      </c>
      <c r="H264" s="22">
        <f t="shared" si="31"/>
        <v>-4.7174583039845865</v>
      </c>
      <c r="I264" s="3">
        <f t="shared" si="34"/>
        <v>1326.9530259770927</v>
      </c>
      <c r="J264" s="12">
        <f t="shared" si="33"/>
        <v>0</v>
      </c>
      <c r="K264">
        <f t="shared" si="32"/>
        <v>0.9851553185737929</v>
      </c>
    </row>
    <row r="265" spans="1:11" x14ac:dyDescent="0.3">
      <c r="A265">
        <v>1064</v>
      </c>
      <c r="B265" s="3">
        <v>1.4751298259820844</v>
      </c>
      <c r="C265" s="2">
        <v>30.095372029766708</v>
      </c>
      <c r="D265" s="1">
        <v>1.004126246666198</v>
      </c>
      <c r="E265" s="1">
        <f t="shared" si="28"/>
        <v>2.0082524933323961E-2</v>
      </c>
      <c r="F265" s="10">
        <f t="shared" si="29"/>
        <v>7.5238430074416769</v>
      </c>
      <c r="G265" s="3">
        <f t="shared" si="30"/>
        <v>0.50206312333309899</v>
      </c>
      <c r="H265" s="22">
        <f t="shared" si="31"/>
        <v>-4.7601097614806536</v>
      </c>
      <c r="I265" s="3">
        <f t="shared" si="34"/>
        <v>1328.4281558030748</v>
      </c>
      <c r="J265" s="12">
        <f t="shared" si="33"/>
        <v>0</v>
      </c>
      <c r="K265">
        <f t="shared" si="32"/>
        <v>0.50206312333309899</v>
      </c>
    </row>
    <row r="266" spans="1:11" x14ac:dyDescent="0.3">
      <c r="A266">
        <v>357</v>
      </c>
      <c r="B266" s="3">
        <v>1.9687143421605768</v>
      </c>
      <c r="C266" s="2">
        <v>40.659911436870388</v>
      </c>
      <c r="D266" s="1">
        <v>1.5635688230731506</v>
      </c>
      <c r="E266" s="1">
        <f t="shared" si="28"/>
        <v>3.127137646146301E-2</v>
      </c>
      <c r="F266" s="10">
        <f t="shared" si="29"/>
        <v>10.164977859217597</v>
      </c>
      <c r="G266" s="3">
        <f t="shared" si="30"/>
        <v>0.7817844115365753</v>
      </c>
      <c r="H266" s="22">
        <f t="shared" si="31"/>
        <v>-4.7661528372792681</v>
      </c>
      <c r="I266" s="3">
        <f t="shared" si="34"/>
        <v>1330.3968701452354</v>
      </c>
      <c r="J266" s="12">
        <f t="shared" si="33"/>
        <v>0</v>
      </c>
      <c r="K266">
        <f t="shared" si="32"/>
        <v>0.7817844115365753</v>
      </c>
    </row>
    <row r="267" spans="1:11" x14ac:dyDescent="0.3">
      <c r="A267">
        <v>456</v>
      </c>
      <c r="B267" s="3">
        <v>3.5090733514186034</v>
      </c>
      <c r="C267" s="2">
        <v>72.841066068298133</v>
      </c>
      <c r="D267" s="1">
        <v>2.6869532336308892</v>
      </c>
      <c r="E267" s="1">
        <f t="shared" si="28"/>
        <v>5.3739064672617784E-2</v>
      </c>
      <c r="F267" s="10">
        <f t="shared" si="29"/>
        <v>18.210266517074533</v>
      </c>
      <c r="G267" s="3">
        <f t="shared" si="30"/>
        <v>1.3434766168154446</v>
      </c>
      <c r="H267" s="22">
        <f t="shared" si="31"/>
        <v>-4.8066222079513947</v>
      </c>
      <c r="I267" s="3">
        <f t="shared" si="34"/>
        <v>1333.9059434966541</v>
      </c>
      <c r="J267" s="12">
        <f t="shared" si="33"/>
        <v>0</v>
      </c>
      <c r="K267">
        <f t="shared" si="32"/>
        <v>1.3434766168154446</v>
      </c>
    </row>
    <row r="268" spans="1:11" x14ac:dyDescent="0.3">
      <c r="A268">
        <v>966</v>
      </c>
      <c r="B268" s="3">
        <v>2.7321710400883825</v>
      </c>
      <c r="C268" s="2">
        <v>58.655679851668175</v>
      </c>
      <c r="D268" s="1">
        <v>3.0262736228703639</v>
      </c>
      <c r="E268" s="1">
        <f t="shared" si="28"/>
        <v>6.0525472457407276E-2</v>
      </c>
      <c r="F268" s="10">
        <f t="shared" si="29"/>
        <v>14.663919962917044</v>
      </c>
      <c r="G268" s="3">
        <f t="shared" si="30"/>
        <v>1.513136811435182</v>
      </c>
      <c r="H268" s="22">
        <f t="shared" si="31"/>
        <v>-4.8133088882519042</v>
      </c>
      <c r="I268" s="3">
        <f t="shared" si="34"/>
        <v>1336.6381145367425</v>
      </c>
      <c r="J268" s="12">
        <f t="shared" si="33"/>
        <v>0</v>
      </c>
      <c r="K268">
        <f t="shared" si="32"/>
        <v>1.513136811435182</v>
      </c>
    </row>
    <row r="269" spans="1:11" x14ac:dyDescent="0.3">
      <c r="A269">
        <v>986</v>
      </c>
      <c r="B269" s="3">
        <v>2.4115912824182164</v>
      </c>
      <c r="C269" s="2">
        <v>50.393289252039395</v>
      </c>
      <c r="D269" s="1">
        <v>1.7902181220919644</v>
      </c>
      <c r="E269" s="1">
        <f t="shared" si="28"/>
        <v>3.5804362441839287E-2</v>
      </c>
      <c r="F269" s="10">
        <f t="shared" si="29"/>
        <v>12.598322313009849</v>
      </c>
      <c r="G269" s="3">
        <f t="shared" si="30"/>
        <v>0.8951090610459822</v>
      </c>
      <c r="H269" s="22">
        <f t="shared" si="31"/>
        <v>-4.8529007951249943</v>
      </c>
      <c r="I269" s="3">
        <f t="shared" si="34"/>
        <v>1339.0497058191606</v>
      </c>
      <c r="J269" s="12">
        <f t="shared" si="33"/>
        <v>0</v>
      </c>
      <c r="K269">
        <f t="shared" si="32"/>
        <v>0.8951090610459822</v>
      </c>
    </row>
    <row r="270" spans="1:11" x14ac:dyDescent="0.3">
      <c r="A270">
        <v>301</v>
      </c>
      <c r="B270" s="3">
        <v>2.4905992248793387</v>
      </c>
      <c r="C270" s="2">
        <v>49.629883193599987</v>
      </c>
      <c r="D270" s="1">
        <v>0.58068498677882707</v>
      </c>
      <c r="E270" s="1">
        <f t="shared" si="28"/>
        <v>1.1613699735576542E-2</v>
      </c>
      <c r="F270" s="10">
        <f t="shared" si="29"/>
        <v>12.407470798399997</v>
      </c>
      <c r="G270" s="3">
        <f t="shared" si="30"/>
        <v>0.29034249338941354</v>
      </c>
      <c r="H270" s="22">
        <f t="shared" si="31"/>
        <v>-4.8651457785616303</v>
      </c>
      <c r="I270" s="3">
        <f t="shared" si="34"/>
        <v>1341.54030504404</v>
      </c>
      <c r="J270" s="12">
        <f t="shared" si="33"/>
        <v>0</v>
      </c>
      <c r="K270">
        <f t="shared" si="32"/>
        <v>0.29034249338941354</v>
      </c>
    </row>
    <row r="271" spans="1:11" x14ac:dyDescent="0.3">
      <c r="A271">
        <v>1</v>
      </c>
      <c r="B271" s="3">
        <v>2.8413064697717907</v>
      </c>
      <c r="C271" s="2">
        <v>56.394255202399854</v>
      </c>
      <c r="D271" s="1">
        <v>0.54255899440706989</v>
      </c>
      <c r="E271" s="1">
        <f t="shared" si="28"/>
        <v>1.0851179888141398E-2</v>
      </c>
      <c r="F271" s="10">
        <f t="shared" si="29"/>
        <v>14.098563800599964</v>
      </c>
      <c r="G271" s="3">
        <f t="shared" si="30"/>
        <v>0.27127949720353495</v>
      </c>
      <c r="H271" s="22">
        <f t="shared" si="31"/>
        <v>-4.8665233583574015</v>
      </c>
      <c r="I271" s="3">
        <f t="shared" si="34"/>
        <v>1344.3816115138118</v>
      </c>
      <c r="J271" s="12">
        <f t="shared" si="33"/>
        <v>0</v>
      </c>
      <c r="K271">
        <f t="shared" si="32"/>
        <v>0.27127949720353495</v>
      </c>
    </row>
    <row r="272" spans="1:11" x14ac:dyDescent="0.3">
      <c r="A272">
        <v>413</v>
      </c>
      <c r="B272" s="3">
        <v>2.0456453937408234</v>
      </c>
      <c r="C272" s="2">
        <v>42.783899241779054</v>
      </c>
      <c r="D272" s="1">
        <v>1.3577955705248188</v>
      </c>
      <c r="E272" s="1">
        <f t="shared" si="28"/>
        <v>2.7155911410496378E-2</v>
      </c>
      <c r="F272" s="10">
        <f t="shared" si="29"/>
        <v>10.695974810444763</v>
      </c>
      <c r="G272" s="3">
        <f t="shared" si="30"/>
        <v>0.6788977852624094</v>
      </c>
      <c r="H272" s="22">
        <f t="shared" si="31"/>
        <v>-4.896780769449177</v>
      </c>
      <c r="I272" s="3">
        <f t="shared" si="34"/>
        <v>1346.4272569075526</v>
      </c>
      <c r="J272" s="12">
        <f t="shared" si="33"/>
        <v>0</v>
      </c>
      <c r="K272">
        <f t="shared" si="32"/>
        <v>0.6788977852624094</v>
      </c>
    </row>
    <row r="273" spans="1:11" x14ac:dyDescent="0.3">
      <c r="A273">
        <v>984</v>
      </c>
      <c r="B273" s="3">
        <v>4.6998538627391362</v>
      </c>
      <c r="C273" s="2">
        <v>98.273515475890534</v>
      </c>
      <c r="D273" s="1">
        <v>2.9115368232805516</v>
      </c>
      <c r="E273" s="1">
        <f t="shared" si="28"/>
        <v>5.8230736465611034E-2</v>
      </c>
      <c r="F273" s="10">
        <f t="shared" si="29"/>
        <v>24.568378868972633</v>
      </c>
      <c r="G273" s="3">
        <f t="shared" si="30"/>
        <v>1.4557684116402758</v>
      </c>
      <c r="H273" s="22">
        <f t="shared" si="31"/>
        <v>-4.9177296001842121</v>
      </c>
      <c r="I273" s="3">
        <f t="shared" si="34"/>
        <v>1351.1271107702919</v>
      </c>
      <c r="J273" s="12">
        <f t="shared" si="33"/>
        <v>0</v>
      </c>
      <c r="K273">
        <f t="shared" si="32"/>
        <v>1.4557684116402758</v>
      </c>
    </row>
    <row r="274" spans="1:11" x14ac:dyDescent="0.3">
      <c r="A274">
        <v>911</v>
      </c>
      <c r="B274" s="3">
        <v>1.9335633747787351</v>
      </c>
      <c r="C274" s="2">
        <v>43.205483236656448</v>
      </c>
      <c r="D274" s="1">
        <v>2.5054151186286813</v>
      </c>
      <c r="E274" s="1">
        <f t="shared" si="28"/>
        <v>5.0108302372573625E-2</v>
      </c>
      <c r="F274" s="10">
        <f t="shared" si="29"/>
        <v>10.801370809164112</v>
      </c>
      <c r="G274" s="3">
        <f t="shared" si="30"/>
        <v>1.2527075593143406</v>
      </c>
      <c r="H274" s="22">
        <f t="shared" si="31"/>
        <v>-4.9383761475842292</v>
      </c>
      <c r="I274" s="3">
        <f t="shared" si="34"/>
        <v>1353.0606741450706</v>
      </c>
      <c r="J274" s="12">
        <f t="shared" si="33"/>
        <v>0</v>
      </c>
      <c r="K274">
        <f t="shared" si="32"/>
        <v>1.2527075593143406</v>
      </c>
    </row>
    <row r="275" spans="1:11" x14ac:dyDescent="0.3">
      <c r="A275">
        <v>793</v>
      </c>
      <c r="B275" s="3">
        <v>1.5306598931066917</v>
      </c>
      <c r="C275" s="2">
        <v>36.458708658394613</v>
      </c>
      <c r="D275" s="1">
        <v>2.971260981672204</v>
      </c>
      <c r="E275" s="1">
        <f t="shared" si="28"/>
        <v>5.9425219633444076E-2</v>
      </c>
      <c r="F275" s="10">
        <f t="shared" si="29"/>
        <v>9.1146771645986533</v>
      </c>
      <c r="G275" s="3">
        <f t="shared" si="30"/>
        <v>1.485630490836102</v>
      </c>
      <c r="H275" s="22">
        <f t="shared" si="31"/>
        <v>-4.9841553359566486</v>
      </c>
      <c r="I275" s="3">
        <f t="shared" si="34"/>
        <v>1354.5913340381774</v>
      </c>
      <c r="J275" s="12">
        <f t="shared" si="33"/>
        <v>0</v>
      </c>
      <c r="K275">
        <f t="shared" si="32"/>
        <v>1.485630490836102</v>
      </c>
    </row>
    <row r="276" spans="1:11" x14ac:dyDescent="0.3">
      <c r="A276">
        <v>249</v>
      </c>
      <c r="B276" s="3">
        <v>4.4567244466016103</v>
      </c>
      <c r="C276" s="2">
        <v>94.180393988887261</v>
      </c>
      <c r="D276" s="1">
        <v>2.478087688652729</v>
      </c>
      <c r="E276" s="1">
        <f t="shared" si="28"/>
        <v>4.9561753773054579E-2</v>
      </c>
      <c r="F276" s="10">
        <f t="shared" si="29"/>
        <v>23.545098497221815</v>
      </c>
      <c r="G276" s="3">
        <f t="shared" si="30"/>
        <v>1.2390438443263645</v>
      </c>
      <c r="H276" s="22">
        <f t="shared" si="31"/>
        <v>-5.0050333872233237</v>
      </c>
      <c r="I276" s="3">
        <f t="shared" si="34"/>
        <v>1359.0480584847789</v>
      </c>
      <c r="J276" s="12">
        <f t="shared" si="33"/>
        <v>0</v>
      </c>
      <c r="K276">
        <f t="shared" si="32"/>
        <v>1.2390438443263645</v>
      </c>
    </row>
    <row r="277" spans="1:11" x14ac:dyDescent="0.3">
      <c r="A277">
        <v>794</v>
      </c>
      <c r="B277" s="3">
        <v>2.9754537887153854</v>
      </c>
      <c r="C277" s="2">
        <v>65.072464336999531</v>
      </c>
      <c r="D277" s="1">
        <v>2.6135312750305504</v>
      </c>
      <c r="E277" s="1">
        <f t="shared" si="28"/>
        <v>5.2270625500611005E-2</v>
      </c>
      <c r="F277" s="10">
        <f t="shared" si="29"/>
        <v>16.268116084249883</v>
      </c>
      <c r="G277" s="3">
        <f t="shared" si="30"/>
        <v>1.3067656375152752</v>
      </c>
      <c r="H277" s="22">
        <f t="shared" si="31"/>
        <v>-5.0282583797727147</v>
      </c>
      <c r="I277" s="3">
        <f t="shared" si="34"/>
        <v>1362.0235122734944</v>
      </c>
      <c r="J277" s="12">
        <f t="shared" si="33"/>
        <v>0</v>
      </c>
      <c r="K277">
        <f t="shared" si="32"/>
        <v>1.3067656375152752</v>
      </c>
    </row>
    <row r="278" spans="1:11" x14ac:dyDescent="0.3">
      <c r="A278">
        <v>627</v>
      </c>
      <c r="B278" s="3">
        <v>3.7651571273749482</v>
      </c>
      <c r="C278" s="2">
        <v>80.822747481037823</v>
      </c>
      <c r="D278" s="1">
        <v>2.4989221908616703</v>
      </c>
      <c r="E278" s="1">
        <f t="shared" si="28"/>
        <v>4.9978443817233403E-2</v>
      </c>
      <c r="F278" s="10">
        <f t="shared" si="29"/>
        <v>20.205686870259456</v>
      </c>
      <c r="G278" s="3">
        <f t="shared" si="30"/>
        <v>1.2494610954308352</v>
      </c>
      <c r="H278" s="22">
        <f t="shared" si="31"/>
        <v>-5.0346440091451967</v>
      </c>
      <c r="I278" s="3">
        <f t="shared" si="34"/>
        <v>1365.7886694008694</v>
      </c>
      <c r="J278" s="12">
        <f t="shared" si="33"/>
        <v>0</v>
      </c>
      <c r="K278">
        <f t="shared" si="32"/>
        <v>1.2494610954308352</v>
      </c>
    </row>
    <row r="279" spans="1:11" x14ac:dyDescent="0.3">
      <c r="A279">
        <v>648</v>
      </c>
      <c r="B279" s="3">
        <v>2.6131679459326316</v>
      </c>
      <c r="C279" s="2">
        <v>57.86929089629249</v>
      </c>
      <c r="D279" s="1">
        <v>2.3722991685548656</v>
      </c>
      <c r="E279" s="1">
        <f t="shared" si="28"/>
        <v>4.744598337109731E-2</v>
      </c>
      <c r="F279" s="10">
        <f t="shared" si="29"/>
        <v>14.467322724073123</v>
      </c>
      <c r="G279" s="3">
        <f t="shared" si="30"/>
        <v>1.1861495842774328</v>
      </c>
      <c r="H279" s="22">
        <f t="shared" si="31"/>
        <v>-5.0824032035398634</v>
      </c>
      <c r="I279" s="3">
        <f t="shared" si="34"/>
        <v>1368.401837346802</v>
      </c>
      <c r="J279" s="12">
        <f t="shared" si="33"/>
        <v>0</v>
      </c>
      <c r="K279">
        <f t="shared" si="32"/>
        <v>1.1861495842774328</v>
      </c>
    </row>
    <row r="280" spans="1:11" x14ac:dyDescent="0.3">
      <c r="A280">
        <v>814</v>
      </c>
      <c r="B280" s="3">
        <v>3.9148214703914741</v>
      </c>
      <c r="C280" s="2">
        <v>84.90455163960047</v>
      </c>
      <c r="D280" s="1">
        <v>2.5235076043894962</v>
      </c>
      <c r="E280" s="1">
        <f t="shared" si="28"/>
        <v>5.0470152087789925E-2</v>
      </c>
      <c r="F280" s="10">
        <f t="shared" si="29"/>
        <v>21.226137909900118</v>
      </c>
      <c r="G280" s="3">
        <f t="shared" si="30"/>
        <v>1.2617538021947481</v>
      </c>
      <c r="H280" s="22">
        <f t="shared" si="31"/>
        <v>-5.0996920954632889</v>
      </c>
      <c r="I280" s="3">
        <f t="shared" si="34"/>
        <v>1372.3166588171935</v>
      </c>
      <c r="J280" s="12">
        <f t="shared" si="33"/>
        <v>0</v>
      </c>
      <c r="K280">
        <f t="shared" si="32"/>
        <v>1.2617538021947481</v>
      </c>
    </row>
    <row r="281" spans="1:11" x14ac:dyDescent="0.3">
      <c r="A281">
        <v>715</v>
      </c>
      <c r="B281" s="3">
        <v>3.2865315631582579</v>
      </c>
      <c r="C281" s="2">
        <v>70.207863196955302</v>
      </c>
      <c r="D281" s="1">
        <v>1.4070342538151359</v>
      </c>
      <c r="E281" s="1">
        <f t="shared" si="28"/>
        <v>2.814068507630272E-2</v>
      </c>
      <c r="F281" s="10">
        <f t="shared" si="29"/>
        <v>17.551965799238825</v>
      </c>
      <c r="G281" s="3">
        <f t="shared" si="30"/>
        <v>0.70351712690756796</v>
      </c>
      <c r="H281" s="22">
        <f t="shared" si="31"/>
        <v>-5.1265135747366459</v>
      </c>
      <c r="I281" s="3">
        <f t="shared" si="34"/>
        <v>1375.6031903803516</v>
      </c>
      <c r="J281" s="12">
        <f t="shared" si="33"/>
        <v>0</v>
      </c>
      <c r="K281">
        <f t="shared" si="32"/>
        <v>0.70351712690756796</v>
      </c>
    </row>
    <row r="282" spans="1:11" x14ac:dyDescent="0.3">
      <c r="A282">
        <v>359</v>
      </c>
      <c r="B282" s="3">
        <v>1.7982803515712631</v>
      </c>
      <c r="C282" s="2">
        <v>39.244018468079979</v>
      </c>
      <c r="D282" s="1">
        <v>0.91531957842064871</v>
      </c>
      <c r="E282" s="1">
        <f t="shared" si="28"/>
        <v>1.8306391568412975E-2</v>
      </c>
      <c r="F282" s="10">
        <f t="shared" si="29"/>
        <v>9.8110046170199947</v>
      </c>
      <c r="G282" s="3">
        <f t="shared" si="30"/>
        <v>0.45765978921032435</v>
      </c>
      <c r="H282" s="22">
        <f t="shared" si="31"/>
        <v>-5.2012717703538849</v>
      </c>
      <c r="I282" s="3">
        <f t="shared" si="34"/>
        <v>1377.4014707319229</v>
      </c>
      <c r="J282" s="12">
        <f t="shared" si="33"/>
        <v>0</v>
      </c>
      <c r="K282">
        <f t="shared" si="32"/>
        <v>0.45765978921032435</v>
      </c>
    </row>
    <row r="283" spans="1:11" x14ac:dyDescent="0.3">
      <c r="A283">
        <v>531</v>
      </c>
      <c r="B283" s="3">
        <v>2.3230111253359453</v>
      </c>
      <c r="C283" s="2">
        <v>52.211004781502709</v>
      </c>
      <c r="D283" s="1">
        <v>1.5462919626361256</v>
      </c>
      <c r="E283" s="1">
        <f t="shared" si="28"/>
        <v>3.092583925272251E-2</v>
      </c>
      <c r="F283" s="10">
        <f t="shared" si="29"/>
        <v>13.052751195375677</v>
      </c>
      <c r="G283" s="3">
        <f t="shared" si="30"/>
        <v>0.77314598131806278</v>
      </c>
      <c r="H283" s="22">
        <f t="shared" si="31"/>
        <v>-5.2860724945007673</v>
      </c>
      <c r="I283" s="3">
        <f t="shared" si="34"/>
        <v>1379.724481857259</v>
      </c>
      <c r="J283" s="12">
        <f t="shared" si="33"/>
        <v>0</v>
      </c>
      <c r="K283">
        <f t="shared" si="32"/>
        <v>0.77314598131806278</v>
      </c>
    </row>
    <row r="284" spans="1:11" x14ac:dyDescent="0.3">
      <c r="A284">
        <v>63</v>
      </c>
      <c r="B284" s="3">
        <v>2.8777593324401196</v>
      </c>
      <c r="C284" s="2">
        <v>65.874635217010578</v>
      </c>
      <c r="D284" s="1">
        <v>2.2042283562723299</v>
      </c>
      <c r="E284" s="1">
        <f t="shared" si="28"/>
        <v>4.4084567125446596E-2</v>
      </c>
      <c r="F284" s="10">
        <f t="shared" si="29"/>
        <v>16.468658804252645</v>
      </c>
      <c r="G284" s="3">
        <f t="shared" si="30"/>
        <v>1.102114178136165</v>
      </c>
      <c r="H284" s="22">
        <f t="shared" si="31"/>
        <v>-5.3397601574579294</v>
      </c>
      <c r="I284" s="3">
        <f t="shared" si="34"/>
        <v>1382.602241189699</v>
      </c>
      <c r="J284" s="12">
        <f t="shared" si="33"/>
        <v>0</v>
      </c>
      <c r="K284">
        <f t="shared" si="32"/>
        <v>1.102114178136165</v>
      </c>
    </row>
    <row r="285" spans="1:11" x14ac:dyDescent="0.3">
      <c r="A285">
        <v>1097</v>
      </c>
      <c r="B285" s="3">
        <v>4.3030294604863446</v>
      </c>
      <c r="C285" s="2">
        <v>99.222808457063948</v>
      </c>
      <c r="D285" s="1">
        <v>2.8395750199815346</v>
      </c>
      <c r="E285" s="1">
        <f t="shared" si="28"/>
        <v>5.6791500399630691E-2</v>
      </c>
      <c r="F285" s="10">
        <f t="shared" si="29"/>
        <v>24.805702114265987</v>
      </c>
      <c r="G285" s="3">
        <f t="shared" si="30"/>
        <v>1.4197875099907673</v>
      </c>
      <c r="H285" s="22">
        <f t="shared" si="31"/>
        <v>-5.4347558665406064</v>
      </c>
      <c r="I285" s="3">
        <f t="shared" si="34"/>
        <v>1386.9052706501855</v>
      </c>
      <c r="J285" s="12">
        <f t="shared" si="33"/>
        <v>0</v>
      </c>
      <c r="K285">
        <f t="shared" si="32"/>
        <v>1.4197875099907673</v>
      </c>
    </row>
    <row r="286" spans="1:11" x14ac:dyDescent="0.3">
      <c r="A286">
        <v>1056</v>
      </c>
      <c r="B286" s="3">
        <v>1.7749600690362932</v>
      </c>
      <c r="C286" s="2">
        <v>45.96262805801441</v>
      </c>
      <c r="D286" s="1">
        <v>2.8894063146829323</v>
      </c>
      <c r="E286" s="1">
        <f t="shared" si="28"/>
        <v>5.7788126293658648E-2</v>
      </c>
      <c r="F286" s="10">
        <f t="shared" si="29"/>
        <v>11.490657014503602</v>
      </c>
      <c r="G286" s="3">
        <f t="shared" si="30"/>
        <v>1.4447031573414661</v>
      </c>
      <c r="H286" s="22">
        <f t="shared" si="31"/>
        <v>-5.6598196389942128</v>
      </c>
      <c r="I286" s="3">
        <f t="shared" si="34"/>
        <v>1388.6802307192218</v>
      </c>
      <c r="J286" s="12">
        <f t="shared" si="33"/>
        <v>0</v>
      </c>
      <c r="K286">
        <f t="shared" si="32"/>
        <v>1.4447031573414661</v>
      </c>
    </row>
    <row r="287" spans="1:11" x14ac:dyDescent="0.3">
      <c r="A287">
        <v>751</v>
      </c>
      <c r="B287" s="3">
        <v>2.9625074568140408</v>
      </c>
      <c r="C287" s="2">
        <v>73.380798690737606</v>
      </c>
      <c r="D287" s="1">
        <v>2.6874392284978219</v>
      </c>
      <c r="E287" s="1">
        <f t="shared" si="28"/>
        <v>5.3748784569956437E-2</v>
      </c>
      <c r="F287" s="10">
        <f t="shared" si="29"/>
        <v>18.345199672684402</v>
      </c>
      <c r="G287" s="3">
        <f t="shared" si="30"/>
        <v>1.343719614248911</v>
      </c>
      <c r="H287" s="22">
        <f t="shared" si="31"/>
        <v>-5.7388817771008531</v>
      </c>
      <c r="I287" s="3">
        <f t="shared" si="34"/>
        <v>1391.6427381760359</v>
      </c>
      <c r="J287" s="12">
        <f t="shared" si="33"/>
        <v>0</v>
      </c>
      <c r="K287">
        <f t="shared" si="32"/>
        <v>1.343719614248911</v>
      </c>
    </row>
    <row r="288" spans="1:11" x14ac:dyDescent="0.3">
      <c r="A288">
        <v>689</v>
      </c>
      <c r="B288" s="3">
        <v>2.7161772713823771</v>
      </c>
      <c r="C288" s="2">
        <v>64.22142235538017</v>
      </c>
      <c r="D288" s="1">
        <v>0.88413471951982647</v>
      </c>
      <c r="E288" s="1">
        <f t="shared" si="28"/>
        <v>1.768269439039653E-2</v>
      </c>
      <c r="F288" s="10">
        <f t="shared" si="29"/>
        <v>16.055355588845043</v>
      </c>
      <c r="G288" s="3">
        <f t="shared" si="30"/>
        <v>0.44206735975991324</v>
      </c>
      <c r="H288" s="22">
        <f t="shared" si="31"/>
        <v>-5.7482581838772502</v>
      </c>
      <c r="I288" s="3">
        <f t="shared" si="34"/>
        <v>1394.3589154474182</v>
      </c>
      <c r="J288" s="12">
        <f t="shared" si="33"/>
        <v>0</v>
      </c>
      <c r="K288">
        <f t="shared" si="32"/>
        <v>0.44206735975991324</v>
      </c>
    </row>
    <row r="289" spans="1:11" x14ac:dyDescent="0.3">
      <c r="A289">
        <v>4</v>
      </c>
      <c r="B289" s="3">
        <v>2.5037188976248204</v>
      </c>
      <c r="C289" s="2">
        <v>63.711481025370567</v>
      </c>
      <c r="D289" s="1">
        <v>2.8641274571122279</v>
      </c>
      <c r="E289" s="1">
        <f t="shared" si="28"/>
        <v>5.7282549142244558E-2</v>
      </c>
      <c r="F289" s="10">
        <f t="shared" si="29"/>
        <v>15.927870256342642</v>
      </c>
      <c r="G289" s="3">
        <f t="shared" si="30"/>
        <v>1.432063728556114</v>
      </c>
      <c r="H289" s="22">
        <f t="shared" si="31"/>
        <v>-5.7897100754953481</v>
      </c>
      <c r="I289" s="3">
        <f t="shared" si="34"/>
        <v>1396.862634345043</v>
      </c>
      <c r="J289" s="12">
        <f t="shared" si="33"/>
        <v>0</v>
      </c>
      <c r="K289">
        <f t="shared" si="32"/>
        <v>1.432063728556114</v>
      </c>
    </row>
    <row r="290" spans="1:11" x14ac:dyDescent="0.3">
      <c r="A290">
        <v>1088</v>
      </c>
      <c r="B290" s="3">
        <v>3.4154874991074644</v>
      </c>
      <c r="C290" s="2">
        <v>84.462751139097776</v>
      </c>
      <c r="D290" s="1">
        <v>2.3029474391630611</v>
      </c>
      <c r="E290" s="1">
        <f t="shared" si="28"/>
        <v>4.6058948783261222E-2</v>
      </c>
      <c r="F290" s="10">
        <f t="shared" si="29"/>
        <v>21.115687784774444</v>
      </c>
      <c r="G290" s="3">
        <f t="shared" si="30"/>
        <v>1.1514737195815306</v>
      </c>
      <c r="H290" s="22">
        <f t="shared" si="31"/>
        <v>-5.8452019134632947</v>
      </c>
      <c r="I290" s="3">
        <f t="shared" si="34"/>
        <v>1400.2781218441505</v>
      </c>
      <c r="J290" s="12">
        <f t="shared" si="33"/>
        <v>0</v>
      </c>
      <c r="K290">
        <f t="shared" si="32"/>
        <v>1.1514737195815306</v>
      </c>
    </row>
    <row r="291" spans="1:11" x14ac:dyDescent="0.3">
      <c r="A291">
        <v>998</v>
      </c>
      <c r="B291" s="3">
        <v>2.2911272481943898</v>
      </c>
      <c r="C291" s="2">
        <v>57.059042490342385</v>
      </c>
      <c r="D291" s="1">
        <v>1.5838474953129333</v>
      </c>
      <c r="E291" s="1">
        <f t="shared" si="28"/>
        <v>3.1676949906258668E-2</v>
      </c>
      <c r="F291" s="10">
        <f t="shared" si="29"/>
        <v>14.264760622585596</v>
      </c>
      <c r="G291" s="3">
        <f t="shared" si="30"/>
        <v>0.79192374765646667</v>
      </c>
      <c r="H291" s="22">
        <f t="shared" si="31"/>
        <v>-5.8804402442277759</v>
      </c>
      <c r="I291" s="3">
        <f t="shared" si="34"/>
        <v>1402.569249092345</v>
      </c>
      <c r="J291" s="12">
        <f t="shared" si="33"/>
        <v>0</v>
      </c>
      <c r="K291">
        <f t="shared" si="32"/>
        <v>0.79192374765646667</v>
      </c>
    </row>
    <row r="292" spans="1:11" x14ac:dyDescent="0.3">
      <c r="A292">
        <v>125</v>
      </c>
      <c r="B292" s="3">
        <v>2.0777241984874695</v>
      </c>
      <c r="C292" s="2">
        <v>50.845682537540462</v>
      </c>
      <c r="D292" s="1">
        <v>0.89302838226872172</v>
      </c>
      <c r="E292" s="1">
        <f t="shared" si="28"/>
        <v>1.7860567645374435E-2</v>
      </c>
      <c r="F292" s="10">
        <f t="shared" si="29"/>
        <v>12.711420634385115</v>
      </c>
      <c r="G292" s="3">
        <f t="shared" si="30"/>
        <v>0.44651419113436086</v>
      </c>
      <c r="H292" s="22">
        <f t="shared" si="31"/>
        <v>-5.9030483700287535</v>
      </c>
      <c r="I292" s="3">
        <f t="shared" si="34"/>
        <v>1404.6469732908324</v>
      </c>
      <c r="J292" s="12">
        <f t="shared" si="33"/>
        <v>0</v>
      </c>
      <c r="K292">
        <f t="shared" si="32"/>
        <v>0.44651419113436086</v>
      </c>
    </row>
    <row r="293" spans="1:11" x14ac:dyDescent="0.3">
      <c r="A293">
        <v>804</v>
      </c>
      <c r="B293" s="3">
        <v>1.3612456493786462</v>
      </c>
      <c r="C293" s="2">
        <v>35.171270843974213</v>
      </c>
      <c r="D293" s="1">
        <v>1.4550456501057536</v>
      </c>
      <c r="E293" s="1">
        <f t="shared" si="28"/>
        <v>2.9100913002115071E-2</v>
      </c>
      <c r="F293" s="10">
        <f t="shared" si="29"/>
        <v>8.7928177109935532</v>
      </c>
      <c r="G293" s="3">
        <f t="shared" si="30"/>
        <v>0.7275228250528768</v>
      </c>
      <c r="H293" s="22">
        <f t="shared" si="31"/>
        <v>-5.9249371262432753</v>
      </c>
      <c r="I293" s="3">
        <f t="shared" si="34"/>
        <v>1406.008218940211</v>
      </c>
      <c r="J293" s="12">
        <f t="shared" si="33"/>
        <v>0</v>
      </c>
      <c r="K293">
        <f t="shared" si="32"/>
        <v>0.7275228250528768</v>
      </c>
    </row>
    <row r="294" spans="1:11" x14ac:dyDescent="0.3">
      <c r="A294">
        <v>1082</v>
      </c>
      <c r="B294" s="3">
        <v>1.729068767856885</v>
      </c>
      <c r="C294" s="2">
        <v>45.420018851408585</v>
      </c>
      <c r="D294" s="1">
        <v>1.809564467471497</v>
      </c>
      <c r="E294" s="1">
        <f t="shared" si="28"/>
        <v>3.6191289349429938E-2</v>
      </c>
      <c r="F294" s="10">
        <f t="shared" si="29"/>
        <v>11.355004712852146</v>
      </c>
      <c r="G294" s="3">
        <f t="shared" si="30"/>
        <v>0.9047822337357484</v>
      </c>
      <c r="H294" s="22">
        <f t="shared" si="31"/>
        <v>-6.0438443359711203</v>
      </c>
      <c r="I294" s="3">
        <f t="shared" si="34"/>
        <v>1407.7372877080679</v>
      </c>
      <c r="J294" s="12">
        <f t="shared" si="33"/>
        <v>0</v>
      </c>
      <c r="K294">
        <f t="shared" si="32"/>
        <v>0.9047822337357484</v>
      </c>
    </row>
    <row r="295" spans="1:11" x14ac:dyDescent="0.3">
      <c r="A295">
        <v>655</v>
      </c>
      <c r="B295" s="3">
        <v>2.8162687031453326</v>
      </c>
      <c r="C295" s="2">
        <v>72.832155579275053</v>
      </c>
      <c r="D295" s="1">
        <v>2.3391197770865815</v>
      </c>
      <c r="E295" s="1">
        <f t="shared" si="28"/>
        <v>4.6782395541731629E-2</v>
      </c>
      <c r="F295" s="10">
        <f t="shared" si="29"/>
        <v>18.208038894818763</v>
      </c>
      <c r="G295" s="3">
        <f t="shared" si="30"/>
        <v>1.1695598885432907</v>
      </c>
      <c r="H295" s="22">
        <f t="shared" si="31"/>
        <v>-6.0500189443024919</v>
      </c>
      <c r="I295" s="3">
        <f t="shared" si="34"/>
        <v>1410.5535564112133</v>
      </c>
      <c r="J295" s="12">
        <f t="shared" si="33"/>
        <v>0</v>
      </c>
      <c r="K295">
        <f t="shared" si="32"/>
        <v>1.1695598885432907</v>
      </c>
    </row>
    <row r="296" spans="1:11" x14ac:dyDescent="0.3">
      <c r="A296">
        <v>43</v>
      </c>
      <c r="B296" s="3">
        <v>3.4400274060550249</v>
      </c>
      <c r="C296" s="2">
        <v>88.544864640030255</v>
      </c>
      <c r="D296" s="1">
        <v>2.2861074462835766</v>
      </c>
      <c r="E296" s="1">
        <f t="shared" si="28"/>
        <v>4.572214892567153E-2</v>
      </c>
      <c r="F296" s="10">
        <f t="shared" si="29"/>
        <v>22.136216160007564</v>
      </c>
      <c r="G296" s="3">
        <f t="shared" si="30"/>
        <v>1.1430537231417883</v>
      </c>
      <c r="H296" s="22">
        <f t="shared" si="31"/>
        <v>-6.1026148803100488</v>
      </c>
      <c r="I296" s="3">
        <f t="shared" si="34"/>
        <v>1413.9935838172682</v>
      </c>
      <c r="J296" s="12">
        <f t="shared" si="33"/>
        <v>0</v>
      </c>
      <c r="K296">
        <f t="shared" si="32"/>
        <v>1.1430537231417883</v>
      </c>
    </row>
    <row r="297" spans="1:11" x14ac:dyDescent="0.3">
      <c r="A297">
        <v>361</v>
      </c>
      <c r="B297" s="3">
        <v>2.2948480039529837</v>
      </c>
      <c r="C297" s="2">
        <v>59.614503273278544</v>
      </c>
      <c r="D297" s="1">
        <v>1.7420864405664629</v>
      </c>
      <c r="E297" s="1">
        <f t="shared" si="28"/>
        <v>3.4841728811329256E-2</v>
      </c>
      <c r="F297" s="10">
        <f t="shared" si="29"/>
        <v>14.903625818319636</v>
      </c>
      <c r="G297" s="3">
        <f t="shared" si="30"/>
        <v>0.87104322028323145</v>
      </c>
      <c r="H297" s="22">
        <f t="shared" si="31"/>
        <v>-6.1148200551254899</v>
      </c>
      <c r="I297" s="3">
        <f t="shared" si="34"/>
        <v>1416.2884318212211</v>
      </c>
      <c r="J297" s="12">
        <f t="shared" si="33"/>
        <v>0</v>
      </c>
      <c r="K297">
        <f t="shared" si="32"/>
        <v>0.87104322028323145</v>
      </c>
    </row>
    <row r="298" spans="1:11" x14ac:dyDescent="0.3">
      <c r="A298">
        <v>530</v>
      </c>
      <c r="B298" s="3">
        <v>2.5313910301294964</v>
      </c>
      <c r="C298" s="2">
        <v>66.493854954952141</v>
      </c>
      <c r="D298" s="1">
        <v>2.1687808685646695</v>
      </c>
      <c r="E298" s="1">
        <f t="shared" si="28"/>
        <v>4.337561737129339E-2</v>
      </c>
      <c r="F298" s="10">
        <f t="shared" si="29"/>
        <v>16.623463738738035</v>
      </c>
      <c r="G298" s="3">
        <f t="shared" si="30"/>
        <v>1.0843904342823347</v>
      </c>
      <c r="H298" s="22">
        <f t="shared" si="31"/>
        <v>-6.1385511442144836</v>
      </c>
      <c r="I298" s="3">
        <f t="shared" si="34"/>
        <v>1418.8198228513506</v>
      </c>
      <c r="J298" s="12">
        <f t="shared" si="33"/>
        <v>0</v>
      </c>
      <c r="K298">
        <f t="shared" si="32"/>
        <v>1.0843904342823347</v>
      </c>
    </row>
    <row r="299" spans="1:11" x14ac:dyDescent="0.3">
      <c r="A299">
        <v>664</v>
      </c>
      <c r="B299" s="3">
        <v>3.0188261566051757</v>
      </c>
      <c r="C299" s="2">
        <v>75.737083959413738</v>
      </c>
      <c r="D299" s="1">
        <v>0.74962039381158352</v>
      </c>
      <c r="E299" s="1">
        <f t="shared" si="28"/>
        <v>1.499240787623167E-2</v>
      </c>
      <c r="F299" s="10">
        <f t="shared" si="29"/>
        <v>18.934270989853434</v>
      </c>
      <c r="G299" s="3">
        <f t="shared" si="30"/>
        <v>0.37481019690579176</v>
      </c>
      <c r="H299" s="22">
        <f t="shared" si="31"/>
        <v>-6.1479064477891985</v>
      </c>
      <c r="I299" s="3">
        <f t="shared" si="34"/>
        <v>1421.8386490079558</v>
      </c>
      <c r="J299" s="12">
        <f t="shared" si="33"/>
        <v>0</v>
      </c>
      <c r="K299">
        <f t="shared" si="32"/>
        <v>0.37481019690579176</v>
      </c>
    </row>
    <row r="300" spans="1:11" x14ac:dyDescent="0.3">
      <c r="A300">
        <v>854</v>
      </c>
      <c r="B300" s="3">
        <v>2.943799591398677</v>
      </c>
      <c r="C300" s="2">
        <v>74.041542528679798</v>
      </c>
      <c r="D300" s="1">
        <v>0.79966642486193384</v>
      </c>
      <c r="E300" s="1">
        <f t="shared" si="28"/>
        <v>1.5993328497238678E-2</v>
      </c>
      <c r="F300" s="10">
        <f t="shared" si="29"/>
        <v>18.51038563216995</v>
      </c>
      <c r="G300" s="3">
        <f t="shared" si="30"/>
        <v>0.39983321243096698</v>
      </c>
      <c r="H300" s="22">
        <f t="shared" si="31"/>
        <v>-6.1521010032935637</v>
      </c>
      <c r="I300" s="3">
        <f t="shared" si="34"/>
        <v>1424.7824485993544</v>
      </c>
      <c r="J300" s="12">
        <f t="shared" si="33"/>
        <v>0</v>
      </c>
      <c r="K300">
        <f t="shared" si="32"/>
        <v>0.39983321243096698</v>
      </c>
    </row>
    <row r="301" spans="1:11" x14ac:dyDescent="0.3">
      <c r="A301">
        <v>130</v>
      </c>
      <c r="B301" s="3">
        <v>2.9822966222881653</v>
      </c>
      <c r="C301" s="2">
        <v>77.672498664792172</v>
      </c>
      <c r="D301" s="1">
        <v>1.7810274119422222</v>
      </c>
      <c r="E301" s="1">
        <f t="shared" si="28"/>
        <v>3.5620548238844446E-2</v>
      </c>
      <c r="F301" s="10">
        <f t="shared" si="29"/>
        <v>19.418124666198043</v>
      </c>
      <c r="G301" s="3">
        <f t="shared" si="30"/>
        <v>0.89051370597111112</v>
      </c>
      <c r="H301" s="22">
        <f t="shared" si="31"/>
        <v>-6.2125312491591247</v>
      </c>
      <c r="I301" s="3">
        <f t="shared" si="34"/>
        <v>1427.7647452216427</v>
      </c>
      <c r="J301" s="12">
        <f t="shared" si="33"/>
        <v>0</v>
      </c>
      <c r="K301">
        <f t="shared" si="32"/>
        <v>0.89051370597111112</v>
      </c>
    </row>
    <row r="302" spans="1:11" x14ac:dyDescent="0.3">
      <c r="A302">
        <v>723</v>
      </c>
      <c r="B302" s="3">
        <v>3.2634114782301382</v>
      </c>
      <c r="C302" s="2">
        <v>82.425268446051433</v>
      </c>
      <c r="D302" s="1">
        <v>0.53737840539109127</v>
      </c>
      <c r="E302" s="1">
        <f t="shared" si="28"/>
        <v>1.0747568107821825E-2</v>
      </c>
      <c r="F302" s="10">
        <f t="shared" si="29"/>
        <v>20.606317111512858</v>
      </c>
      <c r="G302" s="3">
        <f t="shared" si="30"/>
        <v>0.26868920269554564</v>
      </c>
      <c r="H302" s="22">
        <f t="shared" si="31"/>
        <v>-6.2320145787582746</v>
      </c>
      <c r="I302" s="3">
        <f t="shared" si="34"/>
        <v>1431.0281566998729</v>
      </c>
      <c r="J302" s="12">
        <f t="shared" si="33"/>
        <v>0</v>
      </c>
      <c r="K302">
        <f t="shared" si="32"/>
        <v>0.26868920269554564</v>
      </c>
    </row>
    <row r="303" spans="1:11" x14ac:dyDescent="0.3">
      <c r="A303">
        <v>273</v>
      </c>
      <c r="B303" s="3">
        <v>3.2528975429176779</v>
      </c>
      <c r="C303" s="2">
        <v>84.693555328778388</v>
      </c>
      <c r="D303" s="1">
        <v>1.599686353055632</v>
      </c>
      <c r="E303" s="1">
        <f t="shared" si="28"/>
        <v>3.1993727061112642E-2</v>
      </c>
      <c r="F303" s="10">
        <f t="shared" si="29"/>
        <v>21.173388832194597</v>
      </c>
      <c r="G303" s="3">
        <f t="shared" si="30"/>
        <v>0.799843176527816</v>
      </c>
      <c r="H303" s="22">
        <f t="shared" si="31"/>
        <v>-6.2631993128786911</v>
      </c>
      <c r="I303" s="3">
        <f t="shared" si="34"/>
        <v>1434.2810542427906</v>
      </c>
      <c r="J303" s="12">
        <f t="shared" si="33"/>
        <v>0</v>
      </c>
      <c r="K303">
        <f t="shared" si="32"/>
        <v>0.799843176527816</v>
      </c>
    </row>
    <row r="304" spans="1:11" x14ac:dyDescent="0.3">
      <c r="A304">
        <v>991</v>
      </c>
      <c r="B304" s="3">
        <v>2.5363075701339888</v>
      </c>
      <c r="C304" s="2">
        <v>67.673303917698533</v>
      </c>
      <c r="D304" s="1">
        <v>1.389346664224719</v>
      </c>
      <c r="E304" s="1">
        <f t="shared" si="28"/>
        <v>2.7786933284494379E-2</v>
      </c>
      <c r="F304" s="10">
        <f t="shared" si="29"/>
        <v>16.918325979424633</v>
      </c>
      <c r="G304" s="3">
        <f t="shared" si="30"/>
        <v>0.69467333211235949</v>
      </c>
      <c r="H304" s="22">
        <f t="shared" si="31"/>
        <v>-6.3965635865113972</v>
      </c>
      <c r="I304" s="3">
        <f t="shared" si="34"/>
        <v>1436.8173618129244</v>
      </c>
      <c r="J304" s="12">
        <f t="shared" si="33"/>
        <v>0</v>
      </c>
      <c r="K304">
        <f t="shared" si="32"/>
        <v>0.69467333211235949</v>
      </c>
    </row>
    <row r="305" spans="1:11" x14ac:dyDescent="0.3">
      <c r="A305">
        <v>1106</v>
      </c>
      <c r="B305" s="3">
        <v>2.9859893627222291</v>
      </c>
      <c r="C305" s="2">
        <v>82.198983453072742</v>
      </c>
      <c r="D305" s="1">
        <v>2.8706130768340863</v>
      </c>
      <c r="E305" s="1">
        <f t="shared" si="28"/>
        <v>5.7412261536681726E-2</v>
      </c>
      <c r="F305" s="10">
        <f t="shared" si="29"/>
        <v>20.549745863268186</v>
      </c>
      <c r="G305" s="3">
        <f t="shared" si="30"/>
        <v>1.4353065384170431</v>
      </c>
      <c r="H305" s="22">
        <f t="shared" si="31"/>
        <v>-6.4013755586272847</v>
      </c>
      <c r="I305" s="3">
        <f t="shared" si="34"/>
        <v>1439.8033511756466</v>
      </c>
      <c r="J305" s="12">
        <f t="shared" si="33"/>
        <v>0</v>
      </c>
      <c r="K305">
        <f t="shared" si="32"/>
        <v>1.4353065384170431</v>
      </c>
    </row>
    <row r="306" spans="1:11" x14ac:dyDescent="0.3">
      <c r="A306">
        <v>443</v>
      </c>
      <c r="B306" s="3">
        <v>3.1097485430567051</v>
      </c>
      <c r="C306" s="2">
        <v>83.767907589946688</v>
      </c>
      <c r="D306" s="1">
        <v>1.3413836926218059</v>
      </c>
      <c r="E306" s="1">
        <f t="shared" si="28"/>
        <v>2.6827673852436118E-2</v>
      </c>
      <c r="F306" s="10">
        <f t="shared" si="29"/>
        <v>20.941976897486672</v>
      </c>
      <c r="G306" s="3">
        <f t="shared" si="30"/>
        <v>0.67069184631090295</v>
      </c>
      <c r="H306" s="22">
        <f t="shared" si="31"/>
        <v>-6.5186251462152809</v>
      </c>
      <c r="I306" s="3">
        <f t="shared" si="34"/>
        <v>1442.9130997187033</v>
      </c>
      <c r="J306" s="12">
        <f t="shared" si="33"/>
        <v>0</v>
      </c>
      <c r="K306">
        <f t="shared" si="32"/>
        <v>0.67069184631090295</v>
      </c>
    </row>
    <row r="307" spans="1:11" x14ac:dyDescent="0.3">
      <c r="A307">
        <v>941</v>
      </c>
      <c r="B307" s="3">
        <v>1.9354733747805986</v>
      </c>
      <c r="C307" s="2">
        <v>52.506593388524536</v>
      </c>
      <c r="D307" s="1">
        <v>0.70410084589658217</v>
      </c>
      <c r="E307" s="1">
        <f t="shared" si="28"/>
        <v>1.4082016917931643E-2</v>
      </c>
      <c r="F307" s="10">
        <f t="shared" si="29"/>
        <v>13.126648347131134</v>
      </c>
      <c r="G307" s="3">
        <f t="shared" si="30"/>
        <v>0.35205042294829109</v>
      </c>
      <c r="H307" s="22">
        <f t="shared" si="31"/>
        <v>-6.6002447208197559</v>
      </c>
      <c r="I307" s="3">
        <f t="shared" si="34"/>
        <v>1444.8485730934838</v>
      </c>
      <c r="J307" s="12">
        <f t="shared" si="33"/>
        <v>0</v>
      </c>
      <c r="K307">
        <f t="shared" si="32"/>
        <v>0.35205042294829109</v>
      </c>
    </row>
    <row r="308" spans="1:11" x14ac:dyDescent="0.3">
      <c r="A308">
        <v>970</v>
      </c>
      <c r="B308" s="3">
        <v>2.1551925975341222</v>
      </c>
      <c r="C308" s="2">
        <v>62.251675513847303</v>
      </c>
      <c r="D308" s="1">
        <v>2.4230372330894476</v>
      </c>
      <c r="E308" s="1">
        <f t="shared" si="28"/>
        <v>4.846074466178895E-2</v>
      </c>
      <c r="F308" s="10">
        <f t="shared" si="29"/>
        <v>15.562918878461826</v>
      </c>
      <c r="G308" s="3">
        <f t="shared" si="30"/>
        <v>1.2115186165447238</v>
      </c>
      <c r="H308" s="22">
        <f t="shared" si="31"/>
        <v>-6.6589873584093366</v>
      </c>
      <c r="I308" s="3">
        <f t="shared" si="34"/>
        <v>1447.0037656910179</v>
      </c>
      <c r="J308" s="12">
        <f t="shared" si="33"/>
        <v>0</v>
      </c>
      <c r="K308">
        <f t="shared" si="32"/>
        <v>1.2115186165447238</v>
      </c>
    </row>
    <row r="309" spans="1:11" x14ac:dyDescent="0.3">
      <c r="A309">
        <v>497</v>
      </c>
      <c r="B309" s="3">
        <v>3.4258996731896465</v>
      </c>
      <c r="C309" s="2">
        <v>96.180889629371464</v>
      </c>
      <c r="D309" s="1">
        <v>2.4505110613265035</v>
      </c>
      <c r="E309" s="1">
        <f t="shared" si="28"/>
        <v>4.9010221226530072E-2</v>
      </c>
      <c r="F309" s="10">
        <f t="shared" si="29"/>
        <v>24.045222407342866</v>
      </c>
      <c r="G309" s="3">
        <f t="shared" si="30"/>
        <v>1.2252555306632518</v>
      </c>
      <c r="H309" s="22">
        <f t="shared" si="31"/>
        <v>-6.6610143476365531</v>
      </c>
      <c r="I309" s="3">
        <f t="shared" si="34"/>
        <v>1450.4296653642075</v>
      </c>
      <c r="J309" s="12">
        <f t="shared" si="33"/>
        <v>0</v>
      </c>
      <c r="K309">
        <f t="shared" si="32"/>
        <v>1.2252555306632518</v>
      </c>
    </row>
    <row r="310" spans="1:11" x14ac:dyDescent="0.3">
      <c r="A310">
        <v>465</v>
      </c>
      <c r="B310" s="3">
        <v>3.0831343869225938</v>
      </c>
      <c r="C310" s="2">
        <v>86.805112219472846</v>
      </c>
      <c r="D310" s="1">
        <v>2.2485544267886968</v>
      </c>
      <c r="E310" s="1">
        <f t="shared" si="28"/>
        <v>4.4971088535773938E-2</v>
      </c>
      <c r="F310" s="10">
        <f t="shared" si="29"/>
        <v>21.701278054868212</v>
      </c>
      <c r="G310" s="3">
        <f t="shared" si="30"/>
        <v>1.1242772133943484</v>
      </c>
      <c r="H310" s="22">
        <f t="shared" si="31"/>
        <v>-6.6740525254926162</v>
      </c>
      <c r="I310" s="3">
        <f t="shared" si="34"/>
        <v>1453.5127997511302</v>
      </c>
      <c r="J310" s="12">
        <f t="shared" si="33"/>
        <v>0</v>
      </c>
      <c r="K310">
        <f t="shared" si="32"/>
        <v>1.1242772133943484</v>
      </c>
    </row>
    <row r="311" spans="1:11" x14ac:dyDescent="0.3">
      <c r="A311">
        <v>252</v>
      </c>
      <c r="B311" s="3">
        <v>2.3721224458470425</v>
      </c>
      <c r="C311" s="2">
        <v>65.229103657277548</v>
      </c>
      <c r="D311" s="1">
        <v>0.93048975915511445</v>
      </c>
      <c r="E311" s="1">
        <f t="shared" si="28"/>
        <v>1.8609795183102289E-2</v>
      </c>
      <c r="F311" s="10">
        <f t="shared" si="29"/>
        <v>16.307275914319387</v>
      </c>
      <c r="G311" s="3">
        <f t="shared" si="30"/>
        <v>0.46524487957755722</v>
      </c>
      <c r="H311" s="22">
        <f t="shared" si="31"/>
        <v>-6.6784204426196574</v>
      </c>
      <c r="I311" s="3">
        <f t="shared" si="34"/>
        <v>1455.8849221969772</v>
      </c>
      <c r="J311" s="12">
        <f t="shared" si="33"/>
        <v>0</v>
      </c>
      <c r="K311">
        <f t="shared" si="32"/>
        <v>0.46524487957755722</v>
      </c>
    </row>
    <row r="312" spans="1:11" x14ac:dyDescent="0.3">
      <c r="A312">
        <v>32</v>
      </c>
      <c r="B312" s="3">
        <v>2.703574087155304</v>
      </c>
      <c r="C312" s="2">
        <v>76.927936219593718</v>
      </c>
      <c r="D312" s="1">
        <v>2.1202749751241354</v>
      </c>
      <c r="E312" s="1">
        <f t="shared" si="28"/>
        <v>4.2405499502482707E-2</v>
      </c>
      <c r="F312" s="10">
        <f t="shared" si="29"/>
        <v>19.23198405489843</v>
      </c>
      <c r="G312" s="3">
        <f t="shared" si="30"/>
        <v>1.0601374875620677</v>
      </c>
      <c r="H312" s="22">
        <f t="shared" si="31"/>
        <v>-6.7214161630232034</v>
      </c>
      <c r="I312" s="3">
        <f t="shared" si="34"/>
        <v>1458.5884962841326</v>
      </c>
      <c r="J312" s="12">
        <f t="shared" si="33"/>
        <v>0</v>
      </c>
      <c r="K312">
        <f t="shared" si="32"/>
        <v>1.0601374875620677</v>
      </c>
    </row>
    <row r="313" spans="1:11" x14ac:dyDescent="0.3">
      <c r="A313">
        <v>203</v>
      </c>
      <c r="B313" s="3">
        <v>2.7139433467080956</v>
      </c>
      <c r="C313" s="2">
        <v>75.231806135163538</v>
      </c>
      <c r="D313" s="1">
        <v>0.86074928419523</v>
      </c>
      <c r="E313" s="1">
        <f t="shared" si="28"/>
        <v>1.7214985683904602E-2</v>
      </c>
      <c r="F313" s="10">
        <f t="shared" si="29"/>
        <v>18.807951533790884</v>
      </c>
      <c r="G313" s="3">
        <f t="shared" si="30"/>
        <v>0.43037464209761506</v>
      </c>
      <c r="H313" s="22">
        <f t="shared" si="31"/>
        <v>-6.7715403543646309</v>
      </c>
      <c r="I313" s="3">
        <f t="shared" si="34"/>
        <v>1461.3024396308406</v>
      </c>
      <c r="J313" s="12">
        <f t="shared" si="33"/>
        <v>0</v>
      </c>
      <c r="K313">
        <f t="shared" si="32"/>
        <v>0.43037464209761506</v>
      </c>
    </row>
    <row r="314" spans="1:11" x14ac:dyDescent="0.3">
      <c r="A314">
        <v>110</v>
      </c>
      <c r="B314" s="3">
        <v>3.007300103705405</v>
      </c>
      <c r="C314" s="2">
        <v>86.642946188074916</v>
      </c>
      <c r="D314" s="1">
        <v>2.4565648399195563</v>
      </c>
      <c r="E314" s="1">
        <f t="shared" si="28"/>
        <v>4.9131296798391129E-2</v>
      </c>
      <c r="F314" s="10">
        <f t="shared" si="29"/>
        <v>21.660736547018729</v>
      </c>
      <c r="G314" s="3">
        <f t="shared" si="30"/>
        <v>1.2282824199597782</v>
      </c>
      <c r="H314" s="22">
        <f t="shared" si="31"/>
        <v>-6.7942850472034273</v>
      </c>
      <c r="I314" s="3">
        <f t="shared" si="34"/>
        <v>1464.3097397345459</v>
      </c>
      <c r="J314" s="12">
        <f t="shared" si="33"/>
        <v>0</v>
      </c>
      <c r="K314">
        <f t="shared" si="32"/>
        <v>1.2282824199597782</v>
      </c>
    </row>
    <row r="315" spans="1:11" x14ac:dyDescent="0.3">
      <c r="A315">
        <v>617</v>
      </c>
      <c r="B315" s="3">
        <v>2.3678668591491849</v>
      </c>
      <c r="C315" s="2">
        <v>67.950210726920147</v>
      </c>
      <c r="D315" s="1">
        <v>1.4095983863444823</v>
      </c>
      <c r="E315" s="1">
        <f t="shared" si="28"/>
        <v>2.8191967726889647E-2</v>
      </c>
      <c r="F315" s="10">
        <f t="shared" si="29"/>
        <v>16.987552681730037</v>
      </c>
      <c r="G315" s="3">
        <f t="shared" si="30"/>
        <v>0.70479919317224116</v>
      </c>
      <c r="H315" s="22">
        <f t="shared" si="31"/>
        <v>-6.8765494249150763</v>
      </c>
      <c r="I315" s="3">
        <f t="shared" si="34"/>
        <v>1466.6776065936951</v>
      </c>
      <c r="J315" s="12">
        <f t="shared" si="33"/>
        <v>0</v>
      </c>
      <c r="K315">
        <f t="shared" si="32"/>
        <v>0.70479919317224116</v>
      </c>
    </row>
    <row r="316" spans="1:11" x14ac:dyDescent="0.3">
      <c r="A316">
        <v>877</v>
      </c>
      <c r="B316" s="3">
        <v>1.9237352009658093</v>
      </c>
      <c r="C316" s="2">
        <v>58.167592001499656</v>
      </c>
      <c r="D316" s="1">
        <v>2.4807927777424479</v>
      </c>
      <c r="E316" s="1">
        <f t="shared" si="28"/>
        <v>4.9615855554848959E-2</v>
      </c>
      <c r="F316" s="10">
        <f t="shared" si="29"/>
        <v>14.541898000374914</v>
      </c>
      <c r="G316" s="3">
        <f t="shared" si="30"/>
        <v>1.2403963888712239</v>
      </c>
      <c r="H316" s="22">
        <f t="shared" si="31"/>
        <v>-6.9144140029384946</v>
      </c>
      <c r="I316" s="3">
        <f t="shared" si="34"/>
        <v>1468.601341794661</v>
      </c>
      <c r="J316" s="12">
        <f t="shared" si="33"/>
        <v>0</v>
      </c>
      <c r="K316">
        <f t="shared" si="32"/>
        <v>1.2403963888712239</v>
      </c>
    </row>
    <row r="317" spans="1:11" x14ac:dyDescent="0.3">
      <c r="A317">
        <v>592</v>
      </c>
      <c r="B317" s="3">
        <v>3.1448978560422081</v>
      </c>
      <c r="C317" s="2">
        <v>88.999860494817909</v>
      </c>
      <c r="D317" s="1">
        <v>0.45380353961207798</v>
      </c>
      <c r="E317" s="1">
        <f t="shared" si="28"/>
        <v>9.0760707922415591E-3</v>
      </c>
      <c r="F317" s="10">
        <f t="shared" si="29"/>
        <v>22.249965123704477</v>
      </c>
      <c r="G317" s="3">
        <f t="shared" si="30"/>
        <v>0.22690176980603899</v>
      </c>
      <c r="H317" s="22">
        <f t="shared" si="31"/>
        <v>-7.0027913026129349</v>
      </c>
      <c r="I317" s="3">
        <f t="shared" si="34"/>
        <v>1471.7462396507033</v>
      </c>
      <c r="J317" s="12">
        <f t="shared" si="33"/>
        <v>0</v>
      </c>
      <c r="K317">
        <f t="shared" si="32"/>
        <v>0.22690176980603899</v>
      </c>
    </row>
    <row r="318" spans="1:11" x14ac:dyDescent="0.3">
      <c r="A318">
        <v>82</v>
      </c>
      <c r="B318" s="3">
        <v>0.73039598797183691</v>
      </c>
      <c r="C318" s="2">
        <v>21.885409442092516</v>
      </c>
      <c r="D318" s="1">
        <v>0.64616091802461817</v>
      </c>
      <c r="E318" s="1">
        <f t="shared" si="28"/>
        <v>1.2923218360492364E-2</v>
      </c>
      <c r="F318" s="10">
        <f t="shared" si="29"/>
        <v>5.4713523605231291</v>
      </c>
      <c r="G318" s="3">
        <f t="shared" si="30"/>
        <v>0.32308045901230908</v>
      </c>
      <c r="H318" s="22">
        <f t="shared" si="31"/>
        <v>-7.0486037523378764</v>
      </c>
      <c r="I318" s="3">
        <f t="shared" si="34"/>
        <v>1472.4766356386751</v>
      </c>
      <c r="J318" s="12">
        <f t="shared" si="33"/>
        <v>0</v>
      </c>
      <c r="K318">
        <f t="shared" si="32"/>
        <v>0.32308045901230908</v>
      </c>
    </row>
    <row r="319" spans="1:11" x14ac:dyDescent="0.3">
      <c r="A319">
        <v>237</v>
      </c>
      <c r="B319" s="3">
        <v>3.1091345564660191</v>
      </c>
      <c r="C319" s="2">
        <v>93.062008689975769</v>
      </c>
      <c r="D319" s="1">
        <v>2.1828649762581733</v>
      </c>
      <c r="E319" s="1">
        <f t="shared" si="28"/>
        <v>4.3657299525163465E-2</v>
      </c>
      <c r="F319" s="10">
        <f t="shared" si="29"/>
        <v>23.265502172493942</v>
      </c>
      <c r="G319" s="3">
        <f t="shared" si="30"/>
        <v>1.0914324881290867</v>
      </c>
      <c r="H319" s="22">
        <f t="shared" si="31"/>
        <v>-7.1319105949434665</v>
      </c>
      <c r="I319" s="3">
        <f t="shared" si="34"/>
        <v>1475.5857701951411</v>
      </c>
      <c r="J319" s="12">
        <f t="shared" si="33"/>
        <v>0</v>
      </c>
      <c r="K319">
        <f t="shared" si="32"/>
        <v>1.0914324881290867</v>
      </c>
    </row>
    <row r="320" spans="1:11" x14ac:dyDescent="0.3">
      <c r="A320">
        <v>176</v>
      </c>
      <c r="B320" s="3">
        <v>1.9957645744781394</v>
      </c>
      <c r="C320" s="2">
        <v>61.731184328294916</v>
      </c>
      <c r="D320" s="1">
        <v>2.1708540098049571</v>
      </c>
      <c r="E320" s="1">
        <f t="shared" si="28"/>
        <v>4.3417080196099141E-2</v>
      </c>
      <c r="F320" s="10">
        <f t="shared" si="29"/>
        <v>15.432796082073729</v>
      </c>
      <c r="G320" s="3">
        <f t="shared" si="30"/>
        <v>1.0854270049024786</v>
      </c>
      <c r="H320" s="22">
        <f t="shared" si="31"/>
        <v>-7.1889085820269454</v>
      </c>
      <c r="I320" s="3">
        <f t="shared" si="34"/>
        <v>1477.5815347696193</v>
      </c>
      <c r="J320" s="12">
        <f t="shared" si="33"/>
        <v>0</v>
      </c>
      <c r="K320">
        <f t="shared" si="32"/>
        <v>1.0854270049024786</v>
      </c>
    </row>
    <row r="321" spans="1:11" x14ac:dyDescent="0.3">
      <c r="A321">
        <v>945</v>
      </c>
      <c r="B321" s="3">
        <v>1.8525448468969952</v>
      </c>
      <c r="C321" s="2">
        <v>57.428761391341823</v>
      </c>
      <c r="D321" s="1">
        <v>1.9315248026607479</v>
      </c>
      <c r="E321" s="1">
        <f t="shared" si="28"/>
        <v>3.863049605321496E-2</v>
      </c>
      <c r="F321" s="10">
        <f t="shared" si="29"/>
        <v>14.357190347835456</v>
      </c>
      <c r="G321" s="3">
        <f t="shared" si="30"/>
        <v>0.96576240133037405</v>
      </c>
      <c r="H321" s="22">
        <f t="shared" si="31"/>
        <v>-7.2286659990637574</v>
      </c>
      <c r="I321" s="3">
        <f t="shared" si="34"/>
        <v>1479.4340796165163</v>
      </c>
      <c r="J321" s="12">
        <f t="shared" si="33"/>
        <v>0</v>
      </c>
      <c r="K321">
        <f t="shared" si="32"/>
        <v>0.96576240133037405</v>
      </c>
    </row>
    <row r="322" spans="1:11" x14ac:dyDescent="0.3">
      <c r="A322">
        <v>974</v>
      </c>
      <c r="B322" s="3">
        <v>2.6042552090840445</v>
      </c>
      <c r="C322" s="2">
        <v>77.92819183853787</v>
      </c>
      <c r="D322" s="1">
        <v>1.2883663378130155</v>
      </c>
      <c r="E322" s="1">
        <f t="shared" ref="E322:E385" si="35">D322/50</f>
        <v>2.5767326756260308E-2</v>
      </c>
      <c r="F322" s="10">
        <f t="shared" ref="F322:F385" si="36">0.25*C322</f>
        <v>19.482047959634468</v>
      </c>
      <c r="G322" s="3">
        <f t="shared" ref="G322:G385" si="37">25*E322</f>
        <v>0.64418316890650773</v>
      </c>
      <c r="H322" s="22">
        <f t="shared" ref="H322:H385" si="38">(G322-F322)/B322</f>
        <v>-7.2334941387535974</v>
      </c>
      <c r="I322" s="3">
        <f t="shared" si="34"/>
        <v>1482.0383348256005</v>
      </c>
      <c r="J322" s="12">
        <f t="shared" si="33"/>
        <v>0</v>
      </c>
      <c r="K322">
        <f t="shared" ref="K322:K385" si="39">IF(J322 = 1, F322, G322)</f>
        <v>0.64418316890650773</v>
      </c>
    </row>
    <row r="323" spans="1:11" x14ac:dyDescent="0.3">
      <c r="A323">
        <v>680</v>
      </c>
      <c r="B323" s="3">
        <v>1.4747400412709999</v>
      </c>
      <c r="C323" s="2">
        <v>44.543248033680769</v>
      </c>
      <c r="D323" s="1">
        <v>0.87520140195711849</v>
      </c>
      <c r="E323" s="1">
        <f t="shared" si="35"/>
        <v>1.7504028039142371E-2</v>
      </c>
      <c r="F323" s="10">
        <f t="shared" si="36"/>
        <v>11.135812008420192</v>
      </c>
      <c r="G323" s="3">
        <f t="shared" si="37"/>
        <v>0.4376007009785593</v>
      </c>
      <c r="H323" s="22">
        <f t="shared" si="38"/>
        <v>-7.2543031368575406</v>
      </c>
      <c r="I323" s="3">
        <f t="shared" si="34"/>
        <v>1483.5130748668714</v>
      </c>
      <c r="J323" s="12">
        <f t="shared" ref="J323:J386" si="40">IF(I323 &lt;= 500, 1, 0)</f>
        <v>0</v>
      </c>
      <c r="K323">
        <f t="shared" si="39"/>
        <v>0.4376007009785593</v>
      </c>
    </row>
    <row r="324" spans="1:11" x14ac:dyDescent="0.3">
      <c r="A324">
        <v>427</v>
      </c>
      <c r="B324" s="3">
        <v>1.6019813705055252</v>
      </c>
      <c r="C324" s="2">
        <v>47.266987872917873</v>
      </c>
      <c r="D324" s="1">
        <v>0.36150181534404291</v>
      </c>
      <c r="E324" s="1">
        <f t="shared" si="35"/>
        <v>7.230036306880858E-3</v>
      </c>
      <c r="F324" s="10">
        <f t="shared" si="36"/>
        <v>11.816746968229468</v>
      </c>
      <c r="G324" s="3">
        <f t="shared" si="37"/>
        <v>0.18075090767202145</v>
      </c>
      <c r="H324" s="22">
        <f t="shared" si="38"/>
        <v>-7.2635027315489715</v>
      </c>
      <c r="I324" s="3">
        <f t="shared" ref="I324:I387" si="41">B324+I323</f>
        <v>1485.1150562373768</v>
      </c>
      <c r="J324" s="12">
        <f t="shared" si="40"/>
        <v>0</v>
      </c>
      <c r="K324">
        <f t="shared" si="39"/>
        <v>0.18075090767202145</v>
      </c>
    </row>
    <row r="325" spans="1:11" x14ac:dyDescent="0.3">
      <c r="A325">
        <v>1063</v>
      </c>
      <c r="B325" s="3">
        <v>2.7950238911642353</v>
      </c>
      <c r="C325" s="2">
        <v>85.746838630582275</v>
      </c>
      <c r="D325" s="1">
        <v>2.2679801553515504</v>
      </c>
      <c r="E325" s="1">
        <f t="shared" si="35"/>
        <v>4.5359603107031007E-2</v>
      </c>
      <c r="F325" s="10">
        <f t="shared" si="36"/>
        <v>21.436709657645569</v>
      </c>
      <c r="G325" s="3">
        <f t="shared" si="37"/>
        <v>1.1339900776757752</v>
      </c>
      <c r="H325" s="22">
        <f t="shared" si="38"/>
        <v>-7.2638805142781537</v>
      </c>
      <c r="I325" s="3">
        <f t="shared" si="41"/>
        <v>1487.910080128541</v>
      </c>
      <c r="J325" s="12">
        <f t="shared" si="40"/>
        <v>0</v>
      </c>
      <c r="K325">
        <f t="shared" si="39"/>
        <v>1.1339900776757752</v>
      </c>
    </row>
    <row r="326" spans="1:11" x14ac:dyDescent="0.3">
      <c r="A326">
        <v>284</v>
      </c>
      <c r="B326" s="3">
        <v>2.1396947851162542</v>
      </c>
      <c r="C326" s="2">
        <v>67.170079721408385</v>
      </c>
      <c r="D326" s="1">
        <v>2.2969611523572326</v>
      </c>
      <c r="E326" s="1">
        <f t="shared" si="35"/>
        <v>4.5939223047144651E-2</v>
      </c>
      <c r="F326" s="10">
        <f t="shared" si="36"/>
        <v>16.792519930352096</v>
      </c>
      <c r="G326" s="3">
        <f t="shared" si="37"/>
        <v>1.1484805761786163</v>
      </c>
      <c r="H326" s="22">
        <f t="shared" si="38"/>
        <v>-7.3113415347803938</v>
      </c>
      <c r="I326" s="3">
        <f t="shared" si="41"/>
        <v>1490.0497749136573</v>
      </c>
      <c r="J326" s="12">
        <f t="shared" si="40"/>
        <v>0</v>
      </c>
      <c r="K326">
        <f t="shared" si="39"/>
        <v>1.1484805761786163</v>
      </c>
    </row>
    <row r="327" spans="1:11" x14ac:dyDescent="0.3">
      <c r="A327">
        <v>777</v>
      </c>
      <c r="B327" s="3">
        <v>2.671789963568163</v>
      </c>
      <c r="C327" s="2">
        <v>79.960129684216227</v>
      </c>
      <c r="D327" s="1">
        <v>0.54849940582999301</v>
      </c>
      <c r="E327" s="1">
        <f t="shared" si="35"/>
        <v>1.096998811659986E-2</v>
      </c>
      <c r="F327" s="10">
        <f t="shared" si="36"/>
        <v>19.990032421054057</v>
      </c>
      <c r="G327" s="3">
        <f t="shared" si="37"/>
        <v>0.27424970291499651</v>
      </c>
      <c r="H327" s="22">
        <f t="shared" si="38"/>
        <v>-7.3792412528598339</v>
      </c>
      <c r="I327" s="3">
        <f t="shared" si="41"/>
        <v>1492.7215648772255</v>
      </c>
      <c r="J327" s="12">
        <f t="shared" si="40"/>
        <v>0</v>
      </c>
      <c r="K327">
        <f t="shared" si="39"/>
        <v>0.27424970291499651</v>
      </c>
    </row>
    <row r="328" spans="1:11" x14ac:dyDescent="0.3">
      <c r="A328">
        <v>832</v>
      </c>
      <c r="B328" s="3">
        <v>2.5123292766081216</v>
      </c>
      <c r="C328" s="2">
        <v>79.466066822644891</v>
      </c>
      <c r="D328" s="1">
        <v>2.5387498378529934</v>
      </c>
      <c r="E328" s="1">
        <f t="shared" si="35"/>
        <v>5.0774996757059869E-2</v>
      </c>
      <c r="F328" s="10">
        <f t="shared" si="36"/>
        <v>19.866516705661223</v>
      </c>
      <c r="G328" s="3">
        <f t="shared" si="37"/>
        <v>1.2693749189264967</v>
      </c>
      <c r="H328" s="22">
        <f t="shared" si="38"/>
        <v>-7.4023504641249085</v>
      </c>
      <c r="I328" s="3">
        <f t="shared" si="41"/>
        <v>1495.2338941538337</v>
      </c>
      <c r="J328" s="12">
        <f t="shared" si="40"/>
        <v>0</v>
      </c>
      <c r="K328">
        <f t="shared" si="39"/>
        <v>1.2693749189264967</v>
      </c>
    </row>
    <row r="329" spans="1:11" x14ac:dyDescent="0.3">
      <c r="A329">
        <v>478</v>
      </c>
      <c r="B329" s="3">
        <v>2.4935478014950609</v>
      </c>
      <c r="C329" s="2">
        <v>75.927294158058331</v>
      </c>
      <c r="D329" s="1">
        <v>0.56322531425531597</v>
      </c>
      <c r="E329" s="1">
        <f t="shared" si="35"/>
        <v>1.1264506285106319E-2</v>
      </c>
      <c r="F329" s="10">
        <f t="shared" si="36"/>
        <v>18.981823539514583</v>
      </c>
      <c r="G329" s="3">
        <f t="shared" si="37"/>
        <v>0.28161265712765798</v>
      </c>
      <c r="H329" s="22">
        <f t="shared" si="38"/>
        <v>-7.4994395018915645</v>
      </c>
      <c r="I329" s="3">
        <f t="shared" si="41"/>
        <v>1497.7274419553287</v>
      </c>
      <c r="J329" s="12">
        <f t="shared" si="40"/>
        <v>0</v>
      </c>
      <c r="K329">
        <f t="shared" si="39"/>
        <v>0.28161265712765798</v>
      </c>
    </row>
    <row r="330" spans="1:11" x14ac:dyDescent="0.3">
      <c r="A330">
        <v>128</v>
      </c>
      <c r="B330" s="3">
        <v>3.1105955154469189</v>
      </c>
      <c r="C330" s="2">
        <v>97.376170710780329</v>
      </c>
      <c r="D330" s="1">
        <v>1.4899168860371081</v>
      </c>
      <c r="E330" s="1">
        <f t="shared" si="35"/>
        <v>2.9798337720742162E-2</v>
      </c>
      <c r="F330" s="10">
        <f t="shared" si="36"/>
        <v>24.344042677695082</v>
      </c>
      <c r="G330" s="3">
        <f t="shared" si="37"/>
        <v>0.74495844301855407</v>
      </c>
      <c r="H330" s="22">
        <f t="shared" si="38"/>
        <v>-7.5866772511841347</v>
      </c>
      <c r="I330" s="3">
        <f t="shared" si="41"/>
        <v>1500.8380374707756</v>
      </c>
      <c r="J330" s="12">
        <f t="shared" si="40"/>
        <v>0</v>
      </c>
      <c r="K330">
        <f t="shared" si="39"/>
        <v>0.74495844301855407</v>
      </c>
    </row>
    <row r="331" spans="1:11" x14ac:dyDescent="0.3">
      <c r="A331">
        <v>23</v>
      </c>
      <c r="B331" s="3">
        <v>1.9335633747787351</v>
      </c>
      <c r="C331" s="2">
        <v>62.52287629273178</v>
      </c>
      <c r="D331" s="1">
        <v>1.5706768229459045</v>
      </c>
      <c r="E331" s="1">
        <f t="shared" si="35"/>
        <v>3.141353645891809E-2</v>
      </c>
      <c r="F331" s="10">
        <f t="shared" si="36"/>
        <v>15.630719073182945</v>
      </c>
      <c r="G331" s="3">
        <f t="shared" si="37"/>
        <v>0.78533841147295225</v>
      </c>
      <c r="H331" s="22">
        <f t="shared" si="38"/>
        <v>-7.6777316199469308</v>
      </c>
      <c r="I331" s="3">
        <f t="shared" si="41"/>
        <v>1502.7716008455543</v>
      </c>
      <c r="J331" s="12">
        <f t="shared" si="40"/>
        <v>0</v>
      </c>
      <c r="K331">
        <f t="shared" si="39"/>
        <v>0.78533841147295225</v>
      </c>
    </row>
    <row r="332" spans="1:11" x14ac:dyDescent="0.3">
      <c r="A332">
        <v>294</v>
      </c>
      <c r="B332" s="3">
        <v>0.73039598797183691</v>
      </c>
      <c r="C332" s="2">
        <v>24.155105485004302</v>
      </c>
      <c r="D332" s="1">
        <v>0.83657005750647651</v>
      </c>
      <c r="E332" s="1">
        <f t="shared" si="35"/>
        <v>1.673140115012953E-2</v>
      </c>
      <c r="F332" s="10">
        <f t="shared" si="36"/>
        <v>6.0387763712510756</v>
      </c>
      <c r="G332" s="3">
        <f t="shared" si="37"/>
        <v>0.41828502875323825</v>
      </c>
      <c r="H332" s="22">
        <f t="shared" si="38"/>
        <v>-7.6951289917470849</v>
      </c>
      <c r="I332" s="3">
        <f t="shared" si="41"/>
        <v>1503.5019968335262</v>
      </c>
      <c r="J332" s="12">
        <f t="shared" si="40"/>
        <v>0</v>
      </c>
      <c r="K332">
        <f t="shared" si="39"/>
        <v>0.41828502875323825</v>
      </c>
    </row>
    <row r="333" spans="1:11" x14ac:dyDescent="0.3">
      <c r="A333">
        <v>951</v>
      </c>
      <c r="B333" s="3">
        <v>2.621341523654638</v>
      </c>
      <c r="C333" s="2">
        <v>86.065097671960714</v>
      </c>
      <c r="D333" s="1">
        <v>2.6247247209377544</v>
      </c>
      <c r="E333" s="1">
        <f t="shared" si="35"/>
        <v>5.2494494418755089E-2</v>
      </c>
      <c r="F333" s="10">
        <f t="shared" si="36"/>
        <v>21.516274417990179</v>
      </c>
      <c r="G333" s="3">
        <f t="shared" si="37"/>
        <v>1.3123623604688772</v>
      </c>
      <c r="H333" s="22">
        <f t="shared" si="38"/>
        <v>-7.7074703449374606</v>
      </c>
      <c r="I333" s="3">
        <f t="shared" si="41"/>
        <v>1506.1233383571807</v>
      </c>
      <c r="J333" s="12">
        <f t="shared" si="40"/>
        <v>0</v>
      </c>
      <c r="K333">
        <f t="shared" si="39"/>
        <v>1.3123623604688772</v>
      </c>
    </row>
    <row r="334" spans="1:11" x14ac:dyDescent="0.3">
      <c r="A334">
        <v>1074</v>
      </c>
      <c r="B334" s="3">
        <v>1.9862065651892213</v>
      </c>
      <c r="C334" s="2">
        <v>63.634642964976607</v>
      </c>
      <c r="D334" s="1">
        <v>1.1383779836233618</v>
      </c>
      <c r="E334" s="1">
        <f t="shared" si="35"/>
        <v>2.2767559672467238E-2</v>
      </c>
      <c r="F334" s="10">
        <f t="shared" si="36"/>
        <v>15.908660741244152</v>
      </c>
      <c r="G334" s="3">
        <f t="shared" si="37"/>
        <v>0.56918899181168092</v>
      </c>
      <c r="H334" s="22">
        <f t="shared" si="38"/>
        <v>-7.7229992178437472</v>
      </c>
      <c r="I334" s="3">
        <f t="shared" si="41"/>
        <v>1508.1095449223699</v>
      </c>
      <c r="J334" s="12">
        <f t="shared" si="40"/>
        <v>0</v>
      </c>
      <c r="K334">
        <f t="shared" si="39"/>
        <v>0.56918899181168092</v>
      </c>
    </row>
    <row r="335" spans="1:11" x14ac:dyDescent="0.3">
      <c r="A335">
        <v>417</v>
      </c>
      <c r="B335" s="3">
        <v>2.5451494406359032</v>
      </c>
      <c r="C335" s="2">
        <v>82.205010121632455</v>
      </c>
      <c r="D335" s="1">
        <v>1.360162703625075</v>
      </c>
      <c r="E335" s="1">
        <f t="shared" si="35"/>
        <v>2.7203254072501501E-2</v>
      </c>
      <c r="F335" s="10">
        <f t="shared" si="36"/>
        <v>20.551252530408114</v>
      </c>
      <c r="G335" s="3">
        <f t="shared" si="37"/>
        <v>0.68008135181253748</v>
      </c>
      <c r="H335" s="22">
        <f t="shared" si="38"/>
        <v>-7.807467357842369</v>
      </c>
      <c r="I335" s="3">
        <f t="shared" si="41"/>
        <v>1510.6546943630058</v>
      </c>
      <c r="J335" s="12">
        <f t="shared" si="40"/>
        <v>0</v>
      </c>
      <c r="K335">
        <f t="shared" si="39"/>
        <v>0.68008135181253748</v>
      </c>
    </row>
    <row r="336" spans="1:11" x14ac:dyDescent="0.3">
      <c r="A336">
        <v>1049</v>
      </c>
      <c r="B336" s="3">
        <v>2.9952230291617266</v>
      </c>
      <c r="C336" s="2">
        <v>99.086174017006172</v>
      </c>
      <c r="D336" s="1">
        <v>2.7454812486031814</v>
      </c>
      <c r="E336" s="1">
        <f t="shared" si="35"/>
        <v>5.4909624972063628E-2</v>
      </c>
      <c r="F336" s="10">
        <f t="shared" si="36"/>
        <v>24.771543504251543</v>
      </c>
      <c r="G336" s="3">
        <f t="shared" si="37"/>
        <v>1.3727406243015907</v>
      </c>
      <c r="H336" s="22">
        <f t="shared" si="38"/>
        <v>-7.8120402561469948</v>
      </c>
      <c r="I336" s="3">
        <f t="shared" si="41"/>
        <v>1513.6499173921675</v>
      </c>
      <c r="J336" s="12">
        <f t="shared" si="40"/>
        <v>0</v>
      </c>
      <c r="K336">
        <f t="shared" si="39"/>
        <v>1.3727406243015907</v>
      </c>
    </row>
    <row r="337" spans="1:11" x14ac:dyDescent="0.3">
      <c r="A337">
        <v>866</v>
      </c>
      <c r="B337" s="3">
        <v>2.6350399785298926</v>
      </c>
      <c r="C337" s="2">
        <v>85.066456875315552</v>
      </c>
      <c r="D337" s="1">
        <v>1.3373020077115685</v>
      </c>
      <c r="E337" s="1">
        <f t="shared" si="35"/>
        <v>2.6746040154231369E-2</v>
      </c>
      <c r="F337" s="10">
        <f t="shared" si="36"/>
        <v>21.266614218828888</v>
      </c>
      <c r="G337" s="3">
        <f t="shared" si="37"/>
        <v>0.66865100385578424</v>
      </c>
      <c r="H337" s="22">
        <f t="shared" si="38"/>
        <v>-7.81694523908698</v>
      </c>
      <c r="I337" s="3">
        <f t="shared" si="41"/>
        <v>1516.2849573706974</v>
      </c>
      <c r="J337" s="12">
        <f t="shared" si="40"/>
        <v>0</v>
      </c>
      <c r="K337">
        <f t="shared" si="39"/>
        <v>0.66865100385578424</v>
      </c>
    </row>
    <row r="338" spans="1:11" x14ac:dyDescent="0.3">
      <c r="A338">
        <v>774</v>
      </c>
      <c r="B338" s="3">
        <v>0.80469247439743818</v>
      </c>
      <c r="C338" s="2">
        <v>30.107002860584998</v>
      </c>
      <c r="D338" s="1">
        <v>2.4069120957504273</v>
      </c>
      <c r="E338" s="1">
        <f t="shared" si="35"/>
        <v>4.8138241915008546E-2</v>
      </c>
      <c r="F338" s="10">
        <f t="shared" si="36"/>
        <v>7.5267507151462496</v>
      </c>
      <c r="G338" s="3">
        <f t="shared" si="37"/>
        <v>1.2034560478752137</v>
      </c>
      <c r="H338" s="22">
        <f t="shared" si="38"/>
        <v>-7.858026349762973</v>
      </c>
      <c r="I338" s="3">
        <f t="shared" si="41"/>
        <v>1517.0896498450948</v>
      </c>
      <c r="J338" s="12">
        <f t="shared" si="40"/>
        <v>0</v>
      </c>
      <c r="K338">
        <f t="shared" si="39"/>
        <v>1.2034560478752137</v>
      </c>
    </row>
    <row r="339" spans="1:11" x14ac:dyDescent="0.3">
      <c r="A339">
        <v>320</v>
      </c>
      <c r="B339" s="3">
        <v>2.830000131724538</v>
      </c>
      <c r="C339" s="2">
        <v>91.605800730371527</v>
      </c>
      <c r="D339" s="1">
        <v>1.1594194856160032</v>
      </c>
      <c r="E339" s="1">
        <f t="shared" si="35"/>
        <v>2.3188389712320064E-2</v>
      </c>
      <c r="F339" s="10">
        <f t="shared" si="36"/>
        <v>22.901450182592882</v>
      </c>
      <c r="G339" s="3">
        <f t="shared" si="37"/>
        <v>0.57970974280800158</v>
      </c>
      <c r="H339" s="22">
        <f t="shared" si="38"/>
        <v>-7.8875404243117524</v>
      </c>
      <c r="I339" s="3">
        <f t="shared" si="41"/>
        <v>1519.9196499768193</v>
      </c>
      <c r="J339" s="12">
        <f t="shared" si="40"/>
        <v>0</v>
      </c>
      <c r="K339">
        <f t="shared" si="39"/>
        <v>0.57970974280800158</v>
      </c>
    </row>
    <row r="340" spans="1:11" x14ac:dyDescent="0.3">
      <c r="A340">
        <v>270</v>
      </c>
      <c r="B340" s="3">
        <v>2.6440297825127281</v>
      </c>
      <c r="C340" s="2">
        <v>89.003019126070697</v>
      </c>
      <c r="D340" s="1">
        <v>2.5154628142861974</v>
      </c>
      <c r="E340" s="1">
        <f t="shared" si="35"/>
        <v>5.0309256285723948E-2</v>
      </c>
      <c r="F340" s="10">
        <f t="shared" si="36"/>
        <v>22.250754781517674</v>
      </c>
      <c r="G340" s="3">
        <f t="shared" si="37"/>
        <v>1.2577314071430987</v>
      </c>
      <c r="H340" s="22">
        <f t="shared" si="38"/>
        <v>-7.9397832479874939</v>
      </c>
      <c r="I340" s="3">
        <f t="shared" si="41"/>
        <v>1522.563679759332</v>
      </c>
      <c r="J340" s="12">
        <f t="shared" si="40"/>
        <v>0</v>
      </c>
      <c r="K340">
        <f t="shared" si="39"/>
        <v>1.2577314071430987</v>
      </c>
    </row>
    <row r="341" spans="1:11" x14ac:dyDescent="0.3">
      <c r="A341">
        <v>468</v>
      </c>
      <c r="B341" s="3">
        <v>2.6929204855717415</v>
      </c>
      <c r="C341" s="2">
        <v>90.911355869028071</v>
      </c>
      <c r="D341" s="1">
        <v>2.3798072204901284</v>
      </c>
      <c r="E341" s="1">
        <f t="shared" si="35"/>
        <v>4.7596144409802567E-2</v>
      </c>
      <c r="F341" s="10">
        <f t="shared" si="36"/>
        <v>22.727838967257018</v>
      </c>
      <c r="G341" s="3">
        <f t="shared" si="37"/>
        <v>1.1899036102450642</v>
      </c>
      <c r="H341" s="22">
        <f t="shared" si="38"/>
        <v>-7.9979841485884702</v>
      </c>
      <c r="I341" s="3">
        <f t="shared" si="41"/>
        <v>1525.2566002449037</v>
      </c>
      <c r="J341" s="12">
        <f t="shared" si="40"/>
        <v>0</v>
      </c>
      <c r="K341">
        <f t="shared" si="39"/>
        <v>1.1899036102450642</v>
      </c>
    </row>
    <row r="342" spans="1:11" x14ac:dyDescent="0.3">
      <c r="A342">
        <v>47</v>
      </c>
      <c r="B342" s="3">
        <v>2.491868862856804</v>
      </c>
      <c r="C342" s="2">
        <v>83.543252086202173</v>
      </c>
      <c r="D342" s="1">
        <v>1.8616229357881728</v>
      </c>
      <c r="E342" s="1">
        <f t="shared" si="35"/>
        <v>3.7232458715763458E-2</v>
      </c>
      <c r="F342" s="10">
        <f t="shared" si="36"/>
        <v>20.885813021550543</v>
      </c>
      <c r="G342" s="3">
        <f t="shared" si="37"/>
        <v>0.93081146789408642</v>
      </c>
      <c r="H342" s="22">
        <f t="shared" si="38"/>
        <v>-8.0080464309743178</v>
      </c>
      <c r="I342" s="3">
        <f t="shared" si="41"/>
        <v>1527.7484691077605</v>
      </c>
      <c r="J342" s="12">
        <f t="shared" si="40"/>
        <v>0</v>
      </c>
      <c r="K342">
        <f t="shared" si="39"/>
        <v>0.93081146789408642</v>
      </c>
    </row>
    <row r="343" spans="1:11" x14ac:dyDescent="0.3">
      <c r="A343">
        <v>820</v>
      </c>
      <c r="B343" s="3">
        <v>2.8667342608148338</v>
      </c>
      <c r="C343" s="2">
        <v>93.1599478171469</v>
      </c>
      <c r="D343" s="1">
        <v>0.40648714014498344</v>
      </c>
      <c r="E343" s="1">
        <f t="shared" si="35"/>
        <v>8.1297428028996692E-3</v>
      </c>
      <c r="F343" s="10">
        <f t="shared" si="36"/>
        <v>23.289986954286725</v>
      </c>
      <c r="G343" s="3">
        <f t="shared" si="37"/>
        <v>0.20324357007249172</v>
      </c>
      <c r="H343" s="22">
        <f t="shared" si="38"/>
        <v>-8.0533252418213728</v>
      </c>
      <c r="I343" s="3">
        <f t="shared" si="41"/>
        <v>1530.6152033685753</v>
      </c>
      <c r="J343" s="12">
        <f t="shared" si="40"/>
        <v>0</v>
      </c>
      <c r="K343">
        <f t="shared" si="39"/>
        <v>0.20324357007249172</v>
      </c>
    </row>
    <row r="344" spans="1:11" x14ac:dyDescent="0.3">
      <c r="A344">
        <v>543</v>
      </c>
      <c r="B344" s="3">
        <v>2.6990095804642378</v>
      </c>
      <c r="C344" s="2">
        <v>96.478619023202157</v>
      </c>
      <c r="D344" s="1">
        <v>2.7633519420603814</v>
      </c>
      <c r="E344" s="1">
        <f t="shared" si="35"/>
        <v>5.5267038841207629E-2</v>
      </c>
      <c r="F344" s="10">
        <f t="shared" si="36"/>
        <v>24.119654755800539</v>
      </c>
      <c r="G344" s="3">
        <f t="shared" si="37"/>
        <v>1.3816759710301907</v>
      </c>
      <c r="H344" s="22">
        <f t="shared" si="38"/>
        <v>-8.424563939806152</v>
      </c>
      <c r="I344" s="3">
        <f t="shared" si="41"/>
        <v>1533.3142129490395</v>
      </c>
      <c r="J344" s="12">
        <f t="shared" si="40"/>
        <v>0</v>
      </c>
      <c r="K344">
        <f t="shared" si="39"/>
        <v>1.3816759710301907</v>
      </c>
    </row>
    <row r="345" spans="1:11" x14ac:dyDescent="0.3">
      <c r="A345">
        <v>275</v>
      </c>
      <c r="B345" s="3">
        <v>1.1922314998958539</v>
      </c>
      <c r="C345" s="2">
        <v>42.638964580565528</v>
      </c>
      <c r="D345" s="1">
        <v>1.0719389308534297</v>
      </c>
      <c r="E345" s="1">
        <f t="shared" si="35"/>
        <v>2.1438778617068596E-2</v>
      </c>
      <c r="F345" s="10">
        <f t="shared" si="36"/>
        <v>10.659741145141382</v>
      </c>
      <c r="G345" s="3">
        <f t="shared" si="37"/>
        <v>0.53596946542671486</v>
      </c>
      <c r="H345" s="22">
        <f t="shared" si="38"/>
        <v>-8.4914479114157082</v>
      </c>
      <c r="I345" s="3">
        <f t="shared" si="41"/>
        <v>1534.5064444489353</v>
      </c>
      <c r="J345" s="12">
        <f t="shared" si="40"/>
        <v>0</v>
      </c>
      <c r="K345">
        <f t="shared" si="39"/>
        <v>0.53596946542671486</v>
      </c>
    </row>
    <row r="346" spans="1:11" x14ac:dyDescent="0.3">
      <c r="A346">
        <v>1067</v>
      </c>
      <c r="B346" s="3">
        <v>1.4691299285864245</v>
      </c>
      <c r="C346" s="2">
        <v>53.878147348672492</v>
      </c>
      <c r="D346" s="1">
        <v>1.3437220959624536</v>
      </c>
      <c r="E346" s="1">
        <f t="shared" si="35"/>
        <v>2.6874441919249072E-2</v>
      </c>
      <c r="F346" s="10">
        <f t="shared" si="36"/>
        <v>13.469536837168123</v>
      </c>
      <c r="G346" s="3">
        <f t="shared" si="37"/>
        <v>0.67186104798122681</v>
      </c>
      <c r="H346" s="22">
        <f t="shared" si="38"/>
        <v>-8.7110578446255165</v>
      </c>
      <c r="I346" s="3">
        <f t="shared" si="41"/>
        <v>1535.9755743775218</v>
      </c>
      <c r="J346" s="12">
        <f t="shared" si="40"/>
        <v>0</v>
      </c>
      <c r="K346">
        <f t="shared" si="39"/>
        <v>0.67186104798122681</v>
      </c>
    </row>
    <row r="347" spans="1:11" x14ac:dyDescent="0.3">
      <c r="A347">
        <v>805</v>
      </c>
      <c r="B347" s="3">
        <v>1.7599411510963692</v>
      </c>
      <c r="C347" s="2">
        <v>63.93822553659431</v>
      </c>
      <c r="D347" s="1">
        <v>1.1781907304624772</v>
      </c>
      <c r="E347" s="1">
        <f t="shared" si="35"/>
        <v>2.3563814609249546E-2</v>
      </c>
      <c r="F347" s="10">
        <f t="shared" si="36"/>
        <v>15.984556384148577</v>
      </c>
      <c r="G347" s="3">
        <f t="shared" si="37"/>
        <v>0.58909536523123862</v>
      </c>
      <c r="H347" s="22">
        <f t="shared" si="38"/>
        <v>-8.7477135296976343</v>
      </c>
      <c r="I347" s="3">
        <f t="shared" si="41"/>
        <v>1537.7355155286182</v>
      </c>
      <c r="J347" s="12">
        <f t="shared" si="40"/>
        <v>0</v>
      </c>
      <c r="K347">
        <f t="shared" si="39"/>
        <v>0.58909536523123862</v>
      </c>
    </row>
    <row r="348" spans="1:11" x14ac:dyDescent="0.3">
      <c r="A348">
        <v>344</v>
      </c>
      <c r="B348" s="3">
        <v>1.4409555797462914</v>
      </c>
      <c r="C348" s="2">
        <v>51.826452812467558</v>
      </c>
      <c r="D348" s="1">
        <v>0.656559191745685</v>
      </c>
      <c r="E348" s="1">
        <f t="shared" si="35"/>
        <v>1.31311838349137E-2</v>
      </c>
      <c r="F348" s="10">
        <f t="shared" si="36"/>
        <v>12.956613203116889</v>
      </c>
      <c r="G348" s="3">
        <f t="shared" si="37"/>
        <v>0.3282795958728425</v>
      </c>
      <c r="H348" s="22">
        <f t="shared" si="38"/>
        <v>-8.7638604442390324</v>
      </c>
      <c r="I348" s="3">
        <f t="shared" si="41"/>
        <v>1539.1764711083645</v>
      </c>
      <c r="J348" s="12">
        <f t="shared" si="40"/>
        <v>0</v>
      </c>
      <c r="K348">
        <f t="shared" si="39"/>
        <v>0.3282795958728425</v>
      </c>
    </row>
    <row r="349" spans="1:11" x14ac:dyDescent="0.3">
      <c r="A349">
        <v>458</v>
      </c>
      <c r="B349" s="3">
        <v>2.2156445007231671</v>
      </c>
      <c r="C349" s="2">
        <v>79.041446545527791</v>
      </c>
      <c r="D349" s="1">
        <v>0.60677025062705414</v>
      </c>
      <c r="E349" s="1">
        <f t="shared" si="35"/>
        <v>1.2135405012541083E-2</v>
      </c>
      <c r="F349" s="10">
        <f t="shared" si="36"/>
        <v>19.760361636381948</v>
      </c>
      <c r="G349" s="3">
        <f t="shared" si="37"/>
        <v>0.30338512531352707</v>
      </c>
      <c r="H349" s="22">
        <f t="shared" si="38"/>
        <v>-8.7816328407909463</v>
      </c>
      <c r="I349" s="3">
        <f t="shared" si="41"/>
        <v>1541.3921156090876</v>
      </c>
      <c r="J349" s="12">
        <f t="shared" si="40"/>
        <v>0</v>
      </c>
      <c r="K349">
        <f t="shared" si="39"/>
        <v>0.30338512531352707</v>
      </c>
    </row>
    <row r="350" spans="1:11" x14ac:dyDescent="0.3">
      <c r="A350">
        <v>881</v>
      </c>
      <c r="B350" s="3">
        <v>2.0578832456965057</v>
      </c>
      <c r="C350" s="2">
        <v>77.377469664625195</v>
      </c>
      <c r="D350" s="1">
        <v>2.4512612306009425</v>
      </c>
      <c r="E350" s="1">
        <f t="shared" si="35"/>
        <v>4.9025224612018851E-2</v>
      </c>
      <c r="F350" s="10">
        <f t="shared" si="36"/>
        <v>19.344367416156299</v>
      </c>
      <c r="G350" s="3">
        <f t="shared" si="37"/>
        <v>1.2256306153004712</v>
      </c>
      <c r="H350" s="22">
        <f t="shared" si="38"/>
        <v>-8.8045504227444198</v>
      </c>
      <c r="I350" s="3">
        <f t="shared" si="41"/>
        <v>1543.4499988547841</v>
      </c>
      <c r="J350" s="12">
        <f t="shared" si="40"/>
        <v>0</v>
      </c>
      <c r="K350">
        <f t="shared" si="39"/>
        <v>1.2256306153004712</v>
      </c>
    </row>
    <row r="351" spans="1:11" x14ac:dyDescent="0.3">
      <c r="A351">
        <v>131</v>
      </c>
      <c r="B351" s="3">
        <v>2.0023713218743779</v>
      </c>
      <c r="C351" s="2">
        <v>75.08130176375748</v>
      </c>
      <c r="D351" s="1">
        <v>2.198647144770252</v>
      </c>
      <c r="E351" s="1">
        <f t="shared" si="35"/>
        <v>4.3972942895405043E-2</v>
      </c>
      <c r="F351" s="10">
        <f t="shared" si="36"/>
        <v>18.77032544093937</v>
      </c>
      <c r="G351" s="3">
        <f t="shared" si="37"/>
        <v>1.099323572385126</v>
      </c>
      <c r="H351" s="22">
        <f t="shared" si="38"/>
        <v>-8.8250374321246206</v>
      </c>
      <c r="I351" s="3">
        <f t="shared" si="41"/>
        <v>1545.4523701766584</v>
      </c>
      <c r="J351" s="12">
        <f t="shared" si="40"/>
        <v>0</v>
      </c>
      <c r="K351">
        <f t="shared" si="39"/>
        <v>1.099323572385126</v>
      </c>
    </row>
    <row r="352" spans="1:11" x14ac:dyDescent="0.3">
      <c r="A352">
        <v>1104</v>
      </c>
      <c r="B352" s="3">
        <v>2.4110866230520589</v>
      </c>
      <c r="C352" s="2">
        <v>87.68549569993786</v>
      </c>
      <c r="D352" s="1">
        <v>1.2292350199888231</v>
      </c>
      <c r="E352" s="1">
        <f t="shared" si="35"/>
        <v>2.4584700399776463E-2</v>
      </c>
      <c r="F352" s="10">
        <f t="shared" si="36"/>
        <v>21.921373924984465</v>
      </c>
      <c r="G352" s="3">
        <f t="shared" si="37"/>
        <v>0.61461750999441156</v>
      </c>
      <c r="H352" s="22">
        <f t="shared" si="38"/>
        <v>-8.836993333743866</v>
      </c>
      <c r="I352" s="3">
        <f t="shared" si="41"/>
        <v>1547.8634567997105</v>
      </c>
      <c r="J352" s="12">
        <f t="shared" si="40"/>
        <v>0</v>
      </c>
      <c r="K352">
        <f t="shared" si="39"/>
        <v>0.61461750999441156</v>
      </c>
    </row>
    <row r="353" spans="1:11" x14ac:dyDescent="0.3">
      <c r="A353">
        <v>317</v>
      </c>
      <c r="B353" s="3">
        <v>2.375879976802727</v>
      </c>
      <c r="C353" s="2">
        <v>85.288951892263583</v>
      </c>
      <c r="D353" s="1">
        <v>0.42659838856682947</v>
      </c>
      <c r="E353" s="1">
        <f t="shared" si="35"/>
        <v>8.5319677713365898E-3</v>
      </c>
      <c r="F353" s="10">
        <f t="shared" si="36"/>
        <v>21.322237973065896</v>
      </c>
      <c r="G353" s="3">
        <f t="shared" si="37"/>
        <v>0.21329919428341473</v>
      </c>
      <c r="H353" s="22">
        <f t="shared" si="38"/>
        <v>-8.8846823008244868</v>
      </c>
      <c r="I353" s="3">
        <f t="shared" si="41"/>
        <v>1550.2393367765133</v>
      </c>
      <c r="J353" s="12">
        <f t="shared" si="40"/>
        <v>0</v>
      </c>
      <c r="K353">
        <f t="shared" si="39"/>
        <v>0.21329919428341473</v>
      </c>
    </row>
    <row r="354" spans="1:11" x14ac:dyDescent="0.3">
      <c r="A354">
        <v>220</v>
      </c>
      <c r="B354" s="3">
        <v>2.2304074359527681</v>
      </c>
      <c r="C354" s="2">
        <v>84.152262926483161</v>
      </c>
      <c r="D354" s="1">
        <v>0.60695155850954063</v>
      </c>
      <c r="E354" s="1">
        <f t="shared" si="35"/>
        <v>1.2139031170190813E-2</v>
      </c>
      <c r="F354" s="10">
        <f t="shared" si="36"/>
        <v>21.03806573162079</v>
      </c>
      <c r="G354" s="3">
        <f t="shared" si="37"/>
        <v>0.30347577925477032</v>
      </c>
      <c r="H354" s="22">
        <f t="shared" si="38"/>
        <v>-9.2963238994532755</v>
      </c>
      <c r="I354" s="3">
        <f t="shared" si="41"/>
        <v>1552.4697442124659</v>
      </c>
      <c r="J354" s="12">
        <f t="shared" si="40"/>
        <v>0</v>
      </c>
      <c r="K354">
        <f t="shared" si="39"/>
        <v>0.30347577925477032</v>
      </c>
    </row>
    <row r="355" spans="1:11" x14ac:dyDescent="0.3">
      <c r="A355">
        <v>1039</v>
      </c>
      <c r="B355" s="3">
        <v>1.0754053635802263</v>
      </c>
      <c r="C355" s="2">
        <v>43.87476067214785</v>
      </c>
      <c r="D355" s="1">
        <v>1.4884236200128798</v>
      </c>
      <c r="E355" s="1">
        <f t="shared" si="35"/>
        <v>2.9768472400257595E-2</v>
      </c>
      <c r="F355" s="10">
        <f t="shared" si="36"/>
        <v>10.968690168036963</v>
      </c>
      <c r="G355" s="3">
        <f t="shared" si="37"/>
        <v>0.74421181000643988</v>
      </c>
      <c r="H355" s="22">
        <f t="shared" si="38"/>
        <v>-9.5075575260209924</v>
      </c>
      <c r="I355" s="3">
        <f t="shared" si="41"/>
        <v>1553.5451495760462</v>
      </c>
      <c r="J355" s="12">
        <f t="shared" si="40"/>
        <v>0</v>
      </c>
      <c r="K355">
        <f t="shared" si="39"/>
        <v>0.74421181000643988</v>
      </c>
    </row>
    <row r="356" spans="1:11" x14ac:dyDescent="0.3">
      <c r="A356">
        <v>1085</v>
      </c>
      <c r="B356" s="3">
        <v>1.6363603919986169</v>
      </c>
      <c r="C356" s="2">
        <v>67.506713226574078</v>
      </c>
      <c r="D356" s="1">
        <v>1.3057810002077281</v>
      </c>
      <c r="E356" s="1">
        <f t="shared" si="35"/>
        <v>2.6115620004154561E-2</v>
      </c>
      <c r="F356" s="10">
        <f t="shared" si="36"/>
        <v>16.87667830664352</v>
      </c>
      <c r="G356" s="3">
        <f t="shared" si="37"/>
        <v>0.65289050010386407</v>
      </c>
      <c r="H356" s="22">
        <f t="shared" si="38"/>
        <v>-9.9145566501547098</v>
      </c>
      <c r="I356" s="3">
        <f t="shared" si="41"/>
        <v>1555.1815099680448</v>
      </c>
      <c r="J356" s="12">
        <f t="shared" si="40"/>
        <v>0</v>
      </c>
      <c r="K356">
        <f t="shared" si="39"/>
        <v>0.65289050010386407</v>
      </c>
    </row>
    <row r="357" spans="1:11" x14ac:dyDescent="0.3">
      <c r="A357">
        <v>498</v>
      </c>
      <c r="B357" s="3">
        <v>1.9104088844112177</v>
      </c>
      <c r="C357" s="2">
        <v>82.940284101775546</v>
      </c>
      <c r="D357" s="1">
        <v>2.8432320106605471</v>
      </c>
      <c r="E357" s="1">
        <f t="shared" si="35"/>
        <v>5.6864640213210943E-2</v>
      </c>
      <c r="F357" s="10">
        <f t="shared" si="36"/>
        <v>20.735071025443887</v>
      </c>
      <c r="G357" s="3">
        <f t="shared" si="37"/>
        <v>1.4216160053302735</v>
      </c>
      <c r="H357" s="22">
        <f t="shared" si="38"/>
        <v>-10.109592337907264</v>
      </c>
      <c r="I357" s="3">
        <f t="shared" si="41"/>
        <v>1557.091918852456</v>
      </c>
      <c r="J357" s="12">
        <f t="shared" si="40"/>
        <v>0</v>
      </c>
      <c r="K357">
        <f t="shared" si="39"/>
        <v>1.4216160053302735</v>
      </c>
    </row>
    <row r="358" spans="1:11" x14ac:dyDescent="0.3">
      <c r="A358">
        <v>469</v>
      </c>
      <c r="B358" s="3">
        <v>1.960260648324007</v>
      </c>
      <c r="C358" s="2">
        <v>84.827544236003277</v>
      </c>
      <c r="D358" s="1">
        <v>1.4916155764711687</v>
      </c>
      <c r="E358" s="1">
        <f t="shared" si="35"/>
        <v>2.9832311529423373E-2</v>
      </c>
      <c r="F358" s="10">
        <f t="shared" si="36"/>
        <v>21.206886059000819</v>
      </c>
      <c r="G358" s="3">
        <f t="shared" si="37"/>
        <v>0.74580778823558436</v>
      </c>
      <c r="H358" s="22">
        <f t="shared" si="38"/>
        <v>-10.437937571342436</v>
      </c>
      <c r="I358" s="3">
        <f t="shared" si="41"/>
        <v>1559.0521795007801</v>
      </c>
      <c r="J358" s="12">
        <f t="shared" si="40"/>
        <v>0</v>
      </c>
      <c r="K358">
        <f t="shared" si="39"/>
        <v>0.74580778823558436</v>
      </c>
    </row>
    <row r="359" spans="1:11" x14ac:dyDescent="0.3">
      <c r="A359">
        <v>445</v>
      </c>
      <c r="B359" s="3">
        <v>1.3048074469911486</v>
      </c>
      <c r="C359" s="2">
        <v>57.065490961730212</v>
      </c>
      <c r="D359" s="1">
        <v>1.0151076385329041</v>
      </c>
      <c r="E359" s="1">
        <f t="shared" si="35"/>
        <v>2.0302152770658083E-2</v>
      </c>
      <c r="F359" s="10">
        <f t="shared" si="36"/>
        <v>14.266372740432553</v>
      </c>
      <c r="G359" s="3">
        <f t="shared" si="37"/>
        <v>0.50755381926645204</v>
      </c>
      <c r="H359" s="22">
        <f t="shared" si="38"/>
        <v>-10.54471213579718</v>
      </c>
      <c r="I359" s="3">
        <f t="shared" si="41"/>
        <v>1560.3569869477712</v>
      </c>
      <c r="J359" s="12">
        <f t="shared" si="40"/>
        <v>0</v>
      </c>
      <c r="K359">
        <f t="shared" si="39"/>
        <v>0.50755381926645204</v>
      </c>
    </row>
    <row r="360" spans="1:11" x14ac:dyDescent="0.3">
      <c r="A360">
        <v>760</v>
      </c>
      <c r="B360" s="3">
        <v>1.6634532033342386</v>
      </c>
      <c r="C360" s="2">
        <v>71.296383545382341</v>
      </c>
      <c r="D360" s="1">
        <v>0.54503932587193649</v>
      </c>
      <c r="E360" s="1">
        <f t="shared" si="35"/>
        <v>1.090078651743873E-2</v>
      </c>
      <c r="F360" s="10">
        <f t="shared" si="36"/>
        <v>17.824095886345585</v>
      </c>
      <c r="G360" s="3">
        <f t="shared" si="37"/>
        <v>0.27251966293596824</v>
      </c>
      <c r="H360" s="22">
        <f t="shared" si="38"/>
        <v>-10.551289443086889</v>
      </c>
      <c r="I360" s="3">
        <f t="shared" si="41"/>
        <v>1562.0204401511055</v>
      </c>
      <c r="J360" s="12">
        <f t="shared" si="40"/>
        <v>0</v>
      </c>
      <c r="K360">
        <f t="shared" si="39"/>
        <v>0.27251966293596824</v>
      </c>
    </row>
    <row r="361" spans="1:11" x14ac:dyDescent="0.3">
      <c r="A361">
        <v>515</v>
      </c>
      <c r="B361" s="3">
        <v>1.240627503102999</v>
      </c>
      <c r="C361" s="2">
        <v>54.593837840536132</v>
      </c>
      <c r="D361" s="1">
        <v>1.0018793941922919</v>
      </c>
      <c r="E361" s="1">
        <f t="shared" si="35"/>
        <v>2.0037587883845839E-2</v>
      </c>
      <c r="F361" s="10">
        <f t="shared" si="36"/>
        <v>13.648459460134033</v>
      </c>
      <c r="G361" s="3">
        <f t="shared" si="37"/>
        <v>0.50093969709614594</v>
      </c>
      <c r="H361" s="22">
        <f t="shared" si="38"/>
        <v>-10.597475656596306</v>
      </c>
      <c r="I361" s="3">
        <f t="shared" si="41"/>
        <v>1563.2610676542085</v>
      </c>
      <c r="J361" s="12">
        <f t="shared" si="40"/>
        <v>0</v>
      </c>
      <c r="K361">
        <f t="shared" si="39"/>
        <v>0.50093969709614594</v>
      </c>
    </row>
    <row r="362" spans="1:11" x14ac:dyDescent="0.3">
      <c r="A362">
        <v>993</v>
      </c>
      <c r="B362" s="3">
        <v>1.5132776239129375</v>
      </c>
      <c r="C362" s="2">
        <v>66.625816347792181</v>
      </c>
      <c r="D362" s="1">
        <v>0.92813423667261141</v>
      </c>
      <c r="E362" s="1">
        <f t="shared" si="35"/>
        <v>1.8562684733452229E-2</v>
      </c>
      <c r="F362" s="10">
        <f t="shared" si="36"/>
        <v>16.656454086948045</v>
      </c>
      <c r="G362" s="3">
        <f t="shared" si="37"/>
        <v>0.46406711833630571</v>
      </c>
      <c r="H362" s="22">
        <f t="shared" si="38"/>
        <v>-10.700209077791351</v>
      </c>
      <c r="I362" s="3">
        <f t="shared" si="41"/>
        <v>1564.7743452781215</v>
      </c>
      <c r="J362" s="12">
        <f t="shared" si="40"/>
        <v>0</v>
      </c>
      <c r="K362">
        <f t="shared" si="39"/>
        <v>0.46406711833630571</v>
      </c>
    </row>
    <row r="363" spans="1:11" x14ac:dyDescent="0.3">
      <c r="A363">
        <v>55</v>
      </c>
      <c r="B363" s="3">
        <v>2.0467901820589676</v>
      </c>
      <c r="C363" s="2">
        <v>94.353427088022542</v>
      </c>
      <c r="D363" s="1">
        <v>3.2203596435638047</v>
      </c>
      <c r="E363" s="1">
        <f t="shared" si="35"/>
        <v>6.4407192871276095E-2</v>
      </c>
      <c r="F363" s="10">
        <f t="shared" si="36"/>
        <v>23.588356772005636</v>
      </c>
      <c r="G363" s="3">
        <f t="shared" si="37"/>
        <v>1.6101798217819023</v>
      </c>
      <c r="H363" s="22">
        <f t="shared" si="38"/>
        <v>-10.737874914034812</v>
      </c>
      <c r="I363" s="3">
        <f t="shared" si="41"/>
        <v>1566.8211354601804</v>
      </c>
      <c r="J363" s="12">
        <f t="shared" si="40"/>
        <v>0</v>
      </c>
      <c r="K363">
        <f t="shared" si="39"/>
        <v>1.6101798217819023</v>
      </c>
    </row>
    <row r="364" spans="1:11" x14ac:dyDescent="0.3">
      <c r="A364">
        <v>375</v>
      </c>
      <c r="B364" s="3">
        <v>0.89918657385703482</v>
      </c>
      <c r="C364" s="2">
        <v>39.624427424614318</v>
      </c>
      <c r="D364" s="1">
        <v>0.40697478420635397</v>
      </c>
      <c r="E364" s="1">
        <f t="shared" si="35"/>
        <v>8.1394956841270797E-3</v>
      </c>
      <c r="F364" s="10">
        <f t="shared" si="36"/>
        <v>9.9061068561535794</v>
      </c>
      <c r="G364" s="3">
        <f t="shared" si="37"/>
        <v>0.20348739210317698</v>
      </c>
      <c r="H364" s="22">
        <f t="shared" si="38"/>
        <v>-10.790440767405252</v>
      </c>
      <c r="I364" s="3">
        <f t="shared" si="41"/>
        <v>1567.7203220340373</v>
      </c>
      <c r="J364" s="12">
        <f t="shared" si="40"/>
        <v>0</v>
      </c>
      <c r="K364">
        <f t="shared" si="39"/>
        <v>0.20348739210317698</v>
      </c>
    </row>
    <row r="365" spans="1:11" x14ac:dyDescent="0.3">
      <c r="A365">
        <v>750</v>
      </c>
      <c r="B365" s="3">
        <v>1.7476280176606451</v>
      </c>
      <c r="C365" s="2">
        <v>77.943863161360213</v>
      </c>
      <c r="D365" s="1">
        <v>0.94471276115091352</v>
      </c>
      <c r="E365" s="1">
        <f t="shared" si="35"/>
        <v>1.8894255223018269E-2</v>
      </c>
      <c r="F365" s="10">
        <f t="shared" si="36"/>
        <v>19.485965790340053</v>
      </c>
      <c r="G365" s="3">
        <f t="shared" si="37"/>
        <v>0.4723563805754567</v>
      </c>
      <c r="H365" s="22">
        <f t="shared" si="38"/>
        <v>-10.879666163292574</v>
      </c>
      <c r="I365" s="3">
        <f t="shared" si="41"/>
        <v>1569.4679500516979</v>
      </c>
      <c r="J365" s="12">
        <f t="shared" si="40"/>
        <v>0</v>
      </c>
      <c r="K365">
        <f t="shared" si="39"/>
        <v>0.4723563805754567</v>
      </c>
    </row>
    <row r="366" spans="1:11" x14ac:dyDescent="0.3">
      <c r="A366">
        <v>696</v>
      </c>
      <c r="B366" s="3">
        <v>1.1412266513580283</v>
      </c>
      <c r="C366" s="2">
        <v>52.487311847826554</v>
      </c>
      <c r="D366" s="1">
        <v>1.2724100865354881</v>
      </c>
      <c r="E366" s="1">
        <f t="shared" si="35"/>
        <v>2.5448201730709764E-2</v>
      </c>
      <c r="F366" s="10">
        <f t="shared" si="36"/>
        <v>13.121827961956638</v>
      </c>
      <c r="G366" s="3">
        <f t="shared" si="37"/>
        <v>0.63620504326774407</v>
      </c>
      <c r="H366" s="22">
        <f t="shared" si="38"/>
        <v>-10.940528687996681</v>
      </c>
      <c r="I366" s="3">
        <f t="shared" si="41"/>
        <v>1570.6091767030559</v>
      </c>
      <c r="J366" s="12">
        <f t="shared" si="40"/>
        <v>0</v>
      </c>
      <c r="K366">
        <f t="shared" si="39"/>
        <v>0.63620504326774407</v>
      </c>
    </row>
    <row r="367" spans="1:11" x14ac:dyDescent="0.3">
      <c r="A367">
        <v>773</v>
      </c>
      <c r="B367" s="3">
        <v>1.9363917638227557</v>
      </c>
      <c r="C367" s="2">
        <v>90.929689743552643</v>
      </c>
      <c r="D367" s="1">
        <v>3.0687322626052684</v>
      </c>
      <c r="E367" s="1">
        <f t="shared" si="35"/>
        <v>6.137464525210537E-2</v>
      </c>
      <c r="F367" s="10">
        <f t="shared" si="36"/>
        <v>22.732422435888161</v>
      </c>
      <c r="G367" s="3">
        <f t="shared" si="37"/>
        <v>1.5343661313026342</v>
      </c>
      <c r="H367" s="22">
        <f t="shared" si="38"/>
        <v>-10.947194003106624</v>
      </c>
      <c r="I367" s="3">
        <f t="shared" si="41"/>
        <v>1572.5455684668786</v>
      </c>
      <c r="J367" s="12">
        <f t="shared" si="40"/>
        <v>0</v>
      </c>
      <c r="K367">
        <f t="shared" si="39"/>
        <v>1.5343661313026342</v>
      </c>
    </row>
    <row r="368" spans="1:11" x14ac:dyDescent="0.3">
      <c r="A368">
        <v>316</v>
      </c>
      <c r="B368" s="3">
        <v>2.011601739968516</v>
      </c>
      <c r="C368" s="2">
        <v>93.756399584674966</v>
      </c>
      <c r="D368" s="1">
        <v>2.7048470919491958</v>
      </c>
      <c r="E368" s="1">
        <f t="shared" si="35"/>
        <v>5.409694183898392E-2</v>
      </c>
      <c r="F368" s="10">
        <f t="shared" si="36"/>
        <v>23.439099896168742</v>
      </c>
      <c r="G368" s="3">
        <f t="shared" si="37"/>
        <v>1.3524235459745979</v>
      </c>
      <c r="H368" s="22">
        <f t="shared" si="38"/>
        <v>-10.979646672278095</v>
      </c>
      <c r="I368" s="3">
        <f t="shared" si="41"/>
        <v>1574.5571702068471</v>
      </c>
      <c r="J368" s="12">
        <f t="shared" si="40"/>
        <v>0</v>
      </c>
      <c r="K368">
        <f t="shared" si="39"/>
        <v>1.3524235459745979</v>
      </c>
    </row>
    <row r="369" spans="1:11" x14ac:dyDescent="0.3">
      <c r="A369">
        <v>145</v>
      </c>
      <c r="B369" s="3">
        <v>0.98081338394395035</v>
      </c>
      <c r="C369" s="2">
        <v>46.523428941277302</v>
      </c>
      <c r="D369" s="1">
        <v>1.2407981045838459</v>
      </c>
      <c r="E369" s="1">
        <f t="shared" si="35"/>
        <v>2.4815962091676916E-2</v>
      </c>
      <c r="F369" s="10">
        <f t="shared" si="36"/>
        <v>11.630857235319326</v>
      </c>
      <c r="G369" s="3">
        <f t="shared" si="37"/>
        <v>0.62039905229192294</v>
      </c>
      <c r="H369" s="22">
        <f t="shared" si="38"/>
        <v>-11.225844144533623</v>
      </c>
      <c r="I369" s="3">
        <f t="shared" si="41"/>
        <v>1575.5379835907911</v>
      </c>
      <c r="J369" s="12">
        <f t="shared" si="40"/>
        <v>0</v>
      </c>
      <c r="K369">
        <f t="shared" si="39"/>
        <v>0.62039905229192294</v>
      </c>
    </row>
    <row r="370" spans="1:11" x14ac:dyDescent="0.3">
      <c r="A370">
        <v>618</v>
      </c>
      <c r="B370" s="3">
        <v>1.9363829889535311</v>
      </c>
      <c r="C370" s="2">
        <v>89.519498797185008</v>
      </c>
      <c r="D370" s="1">
        <v>0.99037553406235113</v>
      </c>
      <c r="E370" s="1">
        <f t="shared" si="35"/>
        <v>1.9807510681247021E-2</v>
      </c>
      <c r="F370" s="10">
        <f t="shared" si="36"/>
        <v>22.379874699296252</v>
      </c>
      <c r="G370" s="3">
        <f t="shared" si="37"/>
        <v>0.49518776703117551</v>
      </c>
      <c r="H370" s="22">
        <f t="shared" si="38"/>
        <v>-11.301838043977085</v>
      </c>
      <c r="I370" s="3">
        <f t="shared" si="41"/>
        <v>1577.4743665797446</v>
      </c>
      <c r="J370" s="12">
        <f t="shared" si="40"/>
        <v>0</v>
      </c>
      <c r="K370">
        <f t="shared" si="39"/>
        <v>0.49518776703117551</v>
      </c>
    </row>
    <row r="371" spans="1:11" x14ac:dyDescent="0.3">
      <c r="A371">
        <v>925</v>
      </c>
      <c r="B371" s="3">
        <v>1.9951619736682802</v>
      </c>
      <c r="C371" s="2">
        <v>93.519207582981494</v>
      </c>
      <c r="D371" s="1">
        <v>1.0887239067010381</v>
      </c>
      <c r="E371" s="1">
        <f t="shared" si="35"/>
        <v>2.1774478134020763E-2</v>
      </c>
      <c r="F371" s="10">
        <f t="shared" si="36"/>
        <v>23.379801895745373</v>
      </c>
      <c r="G371" s="3">
        <f t="shared" si="37"/>
        <v>0.54436195335051907</v>
      </c>
      <c r="H371" s="22">
        <f t="shared" si="38"/>
        <v>-11.445406560355545</v>
      </c>
      <c r="I371" s="3">
        <f t="shared" si="41"/>
        <v>1579.4695285534128</v>
      </c>
      <c r="J371" s="12">
        <f t="shared" si="40"/>
        <v>0</v>
      </c>
      <c r="K371">
        <f t="shared" si="39"/>
        <v>0.54436195335051907</v>
      </c>
    </row>
    <row r="372" spans="1:11" x14ac:dyDescent="0.3">
      <c r="A372">
        <v>228</v>
      </c>
      <c r="B372" s="3">
        <v>1.6179579069834471</v>
      </c>
      <c r="C372" s="2">
        <v>77.846081258095083</v>
      </c>
      <c r="D372" s="1">
        <v>1.5757920840740667</v>
      </c>
      <c r="E372" s="1">
        <f t="shared" si="35"/>
        <v>3.1515841681481332E-2</v>
      </c>
      <c r="F372" s="10">
        <f t="shared" si="36"/>
        <v>19.461520314523771</v>
      </c>
      <c r="G372" s="3">
        <f t="shared" si="37"/>
        <v>0.78789604203703334</v>
      </c>
      <c r="H372" s="22">
        <f t="shared" si="38"/>
        <v>-11.541477186697776</v>
      </c>
      <c r="I372" s="3">
        <f t="shared" si="41"/>
        <v>1581.0874864603963</v>
      </c>
      <c r="J372" s="12">
        <f t="shared" si="40"/>
        <v>0</v>
      </c>
      <c r="K372">
        <f t="shared" si="39"/>
        <v>0.78789604203703334</v>
      </c>
    </row>
    <row r="373" spans="1:11" x14ac:dyDescent="0.3">
      <c r="A373">
        <v>645</v>
      </c>
      <c r="B373" s="3">
        <v>1.2972400220780678</v>
      </c>
      <c r="C373" s="2">
        <v>63.737304345284294</v>
      </c>
      <c r="D373" s="1">
        <v>1.6241973059225863</v>
      </c>
      <c r="E373" s="1">
        <f t="shared" si="35"/>
        <v>3.2483946118451727E-2</v>
      </c>
      <c r="F373" s="10">
        <f t="shared" si="36"/>
        <v>15.934326086321073</v>
      </c>
      <c r="G373" s="3">
        <f t="shared" si="37"/>
        <v>0.81209865296129313</v>
      </c>
      <c r="H373" s="22">
        <f t="shared" si="38"/>
        <v>-11.65723164255699</v>
      </c>
      <c r="I373" s="3">
        <f t="shared" si="41"/>
        <v>1582.3847264824744</v>
      </c>
      <c r="J373" s="12">
        <f t="shared" si="40"/>
        <v>0</v>
      </c>
      <c r="K373">
        <f t="shared" si="39"/>
        <v>0.81209865296129313</v>
      </c>
    </row>
    <row r="374" spans="1:11" x14ac:dyDescent="0.3">
      <c r="A374">
        <v>892</v>
      </c>
      <c r="B374" s="3">
        <v>1.982881574739298</v>
      </c>
      <c r="C374" s="2">
        <v>97.881670076894309</v>
      </c>
      <c r="D374" s="1">
        <v>2.2444356060616961</v>
      </c>
      <c r="E374" s="1">
        <f t="shared" si="35"/>
        <v>4.4888712121233923E-2</v>
      </c>
      <c r="F374" s="10">
        <f t="shared" si="36"/>
        <v>24.470417519223577</v>
      </c>
      <c r="G374" s="3">
        <f t="shared" si="37"/>
        <v>1.1222178030308481</v>
      </c>
      <c r="H374" s="22">
        <f t="shared" si="38"/>
        <v>-11.774883590444611</v>
      </c>
      <c r="I374" s="3">
        <f t="shared" si="41"/>
        <v>1584.3676080572138</v>
      </c>
      <c r="J374" s="12">
        <f t="shared" si="40"/>
        <v>0</v>
      </c>
      <c r="K374">
        <f t="shared" si="39"/>
        <v>1.1222178030308481</v>
      </c>
    </row>
    <row r="375" spans="1:11" x14ac:dyDescent="0.3">
      <c r="A375">
        <v>796</v>
      </c>
      <c r="B375" s="3">
        <v>1.8426413365189798</v>
      </c>
      <c r="C375" s="2">
        <v>88.953729975202123</v>
      </c>
      <c r="D375" s="1">
        <v>0.87201116677975232</v>
      </c>
      <c r="E375" s="1">
        <f t="shared" si="35"/>
        <v>1.7440223335595046E-2</v>
      </c>
      <c r="F375" s="10">
        <f t="shared" si="36"/>
        <v>22.238432493800531</v>
      </c>
      <c r="G375" s="3">
        <f t="shared" si="37"/>
        <v>0.43600558338987616</v>
      </c>
      <c r="H375" s="22">
        <f t="shared" si="38"/>
        <v>-11.832159888260536</v>
      </c>
      <c r="I375" s="3">
        <f t="shared" si="41"/>
        <v>1586.2102493937327</v>
      </c>
      <c r="J375" s="12">
        <f t="shared" si="40"/>
        <v>0</v>
      </c>
      <c r="K375">
        <f t="shared" si="39"/>
        <v>0.43600558338987616</v>
      </c>
    </row>
    <row r="376" spans="1:11" x14ac:dyDescent="0.3">
      <c r="A376">
        <v>865</v>
      </c>
      <c r="B376" s="3">
        <v>1.1825119775638515</v>
      </c>
      <c r="C376" s="2">
        <v>61.001663362472414</v>
      </c>
      <c r="D376" s="1">
        <v>2.4604800800746749</v>
      </c>
      <c r="E376" s="1">
        <f t="shared" si="35"/>
        <v>4.9209601601493499E-2</v>
      </c>
      <c r="F376" s="10">
        <f t="shared" si="36"/>
        <v>15.250415840618103</v>
      </c>
      <c r="G376" s="3">
        <f t="shared" si="37"/>
        <v>1.2302400400373374</v>
      </c>
      <c r="H376" s="22">
        <f t="shared" si="38"/>
        <v>-11.85626536271065</v>
      </c>
      <c r="I376" s="3">
        <f t="shared" si="41"/>
        <v>1587.3927613712965</v>
      </c>
      <c r="J376" s="12">
        <f t="shared" si="40"/>
        <v>0</v>
      </c>
      <c r="K376">
        <f t="shared" si="39"/>
        <v>1.2302400400373374</v>
      </c>
    </row>
    <row r="377" spans="1:11" x14ac:dyDescent="0.3">
      <c r="A377">
        <v>537</v>
      </c>
      <c r="B377" s="3">
        <v>1.7950126880606188</v>
      </c>
      <c r="C377" s="2">
        <v>90.925769445749779</v>
      </c>
      <c r="D377" s="1">
        <v>2.6579714270564554</v>
      </c>
      <c r="E377" s="1">
        <f t="shared" si="35"/>
        <v>5.3159428541129108E-2</v>
      </c>
      <c r="F377" s="10">
        <f t="shared" si="36"/>
        <v>22.731442361437445</v>
      </c>
      <c r="G377" s="3">
        <f t="shared" si="37"/>
        <v>1.3289857135282277</v>
      </c>
      <c r="H377" s="22">
        <f t="shared" si="38"/>
        <v>-11.923289896648599</v>
      </c>
      <c r="I377" s="3">
        <f t="shared" si="41"/>
        <v>1589.187774059357</v>
      </c>
      <c r="J377" s="12">
        <f t="shared" si="40"/>
        <v>0</v>
      </c>
      <c r="K377">
        <f t="shared" si="39"/>
        <v>1.3289857135282277</v>
      </c>
    </row>
    <row r="378" spans="1:11" x14ac:dyDescent="0.3">
      <c r="A378">
        <v>101</v>
      </c>
      <c r="B378" s="3">
        <v>0.80745494115184835</v>
      </c>
      <c r="C378" s="2">
        <v>44.206565132471155</v>
      </c>
      <c r="D378" s="1">
        <v>2.7161877353743753</v>
      </c>
      <c r="E378" s="1">
        <f t="shared" si="35"/>
        <v>5.4323754707487508E-2</v>
      </c>
      <c r="F378" s="10">
        <f t="shared" si="36"/>
        <v>11.051641283117789</v>
      </c>
      <c r="G378" s="3">
        <f t="shared" si="37"/>
        <v>1.3580938676871877</v>
      </c>
      <c r="H378" s="22">
        <f t="shared" si="38"/>
        <v>-12.005062971814363</v>
      </c>
      <c r="I378" s="3">
        <f t="shared" si="41"/>
        <v>1589.995229000509</v>
      </c>
      <c r="J378" s="12">
        <f t="shared" si="40"/>
        <v>0</v>
      </c>
      <c r="K378">
        <f t="shared" si="39"/>
        <v>1.3580938676871877</v>
      </c>
    </row>
    <row r="379" spans="1:11" x14ac:dyDescent="0.3">
      <c r="A379">
        <v>1004</v>
      </c>
      <c r="B379" s="3">
        <v>1.6551848363266464</v>
      </c>
      <c r="C379" s="2">
        <v>81.82849066644296</v>
      </c>
      <c r="D379" s="1">
        <v>0.66866328616416282</v>
      </c>
      <c r="E379" s="1">
        <f t="shared" si="35"/>
        <v>1.3373265723283257E-2</v>
      </c>
      <c r="F379" s="10">
        <f t="shared" si="36"/>
        <v>20.45712266661074</v>
      </c>
      <c r="G379" s="3">
        <f t="shared" si="37"/>
        <v>0.33433164308208141</v>
      </c>
      <c r="H379" s="22">
        <f t="shared" si="38"/>
        <v>-12.157428331803228</v>
      </c>
      <c r="I379" s="3">
        <f t="shared" si="41"/>
        <v>1591.6504138368357</v>
      </c>
      <c r="J379" s="12">
        <f t="shared" si="40"/>
        <v>0</v>
      </c>
      <c r="K379">
        <f t="shared" si="39"/>
        <v>0.33433164308208141</v>
      </c>
    </row>
    <row r="380" spans="1:11" x14ac:dyDescent="0.3">
      <c r="A380">
        <v>92</v>
      </c>
      <c r="B380" s="3">
        <v>0.75595603376617082</v>
      </c>
      <c r="C380" s="2">
        <v>38.336260342986961</v>
      </c>
      <c r="D380" s="1">
        <v>0.52640525996837217</v>
      </c>
      <c r="E380" s="1">
        <f t="shared" si="35"/>
        <v>1.0528105199367444E-2</v>
      </c>
      <c r="F380" s="10">
        <f t="shared" si="36"/>
        <v>9.5840650857467402</v>
      </c>
      <c r="G380" s="3">
        <f t="shared" si="37"/>
        <v>0.26320262998418609</v>
      </c>
      <c r="H380" s="22">
        <f t="shared" si="38"/>
        <v>-12.3299002050768</v>
      </c>
      <c r="I380" s="3">
        <f t="shared" si="41"/>
        <v>1592.4063698706018</v>
      </c>
      <c r="J380" s="12">
        <f t="shared" si="40"/>
        <v>0</v>
      </c>
      <c r="K380">
        <f t="shared" si="39"/>
        <v>0.26320262998418609</v>
      </c>
    </row>
    <row r="381" spans="1:11" x14ac:dyDescent="0.3">
      <c r="A381">
        <v>311</v>
      </c>
      <c r="B381" s="3">
        <v>0.94644883652760803</v>
      </c>
      <c r="C381" s="2">
        <v>53.74667689256669</v>
      </c>
      <c r="D381" s="1">
        <v>0.70758033550660149</v>
      </c>
      <c r="E381" s="1">
        <f t="shared" si="35"/>
        <v>1.415160671013203E-2</v>
      </c>
      <c r="F381" s="10">
        <f t="shared" si="36"/>
        <v>13.436669223141672</v>
      </c>
      <c r="G381" s="3">
        <f t="shared" si="37"/>
        <v>0.35379016775330074</v>
      </c>
      <c r="H381" s="22">
        <f t="shared" si="38"/>
        <v>-13.823123396070383</v>
      </c>
      <c r="I381" s="3">
        <f t="shared" si="41"/>
        <v>1593.3528187071295</v>
      </c>
      <c r="J381" s="12">
        <f t="shared" si="40"/>
        <v>0</v>
      </c>
      <c r="K381">
        <f t="shared" si="39"/>
        <v>0.35379016775330074</v>
      </c>
    </row>
    <row r="382" spans="1:11" x14ac:dyDescent="0.3">
      <c r="A382">
        <v>85</v>
      </c>
      <c r="B382" s="3">
        <v>1.5306598931066917</v>
      </c>
      <c r="C382" s="2">
        <v>91.402840219275134</v>
      </c>
      <c r="D382" s="1">
        <v>1.0088374140522212</v>
      </c>
      <c r="E382" s="1">
        <f t="shared" si="35"/>
        <v>2.0176748281044422E-2</v>
      </c>
      <c r="F382" s="10">
        <f t="shared" si="36"/>
        <v>22.850710054818784</v>
      </c>
      <c r="G382" s="3">
        <f t="shared" si="37"/>
        <v>0.50441870702611058</v>
      </c>
      <c r="H382" s="22">
        <f t="shared" si="38"/>
        <v>-14.599122540826297</v>
      </c>
      <c r="I382" s="3">
        <f t="shared" si="41"/>
        <v>1594.8834786002362</v>
      </c>
      <c r="J382" s="12">
        <f t="shared" si="40"/>
        <v>0</v>
      </c>
      <c r="K382">
        <f t="shared" si="39"/>
        <v>0.50441870702611058</v>
      </c>
    </row>
    <row r="383" spans="1:11" x14ac:dyDescent="0.3">
      <c r="A383">
        <v>649</v>
      </c>
      <c r="B383" s="3">
        <v>0.68871750558282541</v>
      </c>
      <c r="C383" s="2">
        <v>45.488672607625766</v>
      </c>
      <c r="D383" s="1">
        <v>2.5061875354610734</v>
      </c>
      <c r="E383" s="1">
        <f t="shared" si="35"/>
        <v>5.0123750709221468E-2</v>
      </c>
      <c r="F383" s="10">
        <f t="shared" si="36"/>
        <v>11.372168151906441</v>
      </c>
      <c r="G383" s="3">
        <f t="shared" si="37"/>
        <v>1.2530937677305367</v>
      </c>
      <c r="H383" s="22">
        <f t="shared" si="38"/>
        <v>-14.692634210905767</v>
      </c>
      <c r="I383" s="3">
        <f t="shared" si="41"/>
        <v>1595.5721961058191</v>
      </c>
      <c r="J383" s="12">
        <f t="shared" si="40"/>
        <v>0</v>
      </c>
      <c r="K383">
        <f t="shared" si="39"/>
        <v>1.2530937677305367</v>
      </c>
    </row>
    <row r="384" spans="1:11" x14ac:dyDescent="0.3">
      <c r="A384">
        <v>549</v>
      </c>
      <c r="B384" s="3">
        <v>1.3572258448421848</v>
      </c>
      <c r="C384" s="2">
        <v>84.018507107467201</v>
      </c>
      <c r="D384" s="1">
        <v>1.2038949624514466</v>
      </c>
      <c r="E384" s="1">
        <f t="shared" si="35"/>
        <v>2.4077899249028933E-2</v>
      </c>
      <c r="F384" s="10">
        <f t="shared" si="36"/>
        <v>21.0046267768668</v>
      </c>
      <c r="G384" s="3">
        <f t="shared" si="37"/>
        <v>0.60194748122572328</v>
      </c>
      <c r="H384" s="22">
        <f t="shared" si="38"/>
        <v>-15.032633937215849</v>
      </c>
      <c r="I384" s="3">
        <f t="shared" si="41"/>
        <v>1596.9294219506612</v>
      </c>
      <c r="J384" s="12">
        <f t="shared" si="40"/>
        <v>0</v>
      </c>
      <c r="K384">
        <f t="shared" si="39"/>
        <v>0.60194748122572328</v>
      </c>
    </row>
    <row r="385" spans="1:11" x14ac:dyDescent="0.3">
      <c r="A385">
        <v>636</v>
      </c>
      <c r="B385" s="3">
        <v>0.85906094707500658</v>
      </c>
      <c r="C385" s="2">
        <v>53.184896424459929</v>
      </c>
      <c r="D385" s="1">
        <v>0.58910552497746771</v>
      </c>
      <c r="E385" s="1">
        <f t="shared" si="35"/>
        <v>1.1782110499549353E-2</v>
      </c>
      <c r="F385" s="10">
        <f t="shared" si="36"/>
        <v>13.296224106114982</v>
      </c>
      <c r="G385" s="3">
        <f t="shared" si="37"/>
        <v>0.29455276248873385</v>
      </c>
      <c r="H385" s="22">
        <f t="shared" si="38"/>
        <v>-15.134748457481729</v>
      </c>
      <c r="I385" s="3">
        <f t="shared" si="41"/>
        <v>1597.7884828977362</v>
      </c>
      <c r="J385" s="12">
        <f t="shared" si="40"/>
        <v>0</v>
      </c>
      <c r="K385">
        <f t="shared" si="39"/>
        <v>0.29455276248873385</v>
      </c>
    </row>
    <row r="386" spans="1:11" x14ac:dyDescent="0.3">
      <c r="A386">
        <v>578</v>
      </c>
      <c r="B386" s="3">
        <v>1.1944592939429988</v>
      </c>
      <c r="C386" s="2">
        <v>77.414553789961857</v>
      </c>
      <c r="D386" s="1">
        <v>1.4610814442965943</v>
      </c>
      <c r="E386" s="1">
        <f t="shared" ref="E386:E417" si="42">D386/50</f>
        <v>2.9221628885931886E-2</v>
      </c>
      <c r="F386" s="10">
        <f t="shared" ref="F386:F417" si="43">0.25*C386</f>
        <v>19.353638447490464</v>
      </c>
      <c r="G386" s="3">
        <f t="shared" ref="G386:G417" si="44">25*E386</f>
        <v>0.73054072214829713</v>
      </c>
      <c r="H386" s="22">
        <f t="shared" ref="H386:H417" si="45">(G386-F386)/B386</f>
        <v>-15.591236821362022</v>
      </c>
      <c r="I386" s="3">
        <f t="shared" si="41"/>
        <v>1598.9829421916793</v>
      </c>
      <c r="J386" s="12">
        <f t="shared" si="40"/>
        <v>0</v>
      </c>
      <c r="K386">
        <f t="shared" ref="K386:K417" si="46">IF(J386 = 1, F386, G386)</f>
        <v>0.73054072214829713</v>
      </c>
    </row>
    <row r="387" spans="1:11" x14ac:dyDescent="0.3">
      <c r="A387">
        <v>96</v>
      </c>
      <c r="B387" s="3">
        <v>1.393934377638294</v>
      </c>
      <c r="C387" s="2">
        <v>91.148653343778307</v>
      </c>
      <c r="D387" s="1">
        <v>0.57986306579295555</v>
      </c>
      <c r="E387" s="1">
        <f t="shared" si="42"/>
        <v>1.1597261315859111E-2</v>
      </c>
      <c r="F387" s="10">
        <f t="shared" si="43"/>
        <v>22.787163335944577</v>
      </c>
      <c r="G387" s="3">
        <f t="shared" si="44"/>
        <v>0.28993153289647777</v>
      </c>
      <c r="H387" s="22">
        <f t="shared" si="45"/>
        <v>-16.13937654738422</v>
      </c>
      <c r="I387" s="3">
        <f t="shared" si="41"/>
        <v>1600.3768765693176</v>
      </c>
      <c r="J387" s="12">
        <f t="shared" ref="J387:J417" si="47">IF(I387 &lt;= 500, 1, 0)</f>
        <v>0</v>
      </c>
      <c r="K387">
        <f t="shared" si="46"/>
        <v>0.28993153289647777</v>
      </c>
    </row>
    <row r="388" spans="1:11" x14ac:dyDescent="0.3">
      <c r="A388">
        <v>276</v>
      </c>
      <c r="B388" s="3">
        <v>1.2193151269162017</v>
      </c>
      <c r="C388" s="2">
        <v>83.575479608765036</v>
      </c>
      <c r="D388" s="1">
        <v>1.9661647388510972</v>
      </c>
      <c r="E388" s="1">
        <f t="shared" si="42"/>
        <v>3.9323294777021942E-2</v>
      </c>
      <c r="F388" s="10">
        <f t="shared" si="43"/>
        <v>20.893869902191259</v>
      </c>
      <c r="G388" s="3">
        <f t="shared" si="44"/>
        <v>0.9830823694255485</v>
      </c>
      <c r="H388" s="22">
        <f t="shared" si="45"/>
        <v>-16.329484555089994</v>
      </c>
      <c r="I388" s="3">
        <f t="shared" ref="I388:I417" si="48">B388+I387</f>
        <v>1601.5961916962337</v>
      </c>
      <c r="J388" s="12">
        <f t="shared" si="47"/>
        <v>0</v>
      </c>
      <c r="K388">
        <f t="shared" si="46"/>
        <v>0.9830823694255485</v>
      </c>
    </row>
    <row r="389" spans="1:11" x14ac:dyDescent="0.3">
      <c r="A389">
        <v>1022</v>
      </c>
      <c r="B389" s="3">
        <v>0.72125501653300006</v>
      </c>
      <c r="C389" s="2">
        <v>48.109380688112488</v>
      </c>
      <c r="D389" s="1">
        <v>0.39693354871659109</v>
      </c>
      <c r="E389" s="1">
        <f t="shared" si="42"/>
        <v>7.9386709743318219E-3</v>
      </c>
      <c r="F389" s="10">
        <f t="shared" si="43"/>
        <v>12.027345172028122</v>
      </c>
      <c r="G389" s="3">
        <f t="shared" si="44"/>
        <v>0.19846677435829554</v>
      </c>
      <c r="H389" s="22">
        <f t="shared" si="45"/>
        <v>-16.400410571187496</v>
      </c>
      <c r="I389" s="3">
        <f t="shared" si="48"/>
        <v>1602.3174467127667</v>
      </c>
      <c r="J389" s="12">
        <f t="shared" si="47"/>
        <v>0</v>
      </c>
      <c r="K389">
        <f t="shared" si="46"/>
        <v>0.19846677435829554</v>
      </c>
    </row>
    <row r="390" spans="1:11" x14ac:dyDescent="0.3">
      <c r="A390">
        <v>207</v>
      </c>
      <c r="B390" s="3">
        <v>0.53226354816753751</v>
      </c>
      <c r="C390" s="2">
        <v>36.389595342580009</v>
      </c>
      <c r="D390" s="1">
        <v>0.55340951299649488</v>
      </c>
      <c r="E390" s="1">
        <f t="shared" si="42"/>
        <v>1.1068190259929897E-2</v>
      </c>
      <c r="F390" s="10">
        <f t="shared" si="43"/>
        <v>9.0973988356450022</v>
      </c>
      <c r="G390" s="3">
        <f t="shared" si="44"/>
        <v>0.27670475649824744</v>
      </c>
      <c r="H390" s="22">
        <f t="shared" si="45"/>
        <v>-16.572042382978132</v>
      </c>
      <c r="I390" s="3">
        <f t="shared" si="48"/>
        <v>1602.8497102609342</v>
      </c>
      <c r="J390" s="12">
        <f t="shared" si="47"/>
        <v>0</v>
      </c>
      <c r="K390">
        <f t="shared" si="46"/>
        <v>0.27670475649824744</v>
      </c>
    </row>
    <row r="391" spans="1:11" x14ac:dyDescent="0.3">
      <c r="A391">
        <v>987</v>
      </c>
      <c r="B391" s="3">
        <v>1.3756345586301699</v>
      </c>
      <c r="C391" s="2">
        <v>95.373356431579467</v>
      </c>
      <c r="D391" s="1">
        <v>1.9373146167541455</v>
      </c>
      <c r="E391" s="1">
        <f t="shared" si="42"/>
        <v>3.8746292335082907E-2</v>
      </c>
      <c r="F391" s="10">
        <f t="shared" si="43"/>
        <v>23.843339107894867</v>
      </c>
      <c r="G391" s="3">
        <f t="shared" si="44"/>
        <v>0.96865730837707265</v>
      </c>
      <c r="H391" s="22">
        <f t="shared" si="45"/>
        <v>-16.628458231156941</v>
      </c>
      <c r="I391" s="3">
        <f t="shared" si="48"/>
        <v>1604.2253448195645</v>
      </c>
      <c r="J391" s="12">
        <f t="shared" si="47"/>
        <v>0</v>
      </c>
      <c r="K391">
        <f t="shared" si="46"/>
        <v>0.96865730837707265</v>
      </c>
    </row>
    <row r="392" spans="1:11" x14ac:dyDescent="0.3">
      <c r="A392">
        <v>1098</v>
      </c>
      <c r="B392" s="3">
        <v>0.69534260741033416</v>
      </c>
      <c r="C392" s="2">
        <v>48.204808004424237</v>
      </c>
      <c r="D392" s="1">
        <v>0.31486619023461765</v>
      </c>
      <c r="E392" s="1">
        <f t="shared" si="42"/>
        <v>6.2973238046923532E-3</v>
      </c>
      <c r="F392" s="10">
        <f t="shared" si="43"/>
        <v>12.051202001106059</v>
      </c>
      <c r="G392" s="3">
        <f t="shared" si="44"/>
        <v>0.15743309511730882</v>
      </c>
      <c r="H392" s="22">
        <f t="shared" si="45"/>
        <v>-17.104904516472445</v>
      </c>
      <c r="I392" s="3">
        <f t="shared" si="48"/>
        <v>1604.9206874269748</v>
      </c>
      <c r="J392" s="12">
        <f t="shared" si="47"/>
        <v>0</v>
      </c>
      <c r="K392">
        <f t="shared" si="46"/>
        <v>0.15743309511730882</v>
      </c>
    </row>
    <row r="393" spans="1:11" x14ac:dyDescent="0.3">
      <c r="A393">
        <v>418</v>
      </c>
      <c r="B393" s="3">
        <v>1.1510867564782989</v>
      </c>
      <c r="C393" s="2">
        <v>82.614360829755327</v>
      </c>
      <c r="D393" s="1">
        <v>0.98282399338864335</v>
      </c>
      <c r="E393" s="1">
        <f t="shared" si="42"/>
        <v>1.9656479867772868E-2</v>
      </c>
      <c r="F393" s="10">
        <f t="shared" si="43"/>
        <v>20.653590207438832</v>
      </c>
      <c r="G393" s="3">
        <f t="shared" si="44"/>
        <v>0.49141199669432173</v>
      </c>
      <c r="H393" s="22">
        <f t="shared" si="45"/>
        <v>-17.515776371565458</v>
      </c>
      <c r="I393" s="3">
        <f t="shared" si="48"/>
        <v>1606.071774183453</v>
      </c>
      <c r="J393" s="12">
        <f t="shared" si="47"/>
        <v>0</v>
      </c>
      <c r="K393">
        <f t="shared" si="46"/>
        <v>0.49141199669432173</v>
      </c>
    </row>
    <row r="394" spans="1:11" x14ac:dyDescent="0.3">
      <c r="A394">
        <v>31</v>
      </c>
      <c r="B394" s="3">
        <v>0.92553085588797601</v>
      </c>
      <c r="C394" s="2">
        <v>75.388159228417621</v>
      </c>
      <c r="D394" s="1">
        <v>0.94773551429482561</v>
      </c>
      <c r="E394" s="1">
        <f t="shared" si="42"/>
        <v>1.8954710285896511E-2</v>
      </c>
      <c r="F394" s="10">
        <f t="shared" si="43"/>
        <v>18.847039807104405</v>
      </c>
      <c r="G394" s="3">
        <f t="shared" si="44"/>
        <v>0.47386775714741275</v>
      </c>
      <c r="H394" s="22">
        <f t="shared" si="45"/>
        <v>-19.851495963718399</v>
      </c>
      <c r="I394" s="3">
        <f t="shared" si="48"/>
        <v>1606.997305039341</v>
      </c>
      <c r="J394" s="12">
        <f t="shared" si="47"/>
        <v>0</v>
      </c>
      <c r="K394">
        <f t="shared" si="46"/>
        <v>0.47386775714741275</v>
      </c>
    </row>
    <row r="395" spans="1:11" x14ac:dyDescent="0.3">
      <c r="A395">
        <v>766</v>
      </c>
      <c r="B395" s="3">
        <v>1.0911776982561749</v>
      </c>
      <c r="C395" s="2">
        <v>94.268184033534979</v>
      </c>
      <c r="D395" s="1">
        <v>0.89277196797294156</v>
      </c>
      <c r="E395" s="1">
        <f t="shared" si="42"/>
        <v>1.7855439359458831E-2</v>
      </c>
      <c r="F395" s="10">
        <f t="shared" si="43"/>
        <v>23.567046008383745</v>
      </c>
      <c r="G395" s="3">
        <f t="shared" si="44"/>
        <v>0.44638598398647078</v>
      </c>
      <c r="H395" s="22">
        <f t="shared" si="45"/>
        <v>-21.188721196691152</v>
      </c>
      <c r="I395" s="3">
        <f t="shared" si="48"/>
        <v>1608.0884827375971</v>
      </c>
      <c r="J395" s="12">
        <f t="shared" si="47"/>
        <v>0</v>
      </c>
      <c r="K395">
        <f t="shared" si="46"/>
        <v>0.44638598398647078</v>
      </c>
    </row>
    <row r="396" spans="1:11" x14ac:dyDescent="0.3">
      <c r="A396">
        <v>1091</v>
      </c>
      <c r="B396" s="3">
        <v>0.92553085588797601</v>
      </c>
      <c r="C396" s="2">
        <v>88.661022343278077</v>
      </c>
      <c r="D396" s="1">
        <v>2.66143771994926</v>
      </c>
      <c r="E396" s="1">
        <f t="shared" si="42"/>
        <v>5.3228754398985202E-2</v>
      </c>
      <c r="F396" s="10">
        <f t="shared" si="43"/>
        <v>22.165255585819519</v>
      </c>
      <c r="G396" s="3">
        <f t="shared" si="44"/>
        <v>1.33071885997463</v>
      </c>
      <c r="H396" s="22">
        <f t="shared" si="45"/>
        <v>-22.510904518527095</v>
      </c>
      <c r="I396" s="3">
        <f t="shared" si="48"/>
        <v>1609.0140135934851</v>
      </c>
      <c r="J396" s="12">
        <f t="shared" si="47"/>
        <v>0</v>
      </c>
      <c r="K396">
        <f t="shared" si="46"/>
        <v>1.33071885997463</v>
      </c>
    </row>
    <row r="397" spans="1:11" x14ac:dyDescent="0.3">
      <c r="A397">
        <v>127</v>
      </c>
      <c r="B397" s="3">
        <v>0.78425198697655851</v>
      </c>
      <c r="C397" s="2">
        <v>75.155495112271723</v>
      </c>
      <c r="D397" s="1">
        <v>1.1470770771953296</v>
      </c>
      <c r="E397" s="1">
        <f t="shared" si="42"/>
        <v>2.2941541543906593E-2</v>
      </c>
      <c r="F397" s="10">
        <f t="shared" si="43"/>
        <v>18.788873778067931</v>
      </c>
      <c r="G397" s="3">
        <f t="shared" si="44"/>
        <v>0.57353853859766479</v>
      </c>
      <c r="H397" s="22">
        <f t="shared" si="45"/>
        <v>-23.226380732159662</v>
      </c>
      <c r="I397" s="3">
        <f t="shared" si="48"/>
        <v>1609.7982655804617</v>
      </c>
      <c r="J397" s="12">
        <f t="shared" si="47"/>
        <v>0</v>
      </c>
      <c r="K397">
        <f t="shared" si="46"/>
        <v>0.57353853859766479</v>
      </c>
    </row>
    <row r="398" spans="1:11" x14ac:dyDescent="0.3">
      <c r="A398">
        <v>81</v>
      </c>
      <c r="B398" s="3">
        <v>0.88385762405837398</v>
      </c>
      <c r="C398" s="2">
        <v>88.763941650609382</v>
      </c>
      <c r="D398" s="1">
        <v>2.50822000609997</v>
      </c>
      <c r="E398" s="1">
        <f t="shared" si="42"/>
        <v>5.0164400121999402E-2</v>
      </c>
      <c r="F398" s="10">
        <f t="shared" si="43"/>
        <v>22.190985412652346</v>
      </c>
      <c r="G398" s="3">
        <f t="shared" si="44"/>
        <v>1.254110003049985</v>
      </c>
      <c r="H398" s="22">
        <f t="shared" si="45"/>
        <v>-23.68806337096165</v>
      </c>
      <c r="I398" s="3">
        <f t="shared" si="48"/>
        <v>1610.6821232045202</v>
      </c>
      <c r="J398" s="12">
        <f t="shared" si="47"/>
        <v>0</v>
      </c>
      <c r="K398">
        <f t="shared" si="46"/>
        <v>1.254110003049985</v>
      </c>
    </row>
    <row r="399" spans="1:11" x14ac:dyDescent="0.3">
      <c r="A399">
        <v>258</v>
      </c>
      <c r="B399" s="3">
        <v>0.90698840741772369</v>
      </c>
      <c r="C399" s="2">
        <v>91.398755111301185</v>
      </c>
      <c r="D399" s="1">
        <v>0.67602594067115451</v>
      </c>
      <c r="E399" s="1">
        <f t="shared" si="42"/>
        <v>1.352051881342309E-2</v>
      </c>
      <c r="F399" s="10">
        <f t="shared" si="43"/>
        <v>22.849688777825296</v>
      </c>
      <c r="G399" s="3">
        <f t="shared" si="44"/>
        <v>0.33801297033557726</v>
      </c>
      <c r="H399" s="22">
        <f t="shared" si="45"/>
        <v>-24.820246458918316</v>
      </c>
      <c r="I399" s="3">
        <f t="shared" si="48"/>
        <v>1611.5891116119378</v>
      </c>
      <c r="J399" s="12">
        <f t="shared" si="47"/>
        <v>0</v>
      </c>
      <c r="K399">
        <f t="shared" si="46"/>
        <v>0.33801297033557726</v>
      </c>
    </row>
    <row r="400" spans="1:11" x14ac:dyDescent="0.3">
      <c r="A400">
        <v>1018</v>
      </c>
      <c r="B400" s="3">
        <v>0.73687519353835773</v>
      </c>
      <c r="C400" s="2">
        <v>78.803168627292365</v>
      </c>
      <c r="D400" s="1">
        <v>1.0888787614430413</v>
      </c>
      <c r="E400" s="1">
        <f t="shared" si="42"/>
        <v>2.1777575228860827E-2</v>
      </c>
      <c r="F400" s="10">
        <f t="shared" si="43"/>
        <v>19.700792156823091</v>
      </c>
      <c r="G400" s="3">
        <f t="shared" si="44"/>
        <v>0.54443938072152065</v>
      </c>
      <c r="H400" s="22">
        <f t="shared" si="45"/>
        <v>-25.99673994196467</v>
      </c>
      <c r="I400" s="3">
        <f t="shared" si="48"/>
        <v>1612.3259868054761</v>
      </c>
      <c r="J400" s="12">
        <f t="shared" si="47"/>
        <v>0</v>
      </c>
      <c r="K400">
        <f t="shared" si="46"/>
        <v>0.54443938072152065</v>
      </c>
    </row>
    <row r="401" spans="1:11" x14ac:dyDescent="0.3">
      <c r="A401">
        <v>350</v>
      </c>
      <c r="B401" s="3">
        <v>0.56416783163394379</v>
      </c>
      <c r="C401" s="2">
        <v>64.573079635478294</v>
      </c>
      <c r="D401" s="1">
        <v>2.3929696504186952</v>
      </c>
      <c r="E401" s="1">
        <f t="shared" si="42"/>
        <v>4.7859393008373906E-2</v>
      </c>
      <c r="F401" s="10">
        <f t="shared" si="43"/>
        <v>16.143269908869573</v>
      </c>
      <c r="G401" s="3">
        <f t="shared" si="44"/>
        <v>1.1964848252093476</v>
      </c>
      <c r="H401" s="22">
        <f t="shared" si="45"/>
        <v>-26.493508217884955</v>
      </c>
      <c r="I401" s="3">
        <f t="shared" si="48"/>
        <v>1612.8901546371101</v>
      </c>
      <c r="J401" s="12">
        <f t="shared" si="47"/>
        <v>0</v>
      </c>
      <c r="K401">
        <f t="shared" si="46"/>
        <v>1.1964848252093476</v>
      </c>
    </row>
    <row r="402" spans="1:11" x14ac:dyDescent="0.3">
      <c r="A402">
        <v>949</v>
      </c>
      <c r="B402" s="3">
        <v>0.86523383294739187</v>
      </c>
      <c r="C402" s="2">
        <v>98.249782774153502</v>
      </c>
      <c r="D402" s="1">
        <v>3.2019058741676325</v>
      </c>
      <c r="E402" s="1">
        <f t="shared" si="42"/>
        <v>6.4038117483352655E-2</v>
      </c>
      <c r="F402" s="10">
        <f t="shared" si="43"/>
        <v>24.562445693538375</v>
      </c>
      <c r="G402" s="3">
        <f t="shared" si="44"/>
        <v>1.6009529370838165</v>
      </c>
      <c r="H402" s="22">
        <f t="shared" si="45"/>
        <v>-26.537904416239659</v>
      </c>
      <c r="I402" s="3">
        <f t="shared" si="48"/>
        <v>1613.7553884700574</v>
      </c>
      <c r="J402" s="12">
        <f t="shared" si="47"/>
        <v>0</v>
      </c>
      <c r="K402">
        <f t="shared" si="46"/>
        <v>1.6009529370838165</v>
      </c>
    </row>
    <row r="403" spans="1:11" x14ac:dyDescent="0.3">
      <c r="A403">
        <v>261</v>
      </c>
      <c r="B403" s="3">
        <v>0.80776163024559366</v>
      </c>
      <c r="C403" s="2">
        <v>92.17702313595197</v>
      </c>
      <c r="D403" s="1">
        <v>1.4567744320644436</v>
      </c>
      <c r="E403" s="1">
        <f t="shared" si="42"/>
        <v>2.913548864128887E-2</v>
      </c>
      <c r="F403" s="10">
        <f t="shared" si="43"/>
        <v>23.044255783987992</v>
      </c>
      <c r="G403" s="3">
        <f t="shared" si="44"/>
        <v>0.72838721603222178</v>
      </c>
      <c r="H403" s="22">
        <f t="shared" si="45"/>
        <v>-27.626799457125493</v>
      </c>
      <c r="I403" s="3">
        <f t="shared" si="48"/>
        <v>1614.5631501003029</v>
      </c>
      <c r="J403" s="12">
        <f t="shared" si="47"/>
        <v>0</v>
      </c>
      <c r="K403">
        <f t="shared" si="46"/>
        <v>0.72838721603222178</v>
      </c>
    </row>
    <row r="404" spans="1:11" x14ac:dyDescent="0.3">
      <c r="A404">
        <v>305</v>
      </c>
      <c r="B404" s="3">
        <v>0.80548397244653347</v>
      </c>
      <c r="C404" s="2">
        <v>96.175139060883183</v>
      </c>
      <c r="D404" s="1">
        <v>0.51230620832834872</v>
      </c>
      <c r="E404" s="1">
        <f t="shared" si="42"/>
        <v>1.0246124166566974E-2</v>
      </c>
      <c r="F404" s="10">
        <f t="shared" si="43"/>
        <v>24.043784765220796</v>
      </c>
      <c r="G404" s="3">
        <f t="shared" si="44"/>
        <v>0.25615310416417436</v>
      </c>
      <c r="H404" s="22">
        <f t="shared" si="45"/>
        <v>-29.532098061250501</v>
      </c>
      <c r="I404" s="3">
        <f t="shared" si="48"/>
        <v>1615.3686340727495</v>
      </c>
      <c r="J404" s="12">
        <f t="shared" si="47"/>
        <v>0</v>
      </c>
      <c r="K404">
        <f t="shared" si="46"/>
        <v>0.25615310416417436</v>
      </c>
    </row>
    <row r="405" spans="1:11" x14ac:dyDescent="0.3">
      <c r="A405">
        <v>369</v>
      </c>
      <c r="B405" s="3">
        <v>0.77954630192057506</v>
      </c>
      <c r="C405" s="2">
        <v>98.923876546700512</v>
      </c>
      <c r="D405" s="1">
        <v>1.0344286700388112</v>
      </c>
      <c r="E405" s="1">
        <f t="shared" si="42"/>
        <v>2.0688573400776223E-2</v>
      </c>
      <c r="F405" s="10">
        <f t="shared" si="43"/>
        <v>24.730969136675128</v>
      </c>
      <c r="G405" s="3">
        <f t="shared" si="44"/>
        <v>0.51721433501940561</v>
      </c>
      <c r="H405" s="22">
        <f t="shared" si="45"/>
        <v>-31.061342657902529</v>
      </c>
      <c r="I405" s="3">
        <f t="shared" si="48"/>
        <v>1616.1481803746701</v>
      </c>
      <c r="J405" s="12">
        <f t="shared" si="47"/>
        <v>0</v>
      </c>
      <c r="K405">
        <f t="shared" si="46"/>
        <v>0.51721433501940561</v>
      </c>
    </row>
    <row r="406" spans="1:11" x14ac:dyDescent="0.3">
      <c r="A406">
        <v>91</v>
      </c>
      <c r="B406" s="3">
        <v>0.33735976863779937</v>
      </c>
      <c r="C406" s="2">
        <v>47.435302492539634</v>
      </c>
      <c r="D406" s="1">
        <v>1.403178780418642</v>
      </c>
      <c r="E406" s="1">
        <f t="shared" si="42"/>
        <v>2.8063575608372839E-2</v>
      </c>
      <c r="F406" s="10">
        <f t="shared" si="43"/>
        <v>11.858825623134909</v>
      </c>
      <c r="G406" s="3">
        <f t="shared" si="44"/>
        <v>0.70158939020932098</v>
      </c>
      <c r="H406" s="22">
        <f t="shared" si="45"/>
        <v>-33.072219245278077</v>
      </c>
      <c r="I406" s="3">
        <f t="shared" si="48"/>
        <v>1616.4855401433078</v>
      </c>
      <c r="J406" s="12">
        <f t="shared" si="47"/>
        <v>0</v>
      </c>
      <c r="K406">
        <f t="shared" si="46"/>
        <v>0.70158939020932098</v>
      </c>
    </row>
    <row r="407" spans="1:11" x14ac:dyDescent="0.3">
      <c r="A407">
        <v>453</v>
      </c>
      <c r="B407" s="3">
        <v>0.66901126411196388</v>
      </c>
      <c r="C407" s="2">
        <v>91.096457737403895</v>
      </c>
      <c r="D407" s="1">
        <v>1.0634737095200235</v>
      </c>
      <c r="E407" s="1">
        <f t="shared" si="42"/>
        <v>2.126947419040047E-2</v>
      </c>
      <c r="F407" s="10">
        <f t="shared" si="43"/>
        <v>22.774114434350974</v>
      </c>
      <c r="G407" s="3">
        <f t="shared" si="44"/>
        <v>0.53173685476001176</v>
      </c>
      <c r="H407" s="22">
        <f t="shared" si="45"/>
        <v>-33.246641383707015</v>
      </c>
      <c r="I407" s="3">
        <f t="shared" si="48"/>
        <v>1617.1545514074198</v>
      </c>
      <c r="J407" s="12">
        <f t="shared" si="47"/>
        <v>0</v>
      </c>
      <c r="K407">
        <f t="shared" si="46"/>
        <v>0.53173685476001176</v>
      </c>
    </row>
    <row r="408" spans="1:11" x14ac:dyDescent="0.3">
      <c r="A408">
        <v>415</v>
      </c>
      <c r="B408" s="3">
        <v>0.70067273284080134</v>
      </c>
      <c r="C408" s="2">
        <v>95.353208893257985</v>
      </c>
      <c r="D408" s="1">
        <v>1.0568472590055649</v>
      </c>
      <c r="E408" s="1">
        <f t="shared" si="42"/>
        <v>2.1136945180111298E-2</v>
      </c>
      <c r="F408" s="10">
        <f t="shared" si="43"/>
        <v>23.838302223314496</v>
      </c>
      <c r="G408" s="3">
        <f t="shared" si="44"/>
        <v>0.52842362950278243</v>
      </c>
      <c r="H408" s="22">
        <f t="shared" si="45"/>
        <v>-33.267854593548044</v>
      </c>
      <c r="I408" s="3">
        <f t="shared" si="48"/>
        <v>1617.8552241402606</v>
      </c>
      <c r="J408" s="12">
        <f t="shared" si="47"/>
        <v>0</v>
      </c>
      <c r="K408">
        <f t="shared" si="46"/>
        <v>0.52842362950278243</v>
      </c>
    </row>
    <row r="409" spans="1:11" x14ac:dyDescent="0.3">
      <c r="A409">
        <v>1044</v>
      </c>
      <c r="B409" s="3">
        <v>0.5610562758446358</v>
      </c>
      <c r="C409" s="2">
        <v>84.301423961499964</v>
      </c>
      <c r="D409" s="1">
        <v>2.6492622052295749</v>
      </c>
      <c r="E409" s="1">
        <f t="shared" si="42"/>
        <v>5.2985244104591496E-2</v>
      </c>
      <c r="F409" s="10">
        <f t="shared" si="43"/>
        <v>21.075355990374991</v>
      </c>
      <c r="G409" s="3">
        <f t="shared" si="44"/>
        <v>1.3246311026147874</v>
      </c>
      <c r="H409" s="22">
        <f t="shared" si="45"/>
        <v>-35.202751912946162</v>
      </c>
      <c r="I409" s="3">
        <f t="shared" si="48"/>
        <v>1618.4162804161053</v>
      </c>
      <c r="J409" s="12">
        <f t="shared" si="47"/>
        <v>0</v>
      </c>
      <c r="K409">
        <f t="shared" si="46"/>
        <v>1.3246311026147874</v>
      </c>
    </row>
    <row r="410" spans="1:11" x14ac:dyDescent="0.3">
      <c r="A410">
        <v>982</v>
      </c>
      <c r="B410" s="3">
        <v>0.33735976863779937</v>
      </c>
      <c r="C410" s="2">
        <v>57.704951339070263</v>
      </c>
      <c r="D410" s="1">
        <v>2.9035709185058072</v>
      </c>
      <c r="E410" s="1">
        <f t="shared" si="42"/>
        <v>5.8071418370116146E-2</v>
      </c>
      <c r="F410" s="10">
        <f t="shared" si="43"/>
        <v>14.426237834767566</v>
      </c>
      <c r="G410" s="3">
        <f t="shared" si="44"/>
        <v>1.4517854592529036</v>
      </c>
      <c r="H410" s="22">
        <f t="shared" si="45"/>
        <v>-38.458801498184762</v>
      </c>
      <c r="I410" s="3">
        <f t="shared" si="48"/>
        <v>1618.7536401847431</v>
      </c>
      <c r="J410" s="12">
        <f t="shared" si="47"/>
        <v>0</v>
      </c>
      <c r="K410">
        <f t="shared" si="46"/>
        <v>1.4517854592529036</v>
      </c>
    </row>
    <row r="411" spans="1:11" x14ac:dyDescent="0.3">
      <c r="A411">
        <v>718</v>
      </c>
      <c r="B411" s="3">
        <v>0.60515355112073177</v>
      </c>
      <c r="C411" s="2">
        <v>95.090251889881486</v>
      </c>
      <c r="D411" s="1">
        <v>0.65090810987158321</v>
      </c>
      <c r="E411" s="1">
        <f t="shared" si="42"/>
        <v>1.3018162197431665E-2</v>
      </c>
      <c r="F411" s="10">
        <f t="shared" si="43"/>
        <v>23.772562972470372</v>
      </c>
      <c r="G411" s="3">
        <f t="shared" si="44"/>
        <v>0.3254540549357916</v>
      </c>
      <c r="H411" s="22">
        <f t="shared" si="45"/>
        <v>-38.745718130730658</v>
      </c>
      <c r="I411" s="3">
        <f t="shared" si="48"/>
        <v>1619.3587937358639</v>
      </c>
      <c r="J411" s="12">
        <f t="shared" si="47"/>
        <v>0</v>
      </c>
      <c r="K411">
        <f t="shared" si="46"/>
        <v>0.3254540549357916</v>
      </c>
    </row>
    <row r="412" spans="1:11" x14ac:dyDescent="0.3">
      <c r="A412">
        <v>755</v>
      </c>
      <c r="B412" s="3">
        <v>0.53430713571528288</v>
      </c>
      <c r="C412" s="2">
        <v>88.099969932523493</v>
      </c>
      <c r="D412" s="1">
        <v>1.2079509469533682</v>
      </c>
      <c r="E412" s="1">
        <f t="shared" si="42"/>
        <v>2.4159018939067366E-2</v>
      </c>
      <c r="F412" s="10">
        <f t="shared" si="43"/>
        <v>22.024992483130873</v>
      </c>
      <c r="G412" s="3">
        <f t="shared" si="44"/>
        <v>0.60397547347668412</v>
      </c>
      <c r="H412" s="22">
        <f t="shared" si="45"/>
        <v>-40.091205184781288</v>
      </c>
      <c r="I412" s="3">
        <f t="shared" si="48"/>
        <v>1619.8931008715792</v>
      </c>
      <c r="J412" s="12">
        <f t="shared" si="47"/>
        <v>0</v>
      </c>
      <c r="K412">
        <f t="shared" si="46"/>
        <v>0.60397547347668412</v>
      </c>
    </row>
    <row r="413" spans="1:11" x14ac:dyDescent="0.3">
      <c r="A413">
        <v>35</v>
      </c>
      <c r="B413" s="3">
        <v>0.43645018317542084</v>
      </c>
      <c r="C413" s="2">
        <v>78.177645639745492</v>
      </c>
      <c r="D413" s="1">
        <v>2.746872613905055</v>
      </c>
      <c r="E413" s="1">
        <f t="shared" si="42"/>
        <v>5.4937452278101102E-2</v>
      </c>
      <c r="F413" s="10">
        <f t="shared" si="43"/>
        <v>19.544411409936373</v>
      </c>
      <c r="G413" s="3">
        <f t="shared" si="44"/>
        <v>1.3734363069525275</v>
      </c>
      <c r="H413" s="22">
        <f t="shared" si="45"/>
        <v>-41.633560492012563</v>
      </c>
      <c r="I413" s="3">
        <f t="shared" si="48"/>
        <v>1620.3295510547546</v>
      </c>
      <c r="J413" s="12">
        <f t="shared" si="47"/>
        <v>0</v>
      </c>
      <c r="K413">
        <f t="shared" si="46"/>
        <v>1.3734363069525275</v>
      </c>
    </row>
    <row r="414" spans="1:11" x14ac:dyDescent="0.3">
      <c r="A414">
        <v>707</v>
      </c>
      <c r="B414" s="3">
        <v>0.42070180467416507</v>
      </c>
      <c r="C414" s="2">
        <v>90.364466751957792</v>
      </c>
      <c r="D414" s="1">
        <v>0.68573498692666646</v>
      </c>
      <c r="E414" s="1">
        <f t="shared" si="42"/>
        <v>1.3714699738533329E-2</v>
      </c>
      <c r="F414" s="10">
        <f t="shared" si="43"/>
        <v>22.591116687989448</v>
      </c>
      <c r="G414" s="3">
        <f t="shared" si="44"/>
        <v>0.34286749346333323</v>
      </c>
      <c r="H414" s="22">
        <f t="shared" si="45"/>
        <v>-52.883655233562536</v>
      </c>
      <c r="I414" s="3">
        <f t="shared" si="48"/>
        <v>1620.7502528594287</v>
      </c>
      <c r="J414" s="12">
        <f t="shared" si="47"/>
        <v>0</v>
      </c>
      <c r="K414">
        <f t="shared" si="46"/>
        <v>0.34286749346333323</v>
      </c>
    </row>
    <row r="415" spans="1:11" x14ac:dyDescent="0.3">
      <c r="A415">
        <v>762</v>
      </c>
      <c r="B415" s="3">
        <v>0.45024089787638277</v>
      </c>
      <c r="C415" s="2">
        <v>99.337194752892017</v>
      </c>
      <c r="D415" s="1">
        <v>1.2038968510307821</v>
      </c>
      <c r="E415" s="1">
        <f t="shared" si="42"/>
        <v>2.4077937020615642E-2</v>
      </c>
      <c r="F415" s="10">
        <f t="shared" si="43"/>
        <v>24.834298688223004</v>
      </c>
      <c r="G415" s="3">
        <f t="shared" si="44"/>
        <v>0.60194842551539107</v>
      </c>
      <c r="H415" s="22">
        <f t="shared" si="45"/>
        <v>-53.820855406522391</v>
      </c>
      <c r="I415" s="3">
        <f t="shared" si="48"/>
        <v>1621.2004937573051</v>
      </c>
      <c r="J415" s="12">
        <f t="shared" si="47"/>
        <v>0</v>
      </c>
      <c r="K415">
        <f t="shared" si="46"/>
        <v>0.60194842551539107</v>
      </c>
    </row>
    <row r="416" spans="1:11" x14ac:dyDescent="0.3">
      <c r="A416">
        <v>962</v>
      </c>
      <c r="B416" s="3">
        <v>0.3621252484718851</v>
      </c>
      <c r="C416" s="2">
        <v>95.408128218027827</v>
      </c>
      <c r="D416" s="1">
        <v>0.61690368932313355</v>
      </c>
      <c r="E416" s="1">
        <f t="shared" si="42"/>
        <v>1.2338073786462671E-2</v>
      </c>
      <c r="F416" s="10">
        <f t="shared" si="43"/>
        <v>23.852032054506957</v>
      </c>
      <c r="G416" s="3">
        <f t="shared" si="44"/>
        <v>0.30845184466156678</v>
      </c>
      <c r="H416" s="22">
        <f t="shared" si="45"/>
        <v>-65.015019828625071</v>
      </c>
      <c r="I416" s="3">
        <f t="shared" si="48"/>
        <v>1621.5626190057769</v>
      </c>
      <c r="J416" s="12">
        <f t="shared" si="47"/>
        <v>0</v>
      </c>
      <c r="K416">
        <f t="shared" si="46"/>
        <v>0.30845184466156678</v>
      </c>
    </row>
    <row r="417" spans="1:11" x14ac:dyDescent="0.3">
      <c r="A417">
        <v>971</v>
      </c>
      <c r="B417" s="3">
        <v>0.33898337185350957</v>
      </c>
      <c r="C417" s="2">
        <v>91.732859570614224</v>
      </c>
      <c r="D417" s="1">
        <v>0.64675650793850092</v>
      </c>
      <c r="E417" s="1">
        <f t="shared" si="42"/>
        <v>1.2935130158770019E-2</v>
      </c>
      <c r="F417" s="10">
        <f t="shared" si="43"/>
        <v>22.933214892653556</v>
      </c>
      <c r="G417" s="3">
        <f t="shared" si="44"/>
        <v>0.32337825396925046</v>
      </c>
      <c r="H417" s="22">
        <f t="shared" si="45"/>
        <v>-66.698954922352556</v>
      </c>
      <c r="I417" s="3">
        <f t="shared" si="48"/>
        <v>1621.9016023776305</v>
      </c>
      <c r="J417" s="12">
        <f t="shared" si="47"/>
        <v>0</v>
      </c>
      <c r="K417">
        <f t="shared" si="46"/>
        <v>0.32337825396925046</v>
      </c>
    </row>
  </sheetData>
  <sortState xmlns:xlrd2="http://schemas.microsoft.com/office/spreadsheetml/2017/richdata2" ref="A2:K417">
    <sortCondition descending="1" ref="H2:H417"/>
  </sortState>
  <mergeCells count="1">
    <mergeCell ref="Q3:U1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70"/>
  <sheetViews>
    <sheetView zoomScale="130" zoomScaleNormal="130" workbookViewId="0">
      <selection activeCell="H4" sqref="H4"/>
    </sheetView>
  </sheetViews>
  <sheetFormatPr defaultColWidth="8.77734375" defaultRowHeight="14.4" x14ac:dyDescent="0.3"/>
  <cols>
    <col min="1" max="1" width="8.44140625" bestFit="1" customWidth="1"/>
    <col min="2" max="2" width="14.44140625" bestFit="1" customWidth="1"/>
    <col min="3" max="3" width="9.109375" bestFit="1" customWidth="1"/>
    <col min="4" max="4" width="10.33203125" bestFit="1" customWidth="1"/>
    <col min="5" max="5" width="36.44140625" bestFit="1" customWidth="1"/>
    <col min="6" max="6" width="19.77734375" bestFit="1" customWidth="1"/>
    <col min="7" max="7" width="23.33203125" customWidth="1"/>
    <col min="9" max="9" width="14.44140625" customWidth="1"/>
    <col min="11" max="11" width="13.109375" customWidth="1"/>
  </cols>
  <sheetData>
    <row r="1" spans="1:14" ht="37.049999999999997" customHeight="1" x14ac:dyDescent="0.3">
      <c r="A1" s="4" t="s">
        <v>0</v>
      </c>
      <c r="B1" s="5" t="s">
        <v>1</v>
      </c>
      <c r="C1" s="6" t="s">
        <v>2</v>
      </c>
      <c r="D1" s="4" t="s">
        <v>3</v>
      </c>
      <c r="E1" s="14" t="s">
        <v>7</v>
      </c>
      <c r="F1" s="14" t="s">
        <v>5</v>
      </c>
      <c r="G1" s="14" t="s">
        <v>6</v>
      </c>
      <c r="H1" s="14" t="s">
        <v>8</v>
      </c>
      <c r="I1" s="14" t="s">
        <v>11</v>
      </c>
    </row>
    <row r="2" spans="1:14" x14ac:dyDescent="0.3">
      <c r="A2">
        <v>35</v>
      </c>
      <c r="B2" s="3">
        <v>0.43645018317542084</v>
      </c>
      <c r="C2" s="2">
        <v>78.177645639745492</v>
      </c>
      <c r="D2" s="1">
        <v>2.746872613905055</v>
      </c>
      <c r="E2" s="1">
        <f>5/250*D2</f>
        <v>5.4937452278101102E-2</v>
      </c>
      <c r="F2" s="10">
        <f t="shared" ref="F2:F31" si="0">0.25*C2</f>
        <v>19.544411409936373</v>
      </c>
      <c r="G2" s="3">
        <f>25*D2</f>
        <v>68.671815347626378</v>
      </c>
      <c r="H2" s="12">
        <v>1</v>
      </c>
      <c r="I2" s="9">
        <f t="shared" ref="I2:I31" si="1">H2*F2+(1-H2)*G2</f>
        <v>19.544411409936373</v>
      </c>
      <c r="K2" t="s">
        <v>10</v>
      </c>
      <c r="L2" s="11">
        <f>SUM(I2:I31)</f>
        <v>623.55794240933506</v>
      </c>
    </row>
    <row r="3" spans="1:14" x14ac:dyDescent="0.3">
      <c r="A3">
        <v>91</v>
      </c>
      <c r="B3" s="3">
        <v>0.33735976863779937</v>
      </c>
      <c r="C3" s="2">
        <v>47.435302492539634</v>
      </c>
      <c r="D3" s="1">
        <v>1.403178780418642</v>
      </c>
      <c r="E3" s="1">
        <f t="shared" ref="E3:E31" si="2">5/250*A3</f>
        <v>1.82</v>
      </c>
      <c r="F3" s="10">
        <f t="shared" si="0"/>
        <v>11.858825623134909</v>
      </c>
      <c r="G3" s="3">
        <f t="shared" ref="G3:G31" si="3">25*D3</f>
        <v>35.079469510466048</v>
      </c>
      <c r="H3" s="12">
        <v>1</v>
      </c>
      <c r="I3" s="9">
        <f t="shared" si="1"/>
        <v>11.858825623134909</v>
      </c>
      <c r="K3" t="s">
        <v>9</v>
      </c>
      <c r="L3" s="15">
        <f>SUMPRODUCT(B2:B31,H2:H31)</f>
        <v>49.877741182905154</v>
      </c>
      <c r="M3" t="s">
        <v>12</v>
      </c>
      <c r="N3">
        <v>50</v>
      </c>
    </row>
    <row r="4" spans="1:14" x14ac:dyDescent="0.3">
      <c r="A4">
        <v>207</v>
      </c>
      <c r="B4" s="3">
        <v>0.53226354816753751</v>
      </c>
      <c r="C4" s="2">
        <v>36.389595342580009</v>
      </c>
      <c r="D4" s="1">
        <v>0.55340951299649488</v>
      </c>
      <c r="E4" s="1">
        <f t="shared" si="2"/>
        <v>4.1399999999999997</v>
      </c>
      <c r="F4" s="10">
        <f t="shared" si="0"/>
        <v>9.0973988356450022</v>
      </c>
      <c r="G4" s="3">
        <f t="shared" si="3"/>
        <v>13.835237824912372</v>
      </c>
      <c r="H4" s="12">
        <v>0</v>
      </c>
      <c r="I4" s="9">
        <f t="shared" si="1"/>
        <v>13.835237824912372</v>
      </c>
    </row>
    <row r="5" spans="1:14" x14ac:dyDescent="0.3">
      <c r="A5">
        <v>570</v>
      </c>
      <c r="B5" s="3">
        <v>4.641911641886189</v>
      </c>
      <c r="C5" s="2">
        <v>0.7361126155005504</v>
      </c>
      <c r="D5" s="1">
        <v>1.9311091598096972</v>
      </c>
      <c r="E5" s="1">
        <f t="shared" si="2"/>
        <v>11.4</v>
      </c>
      <c r="F5" s="10">
        <f t="shared" si="0"/>
        <v>0.1840281538751376</v>
      </c>
      <c r="G5" s="3">
        <f t="shared" si="3"/>
        <v>48.277728995242427</v>
      </c>
      <c r="H5" s="12">
        <v>1</v>
      </c>
      <c r="I5" s="9">
        <f t="shared" si="1"/>
        <v>0.1840281538751376</v>
      </c>
    </row>
    <row r="6" spans="1:14" x14ac:dyDescent="0.3">
      <c r="A6">
        <v>631</v>
      </c>
      <c r="B6" s="3">
        <v>9.4227545758652536</v>
      </c>
      <c r="C6" s="2">
        <v>0.40188261642927214</v>
      </c>
      <c r="D6" s="1">
        <v>2.0276600868965624</v>
      </c>
      <c r="E6" s="1">
        <f t="shared" si="2"/>
        <v>12.620000000000001</v>
      </c>
      <c r="F6" s="10">
        <f t="shared" si="0"/>
        <v>0.10047065410731804</v>
      </c>
      <c r="G6" s="3">
        <f t="shared" si="3"/>
        <v>50.691502172414062</v>
      </c>
      <c r="H6" s="12">
        <v>0</v>
      </c>
      <c r="I6" s="9">
        <f t="shared" si="1"/>
        <v>50.691502172414062</v>
      </c>
    </row>
    <row r="7" spans="1:14" x14ac:dyDescent="0.3">
      <c r="A7">
        <v>697</v>
      </c>
      <c r="B7" s="3">
        <v>9.5989039155543345</v>
      </c>
      <c r="C7" s="2">
        <v>0.17494846771503036</v>
      </c>
      <c r="D7" s="1">
        <v>2.6995400017259548</v>
      </c>
      <c r="E7" s="1">
        <f t="shared" si="2"/>
        <v>13.94</v>
      </c>
      <c r="F7" s="10">
        <f t="shared" si="0"/>
        <v>4.3737116928757591E-2</v>
      </c>
      <c r="G7" s="3">
        <f t="shared" si="3"/>
        <v>67.488500043148875</v>
      </c>
      <c r="H7" s="12">
        <v>1</v>
      </c>
      <c r="I7" s="9">
        <f t="shared" si="1"/>
        <v>4.3737116928757591E-2</v>
      </c>
    </row>
    <row r="8" spans="1:14" x14ac:dyDescent="0.3">
      <c r="A8">
        <v>707</v>
      </c>
      <c r="B8" s="3">
        <v>0.42070180467416507</v>
      </c>
      <c r="C8" s="2">
        <v>90.364466751957792</v>
      </c>
      <c r="D8" s="1">
        <v>0.68573498692666646</v>
      </c>
      <c r="E8" s="1">
        <f t="shared" si="2"/>
        <v>14.14</v>
      </c>
      <c r="F8" s="10">
        <f t="shared" si="0"/>
        <v>22.591116687989448</v>
      </c>
      <c r="G8" s="3">
        <f t="shared" si="3"/>
        <v>17.143374673166662</v>
      </c>
      <c r="H8" s="12">
        <v>0</v>
      </c>
      <c r="I8" s="9">
        <f t="shared" si="1"/>
        <v>17.143374673166662</v>
      </c>
    </row>
    <row r="9" spans="1:14" x14ac:dyDescent="0.3">
      <c r="A9">
        <v>755</v>
      </c>
      <c r="B9" s="3">
        <v>0.53430713571528288</v>
      </c>
      <c r="C9" s="2">
        <v>88.099969932523493</v>
      </c>
      <c r="D9" s="1">
        <v>1.2079509469533682</v>
      </c>
      <c r="E9" s="1">
        <f t="shared" si="2"/>
        <v>15.1</v>
      </c>
      <c r="F9" s="10">
        <f t="shared" si="0"/>
        <v>22.024992483130873</v>
      </c>
      <c r="G9" s="3">
        <f t="shared" si="3"/>
        <v>30.198773673834207</v>
      </c>
      <c r="H9" s="12">
        <v>1</v>
      </c>
      <c r="I9" s="9">
        <f t="shared" si="1"/>
        <v>22.024992483130873</v>
      </c>
    </row>
    <row r="10" spans="1:14" x14ac:dyDescent="0.3">
      <c r="A10">
        <v>762</v>
      </c>
      <c r="B10" s="3">
        <v>0.45024089787638277</v>
      </c>
      <c r="C10" s="2">
        <v>99.337194752892017</v>
      </c>
      <c r="D10" s="1">
        <v>1.2038968510307821</v>
      </c>
      <c r="E10" s="1">
        <f t="shared" si="2"/>
        <v>15.24</v>
      </c>
      <c r="F10" s="10">
        <f t="shared" si="0"/>
        <v>24.834298688223004</v>
      </c>
      <c r="G10" s="3">
        <f t="shared" si="3"/>
        <v>30.097421275769555</v>
      </c>
      <c r="H10" s="12">
        <v>1</v>
      </c>
      <c r="I10" s="9">
        <f t="shared" si="1"/>
        <v>24.834298688223004</v>
      </c>
    </row>
    <row r="11" spans="1:14" x14ac:dyDescent="0.3">
      <c r="A11">
        <v>790</v>
      </c>
      <c r="B11" s="3">
        <v>7.8201937950803906</v>
      </c>
      <c r="C11" s="2">
        <v>3.3189732381488923E-2</v>
      </c>
      <c r="D11" s="1">
        <v>1.8528444424142394</v>
      </c>
      <c r="E11" s="1">
        <f t="shared" si="2"/>
        <v>15.8</v>
      </c>
      <c r="F11" s="10">
        <f t="shared" si="0"/>
        <v>8.2974330953722308E-3</v>
      </c>
      <c r="G11" s="3">
        <f t="shared" si="3"/>
        <v>46.321111060355982</v>
      </c>
      <c r="H11" s="12">
        <v>0</v>
      </c>
      <c r="I11" s="9">
        <f t="shared" si="1"/>
        <v>46.321111060355982</v>
      </c>
    </row>
    <row r="12" spans="1:14" x14ac:dyDescent="0.3">
      <c r="A12">
        <v>802</v>
      </c>
      <c r="B12" s="3">
        <v>7.1043214039770586</v>
      </c>
      <c r="C12" s="2">
        <v>0.39843641945495056</v>
      </c>
      <c r="D12" s="1">
        <v>1.3545336572317539</v>
      </c>
      <c r="E12" s="1">
        <f t="shared" si="2"/>
        <v>16.04</v>
      </c>
      <c r="F12" s="10">
        <f t="shared" si="0"/>
        <v>9.9609104863737641E-2</v>
      </c>
      <c r="G12" s="3">
        <f t="shared" si="3"/>
        <v>33.863341430793845</v>
      </c>
      <c r="H12" s="12">
        <v>0</v>
      </c>
      <c r="I12" s="9">
        <f t="shared" si="1"/>
        <v>33.863341430793845</v>
      </c>
    </row>
    <row r="13" spans="1:14" x14ac:dyDescent="0.3">
      <c r="A13">
        <v>836</v>
      </c>
      <c r="B13" s="3">
        <v>8.2176486062281029</v>
      </c>
      <c r="C13" s="2">
        <v>0.17799302280316898</v>
      </c>
      <c r="D13" s="1">
        <v>1.7590900459121823</v>
      </c>
      <c r="E13" s="1">
        <f t="shared" si="2"/>
        <v>16.72</v>
      </c>
      <c r="F13" s="10">
        <f t="shared" si="0"/>
        <v>4.4498255700792244E-2</v>
      </c>
      <c r="G13" s="3">
        <f t="shared" si="3"/>
        <v>43.977251147804559</v>
      </c>
      <c r="H13" s="12">
        <v>0</v>
      </c>
      <c r="I13" s="9">
        <f t="shared" si="1"/>
        <v>43.977251147804559</v>
      </c>
    </row>
    <row r="14" spans="1:14" x14ac:dyDescent="0.3">
      <c r="A14">
        <v>872</v>
      </c>
      <c r="B14" s="3">
        <v>5.8911859065317298</v>
      </c>
      <c r="C14" s="2">
        <v>0.32542690615354752</v>
      </c>
      <c r="D14" s="1">
        <v>0.92378802779970148</v>
      </c>
      <c r="E14" s="1">
        <f t="shared" si="2"/>
        <v>17.440000000000001</v>
      </c>
      <c r="F14" s="10">
        <f t="shared" si="0"/>
        <v>8.1356726538386881E-2</v>
      </c>
      <c r="G14" s="3">
        <f t="shared" si="3"/>
        <v>23.094700694992536</v>
      </c>
      <c r="H14" s="12">
        <v>0</v>
      </c>
      <c r="I14" s="9">
        <f t="shared" si="1"/>
        <v>23.094700694992536</v>
      </c>
    </row>
    <row r="15" spans="1:14" x14ac:dyDescent="0.3">
      <c r="A15">
        <v>954</v>
      </c>
      <c r="B15" s="3">
        <v>3.5213995169796286</v>
      </c>
      <c r="C15" s="2">
        <v>4.1259991134545704E-2</v>
      </c>
      <c r="D15" s="1">
        <v>0.25512942873062083</v>
      </c>
      <c r="E15" s="1">
        <f t="shared" si="2"/>
        <v>19.080000000000002</v>
      </c>
      <c r="F15" s="10">
        <f t="shared" si="0"/>
        <v>1.0314997783636426E-2</v>
      </c>
      <c r="G15" s="3">
        <f t="shared" si="3"/>
        <v>6.3782357182655209</v>
      </c>
      <c r="H15" s="12">
        <v>0</v>
      </c>
      <c r="I15" s="9">
        <f t="shared" si="1"/>
        <v>6.3782357182655209</v>
      </c>
    </row>
    <row r="16" spans="1:14" x14ac:dyDescent="0.3">
      <c r="A16">
        <v>962</v>
      </c>
      <c r="B16" s="3">
        <v>0.3621252484718851</v>
      </c>
      <c r="C16" s="2">
        <v>95.408128218027827</v>
      </c>
      <c r="D16" s="1">
        <v>0.61690368932313355</v>
      </c>
      <c r="E16" s="1">
        <f t="shared" si="2"/>
        <v>19.240000000000002</v>
      </c>
      <c r="F16" s="10">
        <f t="shared" si="0"/>
        <v>23.852032054506957</v>
      </c>
      <c r="G16" s="3">
        <f t="shared" si="3"/>
        <v>15.422592233078339</v>
      </c>
      <c r="H16" s="12">
        <v>0</v>
      </c>
      <c r="I16" s="9">
        <f t="shared" si="1"/>
        <v>15.422592233078339</v>
      </c>
    </row>
    <row r="17" spans="1:9" x14ac:dyDescent="0.3">
      <c r="A17">
        <v>971</v>
      </c>
      <c r="B17" s="3">
        <v>0.33898337185350957</v>
      </c>
      <c r="C17" s="2">
        <v>91.732859570614224</v>
      </c>
      <c r="D17" s="1">
        <v>0.64675650793850092</v>
      </c>
      <c r="E17" s="1">
        <f t="shared" si="2"/>
        <v>19.420000000000002</v>
      </c>
      <c r="F17" s="10">
        <f t="shared" si="0"/>
        <v>22.933214892653556</v>
      </c>
      <c r="G17" s="3">
        <f t="shared" si="3"/>
        <v>16.168912698462524</v>
      </c>
      <c r="H17" s="12">
        <v>0</v>
      </c>
      <c r="I17" s="9">
        <f t="shared" si="1"/>
        <v>16.168912698462524</v>
      </c>
    </row>
    <row r="18" spans="1:9" x14ac:dyDescent="0.3">
      <c r="A18">
        <v>982</v>
      </c>
      <c r="B18" s="3">
        <v>0.33735976863779937</v>
      </c>
      <c r="C18" s="2">
        <v>57.704951339070263</v>
      </c>
      <c r="D18" s="1">
        <v>2.9035709185058072</v>
      </c>
      <c r="E18" s="1">
        <f t="shared" si="2"/>
        <v>19.64</v>
      </c>
      <c r="F18" s="10">
        <f t="shared" si="0"/>
        <v>14.426237834767566</v>
      </c>
      <c r="G18" s="3">
        <f t="shared" si="3"/>
        <v>72.589272962645182</v>
      </c>
      <c r="H18" s="12">
        <v>1</v>
      </c>
      <c r="I18" s="9">
        <f t="shared" si="1"/>
        <v>14.426237834767566</v>
      </c>
    </row>
    <row r="19" spans="1:9" x14ac:dyDescent="0.3">
      <c r="A19">
        <v>1014</v>
      </c>
      <c r="B19" s="3">
        <v>9.0506776562361004</v>
      </c>
      <c r="C19" s="2">
        <v>0.71198952660367354</v>
      </c>
      <c r="D19" s="1">
        <v>2.3017811631630205</v>
      </c>
      <c r="E19" s="1">
        <f t="shared" si="2"/>
        <v>20.28</v>
      </c>
      <c r="F19" s="10">
        <f t="shared" si="0"/>
        <v>0.17799738165091838</v>
      </c>
      <c r="G19" s="3">
        <f t="shared" si="3"/>
        <v>57.54452907907551</v>
      </c>
      <c r="H19" s="12">
        <v>0</v>
      </c>
      <c r="I19" s="9">
        <f t="shared" si="1"/>
        <v>57.54452907907551</v>
      </c>
    </row>
    <row r="20" spans="1:9" x14ac:dyDescent="0.3">
      <c r="A20">
        <v>1035</v>
      </c>
      <c r="B20" s="3">
        <v>6.5297033608495365</v>
      </c>
      <c r="C20" s="2">
        <v>2.054150321596504E-2</v>
      </c>
      <c r="D20" s="1">
        <v>1.3756516629534754</v>
      </c>
      <c r="E20" s="1">
        <f t="shared" si="2"/>
        <v>20.7</v>
      </c>
      <c r="F20" s="10">
        <f t="shared" si="0"/>
        <v>5.13537580399126E-3</v>
      </c>
      <c r="G20" s="3">
        <f t="shared" si="3"/>
        <v>34.391291573836888</v>
      </c>
      <c r="H20" s="12">
        <v>0</v>
      </c>
      <c r="I20" s="9">
        <f t="shared" si="1"/>
        <v>34.391291573836888</v>
      </c>
    </row>
    <row r="21" spans="1:9" x14ac:dyDescent="0.3">
      <c r="A21">
        <v>1044</v>
      </c>
      <c r="B21" s="3">
        <v>0.5610562758446358</v>
      </c>
      <c r="C21" s="2">
        <v>84.301423961499964</v>
      </c>
      <c r="D21" s="1">
        <v>2.6492622052295749</v>
      </c>
      <c r="E21" s="1">
        <f t="shared" si="2"/>
        <v>20.88</v>
      </c>
      <c r="F21" s="10">
        <f t="shared" si="0"/>
        <v>21.075355990374991</v>
      </c>
      <c r="G21" s="3">
        <f t="shared" si="3"/>
        <v>66.231555130739366</v>
      </c>
      <c r="H21" s="12">
        <v>1</v>
      </c>
      <c r="I21" s="9">
        <f t="shared" si="1"/>
        <v>21.075355990374991</v>
      </c>
    </row>
    <row r="22" spans="1:9" x14ac:dyDescent="0.3">
      <c r="A22">
        <v>1091</v>
      </c>
      <c r="B22" s="3">
        <v>0.92553085588797601</v>
      </c>
      <c r="C22" s="2">
        <v>88.661022343278077</v>
      </c>
      <c r="D22" s="1">
        <v>2.66143771994926</v>
      </c>
      <c r="E22" s="1">
        <f t="shared" si="2"/>
        <v>21.82</v>
      </c>
      <c r="F22" s="10">
        <f t="shared" si="0"/>
        <v>22.165255585819519</v>
      </c>
      <c r="G22" s="3">
        <f t="shared" si="3"/>
        <v>66.5359429987315</v>
      </c>
      <c r="H22" s="12">
        <v>1</v>
      </c>
      <c r="I22" s="9">
        <f t="shared" si="1"/>
        <v>22.165255585819519</v>
      </c>
    </row>
    <row r="23" spans="1:9" x14ac:dyDescent="0.3">
      <c r="A23">
        <v>1094</v>
      </c>
      <c r="B23" s="3">
        <v>3.441588237306096</v>
      </c>
      <c r="C23" s="2">
        <v>66.340574915676257</v>
      </c>
      <c r="D23" s="1">
        <v>2.4948461086784777</v>
      </c>
      <c r="E23" s="1">
        <f t="shared" si="2"/>
        <v>21.88</v>
      </c>
      <c r="F23" s="10">
        <f t="shared" si="0"/>
        <v>16.585143728919064</v>
      </c>
      <c r="G23" s="3">
        <f t="shared" si="3"/>
        <v>62.371152716961944</v>
      </c>
      <c r="H23" s="12">
        <v>1</v>
      </c>
      <c r="I23" s="9">
        <f t="shared" si="1"/>
        <v>16.585143728919064</v>
      </c>
    </row>
    <row r="24" spans="1:9" x14ac:dyDescent="0.3">
      <c r="A24">
        <v>1097</v>
      </c>
      <c r="B24" s="3">
        <v>4.3030294604863446</v>
      </c>
      <c r="C24" s="2">
        <v>99.222808457063948</v>
      </c>
      <c r="D24" s="1">
        <v>2.8395750199815346</v>
      </c>
      <c r="E24" s="1">
        <f t="shared" si="2"/>
        <v>21.94</v>
      </c>
      <c r="F24" s="10">
        <f t="shared" si="0"/>
        <v>24.805702114265987</v>
      </c>
      <c r="G24" s="3">
        <f t="shared" si="3"/>
        <v>70.989375499538369</v>
      </c>
      <c r="H24" s="12">
        <v>1</v>
      </c>
      <c r="I24" s="9">
        <f t="shared" si="1"/>
        <v>24.805702114265987</v>
      </c>
    </row>
    <row r="25" spans="1:9" x14ac:dyDescent="0.3">
      <c r="A25">
        <v>1098</v>
      </c>
      <c r="B25" s="3">
        <v>0.69534260741033416</v>
      </c>
      <c r="C25" s="2">
        <v>48.204808004424237</v>
      </c>
      <c r="D25" s="1">
        <v>0.31486619023461765</v>
      </c>
      <c r="E25" s="1">
        <f t="shared" si="2"/>
        <v>21.96</v>
      </c>
      <c r="F25" s="10">
        <f t="shared" si="0"/>
        <v>12.051202001106059</v>
      </c>
      <c r="G25" s="3">
        <f t="shared" si="3"/>
        <v>7.8716547558654408</v>
      </c>
      <c r="H25" s="12">
        <v>0</v>
      </c>
      <c r="I25" s="9">
        <f t="shared" si="1"/>
        <v>7.8716547558654408</v>
      </c>
    </row>
    <row r="26" spans="1:9" x14ac:dyDescent="0.3">
      <c r="A26">
        <v>1100</v>
      </c>
      <c r="B26" s="3">
        <v>6.6708003843085297</v>
      </c>
      <c r="C26" s="2">
        <v>9.6869700740117146</v>
      </c>
      <c r="D26" s="1">
        <v>3.2266163247432469</v>
      </c>
      <c r="E26" s="1">
        <f t="shared" si="2"/>
        <v>22</v>
      </c>
      <c r="F26" s="10">
        <f t="shared" si="0"/>
        <v>2.4217425185029287</v>
      </c>
      <c r="G26" s="3">
        <f t="shared" si="3"/>
        <v>80.665408118581169</v>
      </c>
      <c r="H26" s="12">
        <v>1</v>
      </c>
      <c r="I26" s="9">
        <f t="shared" si="1"/>
        <v>2.4217425185029287</v>
      </c>
    </row>
    <row r="27" spans="1:9" x14ac:dyDescent="0.3">
      <c r="A27">
        <v>1101</v>
      </c>
      <c r="B27" s="3">
        <v>3.7797107747075431</v>
      </c>
      <c r="C27" s="2">
        <v>72.776842359512912</v>
      </c>
      <c r="D27" s="1">
        <v>2.7091732189573881</v>
      </c>
      <c r="E27" s="1">
        <f t="shared" si="2"/>
        <v>22.02</v>
      </c>
      <c r="F27" s="10">
        <f t="shared" si="0"/>
        <v>18.194210589878228</v>
      </c>
      <c r="G27" s="3">
        <f t="shared" si="3"/>
        <v>67.729330473934695</v>
      </c>
      <c r="H27" s="12">
        <v>1</v>
      </c>
      <c r="I27" s="9">
        <f t="shared" si="1"/>
        <v>18.194210589878228</v>
      </c>
    </row>
    <row r="28" spans="1:9" x14ac:dyDescent="0.3">
      <c r="A28">
        <v>1104</v>
      </c>
      <c r="B28" s="3">
        <v>2.4110866230520589</v>
      </c>
      <c r="C28" s="2">
        <v>87.68549569993786</v>
      </c>
      <c r="D28" s="1">
        <v>1.2292350199888231</v>
      </c>
      <c r="E28" s="1">
        <f t="shared" si="2"/>
        <v>22.080000000000002</v>
      </c>
      <c r="F28" s="10">
        <f t="shared" si="0"/>
        <v>21.921373924984465</v>
      </c>
      <c r="G28" s="3">
        <f t="shared" si="3"/>
        <v>30.730875499720579</v>
      </c>
      <c r="H28" s="12">
        <v>0</v>
      </c>
      <c r="I28" s="9">
        <f t="shared" si="1"/>
        <v>30.730875499720579</v>
      </c>
    </row>
    <row r="29" spans="1:9" x14ac:dyDescent="0.3">
      <c r="A29">
        <v>1106</v>
      </c>
      <c r="B29" s="3">
        <v>2.9859893627222291</v>
      </c>
      <c r="C29" s="2">
        <v>82.198983453072742</v>
      </c>
      <c r="D29" s="1">
        <v>2.8706130768340863</v>
      </c>
      <c r="E29" s="1">
        <f t="shared" si="2"/>
        <v>22.12</v>
      </c>
      <c r="F29" s="10">
        <f t="shared" si="0"/>
        <v>20.549745863268186</v>
      </c>
      <c r="G29" s="3">
        <f t="shared" si="3"/>
        <v>71.765326920852161</v>
      </c>
      <c r="H29" s="12">
        <v>1</v>
      </c>
      <c r="I29" s="9">
        <f t="shared" si="1"/>
        <v>20.549745863268186</v>
      </c>
    </row>
    <row r="30" spans="1:9" x14ac:dyDescent="0.3">
      <c r="A30">
        <v>1109</v>
      </c>
      <c r="B30" s="3">
        <v>7.3420481814718386</v>
      </c>
      <c r="C30" s="2">
        <v>0.8047632978806174</v>
      </c>
      <c r="D30" s="1">
        <v>2.5271032160928897</v>
      </c>
      <c r="E30" s="1">
        <f t="shared" si="2"/>
        <v>22.18</v>
      </c>
      <c r="F30" s="10">
        <f t="shared" si="0"/>
        <v>0.20119082447015435</v>
      </c>
      <c r="G30" s="3">
        <f t="shared" si="3"/>
        <v>63.177580402322242</v>
      </c>
      <c r="H30" s="12">
        <v>1</v>
      </c>
      <c r="I30" s="9">
        <f t="shared" si="1"/>
        <v>0.20119082447015435</v>
      </c>
    </row>
    <row r="31" spans="1:9" x14ac:dyDescent="0.3">
      <c r="A31">
        <v>1115</v>
      </c>
      <c r="B31" s="3">
        <v>3.531454338686749</v>
      </c>
      <c r="C31" s="2">
        <v>28.833813284378884</v>
      </c>
      <c r="D31" s="1">
        <v>2.4577556619557446</v>
      </c>
      <c r="E31" s="1">
        <f t="shared" si="2"/>
        <v>22.3</v>
      </c>
      <c r="F31" s="10">
        <f t="shared" si="0"/>
        <v>7.208453321094721</v>
      </c>
      <c r="G31" s="3">
        <f t="shared" si="3"/>
        <v>61.443891548893617</v>
      </c>
      <c r="H31" s="12">
        <v>1</v>
      </c>
      <c r="I31" s="9">
        <f t="shared" si="1"/>
        <v>7.208453321094721</v>
      </c>
    </row>
    <row r="33" spans="9:9" x14ac:dyDescent="0.3">
      <c r="I33" s="9"/>
    </row>
    <row r="34" spans="9:9" x14ac:dyDescent="0.3">
      <c r="I34" s="9"/>
    </row>
    <row r="35" spans="9:9" x14ac:dyDescent="0.3">
      <c r="I35" s="9"/>
    </row>
    <row r="36" spans="9:9" x14ac:dyDescent="0.3">
      <c r="I36" s="9"/>
    </row>
    <row r="37" spans="9:9" x14ac:dyDescent="0.3">
      <c r="I37" s="9"/>
    </row>
    <row r="38" spans="9:9" x14ac:dyDescent="0.3">
      <c r="I38" s="9"/>
    </row>
    <row r="39" spans="9:9" x14ac:dyDescent="0.3">
      <c r="I39" s="9"/>
    </row>
    <row r="40" spans="9:9" x14ac:dyDescent="0.3">
      <c r="I40" s="9"/>
    </row>
    <row r="41" spans="9:9" x14ac:dyDescent="0.3">
      <c r="I41" s="9"/>
    </row>
    <row r="42" spans="9:9" x14ac:dyDescent="0.3">
      <c r="I42" s="9"/>
    </row>
    <row r="43" spans="9:9" x14ac:dyDescent="0.3">
      <c r="I43" s="9"/>
    </row>
    <row r="44" spans="9:9" x14ac:dyDescent="0.3">
      <c r="I44" s="9"/>
    </row>
    <row r="45" spans="9:9" x14ac:dyDescent="0.3">
      <c r="I45" s="9"/>
    </row>
    <row r="46" spans="9:9" x14ac:dyDescent="0.3">
      <c r="I46" s="9"/>
    </row>
    <row r="47" spans="9:9" x14ac:dyDescent="0.3">
      <c r="I47" s="9"/>
    </row>
    <row r="48" spans="9:9" x14ac:dyDescent="0.3">
      <c r="I48" s="9"/>
    </row>
    <row r="49" spans="9:9" x14ac:dyDescent="0.3">
      <c r="I49" s="9"/>
    </row>
    <row r="50" spans="9:9" x14ac:dyDescent="0.3">
      <c r="I50" s="9"/>
    </row>
    <row r="51" spans="9:9" x14ac:dyDescent="0.3">
      <c r="I51" s="9"/>
    </row>
    <row r="52" spans="9:9" x14ac:dyDescent="0.3">
      <c r="I52" s="9"/>
    </row>
    <row r="53" spans="9:9" x14ac:dyDescent="0.3">
      <c r="I53" s="9"/>
    </row>
    <row r="54" spans="9:9" x14ac:dyDescent="0.3">
      <c r="I54" s="9"/>
    </row>
    <row r="55" spans="9:9" x14ac:dyDescent="0.3">
      <c r="I55" s="9"/>
    </row>
    <row r="56" spans="9:9" x14ac:dyDescent="0.3">
      <c r="I56" s="9"/>
    </row>
    <row r="57" spans="9:9" x14ac:dyDescent="0.3">
      <c r="I57" s="9"/>
    </row>
    <row r="58" spans="9:9" x14ac:dyDescent="0.3">
      <c r="I58" s="9"/>
    </row>
    <row r="59" spans="9:9" x14ac:dyDescent="0.3">
      <c r="I59" s="9"/>
    </row>
    <row r="60" spans="9:9" x14ac:dyDescent="0.3">
      <c r="I60" s="9"/>
    </row>
    <row r="61" spans="9:9" x14ac:dyDescent="0.3">
      <c r="I61" s="9"/>
    </row>
    <row r="62" spans="9:9" x14ac:dyDescent="0.3">
      <c r="I62" s="9"/>
    </row>
    <row r="63" spans="9:9" x14ac:dyDescent="0.3">
      <c r="I63" s="9"/>
    </row>
    <row r="64" spans="9:9" x14ac:dyDescent="0.3">
      <c r="I64" s="9"/>
    </row>
    <row r="65" spans="9:9" x14ac:dyDescent="0.3">
      <c r="I65" s="9"/>
    </row>
    <row r="66" spans="9:9" x14ac:dyDescent="0.3">
      <c r="I66" s="9"/>
    </row>
    <row r="67" spans="9:9" x14ac:dyDescent="0.3">
      <c r="I67" s="9"/>
    </row>
    <row r="68" spans="9:9" x14ac:dyDescent="0.3">
      <c r="I68" s="9"/>
    </row>
    <row r="69" spans="9:9" x14ac:dyDescent="0.3">
      <c r="I69" s="9"/>
    </row>
    <row r="70" spans="9:9" x14ac:dyDescent="0.3">
      <c r="I70" s="9"/>
    </row>
  </sheetData>
  <sortState xmlns:xlrd2="http://schemas.microsoft.com/office/spreadsheetml/2017/richdata2" ref="A2:D31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4DE89-8510-7B41-980E-23E3C36A4001}">
  <sheetPr codeName="Sheet4"/>
  <dimension ref="A1:R31"/>
  <sheetViews>
    <sheetView topLeftCell="F1" zoomScale="130" zoomScaleNormal="130" workbookViewId="0">
      <selection activeCell="H2" sqref="H2"/>
    </sheetView>
  </sheetViews>
  <sheetFormatPr defaultColWidth="11.44140625" defaultRowHeight="14.4" x14ac:dyDescent="0.3"/>
  <cols>
    <col min="2" max="2" width="14.77734375" customWidth="1"/>
    <col min="3" max="3" width="9.33203125" bestFit="1" customWidth="1"/>
    <col min="5" max="5" width="37.109375" bestFit="1" customWidth="1"/>
    <col min="6" max="6" width="20.109375" bestFit="1" customWidth="1"/>
    <col min="7" max="7" width="27.6640625" bestFit="1" customWidth="1"/>
  </cols>
  <sheetData>
    <row r="1" spans="1:18" x14ac:dyDescent="0.3">
      <c r="A1" t="s">
        <v>0</v>
      </c>
      <c r="B1" s="8" t="s">
        <v>1</v>
      </c>
      <c r="C1" s="7" t="s">
        <v>2</v>
      </c>
      <c r="D1" s="16" t="s">
        <v>3</v>
      </c>
      <c r="E1" s="17" t="s">
        <v>7</v>
      </c>
      <c r="F1" s="17" t="s">
        <v>5</v>
      </c>
      <c r="G1" s="17" t="s">
        <v>6</v>
      </c>
      <c r="H1" s="18" t="s">
        <v>8</v>
      </c>
      <c r="I1" s="19" t="s">
        <v>14</v>
      </c>
    </row>
    <row r="2" spans="1:18" x14ac:dyDescent="0.3">
      <c r="A2">
        <v>91</v>
      </c>
      <c r="B2" s="3">
        <v>0.33735976863779937</v>
      </c>
      <c r="C2" s="2">
        <v>47.435302492539634</v>
      </c>
      <c r="D2" s="1">
        <v>1.403178780418642</v>
      </c>
      <c r="E2" s="1">
        <f>5/250*D2</f>
        <v>2.8063575608372839E-2</v>
      </c>
      <c r="F2" s="10">
        <f>0.25*C2</f>
        <v>11.858825623134909</v>
      </c>
      <c r="G2" s="3">
        <f t="shared" ref="G2:G31" si="0">25*D2</f>
        <v>35.079469510466048</v>
      </c>
      <c r="H2" s="12">
        <v>1</v>
      </c>
      <c r="I2" s="9">
        <f>H2*F2+(1-H2)*G2</f>
        <v>11.858825623134909</v>
      </c>
      <c r="K2" t="s">
        <v>14</v>
      </c>
      <c r="L2" s="11">
        <f>SUM(I2:I31)</f>
        <v>779.72903033819637</v>
      </c>
    </row>
    <row r="3" spans="1:18" x14ac:dyDescent="0.3">
      <c r="A3">
        <v>982</v>
      </c>
      <c r="B3" s="3">
        <v>0.33735976863779937</v>
      </c>
      <c r="C3" s="2">
        <v>57.704951339070263</v>
      </c>
      <c r="D3" s="1">
        <v>2.9035709185058072</v>
      </c>
      <c r="E3" s="1">
        <f>5/250*A3</f>
        <v>19.64</v>
      </c>
      <c r="F3" s="10">
        <f>0.25*C3</f>
        <v>14.426237834767566</v>
      </c>
      <c r="G3" s="3">
        <f t="shared" si="0"/>
        <v>72.589272962645182</v>
      </c>
      <c r="H3" s="12">
        <v>1</v>
      </c>
      <c r="I3" s="9">
        <f t="shared" ref="I3:I31" si="1">H3*F3+(1-H3)*G3</f>
        <v>14.426237834767566</v>
      </c>
      <c r="K3" t="s">
        <v>15</v>
      </c>
      <c r="L3" s="13">
        <f>SUMPRODUCT(B2:B31,H2:H31)</f>
        <v>46.968780689560838</v>
      </c>
      <c r="M3" t="s">
        <v>12</v>
      </c>
      <c r="N3" t="s">
        <v>13</v>
      </c>
    </row>
    <row r="4" spans="1:18" x14ac:dyDescent="0.3">
      <c r="A4">
        <v>971</v>
      </c>
      <c r="B4" s="3">
        <v>0.33898337185350957</v>
      </c>
      <c r="C4" s="2">
        <v>91.732859570614224</v>
      </c>
      <c r="D4" s="1">
        <v>0.64675650793850092</v>
      </c>
      <c r="E4" s="1">
        <f t="shared" ref="E4:E31" si="2">5/250*A4</f>
        <v>19.420000000000002</v>
      </c>
      <c r="F4" s="10">
        <f t="shared" ref="F4:F31" si="3">0.25*C4</f>
        <v>22.933214892653556</v>
      </c>
      <c r="G4" s="3">
        <f t="shared" si="0"/>
        <v>16.168912698462524</v>
      </c>
      <c r="H4" s="12">
        <v>1</v>
      </c>
      <c r="I4" s="9">
        <f t="shared" si="1"/>
        <v>22.933214892653556</v>
      </c>
    </row>
    <row r="5" spans="1:18" ht="15" thickBot="1" x14ac:dyDescent="0.35">
      <c r="A5">
        <v>962</v>
      </c>
      <c r="B5" s="3">
        <v>0.3621252484718851</v>
      </c>
      <c r="C5" s="2">
        <v>95.408128218027827</v>
      </c>
      <c r="D5" s="1">
        <v>0.61690368932313355</v>
      </c>
      <c r="E5" s="1">
        <f t="shared" si="2"/>
        <v>19.240000000000002</v>
      </c>
      <c r="F5" s="10">
        <f t="shared" si="3"/>
        <v>23.852032054506957</v>
      </c>
      <c r="G5" s="3">
        <f t="shared" si="0"/>
        <v>15.422592233078339</v>
      </c>
      <c r="H5" s="12">
        <v>1</v>
      </c>
      <c r="I5" s="9">
        <f t="shared" si="1"/>
        <v>23.852032054506957</v>
      </c>
    </row>
    <row r="6" spans="1:18" x14ac:dyDescent="0.3">
      <c r="A6">
        <v>707</v>
      </c>
      <c r="B6" s="3">
        <v>0.42070180467416507</v>
      </c>
      <c r="C6" s="2">
        <v>90.364466751957792</v>
      </c>
      <c r="D6" s="1">
        <v>0.68573498692666646</v>
      </c>
      <c r="E6" s="1">
        <f t="shared" si="2"/>
        <v>14.14</v>
      </c>
      <c r="F6" s="10">
        <f t="shared" si="3"/>
        <v>22.591116687989448</v>
      </c>
      <c r="G6" s="3">
        <f t="shared" si="0"/>
        <v>17.143374673166662</v>
      </c>
      <c r="H6" s="12">
        <v>1</v>
      </c>
      <c r="I6" s="9">
        <f t="shared" si="1"/>
        <v>22.591116687989448</v>
      </c>
      <c r="N6" s="69" t="s">
        <v>16</v>
      </c>
      <c r="O6" s="70"/>
      <c r="P6" s="70"/>
      <c r="Q6" s="70"/>
      <c r="R6" s="71"/>
    </row>
    <row r="7" spans="1:18" x14ac:dyDescent="0.3">
      <c r="A7">
        <v>35</v>
      </c>
      <c r="B7" s="3">
        <v>0.43645018317542084</v>
      </c>
      <c r="C7" s="2">
        <v>78.177645639745492</v>
      </c>
      <c r="D7" s="1">
        <v>2.746872613905055</v>
      </c>
      <c r="E7" s="1">
        <f t="shared" si="2"/>
        <v>0.70000000000000007</v>
      </c>
      <c r="F7" s="10">
        <f t="shared" si="3"/>
        <v>19.544411409936373</v>
      </c>
      <c r="G7" s="3">
        <f t="shared" si="0"/>
        <v>68.671815347626378</v>
      </c>
      <c r="H7" s="12">
        <v>1</v>
      </c>
      <c r="I7" s="9">
        <f t="shared" si="1"/>
        <v>19.544411409936373</v>
      </c>
      <c r="N7" s="72"/>
      <c r="O7" s="73"/>
      <c r="P7" s="73"/>
      <c r="Q7" s="73"/>
      <c r="R7" s="74"/>
    </row>
    <row r="8" spans="1:18" x14ac:dyDescent="0.3">
      <c r="A8">
        <v>762</v>
      </c>
      <c r="B8" s="3">
        <v>0.45024089787638277</v>
      </c>
      <c r="C8" s="2">
        <v>99.337194752892017</v>
      </c>
      <c r="D8" s="1">
        <v>1.2038968510307821</v>
      </c>
      <c r="E8" s="1">
        <f t="shared" si="2"/>
        <v>15.24</v>
      </c>
      <c r="F8" s="10">
        <f t="shared" si="3"/>
        <v>24.834298688223004</v>
      </c>
      <c r="G8" s="3">
        <f t="shared" si="0"/>
        <v>30.097421275769555</v>
      </c>
      <c r="H8" s="12">
        <v>1</v>
      </c>
      <c r="I8" s="9">
        <f>H8*F8+(1-H8)*G8</f>
        <v>24.834298688223004</v>
      </c>
      <c r="N8" s="72"/>
      <c r="O8" s="73"/>
      <c r="P8" s="73"/>
      <c r="Q8" s="73"/>
      <c r="R8" s="74"/>
    </row>
    <row r="9" spans="1:18" x14ac:dyDescent="0.3">
      <c r="A9">
        <v>207</v>
      </c>
      <c r="B9" s="3">
        <v>0.53226354816753751</v>
      </c>
      <c r="C9" s="2">
        <v>36.389595342580009</v>
      </c>
      <c r="D9" s="1">
        <v>0.55340951299649488</v>
      </c>
      <c r="E9" s="1">
        <f t="shared" si="2"/>
        <v>4.1399999999999997</v>
      </c>
      <c r="F9" s="10">
        <f t="shared" si="3"/>
        <v>9.0973988356450022</v>
      </c>
      <c r="G9" s="3">
        <f t="shared" si="0"/>
        <v>13.835237824912372</v>
      </c>
      <c r="H9" s="12">
        <v>1</v>
      </c>
      <c r="I9" s="9">
        <f>H9*F9+(1-H9)*G9</f>
        <v>9.0973988356450022</v>
      </c>
      <c r="N9" s="72"/>
      <c r="O9" s="73"/>
      <c r="P9" s="73"/>
      <c r="Q9" s="73"/>
      <c r="R9" s="74"/>
    </row>
    <row r="10" spans="1:18" x14ac:dyDescent="0.3">
      <c r="A10">
        <v>755</v>
      </c>
      <c r="B10" s="3">
        <v>0.53430713571528288</v>
      </c>
      <c r="C10" s="2">
        <v>88.099969932523493</v>
      </c>
      <c r="D10" s="1">
        <v>1.2079509469533682</v>
      </c>
      <c r="E10" s="1">
        <f t="shared" si="2"/>
        <v>15.1</v>
      </c>
      <c r="F10" s="10">
        <f t="shared" si="3"/>
        <v>22.024992483130873</v>
      </c>
      <c r="G10" s="3">
        <f t="shared" si="0"/>
        <v>30.198773673834207</v>
      </c>
      <c r="H10" s="12">
        <v>1</v>
      </c>
      <c r="I10" s="9">
        <f t="shared" si="1"/>
        <v>22.024992483130873</v>
      </c>
      <c r="N10" s="72"/>
      <c r="O10" s="73"/>
      <c r="P10" s="73"/>
      <c r="Q10" s="73"/>
      <c r="R10" s="74"/>
    </row>
    <row r="11" spans="1:18" x14ac:dyDescent="0.3">
      <c r="A11">
        <v>1044</v>
      </c>
      <c r="B11" s="3">
        <v>0.5610562758446358</v>
      </c>
      <c r="C11" s="2">
        <v>84.301423961499964</v>
      </c>
      <c r="D11" s="1">
        <v>2.6492622052295749</v>
      </c>
      <c r="E11" s="1">
        <f t="shared" si="2"/>
        <v>20.88</v>
      </c>
      <c r="F11" s="10">
        <f t="shared" si="3"/>
        <v>21.075355990374991</v>
      </c>
      <c r="G11" s="3">
        <f t="shared" si="0"/>
        <v>66.231555130739366</v>
      </c>
      <c r="H11" s="12">
        <v>1</v>
      </c>
      <c r="I11" s="9">
        <f>H11*F11+(1-H11)*G11</f>
        <v>21.075355990374991</v>
      </c>
      <c r="N11" s="72"/>
      <c r="O11" s="73"/>
      <c r="P11" s="73"/>
      <c r="Q11" s="73"/>
      <c r="R11" s="74"/>
    </row>
    <row r="12" spans="1:18" x14ac:dyDescent="0.3">
      <c r="A12">
        <v>1098</v>
      </c>
      <c r="B12" s="3">
        <v>0.69534260741033416</v>
      </c>
      <c r="C12" s="2">
        <v>48.204808004424237</v>
      </c>
      <c r="D12" s="1">
        <v>0.31486619023461765</v>
      </c>
      <c r="E12" s="1">
        <f t="shared" si="2"/>
        <v>21.96</v>
      </c>
      <c r="F12" s="10">
        <f t="shared" si="3"/>
        <v>12.051202001106059</v>
      </c>
      <c r="G12" s="3">
        <f t="shared" si="0"/>
        <v>7.8716547558654408</v>
      </c>
      <c r="H12" s="12">
        <v>1</v>
      </c>
      <c r="I12" s="9">
        <f t="shared" si="1"/>
        <v>12.051202001106059</v>
      </c>
      <c r="N12" s="72"/>
      <c r="O12" s="73"/>
      <c r="P12" s="73"/>
      <c r="Q12" s="73"/>
      <c r="R12" s="74"/>
    </row>
    <row r="13" spans="1:18" x14ac:dyDescent="0.3">
      <c r="A13">
        <v>1091</v>
      </c>
      <c r="B13" s="3">
        <v>0.92553085588797601</v>
      </c>
      <c r="C13" s="2">
        <v>88.661022343278077</v>
      </c>
      <c r="D13" s="1">
        <v>2.66143771994926</v>
      </c>
      <c r="E13" s="1">
        <f t="shared" si="2"/>
        <v>21.82</v>
      </c>
      <c r="F13" s="10">
        <f t="shared" si="3"/>
        <v>22.165255585819519</v>
      </c>
      <c r="G13" s="3">
        <f t="shared" si="0"/>
        <v>66.5359429987315</v>
      </c>
      <c r="H13" s="12">
        <v>1</v>
      </c>
      <c r="I13" s="9">
        <f t="shared" si="1"/>
        <v>22.165255585819519</v>
      </c>
      <c r="N13" s="72"/>
      <c r="O13" s="73"/>
      <c r="P13" s="73"/>
      <c r="Q13" s="73"/>
      <c r="R13" s="74"/>
    </row>
    <row r="14" spans="1:18" ht="15" thickBot="1" x14ac:dyDescent="0.35">
      <c r="A14">
        <v>1104</v>
      </c>
      <c r="B14" s="3">
        <v>2.4110866230520589</v>
      </c>
      <c r="C14" s="2">
        <v>87.68549569993786</v>
      </c>
      <c r="D14" s="1">
        <v>1.2292350199888231</v>
      </c>
      <c r="E14" s="1">
        <f t="shared" si="2"/>
        <v>22.080000000000002</v>
      </c>
      <c r="F14" s="10">
        <f t="shared" si="3"/>
        <v>21.921373924984465</v>
      </c>
      <c r="G14" s="3">
        <f t="shared" si="0"/>
        <v>30.730875499720579</v>
      </c>
      <c r="H14" s="12">
        <v>1</v>
      </c>
      <c r="I14" s="9">
        <f t="shared" si="1"/>
        <v>21.921373924984465</v>
      </c>
      <c r="N14" s="75"/>
      <c r="O14" s="76"/>
      <c r="P14" s="76"/>
      <c r="Q14" s="76"/>
      <c r="R14" s="77"/>
    </row>
    <row r="15" spans="1:18" x14ac:dyDescent="0.3">
      <c r="A15">
        <v>1106</v>
      </c>
      <c r="B15" s="3">
        <v>2.9859893627222291</v>
      </c>
      <c r="C15" s="2">
        <v>82.198983453072742</v>
      </c>
      <c r="D15" s="1">
        <v>2.8706130768340863</v>
      </c>
      <c r="E15" s="1">
        <f t="shared" si="2"/>
        <v>22.12</v>
      </c>
      <c r="F15" s="10">
        <f t="shared" si="3"/>
        <v>20.549745863268186</v>
      </c>
      <c r="G15" s="3">
        <f t="shared" si="0"/>
        <v>71.765326920852161</v>
      </c>
      <c r="H15" s="12">
        <v>1</v>
      </c>
      <c r="I15" s="9">
        <f t="shared" si="1"/>
        <v>20.549745863268186</v>
      </c>
    </row>
    <row r="16" spans="1:18" x14ac:dyDescent="0.3">
      <c r="A16">
        <v>1094</v>
      </c>
      <c r="B16" s="3">
        <v>3.441588237306096</v>
      </c>
      <c r="C16" s="2">
        <v>66.340574915676257</v>
      </c>
      <c r="D16" s="1">
        <v>2.4948461086784777</v>
      </c>
      <c r="E16" s="1">
        <f t="shared" si="2"/>
        <v>21.88</v>
      </c>
      <c r="F16" s="10">
        <f t="shared" si="3"/>
        <v>16.585143728919064</v>
      </c>
      <c r="G16" s="3">
        <f t="shared" si="0"/>
        <v>62.371152716961944</v>
      </c>
      <c r="H16" s="12">
        <v>1</v>
      </c>
      <c r="I16" s="9">
        <f t="shared" si="1"/>
        <v>16.585143728919064</v>
      </c>
    </row>
    <row r="17" spans="1:9" x14ac:dyDescent="0.3">
      <c r="A17">
        <v>954</v>
      </c>
      <c r="B17" s="3">
        <v>3.5213995169796286</v>
      </c>
      <c r="C17" s="2">
        <v>4.1259991134545704E-2</v>
      </c>
      <c r="D17" s="1">
        <v>0.25512942873062083</v>
      </c>
      <c r="E17" s="1">
        <f t="shared" si="2"/>
        <v>19.080000000000002</v>
      </c>
      <c r="F17" s="10">
        <f t="shared" si="3"/>
        <v>1.0314997783636426E-2</v>
      </c>
      <c r="G17" s="3">
        <f t="shared" si="0"/>
        <v>6.3782357182655209</v>
      </c>
      <c r="H17" s="12">
        <v>1</v>
      </c>
      <c r="I17" s="9">
        <f t="shared" si="1"/>
        <v>1.0314997783636426E-2</v>
      </c>
    </row>
    <row r="18" spans="1:9" x14ac:dyDescent="0.3">
      <c r="A18">
        <v>1115</v>
      </c>
      <c r="B18" s="3">
        <v>3.531454338686749</v>
      </c>
      <c r="C18" s="2">
        <v>28.833813284378884</v>
      </c>
      <c r="D18" s="1">
        <v>2.4577556619557446</v>
      </c>
      <c r="E18" s="1">
        <f t="shared" si="2"/>
        <v>22.3</v>
      </c>
      <c r="F18" s="10">
        <f t="shared" si="3"/>
        <v>7.208453321094721</v>
      </c>
      <c r="G18" s="3">
        <f t="shared" si="0"/>
        <v>61.443891548893617</v>
      </c>
      <c r="H18" s="12">
        <v>1</v>
      </c>
      <c r="I18" s="9">
        <f t="shared" si="1"/>
        <v>7.208453321094721</v>
      </c>
    </row>
    <row r="19" spans="1:9" x14ac:dyDescent="0.3">
      <c r="A19">
        <v>1101</v>
      </c>
      <c r="B19" s="3">
        <v>3.7797107747075431</v>
      </c>
      <c r="C19" s="2">
        <v>72.776842359512912</v>
      </c>
      <c r="D19" s="1">
        <v>2.7091732189573881</v>
      </c>
      <c r="E19" s="1">
        <f t="shared" si="2"/>
        <v>22.02</v>
      </c>
      <c r="F19" s="10">
        <f t="shared" si="3"/>
        <v>18.194210589878228</v>
      </c>
      <c r="G19" s="3">
        <f t="shared" si="0"/>
        <v>67.729330473934695</v>
      </c>
      <c r="H19" s="12">
        <v>1</v>
      </c>
      <c r="I19" s="9">
        <f t="shared" si="1"/>
        <v>18.194210589878228</v>
      </c>
    </row>
    <row r="20" spans="1:9" x14ac:dyDescent="0.3">
      <c r="A20">
        <v>1097</v>
      </c>
      <c r="B20" s="3">
        <v>4.3030294604863446</v>
      </c>
      <c r="C20" s="2">
        <v>99.222808457063948</v>
      </c>
      <c r="D20" s="1">
        <v>2.8395750199815346</v>
      </c>
      <c r="E20" s="1">
        <f t="shared" si="2"/>
        <v>21.94</v>
      </c>
      <c r="F20" s="10">
        <f t="shared" si="3"/>
        <v>24.805702114265987</v>
      </c>
      <c r="G20" s="3">
        <f t="shared" si="0"/>
        <v>70.989375499538369</v>
      </c>
      <c r="H20" s="12">
        <v>1</v>
      </c>
      <c r="I20" s="9">
        <f t="shared" si="1"/>
        <v>24.805702114265987</v>
      </c>
    </row>
    <row r="21" spans="1:9" x14ac:dyDescent="0.3">
      <c r="A21">
        <v>570</v>
      </c>
      <c r="B21" s="3">
        <v>4.641911641886189</v>
      </c>
      <c r="C21" s="2">
        <v>0.7361126155005504</v>
      </c>
      <c r="D21" s="1">
        <v>1.9311091598096972</v>
      </c>
      <c r="E21" s="1">
        <f t="shared" si="2"/>
        <v>11.4</v>
      </c>
      <c r="F21" s="10">
        <f t="shared" si="3"/>
        <v>0.1840281538751376</v>
      </c>
      <c r="G21" s="3">
        <f t="shared" si="0"/>
        <v>48.277728995242427</v>
      </c>
      <c r="H21" s="12">
        <v>1</v>
      </c>
      <c r="I21" s="9">
        <f t="shared" si="1"/>
        <v>0.1840281538751376</v>
      </c>
    </row>
    <row r="22" spans="1:9" x14ac:dyDescent="0.3">
      <c r="A22">
        <v>872</v>
      </c>
      <c r="B22" s="3">
        <v>5.8911859065317298</v>
      </c>
      <c r="C22" s="2">
        <v>0.32542690615354752</v>
      </c>
      <c r="D22" s="1">
        <v>0.92378802779970148</v>
      </c>
      <c r="E22" s="1">
        <f t="shared" si="2"/>
        <v>17.440000000000001</v>
      </c>
      <c r="F22" s="10">
        <f t="shared" si="3"/>
        <v>8.1356726538386881E-2</v>
      </c>
      <c r="G22" s="3">
        <f t="shared" si="0"/>
        <v>23.094700694992536</v>
      </c>
      <c r="H22" s="12">
        <v>1</v>
      </c>
      <c r="I22" s="9">
        <f t="shared" si="1"/>
        <v>8.1356726538386881E-2</v>
      </c>
    </row>
    <row r="23" spans="1:9" x14ac:dyDescent="0.3">
      <c r="A23">
        <v>1035</v>
      </c>
      <c r="B23" s="3">
        <v>6.5297033608495365</v>
      </c>
      <c r="C23" s="2">
        <v>2.054150321596504E-2</v>
      </c>
      <c r="D23" s="1">
        <v>1.3756516629534754</v>
      </c>
      <c r="E23" s="1">
        <f t="shared" si="2"/>
        <v>20.7</v>
      </c>
      <c r="F23" s="10">
        <f t="shared" si="3"/>
        <v>5.13537580399126E-3</v>
      </c>
      <c r="G23" s="3">
        <f t="shared" si="0"/>
        <v>34.391291573836888</v>
      </c>
      <c r="H23" s="12">
        <v>1</v>
      </c>
      <c r="I23" s="9">
        <f t="shared" si="1"/>
        <v>5.13537580399126E-3</v>
      </c>
    </row>
    <row r="24" spans="1:9" x14ac:dyDescent="0.3">
      <c r="A24">
        <v>1100</v>
      </c>
      <c r="B24" s="3">
        <v>6.6708003843085297</v>
      </c>
      <c r="C24" s="2">
        <v>9.6869700740117146</v>
      </c>
      <c r="D24" s="1">
        <v>3.2266163247432469</v>
      </c>
      <c r="E24" s="1">
        <f t="shared" si="2"/>
        <v>22</v>
      </c>
      <c r="F24" s="10">
        <f t="shared" si="3"/>
        <v>2.4217425185029287</v>
      </c>
      <c r="G24" s="3">
        <f t="shared" si="0"/>
        <v>80.665408118581169</v>
      </c>
      <c r="H24" s="12">
        <v>0</v>
      </c>
      <c r="I24" s="9">
        <f>H24*F24+(1-H24)*G24</f>
        <v>80.665408118581169</v>
      </c>
    </row>
    <row r="25" spans="1:9" x14ac:dyDescent="0.3">
      <c r="A25">
        <v>802</v>
      </c>
      <c r="B25" s="3">
        <v>7.1043214039770586</v>
      </c>
      <c r="C25" s="2">
        <v>0.39843641945495056</v>
      </c>
      <c r="D25" s="1">
        <v>1.3545336572317539</v>
      </c>
      <c r="E25" s="1">
        <f t="shared" si="2"/>
        <v>16.04</v>
      </c>
      <c r="F25" s="10">
        <f t="shared" si="3"/>
        <v>9.9609104863737641E-2</v>
      </c>
      <c r="G25" s="3">
        <f t="shared" si="0"/>
        <v>33.863341430793845</v>
      </c>
      <c r="H25" s="12">
        <v>0</v>
      </c>
      <c r="I25" s="9">
        <f t="shared" si="1"/>
        <v>33.863341430793845</v>
      </c>
    </row>
    <row r="26" spans="1:9" x14ac:dyDescent="0.3">
      <c r="A26">
        <v>1109</v>
      </c>
      <c r="B26" s="3">
        <v>7.3420481814718386</v>
      </c>
      <c r="C26" s="2">
        <v>0.8047632978806174</v>
      </c>
      <c r="D26" s="1">
        <v>2.5271032160928897</v>
      </c>
      <c r="E26" s="1">
        <f t="shared" si="2"/>
        <v>22.18</v>
      </c>
      <c r="F26" s="10">
        <f t="shared" si="3"/>
        <v>0.20119082447015435</v>
      </c>
      <c r="G26" s="3">
        <f t="shared" si="0"/>
        <v>63.177580402322242</v>
      </c>
      <c r="H26" s="12">
        <v>0</v>
      </c>
      <c r="I26" s="9">
        <f t="shared" si="1"/>
        <v>63.177580402322242</v>
      </c>
    </row>
    <row r="27" spans="1:9" x14ac:dyDescent="0.3">
      <c r="A27">
        <v>790</v>
      </c>
      <c r="B27" s="3">
        <v>7.8201937950803906</v>
      </c>
      <c r="C27" s="2">
        <v>3.3189732381488923E-2</v>
      </c>
      <c r="D27" s="1">
        <v>1.8528444424142394</v>
      </c>
      <c r="E27" s="1">
        <f t="shared" si="2"/>
        <v>15.8</v>
      </c>
      <c r="F27" s="10">
        <f t="shared" si="3"/>
        <v>8.2974330953722308E-3</v>
      </c>
      <c r="G27" s="3">
        <f t="shared" si="0"/>
        <v>46.321111060355982</v>
      </c>
      <c r="H27" s="12">
        <v>0</v>
      </c>
      <c r="I27" s="9">
        <f t="shared" si="1"/>
        <v>46.321111060355982</v>
      </c>
    </row>
    <row r="28" spans="1:9" x14ac:dyDescent="0.3">
      <c r="A28">
        <v>836</v>
      </c>
      <c r="B28" s="3">
        <v>8.2176486062281029</v>
      </c>
      <c r="C28" s="2">
        <v>0.17799302280316898</v>
      </c>
      <c r="D28" s="1">
        <v>1.7590900459121823</v>
      </c>
      <c r="E28" s="1">
        <f t="shared" si="2"/>
        <v>16.72</v>
      </c>
      <c r="F28" s="10">
        <f t="shared" si="3"/>
        <v>4.4498255700792244E-2</v>
      </c>
      <c r="G28" s="3">
        <f t="shared" si="0"/>
        <v>43.977251147804559</v>
      </c>
      <c r="H28" s="12">
        <v>0</v>
      </c>
      <c r="I28" s="9">
        <f>H28*F28+(1-H28)*G28</f>
        <v>43.977251147804559</v>
      </c>
    </row>
    <row r="29" spans="1:9" x14ac:dyDescent="0.3">
      <c r="A29">
        <v>1014</v>
      </c>
      <c r="B29" s="3">
        <v>9.0506776562361004</v>
      </c>
      <c r="C29" s="2">
        <v>0.71198952660367354</v>
      </c>
      <c r="D29" s="1">
        <v>2.3017811631630205</v>
      </c>
      <c r="E29" s="1">
        <f t="shared" si="2"/>
        <v>20.28</v>
      </c>
      <c r="F29" s="10">
        <f t="shared" si="3"/>
        <v>0.17799738165091838</v>
      </c>
      <c r="G29" s="3">
        <f t="shared" si="0"/>
        <v>57.54452907907551</v>
      </c>
      <c r="H29" s="12">
        <v>0</v>
      </c>
      <c r="I29" s="9">
        <f t="shared" si="1"/>
        <v>57.54452907907551</v>
      </c>
    </row>
    <row r="30" spans="1:9" x14ac:dyDescent="0.3">
      <c r="A30">
        <v>631</v>
      </c>
      <c r="B30" s="3">
        <v>9.4227545758652536</v>
      </c>
      <c r="C30" s="2">
        <v>0.40188261642927214</v>
      </c>
      <c r="D30" s="1">
        <v>2.0276600868965624</v>
      </c>
      <c r="E30" s="1">
        <f t="shared" si="2"/>
        <v>12.620000000000001</v>
      </c>
      <c r="F30" s="10">
        <f t="shared" si="3"/>
        <v>0.10047065410731804</v>
      </c>
      <c r="G30" s="3">
        <f t="shared" si="0"/>
        <v>50.691502172414062</v>
      </c>
      <c r="H30" s="12">
        <v>0</v>
      </c>
      <c r="I30" s="9">
        <f t="shared" si="1"/>
        <v>50.691502172414062</v>
      </c>
    </row>
    <row r="31" spans="1:9" x14ac:dyDescent="0.3">
      <c r="A31">
        <v>697</v>
      </c>
      <c r="B31" s="3">
        <v>9.5989039155543345</v>
      </c>
      <c r="C31" s="2">
        <v>0.17494846771503036</v>
      </c>
      <c r="D31" s="1">
        <v>2.6995400017259548</v>
      </c>
      <c r="E31" s="1">
        <f t="shared" si="2"/>
        <v>13.94</v>
      </c>
      <c r="F31" s="10">
        <f t="shared" si="3"/>
        <v>4.3737116928757591E-2</v>
      </c>
      <c r="G31" s="3">
        <f t="shared" si="0"/>
        <v>67.488500043148875</v>
      </c>
      <c r="H31" s="12">
        <v>0</v>
      </c>
      <c r="I31" s="9">
        <f t="shared" si="1"/>
        <v>67.488500043148875</v>
      </c>
    </row>
  </sheetData>
  <sortState xmlns:xlrd2="http://schemas.microsoft.com/office/spreadsheetml/2017/richdata2" ref="A2:D31">
    <sortCondition ref="B2:B31"/>
  </sortState>
  <mergeCells count="1">
    <mergeCell ref="N6:R1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16BCD-AAEB-B149-BA06-F087AEE24BC6}">
  <sheetPr codeName="Sheet5"/>
  <dimension ref="A1:R70"/>
  <sheetViews>
    <sheetView zoomScale="120" zoomScaleNormal="120" workbookViewId="0">
      <selection activeCell="E9" sqref="E9"/>
    </sheetView>
  </sheetViews>
  <sheetFormatPr defaultColWidth="11.44140625" defaultRowHeight="14.4" x14ac:dyDescent="0.3"/>
  <cols>
    <col min="1" max="1" width="8.44140625" bestFit="1" customWidth="1"/>
    <col min="2" max="2" width="14.44140625" bestFit="1" customWidth="1"/>
    <col min="3" max="3" width="9.109375" bestFit="1" customWidth="1"/>
    <col min="4" max="4" width="10.109375" bestFit="1" customWidth="1"/>
    <col min="5" max="5" width="37" bestFit="1" customWidth="1"/>
    <col min="6" max="6" width="21.44140625" customWidth="1"/>
    <col min="7" max="7" width="27.44140625" bestFit="1" customWidth="1"/>
    <col min="9" max="9" width="9.109375" bestFit="1" customWidth="1"/>
    <col min="11" max="11" width="13.109375" customWidth="1"/>
  </cols>
  <sheetData>
    <row r="1" spans="1:18" x14ac:dyDescent="0.3">
      <c r="A1" s="4" t="s">
        <v>0</v>
      </c>
      <c r="B1" s="5" t="s">
        <v>1</v>
      </c>
      <c r="C1" s="6" t="s">
        <v>2</v>
      </c>
      <c r="D1" s="4" t="s">
        <v>3</v>
      </c>
      <c r="E1" s="17" t="s">
        <v>7</v>
      </c>
      <c r="F1" s="17" t="s">
        <v>5</v>
      </c>
      <c r="G1" s="17" t="s">
        <v>6</v>
      </c>
      <c r="H1" s="18" t="s">
        <v>8</v>
      </c>
      <c r="I1" s="19" t="s">
        <v>14</v>
      </c>
    </row>
    <row r="2" spans="1:18" x14ac:dyDescent="0.3">
      <c r="A2">
        <v>1035</v>
      </c>
      <c r="B2" s="3">
        <v>6.5297033608495365</v>
      </c>
      <c r="C2" s="2">
        <v>2.054150321596504E-2</v>
      </c>
      <c r="D2" s="1">
        <v>1.3756516629534754</v>
      </c>
      <c r="E2" s="1">
        <f>5/250*D2</f>
        <v>2.7513033259069508E-2</v>
      </c>
      <c r="F2" s="10">
        <f t="shared" ref="F2:F31" si="0">0.25*C2</f>
        <v>5.13537580399126E-3</v>
      </c>
      <c r="G2" s="3">
        <f t="shared" ref="G2:G31" si="1">25*D2</f>
        <v>34.391291573836888</v>
      </c>
      <c r="H2" s="12">
        <v>1</v>
      </c>
      <c r="I2" s="9">
        <f t="shared" ref="I2:I31" si="2">H2*F2+(1-H2)*G2</f>
        <v>5.13537580399126E-3</v>
      </c>
      <c r="K2" t="s">
        <v>10</v>
      </c>
      <c r="L2" s="11">
        <f>SUM(I2:I31)</f>
        <v>1105.5256735235494</v>
      </c>
    </row>
    <row r="3" spans="1:18" x14ac:dyDescent="0.3">
      <c r="A3">
        <v>790</v>
      </c>
      <c r="B3" s="3">
        <v>7.8201937950803906</v>
      </c>
      <c r="C3" s="2">
        <v>3.3189732381488923E-2</v>
      </c>
      <c r="D3" s="1">
        <v>1.8528444424142394</v>
      </c>
      <c r="E3" s="1">
        <f t="shared" ref="E3:E31" si="3">5/250*A3</f>
        <v>15.8</v>
      </c>
      <c r="F3" s="10">
        <f t="shared" si="0"/>
        <v>8.2974330953722308E-3</v>
      </c>
      <c r="G3" s="3">
        <f t="shared" si="1"/>
        <v>46.321111060355982</v>
      </c>
      <c r="H3" s="12">
        <v>1</v>
      </c>
      <c r="I3" s="9">
        <f t="shared" si="2"/>
        <v>8.2974330953722308E-3</v>
      </c>
      <c r="K3" t="s">
        <v>9</v>
      </c>
      <c r="L3" s="15">
        <f>SUMPRODUCT(B2:B31,H2:H31)</f>
        <v>48.683356505200784</v>
      </c>
      <c r="M3" t="s">
        <v>12</v>
      </c>
      <c r="N3">
        <v>50</v>
      </c>
    </row>
    <row r="4" spans="1:18" x14ac:dyDescent="0.3">
      <c r="A4">
        <v>954</v>
      </c>
      <c r="B4" s="3">
        <v>3.5213995169796286</v>
      </c>
      <c r="C4" s="2">
        <v>4.1259991134545704E-2</v>
      </c>
      <c r="D4" s="1">
        <v>0.25512942873062083</v>
      </c>
      <c r="E4" s="1">
        <f t="shared" si="3"/>
        <v>19.080000000000002</v>
      </c>
      <c r="F4" s="10">
        <f t="shared" si="0"/>
        <v>1.0314997783636426E-2</v>
      </c>
      <c r="G4" s="3">
        <f t="shared" si="1"/>
        <v>6.3782357182655209</v>
      </c>
      <c r="H4" s="12">
        <v>1</v>
      </c>
      <c r="I4" s="9">
        <f t="shared" si="2"/>
        <v>1.0314997783636426E-2</v>
      </c>
    </row>
    <row r="5" spans="1:18" ht="15" thickBot="1" x14ac:dyDescent="0.35">
      <c r="A5">
        <v>697</v>
      </c>
      <c r="B5" s="3">
        <v>9.5989039155543345</v>
      </c>
      <c r="C5" s="2">
        <v>0.17494846771503036</v>
      </c>
      <c r="D5" s="1">
        <v>2.6995400017259548</v>
      </c>
      <c r="E5" s="1">
        <f t="shared" si="3"/>
        <v>13.94</v>
      </c>
      <c r="F5" s="10">
        <f t="shared" si="0"/>
        <v>4.3737116928757591E-2</v>
      </c>
      <c r="G5" s="3">
        <f t="shared" si="1"/>
        <v>67.488500043148875</v>
      </c>
      <c r="H5" s="12">
        <v>1</v>
      </c>
      <c r="I5" s="9">
        <f t="shared" si="2"/>
        <v>4.3737116928757591E-2</v>
      </c>
    </row>
    <row r="6" spans="1:18" x14ac:dyDescent="0.3">
      <c r="A6">
        <v>836</v>
      </c>
      <c r="B6" s="3">
        <v>8.2176486062281029</v>
      </c>
      <c r="C6" s="2">
        <v>0.17799302280316898</v>
      </c>
      <c r="D6" s="1">
        <v>1.7590900459121823</v>
      </c>
      <c r="E6" s="1">
        <f t="shared" si="3"/>
        <v>16.72</v>
      </c>
      <c r="F6" s="10">
        <f t="shared" si="0"/>
        <v>4.4498255700792244E-2</v>
      </c>
      <c r="G6" s="3">
        <f t="shared" si="1"/>
        <v>43.977251147804559</v>
      </c>
      <c r="H6" s="12">
        <v>1</v>
      </c>
      <c r="I6" s="9">
        <f t="shared" si="2"/>
        <v>4.4498255700792244E-2</v>
      </c>
      <c r="N6" s="69" t="s">
        <v>17</v>
      </c>
      <c r="O6" s="70"/>
      <c r="P6" s="70"/>
      <c r="Q6" s="70"/>
      <c r="R6" s="71"/>
    </row>
    <row r="7" spans="1:18" x14ac:dyDescent="0.3">
      <c r="A7">
        <v>872</v>
      </c>
      <c r="B7" s="3">
        <v>5.8911859065317298</v>
      </c>
      <c r="C7" s="2">
        <v>0.32542690615354752</v>
      </c>
      <c r="D7" s="1">
        <v>0.92378802779970148</v>
      </c>
      <c r="E7" s="1">
        <f t="shared" si="3"/>
        <v>17.440000000000001</v>
      </c>
      <c r="F7" s="10">
        <f t="shared" si="0"/>
        <v>8.1356726538386881E-2</v>
      </c>
      <c r="G7" s="3">
        <f t="shared" si="1"/>
        <v>23.094700694992536</v>
      </c>
      <c r="H7" s="12">
        <v>1</v>
      </c>
      <c r="I7" s="9">
        <f t="shared" si="2"/>
        <v>8.1356726538386881E-2</v>
      </c>
      <c r="N7" s="72"/>
      <c r="O7" s="73"/>
      <c r="P7" s="73"/>
      <c r="Q7" s="73"/>
      <c r="R7" s="74"/>
    </row>
    <row r="8" spans="1:18" x14ac:dyDescent="0.3">
      <c r="A8">
        <v>802</v>
      </c>
      <c r="B8" s="3">
        <v>7.1043214039770586</v>
      </c>
      <c r="C8" s="2">
        <v>0.39843641945495056</v>
      </c>
      <c r="D8" s="1">
        <v>1.3545336572317539</v>
      </c>
      <c r="E8" s="1">
        <f t="shared" si="3"/>
        <v>16.04</v>
      </c>
      <c r="F8" s="10">
        <f t="shared" si="0"/>
        <v>9.9609104863737641E-2</v>
      </c>
      <c r="G8" s="3">
        <f t="shared" si="1"/>
        <v>33.863341430793845</v>
      </c>
      <c r="H8" s="12">
        <v>1</v>
      </c>
      <c r="I8" s="9">
        <f t="shared" si="2"/>
        <v>9.9609104863737641E-2</v>
      </c>
      <c r="N8" s="72"/>
      <c r="O8" s="73"/>
      <c r="P8" s="73"/>
      <c r="Q8" s="73"/>
      <c r="R8" s="74"/>
    </row>
    <row r="9" spans="1:18" x14ac:dyDescent="0.3">
      <c r="A9">
        <v>631</v>
      </c>
      <c r="B9" s="3">
        <v>9.4227545758652536</v>
      </c>
      <c r="C9" s="2">
        <v>0.40188261642927214</v>
      </c>
      <c r="D9" s="1">
        <v>2.0276600868965624</v>
      </c>
      <c r="E9" s="1">
        <f t="shared" si="3"/>
        <v>12.620000000000001</v>
      </c>
      <c r="F9" s="10">
        <f t="shared" si="0"/>
        <v>0.10047065410731804</v>
      </c>
      <c r="G9" s="3">
        <f t="shared" si="1"/>
        <v>50.691502172414062</v>
      </c>
      <c r="H9" s="12">
        <v>0</v>
      </c>
      <c r="I9" s="9">
        <f t="shared" si="2"/>
        <v>50.691502172414062</v>
      </c>
      <c r="N9" s="72"/>
      <c r="O9" s="73"/>
      <c r="P9" s="73"/>
      <c r="Q9" s="73"/>
      <c r="R9" s="74"/>
    </row>
    <row r="10" spans="1:18" x14ac:dyDescent="0.3">
      <c r="A10">
        <v>1014</v>
      </c>
      <c r="B10" s="3">
        <v>9.0506776562361004</v>
      </c>
      <c r="C10" s="2">
        <v>0.71198952660367354</v>
      </c>
      <c r="D10" s="1">
        <v>2.3017811631630205</v>
      </c>
      <c r="E10" s="1">
        <f t="shared" si="3"/>
        <v>20.28</v>
      </c>
      <c r="F10" s="10">
        <f t="shared" si="0"/>
        <v>0.17799738165091838</v>
      </c>
      <c r="G10" s="3">
        <f t="shared" si="1"/>
        <v>57.54452907907551</v>
      </c>
      <c r="H10" s="12">
        <v>0</v>
      </c>
      <c r="I10" s="9">
        <f t="shared" si="2"/>
        <v>57.54452907907551</v>
      </c>
      <c r="N10" s="72"/>
      <c r="O10" s="73"/>
      <c r="P10" s="73"/>
      <c r="Q10" s="73"/>
      <c r="R10" s="74"/>
    </row>
    <row r="11" spans="1:18" x14ac:dyDescent="0.3">
      <c r="A11">
        <v>570</v>
      </c>
      <c r="B11" s="3">
        <v>4.641911641886189</v>
      </c>
      <c r="C11" s="2">
        <v>0.7361126155005504</v>
      </c>
      <c r="D11" s="1">
        <v>1.9311091598096972</v>
      </c>
      <c r="E11" s="1">
        <f t="shared" si="3"/>
        <v>11.4</v>
      </c>
      <c r="F11" s="10">
        <f t="shared" si="0"/>
        <v>0.1840281538751376</v>
      </c>
      <c r="G11" s="3">
        <f t="shared" si="1"/>
        <v>48.277728995242427</v>
      </c>
      <c r="H11" s="12">
        <v>0</v>
      </c>
      <c r="I11" s="9">
        <f t="shared" si="2"/>
        <v>48.277728995242427</v>
      </c>
      <c r="N11" s="72"/>
      <c r="O11" s="73"/>
      <c r="P11" s="73"/>
      <c r="Q11" s="73"/>
      <c r="R11" s="74"/>
    </row>
    <row r="12" spans="1:18" x14ac:dyDescent="0.3">
      <c r="A12">
        <v>1109</v>
      </c>
      <c r="B12" s="3">
        <v>7.3420481814718386</v>
      </c>
      <c r="C12" s="2">
        <v>0.8047632978806174</v>
      </c>
      <c r="D12" s="1">
        <v>2.5271032160928897</v>
      </c>
      <c r="E12" s="1">
        <f t="shared" si="3"/>
        <v>22.18</v>
      </c>
      <c r="F12" s="10">
        <f t="shared" si="0"/>
        <v>0.20119082447015435</v>
      </c>
      <c r="G12" s="3">
        <f t="shared" si="1"/>
        <v>63.177580402322242</v>
      </c>
      <c r="H12" s="12">
        <v>0</v>
      </c>
      <c r="I12" s="9">
        <f t="shared" si="2"/>
        <v>63.177580402322242</v>
      </c>
      <c r="N12" s="72"/>
      <c r="O12" s="73"/>
      <c r="P12" s="73"/>
      <c r="Q12" s="73"/>
      <c r="R12" s="74"/>
    </row>
    <row r="13" spans="1:18" x14ac:dyDescent="0.3">
      <c r="A13">
        <v>1100</v>
      </c>
      <c r="B13" s="3">
        <v>6.6708003843085297</v>
      </c>
      <c r="C13" s="2">
        <v>9.6869700740117146</v>
      </c>
      <c r="D13" s="1">
        <v>3.2266163247432469</v>
      </c>
      <c r="E13" s="1">
        <f t="shared" si="3"/>
        <v>22</v>
      </c>
      <c r="F13" s="10">
        <f t="shared" si="0"/>
        <v>2.4217425185029287</v>
      </c>
      <c r="G13" s="3">
        <f t="shared" si="1"/>
        <v>80.665408118581169</v>
      </c>
      <c r="H13" s="12">
        <v>0</v>
      </c>
      <c r="I13" s="9">
        <f t="shared" si="2"/>
        <v>80.665408118581169</v>
      </c>
      <c r="N13" s="72"/>
      <c r="O13" s="73"/>
      <c r="P13" s="73"/>
      <c r="Q13" s="73"/>
      <c r="R13" s="74"/>
    </row>
    <row r="14" spans="1:18" ht="15" thickBot="1" x14ac:dyDescent="0.35">
      <c r="A14">
        <v>1115</v>
      </c>
      <c r="B14" s="3">
        <v>3.531454338686749</v>
      </c>
      <c r="C14" s="2">
        <v>28.833813284378884</v>
      </c>
      <c r="D14" s="1">
        <v>2.4577556619557446</v>
      </c>
      <c r="E14" s="1">
        <f t="shared" si="3"/>
        <v>22.3</v>
      </c>
      <c r="F14" s="10">
        <f t="shared" si="0"/>
        <v>7.208453321094721</v>
      </c>
      <c r="G14" s="3">
        <f t="shared" si="1"/>
        <v>61.443891548893617</v>
      </c>
      <c r="H14" s="12">
        <v>0</v>
      </c>
      <c r="I14" s="9">
        <f t="shared" si="2"/>
        <v>61.443891548893617</v>
      </c>
      <c r="N14" s="75"/>
      <c r="O14" s="76"/>
      <c r="P14" s="76"/>
      <c r="Q14" s="76"/>
      <c r="R14" s="77"/>
    </row>
    <row r="15" spans="1:18" x14ac:dyDescent="0.3">
      <c r="A15">
        <v>207</v>
      </c>
      <c r="B15" s="3">
        <v>0.53226354816753751</v>
      </c>
      <c r="C15" s="2">
        <v>36.389595342580009</v>
      </c>
      <c r="D15" s="1">
        <v>0.55340951299649488</v>
      </c>
      <c r="E15" s="1">
        <f t="shared" si="3"/>
        <v>4.1399999999999997</v>
      </c>
      <c r="F15" s="10">
        <f t="shared" si="0"/>
        <v>9.0973988356450022</v>
      </c>
      <c r="G15" s="3">
        <f t="shared" si="1"/>
        <v>13.835237824912372</v>
      </c>
      <c r="H15" s="12">
        <v>0</v>
      </c>
      <c r="I15" s="9">
        <f t="shared" si="2"/>
        <v>13.835237824912372</v>
      </c>
    </row>
    <row r="16" spans="1:18" x14ac:dyDescent="0.3">
      <c r="A16">
        <v>91</v>
      </c>
      <c r="B16" s="3">
        <v>0.33735976863779937</v>
      </c>
      <c r="C16" s="2">
        <v>47.435302492539634</v>
      </c>
      <c r="D16" s="1">
        <v>1.403178780418642</v>
      </c>
      <c r="E16" s="1">
        <f t="shared" si="3"/>
        <v>1.82</v>
      </c>
      <c r="F16" s="10">
        <f t="shared" si="0"/>
        <v>11.858825623134909</v>
      </c>
      <c r="G16" s="3">
        <f t="shared" si="1"/>
        <v>35.079469510466048</v>
      </c>
      <c r="H16" s="12">
        <v>0</v>
      </c>
      <c r="I16" s="9">
        <f t="shared" si="2"/>
        <v>35.079469510466048</v>
      </c>
    </row>
    <row r="17" spans="1:9" x14ac:dyDescent="0.3">
      <c r="A17">
        <v>1098</v>
      </c>
      <c r="B17" s="3">
        <v>0.69534260741033416</v>
      </c>
      <c r="C17" s="2">
        <v>48.204808004424237</v>
      </c>
      <c r="D17" s="1">
        <v>0.31486619023461765</v>
      </c>
      <c r="E17" s="1">
        <f t="shared" si="3"/>
        <v>21.96</v>
      </c>
      <c r="F17" s="10">
        <f t="shared" si="0"/>
        <v>12.051202001106059</v>
      </c>
      <c r="G17" s="3">
        <f t="shared" si="1"/>
        <v>7.8716547558654408</v>
      </c>
      <c r="H17" s="12">
        <v>0</v>
      </c>
      <c r="I17" s="9">
        <f t="shared" si="2"/>
        <v>7.8716547558654408</v>
      </c>
    </row>
    <row r="18" spans="1:9" x14ac:dyDescent="0.3">
      <c r="A18">
        <v>982</v>
      </c>
      <c r="B18" s="3">
        <v>0.33735976863779937</v>
      </c>
      <c r="C18" s="2">
        <v>57.704951339070263</v>
      </c>
      <c r="D18" s="1">
        <v>2.9035709185058072</v>
      </c>
      <c r="E18" s="1">
        <f t="shared" si="3"/>
        <v>19.64</v>
      </c>
      <c r="F18" s="10">
        <f t="shared" si="0"/>
        <v>14.426237834767566</v>
      </c>
      <c r="G18" s="3">
        <f t="shared" si="1"/>
        <v>72.589272962645182</v>
      </c>
      <c r="H18" s="12">
        <v>0</v>
      </c>
      <c r="I18" s="9">
        <f t="shared" si="2"/>
        <v>72.589272962645182</v>
      </c>
    </row>
    <row r="19" spans="1:9" x14ac:dyDescent="0.3">
      <c r="A19">
        <v>1094</v>
      </c>
      <c r="B19" s="3">
        <v>3.441588237306096</v>
      </c>
      <c r="C19" s="2">
        <v>66.340574915676257</v>
      </c>
      <c r="D19" s="1">
        <v>2.4948461086784777</v>
      </c>
      <c r="E19" s="1">
        <f t="shared" si="3"/>
        <v>21.88</v>
      </c>
      <c r="F19" s="10">
        <f t="shared" si="0"/>
        <v>16.585143728919064</v>
      </c>
      <c r="G19" s="3">
        <f t="shared" si="1"/>
        <v>62.371152716961944</v>
      </c>
      <c r="H19" s="12">
        <v>0</v>
      </c>
      <c r="I19" s="9">
        <f t="shared" si="2"/>
        <v>62.371152716961944</v>
      </c>
    </row>
    <row r="20" spans="1:9" x14ac:dyDescent="0.3">
      <c r="A20">
        <v>1101</v>
      </c>
      <c r="B20" s="3">
        <v>3.7797107747075431</v>
      </c>
      <c r="C20" s="2">
        <v>72.776842359512912</v>
      </c>
      <c r="D20" s="1">
        <v>2.7091732189573881</v>
      </c>
      <c r="E20" s="1">
        <f t="shared" si="3"/>
        <v>22.02</v>
      </c>
      <c r="F20" s="10">
        <f t="shared" si="0"/>
        <v>18.194210589878228</v>
      </c>
      <c r="G20" s="3">
        <f t="shared" si="1"/>
        <v>67.729330473934695</v>
      </c>
      <c r="H20" s="12">
        <v>0</v>
      </c>
      <c r="I20" s="9">
        <f t="shared" si="2"/>
        <v>67.729330473934695</v>
      </c>
    </row>
    <row r="21" spans="1:9" x14ac:dyDescent="0.3">
      <c r="A21">
        <v>35</v>
      </c>
      <c r="B21" s="3">
        <v>0.43645018317542084</v>
      </c>
      <c r="C21" s="2">
        <v>78.177645639745492</v>
      </c>
      <c r="D21" s="1">
        <v>2.746872613905055</v>
      </c>
      <c r="E21" s="1">
        <f t="shared" si="3"/>
        <v>0.70000000000000007</v>
      </c>
      <c r="F21" s="10">
        <f t="shared" si="0"/>
        <v>19.544411409936373</v>
      </c>
      <c r="G21" s="3">
        <f t="shared" si="1"/>
        <v>68.671815347626378</v>
      </c>
      <c r="H21" s="12">
        <v>0</v>
      </c>
      <c r="I21" s="9">
        <f t="shared" si="2"/>
        <v>68.671815347626378</v>
      </c>
    </row>
    <row r="22" spans="1:9" x14ac:dyDescent="0.3">
      <c r="A22">
        <v>1106</v>
      </c>
      <c r="B22" s="3">
        <v>2.9859893627222291</v>
      </c>
      <c r="C22" s="2">
        <v>82.198983453072742</v>
      </c>
      <c r="D22" s="1">
        <v>2.8706130768340863</v>
      </c>
      <c r="E22" s="1">
        <f t="shared" si="3"/>
        <v>22.12</v>
      </c>
      <c r="F22" s="10">
        <f t="shared" si="0"/>
        <v>20.549745863268186</v>
      </c>
      <c r="G22" s="3">
        <f t="shared" si="1"/>
        <v>71.765326920852161</v>
      </c>
      <c r="H22" s="12">
        <v>0</v>
      </c>
      <c r="I22" s="9">
        <f t="shared" si="2"/>
        <v>71.765326920852161</v>
      </c>
    </row>
    <row r="23" spans="1:9" x14ac:dyDescent="0.3">
      <c r="A23">
        <v>1044</v>
      </c>
      <c r="B23" s="3">
        <v>0.5610562758446358</v>
      </c>
      <c r="C23" s="2">
        <v>84.301423961499964</v>
      </c>
      <c r="D23" s="1">
        <v>2.6492622052295749</v>
      </c>
      <c r="E23" s="1">
        <f t="shared" si="3"/>
        <v>20.88</v>
      </c>
      <c r="F23" s="10">
        <f t="shared" si="0"/>
        <v>21.075355990374991</v>
      </c>
      <c r="G23" s="3">
        <f t="shared" si="1"/>
        <v>66.231555130739366</v>
      </c>
      <c r="H23" s="12">
        <v>0</v>
      </c>
      <c r="I23" s="9">
        <f t="shared" si="2"/>
        <v>66.231555130739366</v>
      </c>
    </row>
    <row r="24" spans="1:9" x14ac:dyDescent="0.3">
      <c r="A24">
        <v>1104</v>
      </c>
      <c r="B24" s="3">
        <v>2.4110866230520589</v>
      </c>
      <c r="C24" s="2">
        <v>87.68549569993786</v>
      </c>
      <c r="D24" s="1">
        <v>1.2292350199888231</v>
      </c>
      <c r="E24" s="1">
        <f t="shared" si="3"/>
        <v>22.080000000000002</v>
      </c>
      <c r="F24" s="10">
        <f t="shared" si="0"/>
        <v>21.921373924984465</v>
      </c>
      <c r="G24" s="3">
        <f t="shared" si="1"/>
        <v>30.730875499720579</v>
      </c>
      <c r="H24" s="12">
        <v>0</v>
      </c>
      <c r="I24" s="9">
        <f t="shared" si="2"/>
        <v>30.730875499720579</v>
      </c>
    </row>
    <row r="25" spans="1:9" x14ac:dyDescent="0.3">
      <c r="A25">
        <v>755</v>
      </c>
      <c r="B25" s="3">
        <v>0.53430713571528288</v>
      </c>
      <c r="C25" s="2">
        <v>88.099969932523493</v>
      </c>
      <c r="D25" s="1">
        <v>1.2079509469533682</v>
      </c>
      <c r="E25" s="1">
        <f t="shared" si="3"/>
        <v>15.1</v>
      </c>
      <c r="F25" s="10">
        <f t="shared" si="0"/>
        <v>22.024992483130873</v>
      </c>
      <c r="G25" s="3">
        <f t="shared" si="1"/>
        <v>30.198773673834207</v>
      </c>
      <c r="H25" s="12">
        <v>0</v>
      </c>
      <c r="I25" s="9">
        <f t="shared" si="2"/>
        <v>30.198773673834207</v>
      </c>
    </row>
    <row r="26" spans="1:9" x14ac:dyDescent="0.3">
      <c r="A26">
        <v>1091</v>
      </c>
      <c r="B26" s="3">
        <v>0.92553085588797601</v>
      </c>
      <c r="C26" s="2">
        <v>88.661022343278077</v>
      </c>
      <c r="D26" s="1">
        <v>2.66143771994926</v>
      </c>
      <c r="E26" s="1">
        <f t="shared" si="3"/>
        <v>21.82</v>
      </c>
      <c r="F26" s="10">
        <f t="shared" si="0"/>
        <v>22.165255585819519</v>
      </c>
      <c r="G26" s="3">
        <f t="shared" si="1"/>
        <v>66.5359429987315</v>
      </c>
      <c r="H26" s="12">
        <v>0</v>
      </c>
      <c r="I26" s="9">
        <f t="shared" si="2"/>
        <v>66.5359429987315</v>
      </c>
    </row>
    <row r="27" spans="1:9" x14ac:dyDescent="0.3">
      <c r="A27">
        <v>707</v>
      </c>
      <c r="B27" s="3">
        <v>0.42070180467416507</v>
      </c>
      <c r="C27" s="2">
        <v>90.364466751957792</v>
      </c>
      <c r="D27" s="1">
        <v>0.68573498692666646</v>
      </c>
      <c r="E27" s="1">
        <f t="shared" si="3"/>
        <v>14.14</v>
      </c>
      <c r="F27" s="10">
        <f t="shared" si="0"/>
        <v>22.591116687989448</v>
      </c>
      <c r="G27" s="3">
        <f t="shared" si="1"/>
        <v>17.143374673166662</v>
      </c>
      <c r="H27" s="12">
        <v>0</v>
      </c>
      <c r="I27" s="9">
        <f t="shared" si="2"/>
        <v>17.143374673166662</v>
      </c>
    </row>
    <row r="28" spans="1:9" x14ac:dyDescent="0.3">
      <c r="A28">
        <v>971</v>
      </c>
      <c r="B28" s="3">
        <v>0.33898337185350957</v>
      </c>
      <c r="C28" s="2">
        <v>91.732859570614224</v>
      </c>
      <c r="D28" s="1">
        <v>0.64675650793850092</v>
      </c>
      <c r="E28" s="1">
        <f t="shared" si="3"/>
        <v>19.420000000000002</v>
      </c>
      <c r="F28" s="10">
        <f t="shared" si="0"/>
        <v>22.933214892653556</v>
      </c>
      <c r="G28" s="3">
        <f t="shared" si="1"/>
        <v>16.168912698462524</v>
      </c>
      <c r="H28" s="12">
        <v>0</v>
      </c>
      <c r="I28" s="9">
        <f t="shared" si="2"/>
        <v>16.168912698462524</v>
      </c>
    </row>
    <row r="29" spans="1:9" x14ac:dyDescent="0.3">
      <c r="A29">
        <v>962</v>
      </c>
      <c r="B29" s="3">
        <v>0.3621252484718851</v>
      </c>
      <c r="C29" s="2">
        <v>95.408128218027827</v>
      </c>
      <c r="D29" s="1">
        <v>0.61690368932313355</v>
      </c>
      <c r="E29" s="1">
        <f t="shared" si="3"/>
        <v>19.240000000000002</v>
      </c>
      <c r="F29" s="10">
        <f t="shared" si="0"/>
        <v>23.852032054506957</v>
      </c>
      <c r="G29" s="3">
        <f t="shared" si="1"/>
        <v>15.422592233078339</v>
      </c>
      <c r="H29" s="12">
        <v>0</v>
      </c>
      <c r="I29" s="9">
        <f t="shared" si="2"/>
        <v>15.422592233078339</v>
      </c>
    </row>
    <row r="30" spans="1:9" x14ac:dyDescent="0.3">
      <c r="A30">
        <v>1097</v>
      </c>
      <c r="B30" s="3">
        <v>4.3030294604863446</v>
      </c>
      <c r="C30" s="2">
        <v>99.222808457063948</v>
      </c>
      <c r="D30" s="1">
        <v>2.8395750199815346</v>
      </c>
      <c r="E30" s="1">
        <f t="shared" si="3"/>
        <v>21.94</v>
      </c>
      <c r="F30" s="10">
        <f t="shared" si="0"/>
        <v>24.805702114265987</v>
      </c>
      <c r="G30" s="3">
        <f t="shared" si="1"/>
        <v>70.989375499538369</v>
      </c>
      <c r="H30" s="12">
        <v>0</v>
      </c>
      <c r="I30" s="9">
        <f t="shared" si="2"/>
        <v>70.989375499538369</v>
      </c>
    </row>
    <row r="31" spans="1:9" x14ac:dyDescent="0.3">
      <c r="A31">
        <v>762</v>
      </c>
      <c r="B31" s="3">
        <v>0.45024089787638277</v>
      </c>
      <c r="C31" s="2">
        <v>99.337194752892017</v>
      </c>
      <c r="D31" s="1">
        <v>1.2038968510307821</v>
      </c>
      <c r="E31" s="1">
        <f t="shared" si="3"/>
        <v>15.24</v>
      </c>
      <c r="F31" s="10">
        <f t="shared" si="0"/>
        <v>24.834298688223004</v>
      </c>
      <c r="G31" s="3">
        <f t="shared" si="1"/>
        <v>30.097421275769555</v>
      </c>
      <c r="H31" s="12">
        <v>0</v>
      </c>
      <c r="I31" s="9">
        <f t="shared" si="2"/>
        <v>30.097421275769555</v>
      </c>
    </row>
    <row r="33" spans="9:9" x14ac:dyDescent="0.3">
      <c r="I33" s="9"/>
    </row>
    <row r="34" spans="9:9" x14ac:dyDescent="0.3">
      <c r="I34" s="9"/>
    </row>
    <row r="35" spans="9:9" x14ac:dyDescent="0.3">
      <c r="I35" s="9"/>
    </row>
    <row r="36" spans="9:9" x14ac:dyDescent="0.3">
      <c r="I36" s="9"/>
    </row>
    <row r="37" spans="9:9" x14ac:dyDescent="0.3">
      <c r="I37" s="9"/>
    </row>
    <row r="38" spans="9:9" x14ac:dyDescent="0.3">
      <c r="I38" s="9"/>
    </row>
    <row r="39" spans="9:9" x14ac:dyDescent="0.3">
      <c r="I39" s="9"/>
    </row>
    <row r="40" spans="9:9" x14ac:dyDescent="0.3">
      <c r="I40" s="9"/>
    </row>
    <row r="41" spans="9:9" x14ac:dyDescent="0.3">
      <c r="I41" s="9"/>
    </row>
    <row r="42" spans="9:9" x14ac:dyDescent="0.3">
      <c r="I42" s="9"/>
    </row>
    <row r="43" spans="9:9" x14ac:dyDescent="0.3">
      <c r="I43" s="9"/>
    </row>
    <row r="44" spans="9:9" x14ac:dyDescent="0.3">
      <c r="I44" s="9"/>
    </row>
    <row r="45" spans="9:9" x14ac:dyDescent="0.3">
      <c r="I45" s="9"/>
    </row>
    <row r="46" spans="9:9" x14ac:dyDescent="0.3">
      <c r="I46" s="9"/>
    </row>
    <row r="47" spans="9:9" x14ac:dyDescent="0.3">
      <c r="I47" s="9"/>
    </row>
    <row r="48" spans="9:9" x14ac:dyDescent="0.3">
      <c r="I48" s="9"/>
    </row>
    <row r="49" spans="9:9" x14ac:dyDescent="0.3">
      <c r="I49" s="9"/>
    </row>
    <row r="50" spans="9:9" x14ac:dyDescent="0.3">
      <c r="I50" s="9"/>
    </row>
    <row r="51" spans="9:9" x14ac:dyDescent="0.3">
      <c r="I51" s="9"/>
    </row>
    <row r="52" spans="9:9" x14ac:dyDescent="0.3">
      <c r="I52" s="9"/>
    </row>
    <row r="53" spans="9:9" x14ac:dyDescent="0.3">
      <c r="I53" s="9"/>
    </row>
    <row r="54" spans="9:9" x14ac:dyDescent="0.3">
      <c r="I54" s="9"/>
    </row>
    <row r="55" spans="9:9" x14ac:dyDescent="0.3">
      <c r="I55" s="9"/>
    </row>
    <row r="56" spans="9:9" x14ac:dyDescent="0.3">
      <c r="I56" s="9"/>
    </row>
    <row r="57" spans="9:9" x14ac:dyDescent="0.3">
      <c r="I57" s="9"/>
    </row>
    <row r="58" spans="9:9" x14ac:dyDescent="0.3">
      <c r="I58" s="9"/>
    </row>
    <row r="59" spans="9:9" x14ac:dyDescent="0.3">
      <c r="I59" s="9"/>
    </row>
    <row r="60" spans="9:9" x14ac:dyDescent="0.3">
      <c r="I60" s="9"/>
    </row>
    <row r="61" spans="9:9" x14ac:dyDescent="0.3">
      <c r="I61" s="9"/>
    </row>
    <row r="62" spans="9:9" x14ac:dyDescent="0.3">
      <c r="I62" s="9"/>
    </row>
    <row r="63" spans="9:9" x14ac:dyDescent="0.3">
      <c r="I63" s="9"/>
    </row>
    <row r="64" spans="9:9" x14ac:dyDescent="0.3">
      <c r="I64" s="9"/>
    </row>
    <row r="65" spans="9:9" x14ac:dyDescent="0.3">
      <c r="I65" s="9"/>
    </row>
    <row r="66" spans="9:9" x14ac:dyDescent="0.3">
      <c r="I66" s="9"/>
    </row>
    <row r="67" spans="9:9" x14ac:dyDescent="0.3">
      <c r="I67" s="9"/>
    </row>
    <row r="68" spans="9:9" x14ac:dyDescent="0.3">
      <c r="I68" s="9"/>
    </row>
    <row r="69" spans="9:9" x14ac:dyDescent="0.3">
      <c r="I69" s="9"/>
    </row>
    <row r="70" spans="9:9" x14ac:dyDescent="0.3">
      <c r="I70" s="9"/>
    </row>
  </sheetData>
  <sortState xmlns:xlrd2="http://schemas.microsoft.com/office/spreadsheetml/2017/richdata2" ref="A2:D31">
    <sortCondition ref="C2:C31"/>
  </sortState>
  <mergeCells count="1">
    <mergeCell ref="N6:R1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C9A31-C249-2949-B9A9-8C6C00EF749D}">
  <sheetPr codeName="Sheet6"/>
  <dimension ref="A1:Q70"/>
  <sheetViews>
    <sheetView topLeftCell="E1" zoomScale="120" zoomScaleNormal="120" workbookViewId="0">
      <selection activeCell="K3" sqref="K3"/>
    </sheetView>
  </sheetViews>
  <sheetFormatPr defaultColWidth="11.44140625" defaultRowHeight="14.4" x14ac:dyDescent="0.3"/>
  <cols>
    <col min="1" max="1" width="8.44140625" bestFit="1" customWidth="1"/>
    <col min="2" max="2" width="14.44140625" bestFit="1" customWidth="1"/>
    <col min="3" max="3" width="9.109375" bestFit="1" customWidth="1"/>
    <col min="4" max="4" width="10.109375" bestFit="1" customWidth="1"/>
    <col min="5" max="5" width="35.77734375" customWidth="1"/>
    <col min="6" max="6" width="21.44140625" customWidth="1"/>
    <col min="7" max="7" width="27.44140625" bestFit="1" customWidth="1"/>
    <col min="9" max="9" width="14.44140625" customWidth="1"/>
    <col min="10" max="10" width="15.109375" customWidth="1"/>
    <col min="11" max="11" width="13.109375" customWidth="1"/>
  </cols>
  <sheetData>
    <row r="1" spans="1:17" x14ac:dyDescent="0.3">
      <c r="A1" s="4" t="s">
        <v>0</v>
      </c>
      <c r="B1" s="5" t="s">
        <v>1</v>
      </c>
      <c r="C1" s="6" t="s">
        <v>2</v>
      </c>
      <c r="D1" s="4" t="s">
        <v>3</v>
      </c>
      <c r="E1" s="17" t="s">
        <v>7</v>
      </c>
      <c r="F1" s="17" t="s">
        <v>5</v>
      </c>
      <c r="G1" s="17" t="s">
        <v>6</v>
      </c>
      <c r="H1" s="18" t="s">
        <v>8</v>
      </c>
      <c r="I1" s="19" t="s">
        <v>14</v>
      </c>
    </row>
    <row r="2" spans="1:17" x14ac:dyDescent="0.3">
      <c r="A2">
        <v>1100</v>
      </c>
      <c r="B2" s="3">
        <v>6.6708003843085297</v>
      </c>
      <c r="C2" s="2">
        <v>9.6869700740117146</v>
      </c>
      <c r="D2" s="1">
        <v>3.2266163247432469</v>
      </c>
      <c r="E2" s="1">
        <f>5/250*D2</f>
        <v>6.4532326494864942E-2</v>
      </c>
      <c r="F2" s="10">
        <f t="shared" ref="F2:F31" si="0">0.25*C2</f>
        <v>2.4217425185029287</v>
      </c>
      <c r="G2" s="3">
        <f>25*D2</f>
        <v>80.665408118581169</v>
      </c>
      <c r="H2" s="12">
        <v>1</v>
      </c>
      <c r="I2" s="9">
        <f>H2*F2+(1-H2)*G2</f>
        <v>2.4217425185029287</v>
      </c>
      <c r="J2" t="s">
        <v>10</v>
      </c>
      <c r="K2" s="11">
        <f>SUM(I2:I31)</f>
        <v>636.99484618758515</v>
      </c>
    </row>
    <row r="3" spans="1:17" x14ac:dyDescent="0.3">
      <c r="A3">
        <v>982</v>
      </c>
      <c r="B3" s="3">
        <v>0.33735976863779937</v>
      </c>
      <c r="C3" s="2">
        <v>57.704951339070263</v>
      </c>
      <c r="D3" s="1">
        <v>2.9035709185058072</v>
      </c>
      <c r="E3" s="1">
        <f>5/250*A3</f>
        <v>19.64</v>
      </c>
      <c r="F3" s="10">
        <f t="shared" si="0"/>
        <v>14.426237834767566</v>
      </c>
      <c r="G3" s="3">
        <f t="shared" ref="G3:G31" si="1">25*D3</f>
        <v>72.589272962645182</v>
      </c>
      <c r="H3" s="12">
        <v>1</v>
      </c>
      <c r="I3" s="9">
        <f t="shared" ref="I3:I31" si="2">H3*F3+(1-H3)*G3</f>
        <v>14.426237834767566</v>
      </c>
      <c r="J3" t="s">
        <v>9</v>
      </c>
      <c r="K3" s="15">
        <f>SUMPRODUCT(B2:B31,H2:H31)</f>
        <v>48.893193149313475</v>
      </c>
      <c r="L3" t="s">
        <v>12</v>
      </c>
      <c r="M3">
        <v>50</v>
      </c>
    </row>
    <row r="4" spans="1:17" x14ac:dyDescent="0.3">
      <c r="A4">
        <v>1106</v>
      </c>
      <c r="B4" s="3">
        <v>2.9859893627222291</v>
      </c>
      <c r="C4" s="2">
        <v>82.198983453072742</v>
      </c>
      <c r="D4" s="1">
        <v>2.8706130768340863</v>
      </c>
      <c r="E4" s="1">
        <f>5/250*A4</f>
        <v>22.12</v>
      </c>
      <c r="F4" s="10">
        <f t="shared" si="0"/>
        <v>20.549745863268186</v>
      </c>
      <c r="G4" s="3">
        <f t="shared" si="1"/>
        <v>71.765326920852161</v>
      </c>
      <c r="H4" s="12">
        <v>1</v>
      </c>
      <c r="I4" s="9">
        <f t="shared" si="2"/>
        <v>20.549745863268186</v>
      </c>
    </row>
    <row r="5" spans="1:17" x14ac:dyDescent="0.3">
      <c r="A5">
        <v>1097</v>
      </c>
      <c r="B5" s="3">
        <v>4.3030294604863446</v>
      </c>
      <c r="C5" s="2">
        <v>99.222808457063948</v>
      </c>
      <c r="D5" s="1">
        <v>2.8395750199815346</v>
      </c>
      <c r="E5" s="1">
        <f t="shared" ref="E5:E31" si="3">5/250*A5</f>
        <v>21.94</v>
      </c>
      <c r="F5" s="10">
        <f t="shared" si="0"/>
        <v>24.805702114265987</v>
      </c>
      <c r="G5" s="3">
        <f t="shared" si="1"/>
        <v>70.989375499538369</v>
      </c>
      <c r="H5" s="12">
        <v>1</v>
      </c>
      <c r="I5" s="9">
        <f t="shared" si="2"/>
        <v>24.805702114265987</v>
      </c>
    </row>
    <row r="6" spans="1:17" x14ac:dyDescent="0.3">
      <c r="A6">
        <v>35</v>
      </c>
      <c r="B6" s="3">
        <v>0.43645018317542084</v>
      </c>
      <c r="C6" s="2">
        <v>78.177645639745492</v>
      </c>
      <c r="D6" s="1">
        <v>2.746872613905055</v>
      </c>
      <c r="E6" s="1">
        <f t="shared" si="3"/>
        <v>0.70000000000000007</v>
      </c>
      <c r="F6" s="10">
        <f t="shared" si="0"/>
        <v>19.544411409936373</v>
      </c>
      <c r="G6" s="3">
        <f t="shared" si="1"/>
        <v>68.671815347626378</v>
      </c>
      <c r="H6" s="12">
        <v>1</v>
      </c>
      <c r="I6" s="9">
        <f t="shared" si="2"/>
        <v>19.544411409936373</v>
      </c>
    </row>
    <row r="7" spans="1:17" ht="15" thickBot="1" x14ac:dyDescent="0.35">
      <c r="A7">
        <v>1101</v>
      </c>
      <c r="B7" s="3">
        <v>3.7797107747075431</v>
      </c>
      <c r="C7" s="2">
        <v>72.776842359512912</v>
      </c>
      <c r="D7" s="1">
        <v>2.7091732189573881</v>
      </c>
      <c r="E7" s="1">
        <f t="shared" si="3"/>
        <v>22.02</v>
      </c>
      <c r="F7" s="10">
        <f t="shared" si="0"/>
        <v>18.194210589878228</v>
      </c>
      <c r="G7" s="3">
        <f t="shared" si="1"/>
        <v>67.729330473934695</v>
      </c>
      <c r="H7" s="12">
        <v>1</v>
      </c>
      <c r="I7" s="9">
        <f t="shared" si="2"/>
        <v>18.194210589878228</v>
      </c>
    </row>
    <row r="8" spans="1:17" x14ac:dyDescent="0.3">
      <c r="A8">
        <v>697</v>
      </c>
      <c r="B8" s="3">
        <v>9.5989039155543345</v>
      </c>
      <c r="C8" s="2">
        <v>0.17494846771503036</v>
      </c>
      <c r="D8" s="1">
        <v>2.6995400017259548</v>
      </c>
      <c r="E8" s="1">
        <f t="shared" si="3"/>
        <v>13.94</v>
      </c>
      <c r="F8" s="10">
        <f t="shared" si="0"/>
        <v>4.3737116928757591E-2</v>
      </c>
      <c r="G8" s="3">
        <f t="shared" si="1"/>
        <v>67.488500043148875</v>
      </c>
      <c r="H8" s="12">
        <v>1</v>
      </c>
      <c r="I8" s="9">
        <f t="shared" si="2"/>
        <v>4.3737116928757591E-2</v>
      </c>
      <c r="M8" s="69" t="s">
        <v>18</v>
      </c>
      <c r="N8" s="70"/>
      <c r="O8" s="70"/>
      <c r="P8" s="70"/>
      <c r="Q8" s="71"/>
    </row>
    <row r="9" spans="1:17" x14ac:dyDescent="0.3">
      <c r="A9">
        <v>1091</v>
      </c>
      <c r="B9" s="3">
        <v>0.92553085588797601</v>
      </c>
      <c r="C9" s="2">
        <v>88.661022343278077</v>
      </c>
      <c r="D9" s="1">
        <v>2.66143771994926</v>
      </c>
      <c r="E9" s="1">
        <f t="shared" si="3"/>
        <v>21.82</v>
      </c>
      <c r="F9" s="10">
        <f t="shared" si="0"/>
        <v>22.165255585819519</v>
      </c>
      <c r="G9" s="3">
        <f t="shared" si="1"/>
        <v>66.5359429987315</v>
      </c>
      <c r="H9" s="12">
        <v>1</v>
      </c>
      <c r="I9" s="9">
        <f t="shared" si="2"/>
        <v>22.165255585819519</v>
      </c>
      <c r="M9" s="72"/>
      <c r="N9" s="73"/>
      <c r="O9" s="73"/>
      <c r="P9" s="73"/>
      <c r="Q9" s="74"/>
    </row>
    <row r="10" spans="1:17" x14ac:dyDescent="0.3">
      <c r="A10">
        <v>1044</v>
      </c>
      <c r="B10" s="3">
        <v>0.5610562758446358</v>
      </c>
      <c r="C10" s="2">
        <v>84.301423961499964</v>
      </c>
      <c r="D10" s="1">
        <v>2.6492622052295749</v>
      </c>
      <c r="E10" s="1">
        <f t="shared" si="3"/>
        <v>20.88</v>
      </c>
      <c r="F10" s="10">
        <f t="shared" si="0"/>
        <v>21.075355990374991</v>
      </c>
      <c r="G10" s="3">
        <f t="shared" si="1"/>
        <v>66.231555130739366</v>
      </c>
      <c r="H10" s="12">
        <v>1</v>
      </c>
      <c r="I10" s="9">
        <f t="shared" si="2"/>
        <v>21.075355990374991</v>
      </c>
      <c r="M10" s="72"/>
      <c r="N10" s="73"/>
      <c r="O10" s="73"/>
      <c r="P10" s="73"/>
      <c r="Q10" s="74"/>
    </row>
    <row r="11" spans="1:17" x14ac:dyDescent="0.3">
      <c r="A11">
        <v>1109</v>
      </c>
      <c r="B11" s="3">
        <v>7.3420481814718386</v>
      </c>
      <c r="C11" s="2">
        <v>0.8047632978806174</v>
      </c>
      <c r="D11" s="1">
        <v>2.5271032160928897</v>
      </c>
      <c r="E11" s="1">
        <f t="shared" si="3"/>
        <v>22.18</v>
      </c>
      <c r="F11" s="10">
        <f t="shared" si="0"/>
        <v>0.20119082447015435</v>
      </c>
      <c r="G11" s="3">
        <f t="shared" si="1"/>
        <v>63.177580402322242</v>
      </c>
      <c r="H11" s="12">
        <v>1</v>
      </c>
      <c r="I11" s="9">
        <f t="shared" si="2"/>
        <v>0.20119082447015435</v>
      </c>
      <c r="M11" s="72"/>
      <c r="N11" s="73"/>
      <c r="O11" s="73"/>
      <c r="P11" s="73"/>
      <c r="Q11" s="74"/>
    </row>
    <row r="12" spans="1:17" x14ac:dyDescent="0.3">
      <c r="A12">
        <v>1094</v>
      </c>
      <c r="B12" s="3">
        <v>3.441588237306096</v>
      </c>
      <c r="C12" s="2">
        <v>66.340574915676257</v>
      </c>
      <c r="D12" s="1">
        <v>2.4948461086784777</v>
      </c>
      <c r="E12" s="1">
        <f t="shared" si="3"/>
        <v>21.88</v>
      </c>
      <c r="F12" s="10">
        <f t="shared" si="0"/>
        <v>16.585143728919064</v>
      </c>
      <c r="G12" s="3">
        <f t="shared" si="1"/>
        <v>62.371152716961944</v>
      </c>
      <c r="H12" s="12">
        <v>1</v>
      </c>
      <c r="I12" s="9">
        <f t="shared" si="2"/>
        <v>16.585143728919064</v>
      </c>
      <c r="M12" s="72"/>
      <c r="N12" s="73"/>
      <c r="O12" s="73"/>
      <c r="P12" s="73"/>
      <c r="Q12" s="74"/>
    </row>
    <row r="13" spans="1:17" x14ac:dyDescent="0.3">
      <c r="A13">
        <v>1115</v>
      </c>
      <c r="B13" s="3">
        <v>3.531454338686749</v>
      </c>
      <c r="C13" s="2">
        <v>28.833813284378884</v>
      </c>
      <c r="D13" s="1">
        <v>2.4577556619557446</v>
      </c>
      <c r="E13" s="1">
        <f t="shared" si="3"/>
        <v>22.3</v>
      </c>
      <c r="F13" s="10">
        <f t="shared" si="0"/>
        <v>7.208453321094721</v>
      </c>
      <c r="G13" s="3">
        <f t="shared" si="1"/>
        <v>61.443891548893617</v>
      </c>
      <c r="H13" s="12">
        <v>1</v>
      </c>
      <c r="I13" s="9">
        <f t="shared" si="2"/>
        <v>7.208453321094721</v>
      </c>
      <c r="M13" s="72"/>
      <c r="N13" s="73"/>
      <c r="O13" s="73"/>
      <c r="P13" s="73"/>
      <c r="Q13" s="74"/>
    </row>
    <row r="14" spans="1:17" x14ac:dyDescent="0.3">
      <c r="A14">
        <v>1014</v>
      </c>
      <c r="B14" s="3">
        <v>9.0506776562361004</v>
      </c>
      <c r="C14" s="2">
        <v>0.71198952660367354</v>
      </c>
      <c r="D14" s="1">
        <v>2.3017811631630205</v>
      </c>
      <c r="E14" s="1">
        <f t="shared" si="3"/>
        <v>20.28</v>
      </c>
      <c r="F14" s="10">
        <f t="shared" si="0"/>
        <v>0.17799738165091838</v>
      </c>
      <c r="G14" s="3">
        <f t="shared" si="1"/>
        <v>57.54452907907551</v>
      </c>
      <c r="H14" s="12">
        <v>0</v>
      </c>
      <c r="I14" s="9">
        <f t="shared" si="2"/>
        <v>57.54452907907551</v>
      </c>
      <c r="M14" s="72"/>
      <c r="N14" s="73"/>
      <c r="O14" s="73"/>
      <c r="P14" s="73"/>
      <c r="Q14" s="74"/>
    </row>
    <row r="15" spans="1:17" x14ac:dyDescent="0.3">
      <c r="A15">
        <v>631</v>
      </c>
      <c r="B15" s="3">
        <v>9.4227545758652536</v>
      </c>
      <c r="C15" s="2">
        <v>0.40188261642927214</v>
      </c>
      <c r="D15" s="1">
        <v>2.0276600868965624</v>
      </c>
      <c r="E15" s="1">
        <f t="shared" si="3"/>
        <v>12.620000000000001</v>
      </c>
      <c r="F15" s="10">
        <f t="shared" si="0"/>
        <v>0.10047065410731804</v>
      </c>
      <c r="G15" s="3">
        <f t="shared" si="1"/>
        <v>50.691502172414062</v>
      </c>
      <c r="H15" s="12">
        <v>0</v>
      </c>
      <c r="I15" s="9">
        <f>H15*F15+(1-H15)*G15</f>
        <v>50.691502172414062</v>
      </c>
      <c r="M15" s="72"/>
      <c r="N15" s="73"/>
      <c r="O15" s="73"/>
      <c r="P15" s="73"/>
      <c r="Q15" s="74"/>
    </row>
    <row r="16" spans="1:17" ht="15" thickBot="1" x14ac:dyDescent="0.35">
      <c r="A16">
        <v>570</v>
      </c>
      <c r="B16" s="3">
        <v>4.641911641886189</v>
      </c>
      <c r="C16" s="2">
        <v>0.7361126155005504</v>
      </c>
      <c r="D16" s="1">
        <v>1.9311091598096972</v>
      </c>
      <c r="E16" s="1">
        <f t="shared" si="3"/>
        <v>11.4</v>
      </c>
      <c r="F16" s="10">
        <f t="shared" si="0"/>
        <v>0.1840281538751376</v>
      </c>
      <c r="G16" s="3">
        <f t="shared" si="1"/>
        <v>48.277728995242427</v>
      </c>
      <c r="H16" s="12">
        <v>1</v>
      </c>
      <c r="I16" s="9">
        <f t="shared" si="2"/>
        <v>0.1840281538751376</v>
      </c>
      <c r="M16" s="75"/>
      <c r="N16" s="76"/>
      <c r="O16" s="76"/>
      <c r="P16" s="76"/>
      <c r="Q16" s="77"/>
    </row>
    <row r="17" spans="1:9" x14ac:dyDescent="0.3">
      <c r="A17">
        <v>790</v>
      </c>
      <c r="B17" s="3">
        <v>7.8201937950803906</v>
      </c>
      <c r="C17" s="2">
        <v>3.3189732381488923E-2</v>
      </c>
      <c r="D17" s="1">
        <v>1.8528444424142394</v>
      </c>
      <c r="E17" s="1">
        <f t="shared" si="3"/>
        <v>15.8</v>
      </c>
      <c r="F17" s="10">
        <f t="shared" si="0"/>
        <v>8.2974330953722308E-3</v>
      </c>
      <c r="G17" s="3">
        <f t="shared" si="1"/>
        <v>46.321111060355982</v>
      </c>
      <c r="H17" s="12">
        <v>0</v>
      </c>
      <c r="I17" s="9">
        <f t="shared" si="2"/>
        <v>46.321111060355982</v>
      </c>
    </row>
    <row r="18" spans="1:9" x14ac:dyDescent="0.3">
      <c r="A18">
        <v>836</v>
      </c>
      <c r="B18" s="3">
        <v>8.2176486062281029</v>
      </c>
      <c r="C18" s="2">
        <v>0.17799302280316898</v>
      </c>
      <c r="D18" s="1">
        <v>1.7590900459121823</v>
      </c>
      <c r="E18" s="1">
        <f t="shared" si="3"/>
        <v>16.72</v>
      </c>
      <c r="F18" s="10">
        <f t="shared" si="0"/>
        <v>4.4498255700792244E-2</v>
      </c>
      <c r="G18" s="3">
        <f t="shared" si="1"/>
        <v>43.977251147804559</v>
      </c>
      <c r="H18" s="12">
        <v>0</v>
      </c>
      <c r="I18" s="9">
        <f t="shared" si="2"/>
        <v>43.977251147804559</v>
      </c>
    </row>
    <row r="19" spans="1:9" x14ac:dyDescent="0.3">
      <c r="A19">
        <v>91</v>
      </c>
      <c r="B19" s="3">
        <v>0.33735976863779937</v>
      </c>
      <c r="C19" s="2">
        <v>47.435302492539634</v>
      </c>
      <c r="D19" s="1">
        <v>1.403178780418642</v>
      </c>
      <c r="E19" s="1">
        <f t="shared" si="3"/>
        <v>1.82</v>
      </c>
      <c r="F19" s="10">
        <f t="shared" si="0"/>
        <v>11.858825623134909</v>
      </c>
      <c r="G19" s="3">
        <f t="shared" si="1"/>
        <v>35.079469510466048</v>
      </c>
      <c r="H19" s="12">
        <v>1</v>
      </c>
      <c r="I19" s="9">
        <f t="shared" si="2"/>
        <v>11.858825623134909</v>
      </c>
    </row>
    <row r="20" spans="1:9" x14ac:dyDescent="0.3">
      <c r="A20">
        <v>1035</v>
      </c>
      <c r="B20" s="3">
        <v>6.5297033608495365</v>
      </c>
      <c r="C20" s="2">
        <v>2.054150321596504E-2</v>
      </c>
      <c r="D20" s="1">
        <v>1.3756516629534754</v>
      </c>
      <c r="E20" s="1">
        <f t="shared" si="3"/>
        <v>20.7</v>
      </c>
      <c r="F20" s="10">
        <f t="shared" si="0"/>
        <v>5.13537580399126E-3</v>
      </c>
      <c r="G20" s="3">
        <f t="shared" si="1"/>
        <v>34.391291573836888</v>
      </c>
      <c r="H20" s="12">
        <v>0</v>
      </c>
      <c r="I20" s="9">
        <f t="shared" si="2"/>
        <v>34.391291573836888</v>
      </c>
    </row>
    <row r="21" spans="1:9" x14ac:dyDescent="0.3">
      <c r="A21">
        <v>802</v>
      </c>
      <c r="B21" s="3">
        <v>7.1043214039770586</v>
      </c>
      <c r="C21" s="2">
        <v>0.39843641945495056</v>
      </c>
      <c r="D21" s="1">
        <v>1.3545336572317539</v>
      </c>
      <c r="E21" s="1">
        <f t="shared" si="3"/>
        <v>16.04</v>
      </c>
      <c r="F21" s="10">
        <f t="shared" si="0"/>
        <v>9.9609104863737641E-2</v>
      </c>
      <c r="G21" s="3">
        <f t="shared" si="1"/>
        <v>33.863341430793845</v>
      </c>
      <c r="H21" s="12">
        <v>0</v>
      </c>
      <c r="I21" s="9">
        <f t="shared" si="2"/>
        <v>33.863341430793845</v>
      </c>
    </row>
    <row r="22" spans="1:9" x14ac:dyDescent="0.3">
      <c r="A22">
        <v>1104</v>
      </c>
      <c r="B22" s="3">
        <v>2.4110866230520589</v>
      </c>
      <c r="C22" s="2">
        <v>87.68549569993786</v>
      </c>
      <c r="D22" s="1">
        <v>1.2292350199888231</v>
      </c>
      <c r="E22" s="1">
        <f t="shared" si="3"/>
        <v>22.080000000000002</v>
      </c>
      <c r="F22" s="10">
        <f t="shared" si="0"/>
        <v>21.921373924984465</v>
      </c>
      <c r="G22" s="3">
        <f t="shared" si="1"/>
        <v>30.730875499720579</v>
      </c>
      <c r="H22" s="12">
        <v>0</v>
      </c>
      <c r="I22" s="9">
        <f t="shared" si="2"/>
        <v>30.730875499720579</v>
      </c>
    </row>
    <row r="23" spans="1:9" x14ac:dyDescent="0.3">
      <c r="A23">
        <v>755</v>
      </c>
      <c r="B23" s="3">
        <v>0.53430713571528288</v>
      </c>
      <c r="C23" s="2">
        <v>88.099969932523493</v>
      </c>
      <c r="D23" s="1">
        <v>1.2079509469533682</v>
      </c>
      <c r="E23" s="1">
        <f t="shared" si="3"/>
        <v>15.1</v>
      </c>
      <c r="F23" s="10">
        <f t="shared" si="0"/>
        <v>22.024992483130873</v>
      </c>
      <c r="G23" s="3">
        <f t="shared" si="1"/>
        <v>30.198773673834207</v>
      </c>
      <c r="H23" s="12">
        <v>0</v>
      </c>
      <c r="I23" s="9">
        <f t="shared" si="2"/>
        <v>30.198773673834207</v>
      </c>
    </row>
    <row r="24" spans="1:9" x14ac:dyDescent="0.3">
      <c r="A24">
        <v>762</v>
      </c>
      <c r="B24" s="3">
        <v>0.45024089787638277</v>
      </c>
      <c r="C24" s="2">
        <v>99.337194752892017</v>
      </c>
      <c r="D24" s="1">
        <v>1.2038968510307821</v>
      </c>
      <c r="E24" s="1">
        <f t="shared" si="3"/>
        <v>15.24</v>
      </c>
      <c r="F24" s="10">
        <f t="shared" si="0"/>
        <v>24.834298688223004</v>
      </c>
      <c r="G24" s="3">
        <f t="shared" si="1"/>
        <v>30.097421275769555</v>
      </c>
      <c r="H24" s="12">
        <v>0</v>
      </c>
      <c r="I24" s="9">
        <f t="shared" si="2"/>
        <v>30.097421275769555</v>
      </c>
    </row>
    <row r="25" spans="1:9" x14ac:dyDescent="0.3">
      <c r="A25">
        <v>872</v>
      </c>
      <c r="B25" s="3">
        <v>5.8911859065317298</v>
      </c>
      <c r="C25" s="2">
        <v>0.32542690615354752</v>
      </c>
      <c r="D25" s="1">
        <v>0.92378802779970148</v>
      </c>
      <c r="E25" s="1">
        <f t="shared" si="3"/>
        <v>17.440000000000001</v>
      </c>
      <c r="F25" s="10">
        <f t="shared" si="0"/>
        <v>8.1356726538386881E-2</v>
      </c>
      <c r="G25" s="3">
        <f t="shared" si="1"/>
        <v>23.094700694992536</v>
      </c>
      <c r="H25" s="12">
        <v>0</v>
      </c>
      <c r="I25" s="9">
        <f t="shared" si="2"/>
        <v>23.094700694992536</v>
      </c>
    </row>
    <row r="26" spans="1:9" x14ac:dyDescent="0.3">
      <c r="A26">
        <v>707</v>
      </c>
      <c r="B26" s="3">
        <v>0.42070180467416507</v>
      </c>
      <c r="C26" s="2">
        <v>90.364466751957792</v>
      </c>
      <c r="D26" s="1">
        <v>0.68573498692666646</v>
      </c>
      <c r="E26" s="1">
        <f t="shared" si="3"/>
        <v>14.14</v>
      </c>
      <c r="F26" s="10">
        <f t="shared" si="0"/>
        <v>22.591116687989448</v>
      </c>
      <c r="G26" s="3">
        <f t="shared" si="1"/>
        <v>17.143374673166662</v>
      </c>
      <c r="H26" s="12">
        <v>0</v>
      </c>
      <c r="I26" s="9">
        <f t="shared" si="2"/>
        <v>17.143374673166662</v>
      </c>
    </row>
    <row r="27" spans="1:9" x14ac:dyDescent="0.3">
      <c r="A27">
        <v>971</v>
      </c>
      <c r="B27" s="3">
        <v>0.33898337185350957</v>
      </c>
      <c r="C27" s="2">
        <v>91.732859570614224</v>
      </c>
      <c r="D27" s="1">
        <v>0.64675650793850092</v>
      </c>
      <c r="E27" s="1">
        <f t="shared" si="3"/>
        <v>19.420000000000002</v>
      </c>
      <c r="F27" s="10">
        <f t="shared" si="0"/>
        <v>22.933214892653556</v>
      </c>
      <c r="G27" s="3">
        <f t="shared" si="1"/>
        <v>16.168912698462524</v>
      </c>
      <c r="H27" s="12">
        <v>0</v>
      </c>
      <c r="I27" s="9">
        <f t="shared" si="2"/>
        <v>16.168912698462524</v>
      </c>
    </row>
    <row r="28" spans="1:9" x14ac:dyDescent="0.3">
      <c r="A28">
        <v>962</v>
      </c>
      <c r="B28" s="3">
        <v>0.3621252484718851</v>
      </c>
      <c r="C28" s="2">
        <v>95.408128218027827</v>
      </c>
      <c r="D28" s="1">
        <v>0.61690368932313355</v>
      </c>
      <c r="E28" s="1">
        <f t="shared" si="3"/>
        <v>19.240000000000002</v>
      </c>
      <c r="F28" s="10">
        <f t="shared" si="0"/>
        <v>23.852032054506957</v>
      </c>
      <c r="G28" s="3">
        <f t="shared" si="1"/>
        <v>15.422592233078339</v>
      </c>
      <c r="H28" s="12">
        <v>0</v>
      </c>
      <c r="I28" s="9">
        <f t="shared" si="2"/>
        <v>15.422592233078339</v>
      </c>
    </row>
    <row r="29" spans="1:9" x14ac:dyDescent="0.3">
      <c r="A29">
        <v>207</v>
      </c>
      <c r="B29" s="3">
        <v>0.53226354816753751</v>
      </c>
      <c r="C29" s="2">
        <v>36.389595342580009</v>
      </c>
      <c r="D29" s="1">
        <v>0.55340951299649488</v>
      </c>
      <c r="E29" s="1">
        <f t="shared" si="3"/>
        <v>4.1399999999999997</v>
      </c>
      <c r="F29" s="10">
        <f t="shared" si="0"/>
        <v>9.0973988356450022</v>
      </c>
      <c r="G29" s="3">
        <f t="shared" si="1"/>
        <v>13.835237824912372</v>
      </c>
      <c r="H29" s="12">
        <v>0</v>
      </c>
      <c r="I29" s="9">
        <f t="shared" si="2"/>
        <v>13.835237824912372</v>
      </c>
    </row>
    <row r="30" spans="1:9" x14ac:dyDescent="0.3">
      <c r="A30">
        <v>1098</v>
      </c>
      <c r="B30" s="3">
        <v>0.69534260741033416</v>
      </c>
      <c r="C30" s="2">
        <v>48.204808004424237</v>
      </c>
      <c r="D30" s="1">
        <v>0.31486619023461765</v>
      </c>
      <c r="E30" s="1">
        <f t="shared" si="3"/>
        <v>21.96</v>
      </c>
      <c r="F30" s="10">
        <f t="shared" si="0"/>
        <v>12.051202001106059</v>
      </c>
      <c r="G30" s="3">
        <f t="shared" si="1"/>
        <v>7.8716547558654408</v>
      </c>
      <c r="H30" s="12">
        <v>0</v>
      </c>
      <c r="I30" s="9">
        <f t="shared" si="2"/>
        <v>7.8716547558654408</v>
      </c>
    </row>
    <row r="31" spans="1:9" x14ac:dyDescent="0.3">
      <c r="A31">
        <v>954</v>
      </c>
      <c r="B31" s="3">
        <v>3.5213995169796286</v>
      </c>
      <c r="C31" s="2">
        <v>4.1259991134545704E-2</v>
      </c>
      <c r="D31" s="1">
        <v>0.25512942873062083</v>
      </c>
      <c r="E31" s="1">
        <f t="shared" si="3"/>
        <v>19.080000000000002</v>
      </c>
      <c r="F31" s="10">
        <f t="shared" si="0"/>
        <v>1.0314997783636426E-2</v>
      </c>
      <c r="G31" s="3">
        <f t="shared" si="1"/>
        <v>6.3782357182655209</v>
      </c>
      <c r="H31" s="12">
        <v>0</v>
      </c>
      <c r="I31" s="9">
        <f t="shared" si="2"/>
        <v>6.3782357182655209</v>
      </c>
    </row>
    <row r="33" spans="9:9" x14ac:dyDescent="0.3">
      <c r="I33" s="9"/>
    </row>
    <row r="34" spans="9:9" x14ac:dyDescent="0.3">
      <c r="I34" s="9"/>
    </row>
    <row r="35" spans="9:9" x14ac:dyDescent="0.3">
      <c r="I35" s="9"/>
    </row>
    <row r="36" spans="9:9" x14ac:dyDescent="0.3">
      <c r="I36" s="9"/>
    </row>
    <row r="37" spans="9:9" x14ac:dyDescent="0.3">
      <c r="I37" s="9"/>
    </row>
    <row r="38" spans="9:9" x14ac:dyDescent="0.3">
      <c r="I38" s="9"/>
    </row>
    <row r="39" spans="9:9" x14ac:dyDescent="0.3">
      <c r="I39" s="9"/>
    </row>
    <row r="40" spans="9:9" x14ac:dyDescent="0.3">
      <c r="I40" s="9"/>
    </row>
    <row r="41" spans="9:9" x14ac:dyDescent="0.3">
      <c r="I41" s="9"/>
    </row>
    <row r="42" spans="9:9" x14ac:dyDescent="0.3">
      <c r="I42" s="9"/>
    </row>
    <row r="43" spans="9:9" x14ac:dyDescent="0.3">
      <c r="I43" s="9"/>
    </row>
    <row r="44" spans="9:9" x14ac:dyDescent="0.3">
      <c r="I44" s="9"/>
    </row>
    <row r="45" spans="9:9" x14ac:dyDescent="0.3">
      <c r="I45" s="9"/>
    </row>
    <row r="46" spans="9:9" x14ac:dyDescent="0.3">
      <c r="I46" s="9"/>
    </row>
    <row r="47" spans="9:9" x14ac:dyDescent="0.3">
      <c r="I47" s="9"/>
    </row>
    <row r="48" spans="9:9" x14ac:dyDescent="0.3">
      <c r="I48" s="9"/>
    </row>
    <row r="49" spans="9:9" x14ac:dyDescent="0.3">
      <c r="I49" s="9"/>
    </row>
    <row r="50" spans="9:9" x14ac:dyDescent="0.3">
      <c r="I50" s="9"/>
    </row>
    <row r="51" spans="9:9" x14ac:dyDescent="0.3">
      <c r="I51" s="9"/>
    </row>
    <row r="52" spans="9:9" x14ac:dyDescent="0.3">
      <c r="I52" s="9"/>
    </row>
    <row r="53" spans="9:9" x14ac:dyDescent="0.3">
      <c r="I53" s="9"/>
    </row>
    <row r="54" spans="9:9" x14ac:dyDescent="0.3">
      <c r="I54" s="9"/>
    </row>
    <row r="55" spans="9:9" x14ac:dyDescent="0.3">
      <c r="I55" s="9"/>
    </row>
    <row r="56" spans="9:9" x14ac:dyDescent="0.3">
      <c r="I56" s="9"/>
    </row>
    <row r="57" spans="9:9" x14ac:dyDescent="0.3">
      <c r="I57" s="9"/>
    </row>
    <row r="58" spans="9:9" x14ac:dyDescent="0.3">
      <c r="I58" s="9"/>
    </row>
    <row r="59" spans="9:9" x14ac:dyDescent="0.3">
      <c r="I59" s="9"/>
    </row>
    <row r="60" spans="9:9" x14ac:dyDescent="0.3">
      <c r="I60" s="9"/>
    </row>
    <row r="61" spans="9:9" x14ac:dyDescent="0.3">
      <c r="I61" s="9"/>
    </row>
    <row r="62" spans="9:9" x14ac:dyDescent="0.3">
      <c r="I62" s="9"/>
    </row>
    <row r="63" spans="9:9" x14ac:dyDescent="0.3">
      <c r="I63" s="9"/>
    </row>
    <row r="64" spans="9:9" x14ac:dyDescent="0.3">
      <c r="I64" s="9"/>
    </row>
    <row r="65" spans="9:9" x14ac:dyDescent="0.3">
      <c r="I65" s="9"/>
    </row>
    <row r="66" spans="9:9" x14ac:dyDescent="0.3">
      <c r="I66" s="9"/>
    </row>
    <row r="67" spans="9:9" x14ac:dyDescent="0.3">
      <c r="I67" s="9"/>
    </row>
    <row r="68" spans="9:9" x14ac:dyDescent="0.3">
      <c r="I68" s="9"/>
    </row>
    <row r="69" spans="9:9" x14ac:dyDescent="0.3">
      <c r="I69" s="9"/>
    </row>
    <row r="70" spans="9:9" x14ac:dyDescent="0.3">
      <c r="I70" s="9"/>
    </row>
  </sheetData>
  <sortState xmlns:xlrd2="http://schemas.microsoft.com/office/spreadsheetml/2017/richdata2" ref="A2:D31">
    <sortCondition descending="1" ref="D2:D31"/>
  </sortState>
  <mergeCells count="1">
    <mergeCell ref="M8:Q1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C2B51-8BD7-1649-9BC6-48FC964EC262}">
  <sheetPr codeName="Sheet7"/>
  <dimension ref="A1:T31"/>
  <sheetViews>
    <sheetView topLeftCell="H1" zoomScale="120" zoomScaleNormal="120" workbookViewId="0">
      <selection activeCell="I20" sqref="I20"/>
    </sheetView>
  </sheetViews>
  <sheetFormatPr defaultColWidth="8.77734375" defaultRowHeight="14.4" x14ac:dyDescent="0.3"/>
  <cols>
    <col min="2" max="2" width="14.109375" bestFit="1" customWidth="1"/>
    <col min="3" max="3" width="9.33203125" bestFit="1" customWidth="1"/>
    <col min="4" max="4" width="10.109375" bestFit="1" customWidth="1"/>
    <col min="5" max="5" width="35.33203125" bestFit="1" customWidth="1"/>
    <col min="6" max="6" width="26.109375" bestFit="1" customWidth="1"/>
    <col min="7" max="7" width="26.44140625" bestFit="1" customWidth="1"/>
    <col min="8" max="8" width="14.77734375" bestFit="1" customWidth="1"/>
    <col min="9" max="9" width="17.44140625" bestFit="1" customWidth="1"/>
    <col min="10" max="10" width="15.44140625" bestFit="1" customWidth="1"/>
    <col min="11" max="11" width="25.6640625" bestFit="1" customWidth="1"/>
    <col min="13" max="13" width="15.44140625" bestFit="1" customWidth="1"/>
  </cols>
  <sheetData>
    <row r="1" spans="1:20" x14ac:dyDescent="0.3">
      <c r="A1" s="4" t="s">
        <v>0</v>
      </c>
      <c r="B1" s="5" t="s">
        <v>1</v>
      </c>
      <c r="C1" s="6" t="s">
        <v>2</v>
      </c>
      <c r="D1" s="4" t="s">
        <v>3</v>
      </c>
      <c r="E1" s="20" t="s">
        <v>7</v>
      </c>
      <c r="F1" s="20" t="s">
        <v>5</v>
      </c>
      <c r="G1" s="20" t="s">
        <v>6</v>
      </c>
      <c r="H1" s="21" t="s">
        <v>19</v>
      </c>
      <c r="I1" s="20" t="s">
        <v>20</v>
      </c>
      <c r="J1" s="18" t="s">
        <v>8</v>
      </c>
      <c r="K1" s="19" t="s">
        <v>21</v>
      </c>
    </row>
    <row r="2" spans="1:20" x14ac:dyDescent="0.3">
      <c r="A2">
        <v>570</v>
      </c>
      <c r="B2" s="3">
        <v>4.641911641886189</v>
      </c>
      <c r="C2" s="2">
        <v>0.7361126155005504</v>
      </c>
      <c r="D2" s="1">
        <v>1.9311091598096972</v>
      </c>
      <c r="E2" s="1">
        <f t="shared" ref="E2:E31" si="0">D2/50</f>
        <v>3.8622183196193947E-2</v>
      </c>
      <c r="F2" s="10">
        <f t="shared" ref="F2:F31" si="1">0.25*C2</f>
        <v>0.1840281538751376</v>
      </c>
      <c r="G2" s="3">
        <f t="shared" ref="G2:G21" si="2">25*E2</f>
        <v>0.96555457990484872</v>
      </c>
      <c r="H2" s="22">
        <f t="shared" ref="H2:H31" si="3">(G2-F2)/B2</f>
        <v>0.16836305520717465</v>
      </c>
      <c r="I2" s="3">
        <f>B2</f>
        <v>4.641911641886189</v>
      </c>
      <c r="J2" s="12">
        <f t="shared" ref="J2:J31" si="4">IF(I2 &lt;= 50, 1, 0)</f>
        <v>1</v>
      </c>
      <c r="K2">
        <f t="shared" ref="K2:K31" si="5">IF(J2 = 1, F2, G2)</f>
        <v>0.1840281538751376</v>
      </c>
    </row>
    <row r="3" spans="1:20" x14ac:dyDescent="0.3">
      <c r="A3">
        <v>1109</v>
      </c>
      <c r="B3" s="3">
        <v>7.3420481814718386</v>
      </c>
      <c r="C3" s="2">
        <v>0.8047632978806174</v>
      </c>
      <c r="D3" s="1">
        <v>2.5271032160928897</v>
      </c>
      <c r="E3" s="1">
        <f t="shared" si="0"/>
        <v>5.0542064321857795E-2</v>
      </c>
      <c r="F3" s="10">
        <f t="shared" si="1"/>
        <v>0.20119082447015435</v>
      </c>
      <c r="G3" s="3">
        <f t="shared" si="2"/>
        <v>1.2635516080464448</v>
      </c>
      <c r="H3" s="22">
        <f t="shared" si="3"/>
        <v>0.14469542521625378</v>
      </c>
      <c r="I3" s="3">
        <f t="shared" ref="I3:I21" si="6">B3+I2</f>
        <v>11.983959823358028</v>
      </c>
      <c r="J3" s="12">
        <f t="shared" si="4"/>
        <v>1</v>
      </c>
      <c r="K3">
        <f t="shared" si="5"/>
        <v>0.20119082447015435</v>
      </c>
    </row>
    <row r="4" spans="1:20" x14ac:dyDescent="0.3">
      <c r="A4">
        <v>697</v>
      </c>
      <c r="B4" s="3">
        <v>9.5989039155543345</v>
      </c>
      <c r="C4" s="2">
        <v>0.17494846771503036</v>
      </c>
      <c r="D4" s="1">
        <v>2.6995400017259548</v>
      </c>
      <c r="E4" s="1">
        <f t="shared" si="0"/>
        <v>5.3990800034519094E-2</v>
      </c>
      <c r="F4" s="10">
        <f t="shared" si="1"/>
        <v>4.3737116928757591E-2</v>
      </c>
      <c r="G4" s="3">
        <f t="shared" si="2"/>
        <v>1.3497700008629774</v>
      </c>
      <c r="H4" s="22">
        <f t="shared" si="3"/>
        <v>0.13606062686156148</v>
      </c>
      <c r="I4" s="3">
        <f t="shared" si="6"/>
        <v>21.582863738912362</v>
      </c>
      <c r="J4" s="12">
        <f t="shared" si="4"/>
        <v>1</v>
      </c>
      <c r="K4">
        <f t="shared" si="5"/>
        <v>4.3737116928757591E-2</v>
      </c>
      <c r="M4" t="s">
        <v>10</v>
      </c>
      <c r="N4" s="16">
        <f>SUM(K2:K31)</f>
        <v>218.43427322683218</v>
      </c>
    </row>
    <row r="5" spans="1:20" x14ac:dyDescent="0.3">
      <c r="A5">
        <v>790</v>
      </c>
      <c r="B5" s="3">
        <v>7.8201937950803906</v>
      </c>
      <c r="C5" s="2">
        <v>3.3189732381488923E-2</v>
      </c>
      <c r="D5" s="1">
        <v>1.8528444424142394</v>
      </c>
      <c r="E5" s="1">
        <f t="shared" si="0"/>
        <v>3.7056888848284786E-2</v>
      </c>
      <c r="F5" s="10">
        <f t="shared" si="1"/>
        <v>8.2974330953722308E-3</v>
      </c>
      <c r="G5" s="3">
        <f t="shared" si="2"/>
        <v>0.92642222120711959</v>
      </c>
      <c r="H5" s="22">
        <f t="shared" si="3"/>
        <v>0.11740435239460829</v>
      </c>
      <c r="I5" s="3">
        <f t="shared" si="6"/>
        <v>29.403057533992751</v>
      </c>
      <c r="J5" s="12">
        <f t="shared" si="4"/>
        <v>1</v>
      </c>
      <c r="K5">
        <f t="shared" si="5"/>
        <v>8.2974330953722308E-3</v>
      </c>
      <c r="M5" t="s">
        <v>9</v>
      </c>
      <c r="N5" s="16">
        <f>SUMPRODUCT(J2:J31,B2:B31)</f>
        <v>49.687553861853246</v>
      </c>
      <c r="O5" t="s">
        <v>12</v>
      </c>
      <c r="P5">
        <v>50</v>
      </c>
    </row>
    <row r="6" spans="1:20" x14ac:dyDescent="0.3">
      <c r="A6">
        <v>1014</v>
      </c>
      <c r="B6" s="3">
        <v>9.0506776562361004</v>
      </c>
      <c r="C6" s="2">
        <v>0.71198952660367354</v>
      </c>
      <c r="D6" s="1">
        <v>2.3017811631630205</v>
      </c>
      <c r="E6" s="1">
        <f t="shared" si="0"/>
        <v>4.6035623263260411E-2</v>
      </c>
      <c r="F6" s="10">
        <f t="shared" si="1"/>
        <v>0.17799738165091838</v>
      </c>
      <c r="G6" s="3">
        <f t="shared" si="2"/>
        <v>1.1508905815815103</v>
      </c>
      <c r="H6" s="22">
        <f t="shared" si="3"/>
        <v>0.10749396198639874</v>
      </c>
      <c r="I6" s="3">
        <f t="shared" si="6"/>
        <v>38.453735190228855</v>
      </c>
      <c r="J6" s="12">
        <f t="shared" si="4"/>
        <v>1</v>
      </c>
      <c r="K6">
        <f t="shared" si="5"/>
        <v>0.17799738165091838</v>
      </c>
    </row>
    <row r="7" spans="1:20" ht="15" thickBot="1" x14ac:dyDescent="0.35">
      <c r="A7">
        <v>1035</v>
      </c>
      <c r="B7" s="3">
        <v>6.5297033608495365</v>
      </c>
      <c r="C7" s="2">
        <v>2.054150321596504E-2</v>
      </c>
      <c r="D7" s="1">
        <v>1.3756516629534754</v>
      </c>
      <c r="E7" s="1">
        <f t="shared" si="0"/>
        <v>2.7513033259069508E-2</v>
      </c>
      <c r="F7" s="10">
        <f t="shared" si="1"/>
        <v>5.13537580399126E-3</v>
      </c>
      <c r="G7" s="3">
        <f t="shared" si="2"/>
        <v>0.6878258314767377</v>
      </c>
      <c r="H7" s="22">
        <f t="shared" si="3"/>
        <v>0.10455152676092258</v>
      </c>
      <c r="I7" s="3">
        <f t="shared" si="6"/>
        <v>44.983438551078393</v>
      </c>
      <c r="J7" s="12">
        <f t="shared" si="4"/>
        <v>1</v>
      </c>
      <c r="K7">
        <f t="shared" si="5"/>
        <v>5.13537580399126E-3</v>
      </c>
    </row>
    <row r="8" spans="1:20" x14ac:dyDescent="0.3">
      <c r="A8">
        <v>836</v>
      </c>
      <c r="B8" s="3">
        <v>8.2176486062281029</v>
      </c>
      <c r="C8" s="2">
        <v>0.17799302280316898</v>
      </c>
      <c r="D8" s="1">
        <v>1.7590900459121823</v>
      </c>
      <c r="E8" s="1">
        <f t="shared" si="0"/>
        <v>3.5181800918243647E-2</v>
      </c>
      <c r="F8" s="10">
        <f t="shared" si="1"/>
        <v>4.4498255700792244E-2</v>
      </c>
      <c r="G8" s="3">
        <f t="shared" si="2"/>
        <v>0.87954502295609116</v>
      </c>
      <c r="H8" s="22">
        <f t="shared" si="3"/>
        <v>0.10161626607183256</v>
      </c>
      <c r="I8" s="3">
        <f t="shared" si="6"/>
        <v>53.201087157306496</v>
      </c>
      <c r="J8" s="12">
        <f t="shared" si="4"/>
        <v>0</v>
      </c>
      <c r="K8">
        <f t="shared" si="5"/>
        <v>0.87954502295609116</v>
      </c>
      <c r="P8" s="69" t="s">
        <v>23</v>
      </c>
      <c r="Q8" s="70"/>
      <c r="R8" s="70"/>
      <c r="S8" s="70"/>
      <c r="T8" s="71"/>
    </row>
    <row r="9" spans="1:20" x14ac:dyDescent="0.3">
      <c r="A9">
        <v>631</v>
      </c>
      <c r="B9" s="3">
        <v>9.4227545758652536</v>
      </c>
      <c r="C9" s="2">
        <v>0.40188261642927214</v>
      </c>
      <c r="D9" s="1">
        <v>2.0276600868965624</v>
      </c>
      <c r="E9" s="1">
        <f t="shared" si="0"/>
        <v>4.0553201737931248E-2</v>
      </c>
      <c r="F9" s="10">
        <f t="shared" si="1"/>
        <v>0.10047065410731804</v>
      </c>
      <c r="G9" s="3">
        <f t="shared" si="2"/>
        <v>1.0138300434482812</v>
      </c>
      <c r="H9" s="22">
        <f t="shared" si="3"/>
        <v>9.6931251046310216E-2</v>
      </c>
      <c r="I9" s="3">
        <f t="shared" si="6"/>
        <v>62.623841733171751</v>
      </c>
      <c r="J9" s="12">
        <f t="shared" si="4"/>
        <v>0</v>
      </c>
      <c r="K9">
        <f t="shared" si="5"/>
        <v>1.0138300434482812</v>
      </c>
      <c r="P9" s="72"/>
      <c r="Q9" s="73"/>
      <c r="R9" s="73"/>
      <c r="S9" s="73"/>
      <c r="T9" s="74"/>
    </row>
    <row r="10" spans="1:20" x14ac:dyDescent="0.3">
      <c r="A10">
        <v>802</v>
      </c>
      <c r="B10" s="3">
        <v>7.1043214039770586</v>
      </c>
      <c r="C10" s="2">
        <v>0.39843641945495056</v>
      </c>
      <c r="D10" s="1">
        <v>1.3545336572317539</v>
      </c>
      <c r="E10" s="1">
        <f t="shared" si="0"/>
        <v>2.7090673144635077E-2</v>
      </c>
      <c r="F10" s="10">
        <f t="shared" si="1"/>
        <v>9.9609104863737641E-2</v>
      </c>
      <c r="G10" s="3">
        <f t="shared" si="2"/>
        <v>0.67726682861587695</v>
      </c>
      <c r="H10" s="22">
        <f t="shared" si="3"/>
        <v>8.1310753118343113E-2</v>
      </c>
      <c r="I10" s="3">
        <f t="shared" si="6"/>
        <v>69.728163137148812</v>
      </c>
      <c r="J10" s="12">
        <f t="shared" si="4"/>
        <v>0</v>
      </c>
      <c r="K10">
        <f t="shared" si="5"/>
        <v>0.67726682861587695</v>
      </c>
      <c r="P10" s="72"/>
      <c r="Q10" s="73"/>
      <c r="R10" s="73"/>
      <c r="S10" s="73"/>
      <c r="T10" s="74"/>
    </row>
    <row r="11" spans="1:20" x14ac:dyDescent="0.3">
      <c r="A11">
        <v>872</v>
      </c>
      <c r="B11" s="3">
        <v>5.8911859065317298</v>
      </c>
      <c r="C11" s="2">
        <v>0.32542690615354752</v>
      </c>
      <c r="D11" s="1">
        <v>0.92378802779970148</v>
      </c>
      <c r="E11" s="1">
        <f t="shared" si="0"/>
        <v>1.8475760555994029E-2</v>
      </c>
      <c r="F11" s="10">
        <f t="shared" si="1"/>
        <v>8.1356726538386881E-2</v>
      </c>
      <c r="G11" s="3">
        <f t="shared" si="2"/>
        <v>0.46189401389985074</v>
      </c>
      <c r="H11" s="22">
        <f t="shared" si="3"/>
        <v>6.4594343719411584E-2</v>
      </c>
      <c r="I11" s="3">
        <f t="shared" si="6"/>
        <v>75.619349043680543</v>
      </c>
      <c r="J11" s="12">
        <f t="shared" si="4"/>
        <v>0</v>
      </c>
      <c r="K11">
        <f t="shared" si="5"/>
        <v>0.46189401389985074</v>
      </c>
      <c r="P11" s="72"/>
      <c r="Q11" s="73"/>
      <c r="R11" s="73"/>
      <c r="S11" s="73"/>
      <c r="T11" s="74"/>
    </row>
    <row r="12" spans="1:20" x14ac:dyDescent="0.3">
      <c r="A12">
        <v>954</v>
      </c>
      <c r="B12" s="3">
        <v>3.5213995169796286</v>
      </c>
      <c r="C12" s="2">
        <v>4.1259991134545704E-2</v>
      </c>
      <c r="D12" s="1">
        <v>0.25512942873062083</v>
      </c>
      <c r="E12" s="1">
        <f t="shared" si="0"/>
        <v>5.1025885746124166E-3</v>
      </c>
      <c r="F12" s="10">
        <f t="shared" si="1"/>
        <v>1.0314997783636426E-2</v>
      </c>
      <c r="G12" s="3">
        <f t="shared" si="2"/>
        <v>0.12756471436531042</v>
      </c>
      <c r="H12" s="22">
        <f t="shared" si="3"/>
        <v>3.3296340280707853E-2</v>
      </c>
      <c r="I12" s="3">
        <f t="shared" si="6"/>
        <v>79.140748560660171</v>
      </c>
      <c r="J12" s="12">
        <f t="shared" si="4"/>
        <v>0</v>
      </c>
      <c r="K12">
        <f t="shared" si="5"/>
        <v>0.12756471436531042</v>
      </c>
      <c r="P12" s="72"/>
      <c r="Q12" s="73"/>
      <c r="R12" s="73"/>
      <c r="S12" s="73"/>
      <c r="T12" s="74"/>
    </row>
    <row r="13" spans="1:20" x14ac:dyDescent="0.3">
      <c r="A13">
        <v>1100</v>
      </c>
      <c r="B13" s="3">
        <v>6.6708003843085297</v>
      </c>
      <c r="C13" s="2">
        <v>9.6869700740117146</v>
      </c>
      <c r="D13" s="1">
        <v>3.2266163247432469</v>
      </c>
      <c r="E13" s="1">
        <f t="shared" si="0"/>
        <v>6.4532326494864942E-2</v>
      </c>
      <c r="F13" s="10">
        <f t="shared" si="1"/>
        <v>2.4217425185029287</v>
      </c>
      <c r="G13" s="3">
        <f t="shared" si="2"/>
        <v>1.6133081623716234</v>
      </c>
      <c r="H13" s="22">
        <f t="shared" si="3"/>
        <v>-0.12119000862819319</v>
      </c>
      <c r="I13" s="3">
        <f t="shared" si="6"/>
        <v>85.811548944968706</v>
      </c>
      <c r="J13" s="12">
        <f t="shared" si="4"/>
        <v>0</v>
      </c>
      <c r="K13">
        <f t="shared" si="5"/>
        <v>1.6133081623716234</v>
      </c>
      <c r="P13" s="72"/>
      <c r="Q13" s="73"/>
      <c r="R13" s="73"/>
      <c r="S13" s="73"/>
      <c r="T13" s="74"/>
    </row>
    <row r="14" spans="1:20" x14ac:dyDescent="0.3">
      <c r="A14">
        <v>1115</v>
      </c>
      <c r="B14" s="3">
        <v>3.531454338686749</v>
      </c>
      <c r="C14" s="2">
        <v>28.833813284378884</v>
      </c>
      <c r="D14" s="1">
        <v>2.4577556619557446</v>
      </c>
      <c r="E14" s="1">
        <f t="shared" si="0"/>
        <v>4.9155113239114895E-2</v>
      </c>
      <c r="F14" s="10">
        <f t="shared" si="1"/>
        <v>7.208453321094721</v>
      </c>
      <c r="G14" s="3">
        <f t="shared" si="2"/>
        <v>1.2288778309778723</v>
      </c>
      <c r="H14" s="22">
        <f t="shared" si="3"/>
        <v>-1.6932331319171152</v>
      </c>
      <c r="I14" s="3">
        <f t="shared" si="6"/>
        <v>89.343003283655449</v>
      </c>
      <c r="J14" s="12">
        <f t="shared" si="4"/>
        <v>0</v>
      </c>
      <c r="K14">
        <f t="shared" si="5"/>
        <v>1.2288778309778723</v>
      </c>
      <c r="P14" s="72"/>
      <c r="Q14" s="73"/>
      <c r="R14" s="73"/>
      <c r="S14" s="73"/>
      <c r="T14" s="74"/>
    </row>
    <row r="15" spans="1:20" x14ac:dyDescent="0.3">
      <c r="A15">
        <v>1101</v>
      </c>
      <c r="B15" s="3">
        <v>3.7797107747075431</v>
      </c>
      <c r="C15" s="2">
        <v>72.776842359512912</v>
      </c>
      <c r="D15" s="1">
        <v>2.7091732189573881</v>
      </c>
      <c r="E15" s="1">
        <f t="shared" si="0"/>
        <v>5.4183464379147762E-2</v>
      </c>
      <c r="F15" s="10">
        <f t="shared" si="1"/>
        <v>18.194210589878228</v>
      </c>
      <c r="G15" s="3">
        <f t="shared" si="2"/>
        <v>1.354586609478694</v>
      </c>
      <c r="H15" s="22">
        <f t="shared" si="3"/>
        <v>-4.4552678721039198</v>
      </c>
      <c r="I15" s="3">
        <f t="shared" si="6"/>
        <v>93.122714058362988</v>
      </c>
      <c r="J15" s="12">
        <f t="shared" si="4"/>
        <v>0</v>
      </c>
      <c r="K15">
        <f t="shared" si="5"/>
        <v>1.354586609478694</v>
      </c>
      <c r="P15" s="72"/>
      <c r="Q15" s="73"/>
      <c r="R15" s="73"/>
      <c r="S15" s="73"/>
      <c r="T15" s="74"/>
    </row>
    <row r="16" spans="1:20" ht="15" thickBot="1" x14ac:dyDescent="0.35">
      <c r="A16">
        <v>1094</v>
      </c>
      <c r="B16" s="3">
        <v>3.441588237306096</v>
      </c>
      <c r="C16" s="2">
        <v>66.340574915676257</v>
      </c>
      <c r="D16" s="1">
        <v>2.4948461086784777</v>
      </c>
      <c r="E16" s="1">
        <f t="shared" si="0"/>
        <v>4.9896922173569551E-2</v>
      </c>
      <c r="F16" s="10">
        <f t="shared" si="1"/>
        <v>16.585143728919064</v>
      </c>
      <c r="G16" s="3">
        <f t="shared" si="2"/>
        <v>1.2474230543392388</v>
      </c>
      <c r="H16" s="22">
        <f t="shared" si="3"/>
        <v>-4.456582140862217</v>
      </c>
      <c r="I16" s="3">
        <f t="shared" si="6"/>
        <v>96.56430229566908</v>
      </c>
      <c r="J16" s="12">
        <f t="shared" si="4"/>
        <v>0</v>
      </c>
      <c r="K16">
        <f t="shared" si="5"/>
        <v>1.2474230543392388</v>
      </c>
      <c r="P16" s="75"/>
      <c r="Q16" s="76"/>
      <c r="R16" s="76"/>
      <c r="S16" s="76"/>
      <c r="T16" s="77"/>
    </row>
    <row r="17" spans="1:11" x14ac:dyDescent="0.3">
      <c r="A17">
        <v>1097</v>
      </c>
      <c r="B17" s="3">
        <v>4.3030294604863446</v>
      </c>
      <c r="C17" s="2">
        <v>99.222808457063948</v>
      </c>
      <c r="D17" s="1">
        <v>2.8395750199815346</v>
      </c>
      <c r="E17" s="1">
        <f t="shared" si="0"/>
        <v>5.6791500399630691E-2</v>
      </c>
      <c r="F17" s="10">
        <f t="shared" si="1"/>
        <v>24.805702114265987</v>
      </c>
      <c r="G17" s="3">
        <f t="shared" si="2"/>
        <v>1.4197875099907673</v>
      </c>
      <c r="H17" s="22">
        <f t="shared" si="3"/>
        <v>-5.4347558665406064</v>
      </c>
      <c r="I17" s="3">
        <f t="shared" si="6"/>
        <v>100.86733175615542</v>
      </c>
      <c r="J17" s="12">
        <f t="shared" si="4"/>
        <v>0</v>
      </c>
      <c r="K17">
        <f t="shared" si="5"/>
        <v>1.4197875099907673</v>
      </c>
    </row>
    <row r="18" spans="1:11" x14ac:dyDescent="0.3">
      <c r="A18">
        <v>1106</v>
      </c>
      <c r="B18" s="3">
        <v>2.9859893627222291</v>
      </c>
      <c r="C18" s="2">
        <v>82.198983453072742</v>
      </c>
      <c r="D18" s="1">
        <v>2.8706130768340863</v>
      </c>
      <c r="E18" s="1">
        <f t="shared" si="0"/>
        <v>5.7412261536681726E-2</v>
      </c>
      <c r="F18" s="10">
        <f t="shared" si="1"/>
        <v>20.549745863268186</v>
      </c>
      <c r="G18" s="3">
        <f t="shared" si="2"/>
        <v>1.4353065384170431</v>
      </c>
      <c r="H18" s="22">
        <f t="shared" si="3"/>
        <v>-6.4013755586272847</v>
      </c>
      <c r="I18" s="3">
        <f t="shared" si="6"/>
        <v>103.85332111887766</v>
      </c>
      <c r="J18" s="12">
        <f t="shared" si="4"/>
        <v>0</v>
      </c>
      <c r="K18">
        <f t="shared" si="5"/>
        <v>1.4353065384170431</v>
      </c>
    </row>
    <row r="19" spans="1:11" x14ac:dyDescent="0.3">
      <c r="A19">
        <v>1104</v>
      </c>
      <c r="B19" s="3">
        <v>2.4110866230520589</v>
      </c>
      <c r="C19" s="2">
        <v>87.68549569993786</v>
      </c>
      <c r="D19" s="1">
        <v>1.2292350199888231</v>
      </c>
      <c r="E19" s="1">
        <f t="shared" si="0"/>
        <v>2.4584700399776463E-2</v>
      </c>
      <c r="F19" s="10">
        <f t="shared" si="1"/>
        <v>21.921373924984465</v>
      </c>
      <c r="G19" s="3">
        <f t="shared" si="2"/>
        <v>0.61461750999441156</v>
      </c>
      <c r="H19" s="22">
        <f t="shared" si="3"/>
        <v>-8.836993333743866</v>
      </c>
      <c r="I19" s="3">
        <f t="shared" si="6"/>
        <v>106.26440774192972</v>
      </c>
      <c r="J19" s="12">
        <f t="shared" si="4"/>
        <v>0</v>
      </c>
      <c r="K19">
        <f t="shared" si="5"/>
        <v>0.61461750999441156</v>
      </c>
    </row>
    <row r="20" spans="1:11" x14ac:dyDescent="0.3">
      <c r="A20">
        <v>207</v>
      </c>
      <c r="B20" s="3">
        <v>0.53226354816753751</v>
      </c>
      <c r="C20" s="2">
        <v>36.389595342580009</v>
      </c>
      <c r="D20" s="1">
        <v>0.55340951299649488</v>
      </c>
      <c r="E20" s="1">
        <f t="shared" si="0"/>
        <v>1.1068190259929897E-2</v>
      </c>
      <c r="F20" s="10">
        <f t="shared" si="1"/>
        <v>9.0973988356450022</v>
      </c>
      <c r="G20" s="3">
        <f t="shared" si="2"/>
        <v>0.27670475649824744</v>
      </c>
      <c r="H20" s="22">
        <f t="shared" si="3"/>
        <v>-16.572042382978132</v>
      </c>
      <c r="I20" s="3">
        <f t="shared" si="6"/>
        <v>106.79667129009725</v>
      </c>
      <c r="J20" s="12">
        <f t="shared" si="4"/>
        <v>0</v>
      </c>
      <c r="K20">
        <f t="shared" si="5"/>
        <v>0.27670475649824744</v>
      </c>
    </row>
    <row r="21" spans="1:11" x14ac:dyDescent="0.3">
      <c r="A21">
        <v>1098</v>
      </c>
      <c r="B21" s="3">
        <v>0.69534260741033416</v>
      </c>
      <c r="C21" s="2">
        <v>48.204808004424237</v>
      </c>
      <c r="D21" s="1">
        <v>0.31486619023461765</v>
      </c>
      <c r="E21" s="1">
        <f t="shared" si="0"/>
        <v>6.2973238046923532E-3</v>
      </c>
      <c r="F21" s="10">
        <f t="shared" si="1"/>
        <v>12.051202001106059</v>
      </c>
      <c r="G21" s="3">
        <f t="shared" si="2"/>
        <v>0.15743309511730882</v>
      </c>
      <c r="H21" s="22">
        <f t="shared" si="3"/>
        <v>-17.104904516472445</v>
      </c>
      <c r="I21" s="3">
        <f t="shared" si="6"/>
        <v>107.49201389750759</v>
      </c>
      <c r="J21" s="12">
        <f t="shared" si="4"/>
        <v>0</v>
      </c>
      <c r="K21">
        <f t="shared" si="5"/>
        <v>0.15743309511730882</v>
      </c>
    </row>
    <row r="22" spans="1:11" x14ac:dyDescent="0.3">
      <c r="A22">
        <v>971</v>
      </c>
      <c r="B22" s="3">
        <v>0.33898337185350957</v>
      </c>
      <c r="C22" s="2">
        <v>91.732859570614224</v>
      </c>
      <c r="D22" s="1">
        <v>0.64675650793850092</v>
      </c>
      <c r="E22" s="1">
        <f t="shared" si="0"/>
        <v>1.2935130158770019E-2</v>
      </c>
      <c r="F22" s="10">
        <f t="shared" si="1"/>
        <v>22.933214892653556</v>
      </c>
      <c r="G22" s="3">
        <f>25*D22</f>
        <v>16.168912698462524</v>
      </c>
      <c r="H22" s="22">
        <f t="shared" si="3"/>
        <v>-19.954672576430092</v>
      </c>
      <c r="I22" s="3">
        <f>B22</f>
        <v>0.33898337185350957</v>
      </c>
      <c r="J22" s="12">
        <f t="shared" si="4"/>
        <v>1</v>
      </c>
      <c r="K22">
        <f t="shared" si="5"/>
        <v>22.933214892653556</v>
      </c>
    </row>
    <row r="23" spans="1:11" x14ac:dyDescent="0.3">
      <c r="A23">
        <v>1091</v>
      </c>
      <c r="B23" s="3">
        <v>0.92553085588797601</v>
      </c>
      <c r="C23" s="2">
        <v>88.661022343278077</v>
      </c>
      <c r="D23" s="1">
        <v>2.66143771994926</v>
      </c>
      <c r="E23" s="1">
        <f t="shared" si="0"/>
        <v>5.3228754398985202E-2</v>
      </c>
      <c r="F23" s="10">
        <f t="shared" si="1"/>
        <v>22.165255585819519</v>
      </c>
      <c r="G23" s="3">
        <f t="shared" ref="G23:G31" si="7">25*E23</f>
        <v>1.33071885997463</v>
      </c>
      <c r="H23" s="22">
        <f t="shared" si="3"/>
        <v>-22.510904518527095</v>
      </c>
      <c r="I23" s="3">
        <f t="shared" ref="I23:I31" si="8">B23+I22</f>
        <v>1.2645142277414856</v>
      </c>
      <c r="J23" s="12">
        <f t="shared" si="4"/>
        <v>1</v>
      </c>
      <c r="K23">
        <f t="shared" si="5"/>
        <v>22.165255585819519</v>
      </c>
    </row>
    <row r="24" spans="1:11" x14ac:dyDescent="0.3">
      <c r="A24">
        <v>91</v>
      </c>
      <c r="B24" s="3">
        <v>0.33735976863779937</v>
      </c>
      <c r="C24" s="2">
        <v>47.435302492539634</v>
      </c>
      <c r="D24" s="1">
        <v>1.403178780418642</v>
      </c>
      <c r="E24" s="1">
        <f t="shared" si="0"/>
        <v>2.8063575608372839E-2</v>
      </c>
      <c r="F24" s="10">
        <f t="shared" si="1"/>
        <v>11.858825623134909</v>
      </c>
      <c r="G24" s="3">
        <f t="shared" si="7"/>
        <v>0.70158939020932098</v>
      </c>
      <c r="H24" s="22">
        <f t="shared" si="3"/>
        <v>-33.072219245278077</v>
      </c>
      <c r="I24" s="3">
        <f t="shared" si="8"/>
        <v>1.601873996379285</v>
      </c>
      <c r="J24" s="12">
        <f t="shared" si="4"/>
        <v>1</v>
      </c>
      <c r="K24">
        <f t="shared" si="5"/>
        <v>11.858825623134909</v>
      </c>
    </row>
    <row r="25" spans="1:11" x14ac:dyDescent="0.3">
      <c r="A25">
        <v>1044</v>
      </c>
      <c r="B25" s="3">
        <v>0.5610562758446358</v>
      </c>
      <c r="C25" s="2">
        <v>84.301423961499964</v>
      </c>
      <c r="D25" s="1">
        <v>2.6492622052295749</v>
      </c>
      <c r="E25" s="1">
        <f t="shared" si="0"/>
        <v>5.2985244104591496E-2</v>
      </c>
      <c r="F25" s="10">
        <f t="shared" si="1"/>
        <v>21.075355990374991</v>
      </c>
      <c r="G25" s="3">
        <f t="shared" si="7"/>
        <v>1.3246311026147874</v>
      </c>
      <c r="H25" s="22">
        <f t="shared" si="3"/>
        <v>-35.202751912946162</v>
      </c>
      <c r="I25" s="3">
        <f t="shared" si="8"/>
        <v>2.162930272223921</v>
      </c>
      <c r="J25" s="12">
        <f t="shared" si="4"/>
        <v>1</v>
      </c>
      <c r="K25">
        <f t="shared" si="5"/>
        <v>21.075355990374991</v>
      </c>
    </row>
    <row r="26" spans="1:11" x14ac:dyDescent="0.3">
      <c r="A26">
        <v>982</v>
      </c>
      <c r="B26" s="3">
        <v>0.33735976863779937</v>
      </c>
      <c r="C26" s="2">
        <v>57.704951339070263</v>
      </c>
      <c r="D26" s="1">
        <v>2.9035709185058072</v>
      </c>
      <c r="E26" s="1">
        <f t="shared" si="0"/>
        <v>5.8071418370116146E-2</v>
      </c>
      <c r="F26" s="10">
        <f t="shared" si="1"/>
        <v>14.426237834767566</v>
      </c>
      <c r="G26" s="3">
        <f t="shared" si="7"/>
        <v>1.4517854592529036</v>
      </c>
      <c r="H26" s="22">
        <f t="shared" si="3"/>
        <v>-38.458801498184762</v>
      </c>
      <c r="I26" s="3">
        <f t="shared" si="8"/>
        <v>2.5002900408617204</v>
      </c>
      <c r="J26" s="12">
        <f t="shared" si="4"/>
        <v>1</v>
      </c>
      <c r="K26">
        <f t="shared" si="5"/>
        <v>14.426237834767566</v>
      </c>
    </row>
    <row r="27" spans="1:11" x14ac:dyDescent="0.3">
      <c r="A27">
        <v>755</v>
      </c>
      <c r="B27" s="3">
        <v>0.53430713571528288</v>
      </c>
      <c r="C27" s="2">
        <v>88.099969932523493</v>
      </c>
      <c r="D27" s="1">
        <v>1.2079509469533682</v>
      </c>
      <c r="E27" s="1">
        <f t="shared" si="0"/>
        <v>2.4159018939067366E-2</v>
      </c>
      <c r="F27" s="10">
        <f t="shared" si="1"/>
        <v>22.024992483130873</v>
      </c>
      <c r="G27" s="3">
        <f t="shared" si="7"/>
        <v>0.60397547347668412</v>
      </c>
      <c r="H27" s="22">
        <f t="shared" si="3"/>
        <v>-40.091205184781288</v>
      </c>
      <c r="I27" s="3">
        <f t="shared" si="8"/>
        <v>3.0345971765770035</v>
      </c>
      <c r="J27" s="12">
        <f t="shared" si="4"/>
        <v>1</v>
      </c>
      <c r="K27">
        <f t="shared" si="5"/>
        <v>22.024992483130873</v>
      </c>
    </row>
    <row r="28" spans="1:11" x14ac:dyDescent="0.3">
      <c r="A28">
        <v>35</v>
      </c>
      <c r="B28" s="3">
        <v>0.43645018317542084</v>
      </c>
      <c r="C28" s="2">
        <v>78.177645639745492</v>
      </c>
      <c r="D28" s="1">
        <v>2.746872613905055</v>
      </c>
      <c r="E28" s="1">
        <f t="shared" si="0"/>
        <v>5.4937452278101102E-2</v>
      </c>
      <c r="F28" s="10">
        <f t="shared" si="1"/>
        <v>19.544411409936373</v>
      </c>
      <c r="G28" s="3">
        <f t="shared" si="7"/>
        <v>1.3734363069525275</v>
      </c>
      <c r="H28" s="22">
        <f t="shared" si="3"/>
        <v>-41.633560492012563</v>
      </c>
      <c r="I28" s="3">
        <f t="shared" si="8"/>
        <v>3.4710473597524243</v>
      </c>
      <c r="J28" s="12">
        <f t="shared" si="4"/>
        <v>1</v>
      </c>
      <c r="K28">
        <f t="shared" si="5"/>
        <v>19.544411409936373</v>
      </c>
    </row>
    <row r="29" spans="1:11" x14ac:dyDescent="0.3">
      <c r="A29">
        <v>707</v>
      </c>
      <c r="B29" s="3">
        <v>0.42070180467416507</v>
      </c>
      <c r="C29" s="2">
        <v>90.364466751957792</v>
      </c>
      <c r="D29" s="1">
        <v>0.68573498692666646</v>
      </c>
      <c r="E29" s="1">
        <f t="shared" si="0"/>
        <v>1.3714699738533329E-2</v>
      </c>
      <c r="F29" s="10">
        <f t="shared" si="1"/>
        <v>22.591116687989448</v>
      </c>
      <c r="G29" s="3">
        <f t="shared" si="7"/>
        <v>0.34286749346333323</v>
      </c>
      <c r="H29" s="22">
        <f t="shared" si="3"/>
        <v>-52.883655233562536</v>
      </c>
      <c r="I29" s="3">
        <f t="shared" si="8"/>
        <v>3.8917491644265896</v>
      </c>
      <c r="J29" s="12">
        <f t="shared" si="4"/>
        <v>1</v>
      </c>
      <c r="K29">
        <f t="shared" si="5"/>
        <v>22.591116687989448</v>
      </c>
    </row>
    <row r="30" spans="1:11" x14ac:dyDescent="0.3">
      <c r="A30">
        <v>762</v>
      </c>
      <c r="B30" s="3">
        <v>0.45024089787638277</v>
      </c>
      <c r="C30" s="2">
        <v>99.337194752892017</v>
      </c>
      <c r="D30" s="1">
        <v>1.2038968510307821</v>
      </c>
      <c r="E30" s="1">
        <f t="shared" si="0"/>
        <v>2.4077937020615642E-2</v>
      </c>
      <c r="F30" s="10">
        <f t="shared" si="1"/>
        <v>24.834298688223004</v>
      </c>
      <c r="G30" s="3">
        <f t="shared" si="7"/>
        <v>0.60194842551539107</v>
      </c>
      <c r="H30" s="22">
        <f t="shared" si="3"/>
        <v>-53.820855406522391</v>
      </c>
      <c r="I30" s="3">
        <f t="shared" si="8"/>
        <v>4.3419900623029726</v>
      </c>
      <c r="J30" s="12">
        <f t="shared" si="4"/>
        <v>1</v>
      </c>
      <c r="K30">
        <f t="shared" si="5"/>
        <v>24.834298688223004</v>
      </c>
    </row>
    <row r="31" spans="1:11" x14ac:dyDescent="0.3">
      <c r="A31">
        <v>962</v>
      </c>
      <c r="B31" s="3">
        <v>0.3621252484718851</v>
      </c>
      <c r="C31" s="2">
        <v>95.408128218027827</v>
      </c>
      <c r="D31" s="1">
        <v>0.61690368932313355</v>
      </c>
      <c r="E31" s="1">
        <f t="shared" si="0"/>
        <v>1.2338073786462671E-2</v>
      </c>
      <c r="F31" s="10">
        <f t="shared" si="1"/>
        <v>23.852032054506957</v>
      </c>
      <c r="G31" s="3">
        <f t="shared" si="7"/>
        <v>0.30845184466156678</v>
      </c>
      <c r="H31" s="22">
        <f t="shared" si="3"/>
        <v>-65.015019828625071</v>
      </c>
      <c r="I31" s="3">
        <f t="shared" si="8"/>
        <v>4.7041153107748581</v>
      </c>
      <c r="J31" s="12">
        <f t="shared" si="4"/>
        <v>1</v>
      </c>
      <c r="K31">
        <f t="shared" si="5"/>
        <v>23.852032054506957</v>
      </c>
    </row>
  </sheetData>
  <sortState xmlns:xlrd2="http://schemas.microsoft.com/office/spreadsheetml/2017/richdata2" ref="A2:K31">
    <sortCondition descending="1" ref="H2:H31"/>
  </sortState>
  <mergeCells count="1">
    <mergeCell ref="P8:T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Final Solution (Simulation)</vt:lpstr>
      <vt:lpstr>Solution(Macros)</vt:lpstr>
      <vt:lpstr>Raw Data(Heuristic)</vt:lpstr>
      <vt:lpstr>Test Data (Case2 Worked)</vt:lpstr>
      <vt:lpstr>H1 Size (Case 3)</vt:lpstr>
      <vt:lpstr>H2 Cost (Case3)</vt:lpstr>
      <vt:lpstr>H3 Annual Usage (Case3)</vt:lpstr>
      <vt:lpstr>H4 Benefit value ( Case 3)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Gorman</dc:creator>
  <cp:lastModifiedBy>Pavan Kumar</cp:lastModifiedBy>
  <dcterms:created xsi:type="dcterms:W3CDTF">2017-12-05T20:18:45Z</dcterms:created>
  <dcterms:modified xsi:type="dcterms:W3CDTF">2025-05-11T18:12:25Z</dcterms:modified>
</cp:coreProperties>
</file>